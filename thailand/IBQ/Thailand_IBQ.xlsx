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on_wua(bull fighting)" sheetId="1" r:id="rId4"/>
    <sheet state="visible" name="kaeng ruer(boat racing)" sheetId="2" r:id="rId5"/>
    <sheet state="visible" name="len_wow" sheetId="3" r:id="rId6"/>
    <sheet state="visible" name="Sepak_Takraw" sheetId="4" r:id="rId7"/>
    <sheet state="visible" name="muay_thai" sheetId="5" r:id="rId8"/>
  </sheets>
  <definedNames/>
  <calcPr/>
</workbook>
</file>

<file path=xl/sharedStrings.xml><?xml version="1.0" encoding="utf-8"?>
<sst xmlns="http://schemas.openxmlformats.org/spreadsheetml/2006/main" count="58582" uniqueCount="1162">
  <si>
    <t>Image Namez</t>
  </si>
  <si>
    <t>Serial No.z</t>
  </si>
  <si>
    <t>Questionz</t>
  </si>
  <si>
    <t>Option 1z</t>
  </si>
  <si>
    <t>Option 2z</t>
  </si>
  <si>
    <t>Option 3z</t>
  </si>
  <si>
    <t>Option 4z</t>
  </si>
  <si>
    <t>Optionsz</t>
  </si>
  <si>
    <t>Correct Answerz</t>
  </si>
  <si>
    <t>Descriptionz</t>
  </si>
  <si>
    <t>Image Name</t>
  </si>
  <si>
    <t>Serial No.</t>
  </si>
  <si>
    <t>Question</t>
  </si>
  <si>
    <t>Option 1</t>
  </si>
  <si>
    <t>Option 2</t>
  </si>
  <si>
    <t>Option 3</t>
  </si>
  <si>
    <t>Option 4</t>
  </si>
  <si>
    <t>Options</t>
  </si>
  <si>
    <t>Correct Answer</t>
  </si>
  <si>
    <t>Description</t>
  </si>
  <si>
    <t>chon_wua_2.jpg</t>
  </si>
  <si>
    <t>What is the main activity shown in the image?</t>
  </si>
  <si>
    <t>A man leading a bull.</t>
  </si>
  <si>
    <t>A bull fighting another bull.</t>
  </si>
  <si>
    <t>A man on a bull.</t>
  </si>
  <si>
    <t>A bull being trained.</t>
  </si>
  <si>
    <t>The image shows a man holding a long pole to guide a bull, which is a common practice in Chon Wua, or Thai bull fighting.</t>
  </si>
  <si>
    <t>What is the purpose of the long pole the man is holding?</t>
  </si>
  <si>
    <t>To hurt the bull.</t>
  </si>
  <si>
    <t>To guide and control the bull's movement.</t>
  </si>
  <si>
    <t>To push the bull.</t>
  </si>
  <si>
    <t>To signal the start of a match.</t>
  </si>
  <si>
    <t>(A) To hurt the bull. (B) To guide and control the bull's movement. (C) To push the bull. (D) To signal the start of a match.</t>
  </si>
  <si>
    <t>The long pole is a tool used to guide the bull's movement and keep it in a straight line, as well as to keep the bull calm.</t>
  </si>
  <si>
    <t>(A) เพื่อทำร้ายกระทิง (B) เพื่อนำทางและควบคุมการเคลื่อนไหวของกระทิง (C) เพื่อผลักกระทิง (D) เพื่อเป็นสัญญาณการเริ่มการแข่งขัน</t>
  </si>
  <si>
    <t>What is a notable feature of the bull's body?</t>
  </si>
  <si>
    <t>It has a collar.</t>
  </si>
  <si>
    <t>It has a harness.</t>
  </si>
  <si>
    <t>It has a large hump on its back.</t>
  </si>
  <si>
    <t>It has a rope around its neck.</t>
  </si>
  <si>
    <t>(A) It has a collar. (B) It has a harness. (C) It has a large hump on its back. (D) It has a rope around its neck.</t>
  </si>
  <si>
    <t>The bull has a prominent hump on its back, which is a characteristic of zebu cattle, a breed commonly used in Thai bull fighting.</t>
  </si>
  <si>
    <t>(A) มันมีปลอกคอ (B) มันมีสายรัด (C) มีหลังโค้งใหญ่ (D) มันมีเชือกอยู่รอบคอ</t>
  </si>
  <si>
    <t>The man is barefoot. What does this suggest about the environment?</t>
  </si>
  <si>
    <t>It is a modern stadium.</t>
  </si>
  <si>
    <t>It is a formal fighting arena.</t>
  </si>
  <si>
    <t>It is a traditional and more rural setting.</t>
  </si>
  <si>
    <t>It is a private event.</t>
  </si>
  <si>
    <t>(A) It is a modern stadium. (B) It is a formal fighting arena. (C) It is a traditional and more rural setting. (D) It is a private event.</t>
  </si>
  <si>
    <t>The man being barefoot in a dirt ring suggests a more traditional, informal, and rural setting, rather than a modern stadium.</t>
  </si>
  <si>
    <t>(A) เป็นสนามกีฬาที่มีความทันสมัย (B) เป็นสนามต่อสู้อย่างเป็นทางการ (C) เป็นบรรยากาศแบบดั้งเดิมและชนบทมากขึ้น (D) เป็นงานส่วนตัว</t>
  </si>
  <si>
    <t>What is the purpose of the crowd behind the fence?</t>
  </si>
  <si>
    <t>They are spectators.</t>
  </si>
  <si>
    <t>They are other fighters.</t>
  </si>
  <si>
    <t>They are judges.</t>
  </si>
  <si>
    <t>They are security guards.</t>
  </si>
  <si>
    <t>(A) They are spectators. (B) They are other fighters. (C) They are judges. (D) They are security guards.</t>
  </si>
  <si>
    <t>The large number of people behind the fence are watching the event, indicating that they are an audience or spectators.</t>
  </si>
  <si>
    <t>(A) พวกเขาเป็นผู้ชม (B) พวกเขาเป็นนักสู้คนอื่น (C) พวกเขาเป็นผู้พิพากษา (D) พวกเขาเป็นเจ้าหน้าที่รักษาความปลอดภัย</t>
  </si>
  <si>
    <t>chon_wua_3.jpg</t>
  </si>
  <si>
    <t>Two bulls fighting.</t>
  </si>
  <si>
    <t>Two bulls resting.</t>
  </si>
  <si>
    <t>A bull being led.</t>
  </si>
  <si>
    <t>(A) Two bulls fighting. (B) Two bulls resting. (C) A bull being trained. (D) A bull being led.</t>
  </si>
  <si>
    <t>The image shows two bulls with their heads and horns locked together, which is the key action in Chon Wua, or Thai bull fighting.</t>
  </si>
  <si>
    <t>(A) กระทิงสองตัวกำลังต่อสู้กัน (B) กระทิงสองตัวกำลังพักผ่อน (C) กระทิงกำลังถูกฝึก (D) กระทิงกำลังถูกจูง</t>
  </si>
  <si>
    <t>What is the purpose of the ring in the bull's nose?</t>
  </si>
  <si>
    <t>It is a decorative item.</t>
  </si>
  <si>
    <t>It is a tool for guiding the bull.</t>
  </si>
  <si>
    <t>It is a sign of a high-ranked bull.</t>
  </si>
  <si>
    <t>It is a sign of a winning bull.</t>
  </si>
  <si>
    <t>(A) It is a decorative item. (B) It is a tool for guiding the bull. (C) It is a sign of a high-ranked bull. (D) It is a sign of a winning bull.</t>
  </si>
  <si>
    <t>The nose ring, also known as a nose lead, is a tool used by handlers to guide and control the bull's movement.</t>
  </si>
  <si>
    <t>(A) มันเป็นของตกแต่ง (B) เป็นเครื่องมือสำหรับนำทางกระทิง (C) เป็นสัญลักษณ์แห่งโคชั้นสูง (D) เป็นสัญญาณของกระทิงที่ชนะ</t>
  </si>
  <si>
    <t>The bulls have scars and marks on their horns. What does this suggest?</t>
  </si>
  <si>
    <t>They are injured.</t>
  </si>
  <si>
    <t>They are a sign of a wild bull.</t>
  </si>
  <si>
    <t>They have a history of fighting.</t>
  </si>
  <si>
    <t>They are old.</t>
  </si>
  <si>
    <t>(A) They are injured. (B) They are a sign of a wild bull. (C) They have a history of fighting. (D) They are old.</t>
  </si>
  <si>
    <t>The visible wear and tear on the horns are a clear sign of the bulls' fighting history, which is a key part of their status.</t>
  </si>
  <si>
    <t>(A) พวกเขาได้รับบาดเจ็บ (B) พวกเขาเป็นสัญลักษณ์ของกระทิงป่า (C) พวกเขามีประวัติการต่อสู้กัน (D) พวกเขาแก่แล้ว</t>
  </si>
  <si>
    <t>The bulls' faces are what emotion?</t>
  </si>
  <si>
    <t>They are angry.</t>
  </si>
  <si>
    <t>They are focused and determined.</t>
  </si>
  <si>
    <t>They are scared.</t>
  </si>
  <si>
    <t>They are confused.</t>
  </si>
  <si>
    <t>(A) They are angry. (B) They are focused and determined. (C) They are scared. (D) They are confused.</t>
  </si>
  <si>
    <t>The bulls' expressions, with their furrowed brows and intense eyes, suggest a high level of concentration and determination.</t>
  </si>
  <si>
    <t>(A) พวกเขาโกรธ (B) พวกเขามีความมุ่งมั่นและตั้งใจ (C) พวกเขาหวาดกลัว (D) พวกเขาสับสน</t>
  </si>
  <si>
    <t>What is a notable feature of the bull on the left's head?</t>
  </si>
  <si>
    <t>It has a very long horn.</t>
  </si>
  <si>
    <t>It has a very short horn.</t>
  </si>
  <si>
    <t>Its horn is wrapped with a red cloth.</t>
  </si>
  <si>
    <t>Its horn is decorated with flowers.</t>
  </si>
  <si>
    <t>(A) It has a very long horn. (B) It has a very short horn. (C) Its horn is wrapped with a red cloth. (D) Its horn is decorated with flowers.</t>
  </si>
  <si>
    <t>The bull on the left has a red cloth wrapped around the base of its horn, which is a common practice in Chon Wua, symbolizing power and good luck.</t>
  </si>
  <si>
    <t>(A) มันมีเขาที่ยาวมาก (B) มันมีเขาสั้นมาก (C) เขาของมันถูกหุ้มด้วยผ้าสีแดง (D) เขาของมันมีดอกไม้ประดับอยู่</t>
  </si>
  <si>
    <t>chon_wua_7.jpg</t>
  </si>
  <si>
    <t>The bulls are fighting in what kind of environment?</t>
  </si>
  <si>
    <t>A paved courtyard.</t>
  </si>
  <si>
    <t>A dirt and mud pit.</t>
  </si>
  <si>
    <t>A large, open field.</t>
  </si>
  <si>
    <t>An indoor stadium.</t>
  </si>
  <si>
    <t>(A) A paved courtyard. (B) A dirt and mud pit. (C) A large, open field. (D) An indoor stadium.</t>
  </si>
  <si>
    <t>The bulls are fighting in a dirt arena that is filled with water and mud, which is a common feature of the arenas in Thai bull fighting.</t>
  </si>
  <si>
    <t>(A) ลานปูหิน (B) หลุมดินและโคลน (C) ทุ่งโล่งกว้างใหญ่ (D) สนามกีฬาในร่ม</t>
  </si>
  <si>
    <t>What is the purpose of the fence behind the bulls?</t>
  </si>
  <si>
    <t>It is a decorative element.</t>
  </si>
  <si>
    <t>It is a barrier to separate the bulls.</t>
  </si>
  <si>
    <t>It is a barrier for spectators' safety.</t>
  </si>
  <si>
    <t>It is a boundary for the bulls.</t>
  </si>
  <si>
    <t>(A) It is a decorative element. (B) It is a barrier to separate the bulls. (C) It is a barrier for spectators' safety. (D) It is a boundary for the bulls.</t>
  </si>
  <si>
    <t>The wooden fence serves as a crucial safety barrier, separating the bulls from the spectators and preventing accidents.</t>
  </si>
  <si>
    <t>(A) เป็นองค์ประกอบการตกแต่ง (B) เป็นสิ่งกั้นแบ่งแยกกระทิง (C) เป็นเครื่องกั้นความปลอดภัยให้กับผู้ชม (D) เป็นเขตแดนของกระทิง</t>
  </si>
  <si>
    <t>What can be inferred about the bulls' strength and power?</t>
  </si>
  <si>
    <t>They are weak.</t>
  </si>
  <si>
    <t>They are very strong.</t>
  </si>
  <si>
    <t>They are trained to be gentle.</t>
  </si>
  <si>
    <t>They are very docile.</t>
  </si>
  <si>
    <t>(A) They are weak. (B) They are very strong. (C) They are trained to be gentle. (D) They are very docile.</t>
  </si>
  <si>
    <t>The bulls' muscular build, their lowered heads, and the tension in their bodies suggest that they are very powerful and are using all their strength in the fight.</t>
  </si>
  <si>
    <t>(A) พวกเขาอ่อนแอ (B) พวกเขาแข็งแกร่งมาก (C) พวกเขาได้รับการฝึกให้มีความอ่อนโยน (D) พวกมันเชื่องมาก</t>
  </si>
  <si>
    <t>What is the overall atmosphere of the event?</t>
  </si>
  <si>
    <t>A quiet and peaceful one.</t>
  </si>
  <si>
    <t>A tense and focused one.</t>
  </si>
  <si>
    <t>A celebratory and festive one.</t>
  </si>
  <si>
    <t>A casual and relaxed one.</t>
  </si>
  <si>
    <t>(A) A quiet and peaceful one. (B) A tense and focused one. (C) A celebratory and festive one. (D) A casual and relaxed one.</t>
  </si>
  <si>
    <t>The crowd's concentrated gaze and the bulls' locked horns create a tense and focused atmosphere, which is characteristic of a high-stakes bull fight.</t>
  </si>
  <si>
    <t>(A) เป็นที่เงียบสงบและสันติ (B) แบบตึงเครียดและมีสมาธิ (C) แบบเฉลิมฉลองและรื่นเริง (D) แบบสบายๆ และผ่อนคลาย</t>
  </si>
  <si>
    <t>chon_wua_10.jpg</t>
  </si>
  <si>
    <t>A bull is drinking water.</t>
  </si>
  <si>
    <t>A bull is resting.</t>
  </si>
  <si>
    <t>A bull has been injured in a fight.</t>
  </si>
  <si>
    <t>A bull is being led.</t>
  </si>
  <si>
    <t>(A) A bull is drinking water. (B) A bull is resting. (C) A bull has been injured in a fight. (D) A bull is being led.</t>
  </si>
  <si>
    <t>The image shows a bull with a bleeding injury on its head, which is a clear sign that it has been injured in a fight.</t>
  </si>
  <si>
    <t>(A) กระทิงกำลังดื่มน้ำ (B) วัวตัวหนึ่งกำลังพักผ่อน (C) กระทิงตัวหนึ่งได้รับบาดเจ็บจากการต่อสู้ (D) มีการนำวัวกระทิง</t>
  </si>
  <si>
    <t>What is the purpose of the fight?</t>
  </si>
  <si>
    <t>To cause harm to the bulls.</t>
  </si>
  <si>
    <t>It is a ritual to select the strongest bull.</t>
  </si>
  <si>
    <t>It is a form of entertainment.</t>
  </si>
  <si>
    <t>It is for a religious ceremony.</t>
  </si>
  <si>
    <t>(A) To cause harm to the bulls. (B) It is a ritual to select the strongest bull. (C) It is a form of entertainment. (D) It is for a religious ceremony.</t>
  </si>
  <si>
    <t>The purpose of Chon Wua is a form of entertainment and a spectacle for the crowd, not to cause serious harm to the bulls.</t>
  </si>
  <si>
    <t>(A) เพื่อสร้างอันตรายแก่กระทิง (B) เป็นพิธีกรรมในการคัดเลือกกระทิงที่แข็งแกร่งที่สุด (C) มันคือรูปแบบหนึ่งของความบันเทิง (D) มันเป็นงานพิธีกรรมทางศาสนา</t>
  </si>
  <si>
    <t>What is the environment where this event takes place?</t>
  </si>
  <si>
    <t>A modern stadium.</t>
  </si>
  <si>
    <t>A large, open field with a lot of mud.</t>
  </si>
  <si>
    <t>An indoor arena.</t>
  </si>
  <si>
    <t>(A) A modern stadium. (B) A large, open field with a lot of mud. (C) A paved courtyard. (D) An indoor arena.</t>
  </si>
  <si>
    <t>The image shows a large, open area with a lot of mud and water, which is a common feature of the arenas in Thai bull fighting.</t>
  </si>
  <si>
    <t>(A) สนามกีฬาที่ทันสมัย (B) ทุ่งโล่งกว้างและมีโคลนมากมาย (C) ลานปูหิน (D) สนามกีฬาในร่ม</t>
  </si>
  <si>
    <t>What is the overall atmosphere conveyed by the image?</t>
  </si>
  <si>
    <t>A happy and festive one.</t>
  </si>
  <si>
    <t>A serious and tense one.</t>
  </si>
  <si>
    <t>A quiet and somber one.</t>
  </si>
  <si>
    <t>(A) A happy and festive one. (B) A serious and tense one. (C) A quiet and somber one. (D) A casual and relaxed one.</t>
  </si>
  <si>
    <t>The bull's tired posture and the injury on its head create a serious and tense atmosphere, which is a key part of the fighting's nature.</t>
  </si>
  <si>
    <t>(A) แบบสนุกสนานรื่นเริง (B) เป็นเรื่องที่จริงจังและตึงเครียด (C) เป็นบรรยากาศเงียบสงบและเศร้าหมอง (D) แบบสบายๆ และผ่อนคลาย</t>
  </si>
  <si>
    <t>chon_wua_15.jpg</t>
  </si>
  <si>
    <t>Two bulls fighting in a mud pit.</t>
  </si>
  <si>
    <t>Two bulls running.</t>
  </si>
  <si>
    <t>Two bulls playing.</t>
  </si>
  <si>
    <t>(A) Two bulls fighting in a mud pit. (B) Two bulls running. (C) Two bulls resting. (D) Two bulls playing.</t>
  </si>
  <si>
    <t>The image shows two bulls with their heads locked together in a mud pit, with mud and water splashing all around, which is a clear indication that they are fighting.</t>
  </si>
  <si>
    <t>(A) กระทิงสองตัวกำลังต่อสู้กันในหลุมโคลน (B) กระทิงสองตัวกำลังวิ่ง (C) กระทิงสองตัวกำลังพักผ่อน (D) กระทิงสองตัวกำลังเล่นกัน</t>
  </si>
  <si>
    <t>What is a notable feature of the bull's horns?</t>
  </si>
  <si>
    <t>They are decorated with flowers.</t>
  </si>
  <si>
    <t>They are very long and straight.</t>
  </si>
  <si>
    <t>They are very short and stubby.</t>
  </si>
  <si>
    <t>They are twisted and have a unique shape.</t>
  </si>
  <si>
    <t>(A) They are decorated with flowers. (B) They are very long and straight. (C) They are very short and stubby. (D) They are twisted and have a unique shape.</t>
  </si>
  <si>
    <t>The bulls' horns are not straight but have a unique, twisted shape, which is a characteristic of the bulls used in Thai bull fighting.</t>
  </si>
  <si>
    <t>(A) มีการตกแต่งด้วยดอกไม้ (B) มันยาวและตรงมาก (C) พวกมันสั้นและอ้วนมาก (D) มีลักษณะบิดเบี้ยวและมีรูปร่างที่เป็นเอกลักษณ์</t>
  </si>
  <si>
    <t>The mud and water splashing all around suggests what?</t>
  </si>
  <si>
    <t>The bulls are playing in the mud.</t>
  </si>
  <si>
    <t>The bulls are in a very intense fight.</t>
  </si>
  <si>
    <t>The bulls are in a very weak fight.</t>
  </si>
  <si>
    <t>The bulls are resting.</t>
  </si>
  <si>
    <t>(A) The bulls are playing in the mud. (B) The bulls are in a very intense fight. (C) The bulls are in a very weak fight. (D) The bulls are resting.</t>
  </si>
  <si>
    <t>The mud and water splashing all around is a clear sign of the intense physical contact and power being generated by the bulls in their fight.</t>
  </si>
  <si>
    <t>(A) วัวกำลังเล่นอยู่ในโคลน (B) กระทิงกำลังต่อสู้กันอย่างเข้มข้นมาก (C) กระทิงอยู่ในภาวะต่อสู้ที่อ่อนแอมาก (D) กระทิงกำลังพักผ่อน</t>
  </si>
  <si>
    <t>The bulls' fierce expressions and the splashing mud create a tense and focused atmosphere, which is characteristic of a high-stakes bull fight.</t>
  </si>
  <si>
    <t>chon_wua_20.jpg</t>
  </si>
  <si>
    <t>Two bulls being led by handlers.</t>
  </si>
  <si>
    <t>(A) Two bulls fighting. (B) Two bulls being led by handlers. (C) A bull fighting another bull. (D) A bull being trained.</t>
  </si>
  <si>
    <t>The image shows two bulls with their heads locked together in a dirt ring, with two handlers on either side, which is a clear indication that they are fighting.</t>
  </si>
  <si>
    <t>(A) กระทิงสองตัวกำลังต่อสู้กัน (B) กระทิงสองตัวที่ถูกจูงโดยคนดูแล (C) กระทิงกำลังสู้กับกระทิงอีกตัวหนึ่ง (D) กระทิงกำลังถูกฝึก</t>
  </si>
  <si>
    <t>What is the purpose of the handlers?</t>
  </si>
  <si>
    <t>To encourage the bulls to fight.</t>
  </si>
  <si>
    <t>To ensure the bulls do not get injured.</t>
  </si>
  <si>
    <t>To control the bulls' movement and prevent them from leaving the ring.</t>
  </si>
  <si>
    <t>To assist the bulls.</t>
  </si>
  <si>
    <t>(A) To encourage the bulls to fight. (B) To ensure the bulls do not get injured. (C) To control the bulls' movement and prevent them from leaving the ring. (D) To assist the bulls.</t>
  </si>
  <si>
    <t>The handlers are holding ropes attached to the bulls, which they use to control their movement and keep them in the fighting area.</t>
  </si>
  <si>
    <t>(A) เพื่อเป็นกำลังใจให้กระทิงสู้ต่อไป (B) เพื่อให้แน่ใจว่ากระทิงจะไม่ได้รับบาดเจ็บ (C) เพื่อควบคุมการเคลื่อนไหวของกระทิงและป้องกันไม่ให้มันออกจากสังเวียน (D) เพื่อช่วยเหลือวัวกระทิง</t>
  </si>
  <si>
    <t>The image shows a large, open dirt arena with a fence, which is a common feature of the arenas in Thai bull fighting.</t>
  </si>
  <si>
    <t>What is the purpose of the long wooden poles?</t>
  </si>
  <si>
    <t>They are for decoration.</t>
  </si>
  <si>
    <t>They are for guiding the bulls.</t>
  </si>
  <si>
    <t>They are a safety barrier.</t>
  </si>
  <si>
    <t>They are a boundary for the bulls.</t>
  </si>
  <si>
    <t>(A) They are for decoration. (B) They are for guiding the bulls. (C) They are a safety barrier. (D) They are a boundary for the bulls.</t>
  </si>
  <si>
    <t>The handlers are holding long wooden poles, which they use to guide and control the bulls' movement.</t>
  </si>
  <si>
    <t>(A) พวกมันไว้เพื่อการตกแต่ง (B) พวกเขาทำหน้าที่นำทางวัวกระทิง (C) พวกเขาเป็นสิ่งกั้นความปลอดภัย (D) พวกเขาเป็นเขตแดนของกระทิง</t>
  </si>
  <si>
    <t>The bulls' locked horns, the handlers' focused expressions, and the spectators in the background all create a serious and tense atmosphere.</t>
  </si>
  <si>
    <t>chon_wua_23.jpg</t>
  </si>
  <si>
    <t>A bullfighting event in a bullring.</t>
  </si>
  <si>
    <t>(A) A bull fighting another bull. (B) A bullfighting event in a bullring. (C) A man on a bull. (D) A bull being trained.</t>
  </si>
  <si>
    <t>The image shows a bull in a circular arena with several people in traditional bullfighting attire, which is characteristic of a Spanish bullfight, not Chon Wua.</t>
  </si>
  <si>
    <t>(A) กระทิงกำลังสู้กับกระทิงอีกตัวหนึ่ง (B) กิจกรรมการสู้วัวกระทิงในสนามสู้วัวกระทิง (C) ชายคนหนึ่งอยู่บนหลังวัวกระทิง (D) กระทิงกำลังถูกฝึก</t>
  </si>
  <si>
    <t>What is a notable difference between this event and Chon Wua?</t>
  </si>
  <si>
    <t>The use of a bull.</t>
  </si>
  <si>
    <t>The use of a bullring.</t>
  </si>
  <si>
    <t>The use of a man.</t>
  </si>
  <si>
    <t>The use of a man in a costume.</t>
  </si>
  <si>
    <t>(A) The use of a bull. (B) The use of a bullring. (C) The use of a man. (D) The use of a man in a costume.</t>
  </si>
  <si>
    <t>Chon Wua is a bull-on-bull fight, while this image shows a bullfighting event where a bull is fought by a man in a bullring.</t>
  </si>
  <si>
    <t>(A) การใช้กระทิง (B) การใช้สนามชนวัว (C) การใช้ของผู้ชาย (D) การใช้ผู้ชายในเครื่องแต่งกาย</t>
  </si>
  <si>
    <t>What is the purpose of the people in the bullring?</t>
  </si>
  <si>
    <t>They are bullfighters.</t>
  </si>
  <si>
    <t>(A) They are spectators. (B) They are judges. (C) They are bullfighters. (D) They are security guards.</t>
  </si>
  <si>
    <t>The people in the bullring are dressed in traditional bullfighting attire, which is the uniform of a bullfighter, or matador.</t>
  </si>
  <si>
    <t>(A) พวกเขาเป็นผู้ชม (B) พวกเขาเป็นผู้พิพากษา (C) พวกเขาคือนักสู้วัวกระทิง (D) พวกเขาเป็นเจ้าหน้าที่รักษาความปลอดภัย</t>
  </si>
  <si>
    <t>A circular bullring.</t>
  </si>
  <si>
    <t>(A) A modern stadium. (B) A large, open field with a lot of mud. (C) A circular bullring. (D) An indoor arena.</t>
  </si>
  <si>
    <t>The image shows a circular dirt arena with a red fence, which is characteristic of a bullring in Spain or other Latin countries.</t>
  </si>
  <si>
    <t>(A) สนามกีฬาที่ทันสมัย (B) ทุ่งโล่งกว้างและมีโคลนมากมาย (C) สังเวียนวัวกระทิงแบบวงกลม (D) สนามกีฬาในร่ม</t>
  </si>
  <si>
    <t>The bull's intense gaze and the bullfighters' focused expressions create a serious and tense atmosphere, which is a key part of the bullfighting's nature.</t>
  </si>
  <si>
    <t>chon_wua_34.jpg</t>
  </si>
  <si>
    <t>What is a notable feature of the bulls' bodies?</t>
  </si>
  <si>
    <t>They have a very large hump on their backs.</t>
  </si>
  <si>
    <t>They are very thin.</t>
  </si>
  <si>
    <t>They are very small.</t>
  </si>
  <si>
    <t>They have no horns.</t>
  </si>
  <si>
    <t>(A) They have a very large hump on their backs. (B) They are very thin. (C) They are very small. (D) They have no horns.</t>
  </si>
  <si>
    <t>The bulls have a prominent hump on their backs, which is a characteristic of zebu cattle, a breed commonly used in Thai bull fighting.</t>
  </si>
  <si>
    <t>(A) พวกมันมีหลังโค้งใหญ่มาก (B) มันผอมมาก (C) พวกมันเล็กมาก (D) พวกมันไม่มีเขา</t>
  </si>
  <si>
    <t>What is the purpose of the people standing behind the bulls?</t>
  </si>
  <si>
    <t>They are handlers, who guide the bulls.</t>
  </si>
  <si>
    <t>(A) They are spectators. (B) They are judges. (C) They are security guards. (D) They are handlers, who guide the bulls.</t>
  </si>
  <si>
    <t>The people standing near the bulls are holding ropes and poles, indicating that they are handlers who are in charge of guiding the bulls.</t>
  </si>
  <si>
    <t>(A) พวกเขาเป็นผู้ชม (B) พวกเขาเป็นผู้พิพากษา (C) พวกเขาเป็นเจ้าหน้าที่รักษาความปลอดภัย (D) พวกนั้นเป็นผู้ดูแลคอยชี้ทางให้วัวกระทิง</t>
  </si>
  <si>
    <t>The crowd is behind a fence. What is the purpose of the fence?</t>
  </si>
  <si>
    <t>To keep the bulls from leaving the ring.</t>
  </si>
  <si>
    <t>To keep the spectators safe.</t>
  </si>
  <si>
    <t>To mark the boundary of the ring.</t>
  </si>
  <si>
    <t>To provide a place for people to sit.</t>
  </si>
  <si>
    <t>(A) To keep the bulls from leaving the ring. (B) To keep the spectators safe. (C) To mark the boundary of the ring. (D) To provide a place for people to sit.</t>
  </si>
  <si>
    <t>The fence serves as a crucial safety barrier, separating the bulls from the spectators and preventing accidents.</t>
  </si>
  <si>
    <t>(A) เพื่อป้องกันไม่ให้กระทิงออกจากสนาม (B) เพื่อความปลอดภัยของผู้ชม (C) เพื่อทำเครื่องหมายขอบเขตของวงแหวน (D) เพื่อจัดให้มีสถานที่ให้ผู้คนนั่ง</t>
  </si>
  <si>
    <t>The bulls' lowered heads, the handlers' focused expressions, and the crowd's concentrated gaze create a tense and focused atmosphere.</t>
  </si>
  <si>
    <t>chon_wua_39.jpg</t>
  </si>
  <si>
    <t>A bull is in a mud pit.</t>
  </si>
  <si>
    <t>A bull is being trained.</t>
  </si>
  <si>
    <t>(A) A bull is resting. (B) A bull is in a mud pit. (C) A bull is being led. (D) A bull is being trained.</t>
  </si>
  <si>
    <t>The image shows a bull standing alone in a muddy pit, with mud and water all around it, which is a common feature of the arenas in Thai bull fighting.</t>
  </si>
  <si>
    <t>(A) วัวตัวหนึ่งกำลังพักผ่อน (B) มีวัวอยู่ในบ่อโคลน (C) มีการนำวัวกระทิง (D) กำลังฝึกกระทิงอยู่</t>
  </si>
  <si>
    <t>They are wrapped with a cloth.</t>
  </si>
  <si>
    <t>(A) They are decorated with flowers. (B) They are very long and straight. (C) They are very short and stubby. (D) They are wrapped with a cloth.</t>
  </si>
  <si>
    <t>The bull has a cloth, possibly a bandage or a ceremonial item, wrapped around the base of its horns, which is a common practice in Chon Wua.</t>
  </si>
  <si>
    <t>(A) มีการตกแต่งด้วยดอกไม้ (B) มันยาวและตรงมาก (C) พวกมันสั้นและอ้วนมาก (D) มีการห่อด้วยผ้า</t>
  </si>
  <si>
    <t>The bull has an intricate rope or harness around its head. What is its purpose?</t>
  </si>
  <si>
    <t>The rope is a harness or a rope lead used by handlers to guide and control the bull's movement.</t>
  </si>
  <si>
    <t>The bull is standing calmly in the mud pit, and there is no fight in progress, which creates a casual and relaxed atmosphere.</t>
  </si>
  <si>
    <t>chon_wua_42.jpg</t>
  </si>
  <si>
    <t>(A) A bull is resting. (B) A bull is in a mud pit. (C) Two bulls fighting. (D) A bull is being led.</t>
  </si>
  <si>
    <t>The image shows two bulls with their heads and horns locked together in a mud pit, with one of them on the ground, which is a clear indication that they are fighting.</t>
  </si>
  <si>
    <t>(A) วัวตัวหนึ่งกำลังพักผ่อน (B) มีวัวอยู่ในบ่อโคลน (C) กระทิงสองตัวกำลังต่อสู้กัน (D) มีการนำวัวกระทิง</t>
  </si>
  <si>
    <t>What is the purpose of the mud and water in the fighting ring?</t>
  </si>
  <si>
    <t>It is to make the fight more difficult.</t>
  </si>
  <si>
    <t>It is a natural part of the environment.</t>
  </si>
  <si>
    <t>It is to cool down the bulls.</t>
  </si>
  <si>
    <t>(A) It is a decorative element. (B) It is to make the fight more difficult. (C) It is a natural part of the environment. (D) It is to cool down the bulls.</t>
  </si>
  <si>
    <t>The mud and water are a natural feature of the arenas in Thai bull fighting, which are often in open fields and become muddy during the rainy season.</t>
  </si>
  <si>
    <t>(A) เป็นองค์ประกอบการตกแต่ง (B) มันทำให้การต่อสู้ยากยิ่งขึ้น (C) เป็นส่วนหนึ่งของสิ่งแวดล้อมตามธรรมชาติ (D) มันเป็นการทำให้วัวกระทิงเย็นลง</t>
  </si>
  <si>
    <t>The bull on the left is on the ground. What does this suggest about the fight?</t>
  </si>
  <si>
    <t>The bull is defeated.</t>
  </si>
  <si>
    <t>The bull is resting.</t>
  </si>
  <si>
    <t>The bull is playing.</t>
  </si>
  <si>
    <t>The bull is in a defensive position.</t>
  </si>
  <si>
    <t>(A) The bull is defeated. (B) The bull is resting. (C) The bull is playing. (D) The bull is in a defensive position.</t>
  </si>
  <si>
    <t>The bull being on the ground is a clear sign that it has been overpowered or defeated by its opponent.</t>
  </si>
  <si>
    <t>(A) กระทิงพ่ายแพ้แล้ว (B) วัวกำลังพักผ่อน (C) กระทิงกำลังเล่นอยู่ (D) กระทิงอยู่ในตำแหน่งป้องกัน</t>
  </si>
  <si>
    <t>chon_wua_44.jpg</t>
  </si>
  <si>
    <t>A bull is being trained by a man.</t>
  </si>
  <si>
    <t>A bull is fighting another bull.</t>
  </si>
  <si>
    <t>A man is riding a bull.</t>
  </si>
  <si>
    <t>A man is talking to another man.</t>
  </si>
  <si>
    <t>(A) A bull is being trained by a man. (B) A bull is fighting another bull. (C) A man is riding a bull. (D) A man is talking to another man.</t>
  </si>
  <si>
    <t>The image shows a bull being controlled by a man with a rope, while another man is approaching it, suggesting a training session or a demonstration.</t>
  </si>
  <si>
    <t>(A) กระทิงตัวหนึ่งกำลังได้รับการฝึกจากชายคนหนึ่ง (B) กระทิงตัวหนึ่งกำลังต่อสู้กับกระทิงอีกตัวหนึ่ง (C) ชายคนหนึ่งกำลังขี่กระทิง (D) ผู้ชายคนหนึ่งกำลังคุยกับผู้ชายอีกคน</t>
  </si>
  <si>
    <t>(A) It has a very long horn. (B) It has a rope around its neck. (C) It has a large hump on its back. (D) It has a very short horn.</t>
  </si>
  <si>
    <t>(A) มันมีเขาที่ยาวมาก (B) มันมีเชือกอยู่รอบคอ (C) มีหลังโค้งใหญ่ (D) มันมีเขาสั้นมาก</t>
  </si>
  <si>
    <t>The men are in a dirt ring. What does this suggest about the environment?</t>
  </si>
  <si>
    <t>The dirt ring with a wooden fence suggests a more traditional and rural setting, rather than a modern stadium.</t>
  </si>
  <si>
    <t>The bull's focused gaze and the men's postures, with one of them approaching the bull with caution, create a serious and tense atmosphere.</t>
  </si>
  <si>
    <t>chon_wua_50.jpg</t>
  </si>
  <si>
    <t>A man is leading a bull.</t>
  </si>
  <si>
    <t>A man is fighting a bull.</t>
  </si>
  <si>
    <t>A man is talking to a bull.</t>
  </si>
  <si>
    <t>(A) A man is leading a bull. (B) A man is fighting a bull. (C) A man is riding a bull. (D) A man is talking to a bull.</t>
  </si>
  <si>
    <t>The image shows a man holding the bull by its head and horns, and the bull is in a defensive position, suggesting that the man is fighting the bull.</t>
  </si>
  <si>
    <t>(A) ชายคนหนึ่งกำลังจูงกระทิง (B) ชายคนหนึ่งกำลังต่อสู้กับวัวกระทิง (C) ชายคนหนึ่งกำลังขี่กระทิง (D) ผู้ชายคนหนึ่งกำลังคุยกับวัวกระทิง</t>
  </si>
  <si>
    <t>What is the purpose of the rope around the bull's nose?</t>
  </si>
  <si>
    <t>The rope around the bull's nose, also known as a nose lead, is a tool used by handlers to guide and control the bull's movement.</t>
  </si>
  <si>
    <t>The man is wearing what kind of attire?</t>
  </si>
  <si>
    <t>A formal suit.</t>
  </si>
  <si>
    <t>A traditional uniform.</t>
  </si>
  <si>
    <t>Casual, everyday clothing.</t>
  </si>
  <si>
    <t>Sports gear.</t>
  </si>
  <si>
    <t>(A) A formal suit. (B) A traditional uniform. (C) Casual, everyday clothing. (D) Sports gear.</t>
  </si>
  <si>
    <t>The man is wearing a tank top and pants, which is common attire for a casual pastime.</t>
  </si>
  <si>
    <t>(A) ชุดสูทแบบเป็นทางการ (B) ชุดยูนิฟอร์มแบบดั้งเดิม (C) เสื้อผ้าลำลองสำหรับใส่ในชีวิตประจำวัน (D) อุปกรณ์กีฬา</t>
  </si>
  <si>
    <t>The man's fierce expression and the bull's defensive posture create a serious and tense atmosphere, which is a key part of the fighting's nature.</t>
  </si>
  <si>
    <t>chon_wua_52.jpg</t>
  </si>
  <si>
    <t>Two bulls are fighting.</t>
  </si>
  <si>
    <t>Two bulls are resting.</t>
  </si>
  <si>
    <t>(A) Two bulls are fighting. (B) Two bulls are resting. (C) A bull is being trained. (D) A bull is being led.</t>
  </si>
  <si>
    <t>(A) มีกระทิงสองตัวกำลังต่อสู้กัน (B) มีกระทิงสองตัวกำลังพักผ่อน (C) กำลังฝึกกระทิงอยู่ (D) มีการนำวัวกระทิง</t>
  </si>
  <si>
    <t>They have very long horns.</t>
  </si>
  <si>
    <t>(A) They have very long horns. (B) They are very short and stubby. (C) They have a very large hump on their backs. (D) They have no horns.</t>
  </si>
  <si>
    <t>(A) พวกมันมีเขาที่ยาวมาก (B) พวกมันสั้นและอ้วนมาก (C) พวกมันมีหลังโค้งใหญ่มาก (D) พวกมันไม่มีเขา</t>
  </si>
  <si>
    <t>chon_wua_55.jpg</t>
  </si>
  <si>
    <t>chon_wua_59.jpg</t>
  </si>
  <si>
    <t>A bull is being led through a crowd.</t>
  </si>
  <si>
    <t>(A) A bull is being led through a crowd. (B) A bull is fighting another bull. (C) A man is riding a bull. (D) A bull is being trained.</t>
  </si>
  <si>
    <t>The image shows a man holding a rope and leading a bull through a crowd of people, which is a common scene in Chon Wua.</t>
  </si>
  <si>
    <t>(A) มีวัวตัวหนึ่งกำลังถูกจูงฝ่าฝูงชน (B) กระทิงตัวหนึ่งกำลังต่อสู้กับกระทิงอีกตัวหนึ่ง (C) ชายคนหนึ่งกำลังขี่กระทิง (D) กำลังฝึกกระทิงอยู่</t>
  </si>
  <si>
    <t>What is the purpose of the red ribbon around the bull's neck?</t>
  </si>
  <si>
    <t>It is a decorative item for a ceremony.</t>
  </si>
  <si>
    <t>It is to hold the bull's name.</t>
  </si>
  <si>
    <t>(A) It is a sign of a winning bull. (B) It is a tool for guiding the bull. (C) It is a decorative item for a ceremony. (D) It is to hold the bull's name.</t>
  </si>
  <si>
    <t>The bright red ribbon is a decorative and ceremonial item, often used to adorn bulls for parades and fighting events to symbolize their power and status.</t>
  </si>
  <si>
    <t>(A) เป็นสัญญาณของกระทิงที่ชนะ (B) เป็นเครื่องมือสำหรับนำทางกระทิง (C) เป็นของประดับตกแต่งในงานพิธีต่างๆ (D) เป็นการถือชื่อกระทิง</t>
  </si>
  <si>
    <t>The people are gathered in a dusty, open area. What does this suggest?</t>
  </si>
  <si>
    <t>The dusty, open area with a large crowd and a lack of modern stadium infrastructure suggests a more traditional and rural setting.</t>
  </si>
  <si>
    <t>The crowd is gathered in a relaxed posture, with some smiling, and the bull is being paraded, which suggests a happy and festive atmosphere before or after a fight.</t>
  </si>
  <si>
    <t>A man is riding a bucking bull.</t>
  </si>
  <si>
    <t>(A) A bull is being led through a crowd. (B) A man is riding a bucking bull. (C) A man is fighting a bull. (D) A bull is being trained.</t>
  </si>
  <si>
    <t>The image shows a man in Western attire riding a large bull that is bucking in a dirt ring, which is characteristic of bull riding, not Chon Wua.</t>
  </si>
  <si>
    <t>chon_wua_76.jpg</t>
  </si>
  <si>
    <t>(A) มีวัวตัวหนึ่งกำลังถูกจูงฝ่าฝูงชน (B) ชายคนหนึ่งกำลังขี่กระทิงดุ (C) ชายคนหนึ่งกำลังต่อสู้กับวัวกระทิง (D) กำลังฝึกกระทิงอยู่</t>
  </si>
  <si>
    <t>The focus on one-on-one combat between a man and a bull.</t>
  </si>
  <si>
    <t>The focus on bull-on-bull fighting.</t>
  </si>
  <si>
    <t>(A) The use of a bull. (B) The use of a man. (C) The focus on one-on-one combat between a man and a bull. (D) The focus on bull-on-bull fighting.</t>
  </si>
  <si>
    <t>Chon Wua is a bull-on-bull fight, while this image shows a bull riding event where a man attempts to ride a bucking bull for a set amount of time.</t>
  </si>
  <si>
    <t>(A) การใช้กระทิง (B) การใช้ของผู้ชาย (C) เน้นการต่อสู้แบบตัวต่อตัวระหว่างชายกับวัว (D) เน้นการต่อสู้แบบกระทิงต่อกระทิง</t>
  </si>
  <si>
    <t>What is the purpose of the man's attire?</t>
  </si>
  <si>
    <t>To protect him from the bull.</t>
  </si>
  <si>
    <t>It is a formal uniform.</t>
  </si>
  <si>
    <t>It is a traditional uniform.</t>
  </si>
  <si>
    <t>It is a cowboy-style attire for bull riding.</t>
  </si>
  <si>
    <t>(A) To protect him from the bull. (B) It is a formal uniform. (C) It is a traditional uniform. (D) It is a cowboy-style attire for bull riding.</t>
  </si>
  <si>
    <t>The man is wearing a cowboy shirt, jeans, and a vest, which is the standard attire for a bull rider.</t>
  </si>
  <si>
    <t>(A) เพื่อปกป้องเขาจากวัวกระทิง (B) เป็นเครื่องแบบที่เป็นทางการ (C) เป็นชุดยูนิฟอร์มแบบดั้งเดิม (D) เป็นชุดสไตล์คาวบอยสำหรับขี่กระทิง</t>
  </si>
  <si>
    <t>A traditional arena.</t>
  </si>
  <si>
    <t>An outdoor arena.</t>
  </si>
  <si>
    <t>(A) A traditional arena. (B) A modern stadium. (C) An outdoor arena. (D) An indoor arena.</t>
  </si>
  <si>
    <t>The image shows a dirt ring surrounded by fences and a crowd, which is a common setup for outdoor rodeo events.</t>
  </si>
  <si>
    <t>(A) เวทีการแสดงแบบดั้งเดิม (B) สนามกีฬาที่ทันสมัย (C) สนามกีฬากลางแจ้ง (D) สนามกีฬาในร่ม</t>
  </si>
  <si>
    <t>The bull's fierce expression and the man's posture, along with the flying dust, create a tense and focused atmosphere, which is characteristic of a high-stakes bull riding event.</t>
  </si>
  <si>
    <t>(A) (B) (C) (D)</t>
  </si>
  <si>
    <t>kaeng_ruer_1.jpg</t>
  </si>
  <si>
    <t>What is the main event shown in the image?</t>
  </si>
  <si>
    <t>A rowing competition</t>
  </si>
  <si>
    <t>A fishing trip</t>
  </si>
  <si>
    <t>A canoe race</t>
  </si>
  <si>
    <t>A Kaeng Ruer (boat race)</t>
  </si>
  <si>
    <t>The image shows multiple long boats with large teams of paddlers and a festive crowd on the shore, which is characteristic of a Kaeng Ruer, a traditional Thai boat race.</t>
  </si>
  <si>
    <t>What is the purpose of the person at the front of the boat?</t>
  </si>
  <si>
    <t>To entertain the crowd</t>
  </si>
  <si>
    <t>To keep time and synchronize the paddlers' strokes</t>
  </si>
  <si>
    <t>To signal the start of the race</t>
  </si>
  <si>
    <t>To steer the boat</t>
  </si>
  <si>
    <t>(A) To entertain the crowd (B) To keep time and synchronize the paddlers' strokes (C) To signal the start of the race (D) To steer the boat</t>
  </si>
  <si>
    <t>The person at the front of the boat is holding a stick and is positioned to strike a drum, which is used to set the rhythm for the paddlers.</t>
  </si>
  <si>
    <t>(A) เพื่อความบันเทิงแก่ฝูงชน (B) เพื่อรักษาเวลาและประสานจังหวะการพายของนักพาย (C) เพื่อเป็นสัญญาณเริ่มต้นการแข่งขัน (D) การบังคับเรือ</t>
  </si>
  <si>
    <t>What is a notable feature of the boats' design?</t>
  </si>
  <si>
    <t>They are made of plastic.</t>
  </si>
  <si>
    <t>They have a traditional dragon head and tail.</t>
  </si>
  <si>
    <t>They are small and lightweight.</t>
  </si>
  <si>
    <t>They are powered by an engine.</t>
  </si>
  <si>
    <t>(A) They are made of plastic. (B) They have a traditional dragon head and tail. (C) They are small and lightweight. (D) They are powered by an engine.</t>
  </si>
  <si>
    <t>The boats have intricately carved and painted dragon heads at the front and tails at the back, which is a traditional and ceremonial feature of these boats.</t>
  </si>
  <si>
    <t>(A) มันทำจากพลาสติก (B) พวกมันมีหัวและหางมังกรแบบดั้งเดิม (C) มันมีขนาดเล็กและมีน้ำหนักเบา (D) พวกมันขับเคลื่อนด้วยเครื่องยนต์</t>
  </si>
  <si>
    <t>The teams are wearing what type of attire?</t>
  </si>
  <si>
    <t>Casual clothing</t>
  </si>
  <si>
    <t>Formal uniforms</t>
  </si>
  <si>
    <t>Life jackets and sports jerseys</t>
  </si>
  <si>
    <t>Wetsuits</t>
  </si>
  <si>
    <t>(A) Casual clothing (B) Formal uniforms (C) Life jackets and sports jerseys (D) Wetsuits</t>
  </si>
  <si>
    <t>The paddlers are wearing sports jerseys and brightly colored life jackets, which are worn for safety and team identification.</t>
  </si>
  <si>
    <t>(A) เสื้อผ้าลำลอง (B) เครื่องแบบทางการ (C) เสื้อชูชีพและเสื้อกีฬา (D) ชุดดำน้ำ</t>
  </si>
  <si>
    <t>What does the intense effort of the paddlers suggest about the race?</t>
  </si>
  <si>
    <t>It is a leisurely activity.</t>
  </si>
  <si>
    <t>It is a highly competitive and physically demanding sport.</t>
  </si>
  <si>
    <t>It is a slow, ceremonial procession.</t>
  </si>
  <si>
    <t>It is a team-building exercise.</t>
  </si>
  <si>
    <t>(A) It is a leisurely activity. (B) It is a highly competitive and physically demanding sport. (C) It is a slow, ceremonial procession. (D) It is a team-building exercise.</t>
  </si>
  <si>
    <t>The forward lean, powerful paddle strokes, and focused expressions of the paddlers indicate that this is a race that requires a high level of physical exertion and teamwork.</t>
  </si>
  <si>
    <t>(A) เป็นกิจกรรมยามว่าง (B) มันเป็นกีฬาที่มีการแข่งขันสูงและต้องใช้กำลังกายมาก (C) เป็นขบวนแห่แบบช้าๆ ตามพิธีกรรม (D) เป็นกิจกรรมเสริมสร้างการทำงานเป็นทีม</t>
  </si>
  <si>
    <t>kaeng_ruer_3.jpg</t>
  </si>
  <si>
    <t>Two long boats racing.</t>
  </si>
  <si>
    <t>Two long boats resting.</t>
  </si>
  <si>
    <t>A long boat being trained.</t>
  </si>
  <si>
    <t>A long boat being led.</t>
  </si>
  <si>
    <t>(A) Two long boats racing. (B) Two long boats resting. (C) A long boat being trained. (D) A long boat being led.</t>
  </si>
  <si>
    <t>The image shows two long boats with their paddlers engaged in a side-by-side competition, which is the key action in a Kaeng Ruer, a traditional Thai boat race.</t>
  </si>
  <si>
    <t>(A) เรือยาวสองลำกำลังแข่งกัน (B) เรือยาวสองลำกำลังจอดพัก (C) เรือยาวที่กำลังฝึกหัด (D) เรือยาวที่ถูกนำพา</t>
  </si>
  <si>
    <t>What is the purpose of the person at the back of the boat?</t>
  </si>
  <si>
    <t>To entertain the crowd.</t>
  </si>
  <si>
    <t>To keep time and synchronize the paddlers' strokes.</t>
  </si>
  <si>
    <t>To signal the start of the race.</t>
  </si>
  <si>
    <t>To steer the boat.</t>
  </si>
  <si>
    <t>(A) To entertain the crowd. (B) To keep time and synchronize the paddlers' strokes. (C) To signal the start of the race. (D) To steer the boat.</t>
  </si>
  <si>
    <t>The person at the back of the boat is using a long pole to steer the boat, which is a crucial role in a race to ensure the boat stays on course.</t>
  </si>
  <si>
    <t>(A) เพื่อสร้างความบันเทิงให้กับฝูงชน (B) เพื่อรักษาเวลาและจังหวะการพายของนักพายให้ตรงกัน (C) เพื่อเป็นสัญญาณเริ่มต้นการแข่งขัน (D) การบังคับเรือ</t>
  </si>
  <si>
    <t>The flags on the shore are a notable feature. What do they represent?</t>
  </si>
  <si>
    <t>They are a sign of a festival.</t>
  </si>
  <si>
    <t>They are the flags of different countries.</t>
  </si>
  <si>
    <t>They are flags for the race officials.</t>
  </si>
  <si>
    <t>They mark the race course and finish line.</t>
  </si>
  <si>
    <t>(A) They are a sign of a festival. (B) They are the flags of different countries. (C) They are flags for the race officials. (D) They mark the race course and finish line.</t>
  </si>
  <si>
    <t>The flags on the poles along the shoreline represent different countries, suggesting that the event is an international competition.</t>
  </si>
  <si>
    <t>(A) พวกเขาเป็นสัญลักษณ์ของเทศกาล (B) พวกมันเป็นธงของประเทศต่างๆ (C) พวกนั้นเป็นธงสำหรับเจ้าหน้าที่การแข่งขัน (D) พวกเขาทำเครื่องหมายเส้นทางการแข่งขันและเส้นชัย</t>
  </si>
  <si>
    <t>The teams' intense expressions and the side-by-side competition create a tense and focused atmosphere, which is characteristic of a high-stakes race.</t>
  </si>
  <si>
    <t>kaeng_ruer_4.jpg</t>
  </si>
  <si>
    <t>What is the main action shown in the image?</t>
  </si>
  <si>
    <t>Paddles being held above the water.</t>
  </si>
  <si>
    <t>Paddles are being used to steer the boat.</t>
  </si>
  <si>
    <t>The synchronized entry of paddles into the water.</t>
  </si>
  <si>
    <t>The paddles are being used as a brake.</t>
  </si>
  <si>
    <t>(A) Paddles being held above the water. (B) Paddles are being used to steer the boat. (C) The synchronized entry of paddles into the water. (D) The paddles are being used as a brake.</t>
  </si>
  <si>
    <t>The image captures the moment when multiple paddlers' paddles simultaneously enter the water, which is the key to generating forward momentum.</t>
  </si>
  <si>
    <t>(A) การถือไม้พายไว้เหนือน้ำ (B) มีการใช้ไม้พายในการบังคับเรือ (C) การพายเข้าสู่ผิวน้ำอย่างสอดประสานกัน (D) พายถูกนำมาใช้เป็นเบรก</t>
  </si>
  <si>
    <t>What does the water splashing on the side of the boat signify?</t>
  </si>
  <si>
    <t>The boat is sinking.</t>
  </si>
  <si>
    <t>The boat is moving at high speed.</t>
  </si>
  <si>
    <t>The boat is stationary.</t>
  </si>
  <si>
    <t>The water is choppy.</t>
  </si>
  <si>
    <t>(A) The boat is sinking. (B) The boat is moving at high speed. (C) The boat is stationary. (D) The water is choppy.</t>
  </si>
  <si>
    <t>The visible spray of water on the side of the boat is a visual indicator of the powerful, synchronized strokes propelling the boat forward at a high velocity.</t>
  </si>
  <si>
    <t>(A) เรือกำลังจะจม (B) เรือกำลังเคลื่อนที่ด้วยความเร็วสูง (C) เรือจอดนิ่งอยู่ (D) น้ำมีคลื่นมาก</t>
  </si>
  <si>
    <t>The paddlers are leaning far forward. What is the reason for this posture?</t>
  </si>
  <si>
    <t>To rest their arms.</t>
  </si>
  <si>
    <t>To stretch their backs.</t>
  </si>
  <si>
    <t>To get a deeper, more powerful stroke.</t>
  </si>
  <si>
    <t>To cool themselves down.</t>
  </si>
  <si>
    <t>(A) To rest their arms. (B) To stretch their backs. (C) To get a deeper, more powerful stroke. (D) To cool themselves down.</t>
  </si>
  <si>
    <t>Leaning forward allows the paddlers to reach further, placing their paddles deeper into the water at the beginning of the stroke to generate more force.</t>
  </si>
  <si>
    <t>(A) เพื่อพักแขนของพวกเขา (B) เพื่อยืดหลังของพวกเขา (C) เพื่อให้ได้จังหวะที่ลึกและทรงพลังยิ่งขึ้น (D) เพื่อทำให้ตนเองเย็นลง</t>
  </si>
  <si>
    <t>What is the purpose of the paddlers' uniforms?</t>
  </si>
  <si>
    <t>To make them look professional.</t>
  </si>
  <si>
    <t>To keep them warm.</t>
  </si>
  <si>
    <t>To identify their team.</t>
  </si>
  <si>
    <t>To ensure safety.</t>
  </si>
  <si>
    <t>(A) To make them look professional. (B) To keep them warm. (C) To identify their team. (D) To ensure safety.</t>
  </si>
  <si>
    <t>The paddlers are all wearing matching uniforms, which is the standard way to identify different teams in a competition.</t>
  </si>
  <si>
    <t>(A) เพื่อให้ดูเป็นมืออาชีพ (B) เพื่อให้พวกเขาอบอุ่น (C) เพื่อระบุทีมของพวกเขา (D) เพื่อความปลอดภัย</t>
  </si>
  <si>
    <t>What is the most important element for the team's success, as highlighted in this image?</t>
  </si>
  <si>
    <t>The strength of the individual paddlers.</t>
  </si>
  <si>
    <t>The boat's design.</t>
  </si>
  <si>
    <t>The perfect synchronization of the paddlers.</t>
  </si>
  <si>
    <t>The weather conditions.</t>
  </si>
  <si>
    <t>(A) The strength of the individual paddlers. (B) The boat's design. (C) The perfect synchronization of the paddlers. (D) The weather conditions.</t>
  </si>
  <si>
    <t>The image emphasizes the synchronized paddling of the team, which is the most critical element for generating the force needed to win a race.</t>
  </si>
  <si>
    <t>(A) ความแข็งแกร่งของนักพายเรือแต่ละคน (B) การออกแบบเรือ (C) การประสานกันอย่างลงตัวของนักพาย (D) สภาพอากาศ</t>
  </si>
  <si>
    <t>kaeng_ruer_6.jpg</t>
  </si>
  <si>
    <t>A rowing exhibition.</t>
  </si>
  <si>
    <t>A professional boat race.</t>
  </si>
  <si>
    <t>A recreational boating event.</t>
  </si>
  <si>
    <t>A team-building exercise.</t>
  </si>
  <si>
    <t>(A) A rowing exhibition. (B) A professional boat race. (C) A recreational boating event. (D) A team-building exercise.</t>
  </si>
  <si>
    <t>The image shows a large team in a long boat, with a crowd of spectators in the background, suggesting a formal and organized boat race.</t>
  </si>
  <si>
    <t>(A) นิทรรศการกีฬาพายเรือ (B) การแข่งขันเรือยาวแบบมืออาชีพ (C) กิจกรรมล่องเรือพักผ่อน (D) แบบฝึกหัดสร้างทีม</t>
  </si>
  <si>
    <t>What is the role of the person at the very front of the boat, standing up?</t>
  </si>
  <si>
    <t>The coach.</t>
  </si>
  <si>
    <t>The steersperson.</t>
  </si>
  <si>
    <t>The team captain.</t>
  </si>
  <si>
    <t>The lead paddler.</t>
  </si>
  <si>
    <t>(A) The coach. (B) The steersperson. (C) The team captain. (D) The lead paddler.</t>
  </si>
  <si>
    <t>The person at the front of the boat, standing up, is often the team captain, who motivates and directs the team.</t>
  </si>
  <si>
    <t>(A) โค้ช (B) นายท้ายเรือ (C) กัปตันทีม (D) นักพายคนนำ</t>
  </si>
  <si>
    <t>What is a notable feature of the boat's design?</t>
  </si>
  <si>
    <t>It is very long and narrow.</t>
  </si>
  <si>
    <t>It is very wide and short.</t>
  </si>
  <si>
    <t>It is a modern boat.</t>
  </si>
  <si>
    <t>It is a fishing boat.</t>
  </si>
  <si>
    <t>(A) It is very long and narrow. (B) It is very wide and short. (C) It is a modern boat. (D) It is a fishing boat.</t>
  </si>
  <si>
    <t>The boat is a traditional long-tailed boat, which is very long and narrow, designed for speed.</t>
  </si>
  <si>
    <t>(A) มันยาวและแคบมาก (B) มันกว้างและสั้นมาก (C) มันเป็นเรือสมัยใหม่ (D) มันเป็นเรือประมง.</t>
  </si>
  <si>
    <t>What does the large crowd of spectators suggest about the event?</t>
  </si>
  <si>
    <t>It is a small, informal gathering.</t>
  </si>
  <si>
    <t>It is a major, well-attended sports competition.</t>
  </si>
  <si>
    <t>It is a military training exercise.</t>
  </si>
  <si>
    <t>It is a casual practice session.</t>
  </si>
  <si>
    <t>(A) It is a small, informal gathering. (B) It is a major, well-attended sports competition. (C) It is a military training exercise. (D) It is a casual practice session.</t>
  </si>
  <si>
    <t>The large number of people on the shoreline, along with the banners and flags, indicates that this is a large-scale, formal sports competition.</t>
  </si>
  <si>
    <t>(A) เป็นการรวมตัวเล็กๆ แบบไม่เป็นทางการ (B) เป็นการแข่งขันกีฬาที่สำคัญและมีผู้เข้าร่วมเป็นจำนวนมาก (C) เป็นการฝึกปฏิบัติการทางทหาร (D) เป็นการฝึกซ้อมแบบสบายๆ</t>
  </si>
  <si>
    <t>The paddlers are in a very low squat. What is the reason for this posture?</t>
  </si>
  <si>
    <t>To rest.</t>
  </si>
  <si>
    <t>To avoid the wind.</t>
  </si>
  <si>
    <t>(A) To rest. (B) To get a deeper, more powerful stroke. (C) To avoid the wind. (D) To steer the boat.</t>
  </si>
  <si>
    <t>The low, squatting posture allows the paddlers to engage their entire body, particularly their legs and core, to generate powerful, explosive strokes.</t>
  </si>
  <si>
    <t>(A) เพื่อพักผ่อน (B) เพื่อให้ได้จังหวะที่ลึกและทรงพลังยิ่งขึ้น (C) เพื่อหลีกเลี่ยงลม (D) การบังคับเรือ</t>
  </si>
  <si>
    <t>kaeng_ruer_7.jpg</t>
  </si>
  <si>
    <t>A rowing competition.</t>
  </si>
  <si>
    <t>A fishing trip.</t>
  </si>
  <si>
    <t>A canoe race.</t>
  </si>
  <si>
    <t>(A) A rowing competition. (B) A fishing trip. (C) A canoe race. (D) A Kaeng Ruer (boat race)</t>
  </si>
  <si>
    <t>The image shows multiple long boats with large teams of paddlers, which is characteristic of a Kaeng Ruer, a traditional Thai boat race.</t>
  </si>
  <si>
    <t>(A) การแข่งขันพายเรือ (B) ทริปตกปลา (C) การแข่งขันเรือแคนู (D) แก่งเรือ</t>
  </si>
  <si>
    <t>What is the purpose of the person in the black shirt and black pants?</t>
  </si>
  <si>
    <t>The person in the black shirt and black pants is at the back of the boat, using a long pole to steer the boat, which is a crucial role in a race to ensure the boat stays on course.</t>
  </si>
  <si>
    <t>Casual clothing.</t>
  </si>
  <si>
    <t>Formal uniforms.</t>
  </si>
  <si>
    <t>Life jackets and sports jerseys.</t>
  </si>
  <si>
    <t>Wetsuits.</t>
  </si>
  <si>
    <t>(A) Casual clothing. (B) Formal uniforms. (C) Life jackets and sports jerseys. (D) Wetsuits.</t>
  </si>
  <si>
    <t>(A) เสื้อผ้าลำลอง (B) ชุดยูนิฟอร์มทางการ (C) เสื้อชูชีพ และ เสื้อกีฬา (D) ชุดดำน้ำ</t>
  </si>
  <si>
    <t>kaeng_ruer_14.jpg</t>
  </si>
  <si>
    <t>A dragon boat race.</t>
  </si>
  <si>
    <t>(A) A rowing competition. (B) A fishing trip. (C) A canoe race. (D) A dragon boat race.</t>
  </si>
  <si>
    <t>The image shows multiple boats with dragon-head prows and large teams of paddlers, which are all characteristics of a dragon boat race.</t>
  </si>
  <si>
    <t>(A) การแข่งขันพายเรือ (B) ทริปตกปลา (C) การแข่งขันเรือแคนู (D) การแข่งขันเรือมังกร</t>
  </si>
  <si>
    <t>What is the purpose of the person beating the large drum in the boat?</t>
  </si>
  <si>
    <t>The drummer's primary role is to set a steady rhythm for the paddlers, ensuring that the entire team's strokes are synchronized for maximum speed and efficiency.</t>
  </si>
  <si>
    <t>kaeng_ruer_15.jpg</t>
  </si>
  <si>
    <t>A competitive boat race.</t>
  </si>
  <si>
    <t>A practice session for a race.</t>
  </si>
  <si>
    <t>A recreational boating trip.</t>
  </si>
  <si>
    <t>A river parade.</t>
  </si>
  <si>
    <t>(A) A competitive boat race. (B) A practice session for a race. (C) A recreational boating trip. (D) A river parade.</t>
  </si>
  <si>
    <t>The image shows multiple teams in their boats, with officials and banners, suggesting a large-scale, formal boat race.</t>
  </si>
  <si>
    <t>(A) การแข่งขันเรือยาว (B) การฝึกซ้อมก่อนการแข่งขัน (C) ทริปล่องเรือพักผ่อน (D) ขบวนแห่ริมแม่น้ำ</t>
  </si>
  <si>
    <t>What is a notable feature of the paddlers' attire?</t>
  </si>
  <si>
    <t>They are wearing a military uniform.</t>
  </si>
  <si>
    <t>They are wearing traditional robes.</t>
  </si>
  <si>
    <t>They are wearing life jackets of different colors.</t>
  </si>
  <si>
    <t>They are wearing sports jerseys and life jackets.</t>
  </si>
  <si>
    <t>(A) They are wearing a military uniform. (B) They are wearing traditional robes. (C) They are wearing life jackets of different colors. (D) They are wearing sports jerseys and life jackets.</t>
  </si>
  <si>
    <t>The paddlers are wearing brightly colored sports jerseys and life jackets, which are worn for safety and team identification.</t>
  </si>
  <si>
    <t>(A) พวกเขาสวมเครื่องแบบทหาร (B) พวกเขากำลังสวมชุดคลุมแบบดั้งเดิม (C) พวกเขากำลังสวมเสื้อชูชีพหลากสี (D) พวกเขาสวมเสื้อกีฬาและเสื้อชูชีพ</t>
  </si>
  <si>
    <t>They are all identical in color.</t>
  </si>
  <si>
    <t>They are all painted with a dragon pattern.</t>
  </si>
  <si>
    <t>They are all of a different size.</t>
  </si>
  <si>
    <t>They have simplified, different-colored heads.</t>
  </si>
  <si>
    <t>(A) They are all identical in color. (B) They are all painted with a dragon pattern. (C) They are all of a different size. (D) They have simplified, different-colored heads.</t>
  </si>
  <si>
    <t>The boats have simplified, single-colored heads instead of the elaborate, traditional dragon heads, which is common in modern, professional racing boats.</t>
  </si>
  <si>
    <t>(A) พวกมันมีสีเหมือนกันหมด (B) มีการวาดลวดลายมังกรไว้ทั้งหมด (C) มันมีขนาดที่แตกต่างกันออกไป (D) พวกมันมีหัวที่เรียบง่ายและมีสีต่างกัน</t>
  </si>
  <si>
    <t>kaeng_ruer_18.jpg</t>
  </si>
  <si>
    <t>A boat is sinking.</t>
  </si>
  <si>
    <t>A boat is stuck in the ice.</t>
  </si>
  <si>
    <t>A boat is being rescued.</t>
  </si>
  <si>
    <t>A team is competing in a winter boat race.</t>
  </si>
  <si>
    <t>(A) A boat is sinking. (B) A boat is stuck in the ice. (C) A boat is being rescued. (D) A team is competing in a winter boat race.</t>
  </si>
  <si>
    <t>The image shows a team in a boat on a frozen river, which is a very unique type of a winter boat race.</t>
  </si>
  <si>
    <t>(A) เรือลำหนึ่งกำลังจะจม (B) เรือลำหนึ่งติดอยู่ในน้ำแข็ง (C) เรือลำหนึ่งกำลังได้รับการช่วยเหลือ (D) ทีมหนึ่งกำลังแข่งขันเรือในฤดูหนาว</t>
  </si>
  <si>
    <t>What is a notable feature of the environment in the image?</t>
  </si>
  <si>
    <t>The water is very calm.</t>
  </si>
  <si>
    <t>The water is very choppy.</t>
  </si>
  <si>
    <t>The water is frozen with ice.</t>
  </si>
  <si>
    <t>The water is very clear.</t>
  </si>
  <si>
    <t>(A) The water is very calm. (B) The water is very choppy. (C) The water is frozen with ice. (D) The water is very clear.</t>
  </si>
  <si>
    <t>The water in the image is covered with a thick layer of ice, which is a clear indication that the race is taking place in a very cold environment.</t>
  </si>
  <si>
    <t>(A) น้ำนิ่งมาก (B) น้ำค่อนข้างจะขุ่นมาก (C) น้ำถูกแช่แข็งด้วยน้ำแข็ง (D) น้ำก็ใสมาก</t>
  </si>
  <si>
    <t>The paddlers are wearing what type of clothing?</t>
  </si>
  <si>
    <t>Wetsuits and life jackets.</t>
  </si>
  <si>
    <t>Life jackets and winter hats.</t>
  </si>
  <si>
    <t>Wetsuits and winter hats.</t>
  </si>
  <si>
    <t>(A) Life jackets and sports jerseys. (B) Wetsuits and life jackets. (C) Life jackets and winter hats. (D) Wetsuits and winter hats.</t>
  </si>
  <si>
    <t>The paddlers are wearing wetsuits and winter hats, which are worn to keep them warm and safe in the cold water.</t>
  </si>
  <si>
    <t>(A) เสื้อชูชีพ และ เสื้อกีฬา (B) ชุดดำน้ำและเสื้อชูชีพ (C) เสื้อชูชีพและหมวกกันหนาว (D) ชุดดำน้ำและหมวกฤดูหนาว</t>
  </si>
  <si>
    <t>What is the purpose of the boat's design?</t>
  </si>
  <si>
    <t>To be a very fast boat.</t>
  </si>
  <si>
    <t>To be a very stable boat.</t>
  </si>
  <si>
    <t>To be a very light boat.</t>
  </si>
  <si>
    <t>To be a very heavy boat.</t>
  </si>
  <si>
    <t>(A) To be a very fast boat. (B) To be a very stable boat. (C) To be a very light boat. (D) To be a very heavy boat.</t>
  </si>
  <si>
    <t>The boat is a very stable and heavy boat, which is designed to withstand the harsh conditions of a winter boat race.</t>
  </si>
  <si>
    <t>(A) จะเป็นเรือที่เร็วมาก (B) จะเป็นเรือที่มั่นคงมาก (C) จะเป็นเรือที่เบามาก (D) เป็นเรือที่หนักมาก</t>
  </si>
  <si>
    <t>The paddlers' focused expressions, the harsh environment, and the difficulty of the race all create a serious and tense atmosphere.</t>
  </si>
  <si>
    <t>kaeng_ruer_19.jpg</t>
  </si>
  <si>
    <t>A competitive rowing race.</t>
  </si>
  <si>
    <t>A recreational canoeing trip.</t>
  </si>
  <si>
    <t>A kayaking race.</t>
  </si>
  <si>
    <t>(A) A competitive rowing race. (B) A recreational canoeing trip. (C) A kayaking race. (D) A dragon boat race.</t>
  </si>
  <si>
    <t>The image shows a long, narrow boat with a team of rowers, who are using sculling oars, which is characteristic of a competitive rowing race.</t>
  </si>
  <si>
    <t>(A) การแข่งขันพายเรือแบบแข่งขัน (B) ทริปพายเรือแคนูพักผ่อนหย่อนใจ (C) การแข่งขันเรือคายัค (D) การแข่งขันเรือมังกร</t>
  </si>
  <si>
    <t>What is a notable difference between this event and a traditional Kaeng Ruer?</t>
  </si>
  <si>
    <t>The boats are much longer.</t>
  </si>
  <si>
    <t>The boats are much shorter.</t>
  </si>
  <si>
    <t>The boats are much lighter and faster.</t>
  </si>
  <si>
    <t>The boats are much heavier and slower.</t>
  </si>
  <si>
    <t>(A) The boats are much longer. (B) The boats are much shorter. (C) The boats are much lighter and faster. (D) The boats are much heavier and slower.</t>
  </si>
  <si>
    <t>This type of boat, known as a sculling boat, is designed to be very light and fast, which is a major difference from the heavy, traditional Kaeng Ruer boats.</t>
  </si>
  <si>
    <t>(A) เรือก็ยาวมากขึ้น (B) เรือจะสั้นลงมาก (C) เรือมีน้ำหนักเบากว่ามากและเร็วกว่ามาก (D) เรือจะหนักและช้ากว่ามาก</t>
  </si>
  <si>
    <t>The paddlers are using a different type of paddle. What is it called?</t>
  </si>
  <si>
    <t>A paddle.</t>
  </si>
  <si>
    <t>An oar.</t>
  </si>
  <si>
    <t>A sculling oar.</t>
  </si>
  <si>
    <t>A rowing oar.</t>
  </si>
  <si>
    <t>(A) A paddle. (B) An oar. (C) A sculling oar. (D) A rowing oar.</t>
  </si>
  <si>
    <t>The paddlers are using a specialized type of oar, known as a sculling oar, which is designed to be very light and efficient.</t>
  </si>
  <si>
    <t>(A) ไม้พาย (B) ไม้พาย (C) ไม้พายแบบกรรเชียง (D) ไม้พาย</t>
  </si>
  <si>
    <t>The paddlers are all facing the same direction. What is the reason for this?</t>
  </si>
  <si>
    <t>To keep the boat balanced.</t>
  </si>
  <si>
    <t>To row faster.</t>
  </si>
  <si>
    <t>To row in a straight line.</t>
  </si>
  <si>
    <t>To get a better view.</t>
  </si>
  <si>
    <t>(A) To keep the boat balanced. (B) To row faster. (C) To row in a straight line. (D) To get a better view.</t>
  </si>
  <si>
    <t>The paddlers are all facing the same direction, which is characteristic of a competitive rowing race, to ensure that they are all rowing in a straight line.</t>
  </si>
  <si>
    <t>(A) เพื่อรักษาสมดุลของเรือ (B) เพื่อให้พายได้เร็วขึ้น (C) การพายเรือเป็นเส้นตรง (D) เพื่อให้มองเห็นได้ชัดเจนยิ่งขึ้น</t>
  </si>
  <si>
    <t>The paddlers' focused expressions, the speed of the boat, and the splashing water all create a tense and focused atmosphere.</t>
  </si>
  <si>
    <t>kaeng_ruer_25.jpg</t>
  </si>
  <si>
    <t>The image shows a group of people in canoes, with numbers on their shirts and paddles in their hands, which is characteristic of a competitive rowing race.</t>
  </si>
  <si>
    <t>The boats are canoes, which are much shorter and lighter than the long, traditional Kaeng Ruer boats.</t>
  </si>
  <si>
    <t>Casual clothing and life jackets.</t>
  </si>
  <si>
    <t>(A) Life jackets and sports jerseys. (B) Wetsuits and life jackets. (C) Life jackets and winter hats. (D) Casual clothing and life jackets.</t>
  </si>
  <si>
    <t>The paddlers are wearing casual clothing and life jackets, which is a sign that the event is a more relaxed and informal one.</t>
  </si>
  <si>
    <t>(A) เสื้อชูชีพ และ เสื้อกีฬา (B) ชุดดำน้ำและเสื้อชูชีพ (C) เสื้อชูชีพและหมวกกันหนาว (D) เสื้อผ้าลำลองและเสื้อชูชีพ</t>
  </si>
  <si>
    <t>The paddlers have numbers on their shirts. What does this suggest?</t>
  </si>
  <si>
    <t>They are a team.</t>
  </si>
  <si>
    <t>They are individuals competing against each other.</t>
  </si>
  <si>
    <t>(A) They are a team. (B) They are individuals competing against each other. (C) They are judges. (D) They are spectators.</t>
  </si>
  <si>
    <t>The numbers on the paddlers' shirts indicate that they are individuals competing against each other, not a team.</t>
  </si>
  <si>
    <t>(A) พวกเขาเป็นทีมเดียวกัน (B) พวกเขาเป็นบุคคลที่กำลังแข่งขันกัน (C) พวกเขาเป็นผู้พิพากษา (D) พวกเขาเป็นผู้ชม</t>
  </si>
  <si>
    <t>The paddlers' focused expressions, the splashing water, and the side-by-side competition all create a tense and focused atmosphere.</t>
  </si>
  <si>
    <t>kaeng_ruer_39.jpg</t>
  </si>
  <si>
    <t>A river rafting trip.</t>
  </si>
  <si>
    <t>(A) A competitive boat race. (B) A river rafting trip. (C) A fishing trip. (D) A rowing competition.</t>
  </si>
  <si>
    <t>The image shows a group of people in an inflatable raft, wearing helmets and life jackets, which is a clear indication that they are on a river rafting trip.</t>
  </si>
  <si>
    <t>(A) การแข่งขันเรือยาว (B) ทริปล่องแพแม่น้ำ (C) ทริปตกปลา (D) การแข่งขันพายเรือ</t>
  </si>
  <si>
    <t>The boats are inflatable rafts, which are designed for stability and safety, not for speed, which is a major difference from the long, fast Kaeng Ruer boats.</t>
  </si>
  <si>
    <t>What is the purpose of the helmets and life jackets?</t>
  </si>
  <si>
    <t>To make the paddlers look professional.</t>
  </si>
  <si>
    <t>To keep the paddlers warm.</t>
  </si>
  <si>
    <t>To ensure the safety of the participants.</t>
  </si>
  <si>
    <t>To identify the team.</t>
  </si>
  <si>
    <t>(A) To make the paddlers look professional. (B) To keep the paddlers warm. (C) To ensure the safety of the participants. (D) To identify the team.</t>
  </si>
  <si>
    <t>Helmets and life jackets are mandatory safety equipment for river rafting, as they protect the participants from serious injuries in case of a collision or a capsize.</t>
  </si>
  <si>
    <t>(A) เพื่อให้ผู้พายเรือดูเป็นมืออาชีพ (B) เพื่อให้ผู้พายเรือรู้สึกอบอุ่น (C) เพื่อความปลอดภัยของผู้เข้าร่วมงาน (D) เพื่อระบุทีม</t>
  </si>
  <si>
    <t>The paddlers are in what type of environment?</t>
  </si>
  <si>
    <t>A calm, open lake.</t>
  </si>
  <si>
    <t>A fast-flowing river with rapids.</t>
  </si>
  <si>
    <t>A slow-moving river.</t>
  </si>
  <si>
    <t>A man-made canal.</t>
  </si>
  <si>
    <t>(A) A calm, open lake. (B) A fast-flowing river with rapids. (C) A slow-moving river. (D) A man-made canal.</t>
  </si>
  <si>
    <t>The white, choppy water and the splashes around the boat indicate that the paddlers are in a fast-flowing river with rapids.</t>
  </si>
  <si>
    <t>(A) ทะเลสาบที่เงียบสงบและเปิดกว้าง (B) แม่น้ำที่มีกระแสน้ำเชี่ยวและมีแก่งน้ำมาก (C) แม่น้ำที่ไหลช้าๆ (D) คลองที่มนุษย์สร้างขึ้น</t>
  </si>
  <si>
    <t>The paddlers' focused expressions, the fast-flowing water, and the splashes around the boat all create a tense and focused atmosphere.</t>
  </si>
  <si>
    <t>kaeng_ruer_42.jpg</t>
  </si>
  <si>
    <t>What is a key to winning a boat race?</t>
  </si>
  <si>
    <t>kaeng_ruer_56.jpg</t>
  </si>
  <si>
    <t>The image shows a long boat with a team of paddlers, and a man at the front of the boat, which is a clear indication of a competitive boat race.</t>
  </si>
  <si>
    <t>What is the role of the person at the very front of the boat?</t>
  </si>
  <si>
    <t>What is the purpose of the person hanging from the pole?</t>
  </si>
  <si>
    <t>To add weight to the boat.</t>
  </si>
  <si>
    <t>To perform a ceremonial task.</t>
  </si>
  <si>
    <t>To show off his skills.</t>
  </si>
  <si>
    <t>To cool himself down.</t>
  </si>
  <si>
    <t>(A) To add weight to the boat. (B) To perform a ceremonial task. (C) To show off his skills. (D) To cool himself down.</t>
  </si>
  <si>
    <t>The person hanging from the pole is performing a ceremonial task, which is a unique and traditional part of the event.</t>
  </si>
  <si>
    <t>(A) เพื่อเพิ่มน้ำหนักให้กับเรือ (B) เพื่อประกอบพิธีการ (C) เพื่อแสดงความสามารถของตัวเอง (D) เพื่อทำให้ตัวเองเย็นลง</t>
  </si>
  <si>
    <t>The large crowd of spectators, the festive banners, and the unique ceremonial task all create a celebratory and festive atmosphere.</t>
  </si>
  <si>
    <t>kaeng_ruer_59.jpg</t>
  </si>
  <si>
    <t>kaeng_ruer_64.jpg</t>
  </si>
  <si>
    <t>An outrigger canoe race.</t>
  </si>
  <si>
    <t>(A) A competitive rowing race. (B) A recreational canoeing trip. (C) A kayaking race. (D) An outrigger canoe race.</t>
  </si>
  <si>
    <t>The image shows a team in a long, narrow boat with an outrigger, which is characteristic of an outrigger canoe race.</t>
  </si>
  <si>
    <t>(A) การแข่งขันพายเรือแบบแข่งขัน (B) ทริปพายเรือแคนูพักผ่อนหย่อนใจ (C) การแข่งขันเรือคายัค (D) การแข่งขันเรือแคนูแบบเอาท์ริกเกอร์</t>
  </si>
  <si>
    <t>The boats have a large, lateral support system.</t>
  </si>
  <si>
    <t>(A) The boats are much longer. (B) The boats are much shorter. (C) The boats have a large, lateral support system. (D) The boats are much heavier and slower.</t>
  </si>
  <si>
    <t>The boats have a large, lateral support system called an outrigger, which is used to stabilize the boat and prevent it from capsizing.</t>
  </si>
  <si>
    <t>(A) เรือก็ยาวมากขึ้น (B) เรือจะสั้นลงมาก (C) เรือมีระบบรองรับด้านข้างขนาดใหญ่ (D) เรือจะหนักและช้ากว่ามาก</t>
  </si>
  <si>
    <t>A dragon boat paddle.</t>
  </si>
  <si>
    <t>(A) A paddle. (B) An oar. (C) A sculling oar. (D) A dragon boat paddle.</t>
  </si>
  <si>
    <t>The paddlers are using a specialized type of paddle, known as a dragon boat paddle, which is designed to be very light and efficient.</t>
  </si>
  <si>
    <t>(A) ไม้พาย (B) ไม้พาย (C) ไม้พายแบบกรรเชียง (D) พายเรือมังกร</t>
  </si>
  <si>
    <t>To paddle faster.</t>
  </si>
  <si>
    <t>To paddle in a straight line.</t>
  </si>
  <si>
    <t>(A) To keep the boat balanced. (B) To paddle faster. (C) To paddle in a straight line. (D) To get a better view.</t>
  </si>
  <si>
    <t>The paddlers are all facing the same direction, which is characteristic of a competitive rowing race, to ensure that they are all paddling in a straight line.</t>
  </si>
  <si>
    <t>(A) เพื่อรักษาสมดุลของเรือ (B) เพื่อให้พายได้เร็วขึ้น (C) การพายให้เป็นเส้นตรง (D) เพื่อให้มองเห็นได้ชัดเจนยิ่งขึ้น</t>
  </si>
  <si>
    <t>kaeng_ruer_69.jpg</t>
  </si>
  <si>
    <t>len_wow_1.jpg</t>
  </si>
  <si>
    <t>What is the kite in the image called?</t>
  </si>
  <si>
    <t>A traditional Thai kite</t>
  </si>
  <si>
    <t>A stunt kite</t>
  </si>
  <si>
    <t>A modern geometric kite</t>
  </si>
  <si>
    <t>A box kite</t>
  </si>
  <si>
    <t>The kite is made of multiple geometric shapes, which are a characteristic of a modern geometric kite, not a traditional Thai kite.</t>
  </si>
  <si>
    <t>What is a notable feature of the kite?</t>
  </si>
  <si>
    <t>It is very small and light.</t>
  </si>
  <si>
    <t>It is a very large and complex kite.</t>
  </si>
  <si>
    <t>It is a very simple kite.</t>
  </si>
  <si>
    <t>It is a single-string kite.</t>
  </si>
  <si>
    <t>(A) It is very small and light. (B) It is a very large and complex kite. (C) It is a very simple kite. (D) It is a single-string kite.</t>
  </si>
  <si>
    <t>The kite is made of multiple geometric shapes and is very large and complex, which requires a high level of skill to fly.</t>
  </si>
  <si>
    <t>(A) มันเล็กและเบามาก (B) มันเป็นว่าวที่มีขนาดใหญ่และซับซ้อนมาก (C) มันเป็นว่าวที่เรียบง่ายมาก (D) มันคือว่าวสายเดี่ยว</t>
  </si>
  <si>
    <t>What is the purpose of the two strings on the kite?</t>
  </si>
  <si>
    <t>To make the kite more stable.</t>
  </si>
  <si>
    <t>To make the kite fly higher.</t>
  </si>
  <si>
    <t>To make the kite spin.</t>
  </si>
  <si>
    <t>To make the kite more controllable.</t>
  </si>
  <si>
    <t>(A) To make the kite more stable. (B) To make the kite fly higher. (C) To make the kite spin. (D) To make the kite more controllable.</t>
  </si>
  <si>
    <t>The kite has two strings, which is a key feature of a stunt kite, allowing the flyer to control its movement and perform tricks.</t>
  </si>
  <si>
    <t>(A) เพื่อให้ว่าวมีเสถียรภาพมากขึ้น (B) เพื่อให้ว่าวบินสูงขึ้น (C) เพื่อทำให้ว่าวหมุน (D) เพื่อให้สามารถควบคุมว่าวได้ดียิ่งขึ้น</t>
  </si>
  <si>
    <t>What is the purpose of the white lines in the sky?</t>
  </si>
  <si>
    <t>They are clouds.</t>
  </si>
  <si>
    <t>They are contrails from airplanes.</t>
  </si>
  <si>
    <t>They are threads from the kite.</t>
  </si>
  <si>
    <t>They are a sign of wind.</t>
  </si>
  <si>
    <t>(A) They are clouds. (B) They are contrails from airplanes. (C) They are threads from the kite. (D) They are a sign of wind.</t>
  </si>
  <si>
    <t>The white lines in the sky are contrails, which are long, thin clouds that are formed by the exhaust of jet engines.</t>
  </si>
  <si>
    <t>(A) พวกมันคือเมฆ (B) มันคือร่องรอยของควันจากเครื่องบิน (C) มันเป็นเส้นด้ายจากว่าว (D) พวกมันเป็นสัญลักษณ์ของลม</t>
  </si>
  <si>
    <t>What can be inferred about the weather from the image?</t>
  </si>
  <si>
    <t>It is a very windy day.</t>
  </si>
  <si>
    <t>It is a very calm day.</t>
  </si>
  <si>
    <t>It is a very cloudy day.</t>
  </si>
  <si>
    <t>It is a very rainy day.</t>
  </si>
  <si>
    <t>(A) It is a very windy day. (B) It is a very calm day. (C) It is a very cloudy day. (D) It is a very rainy day.</t>
  </si>
  <si>
    <t>The kite is flying high in the sky, and the contrails are very long, which suggests that it is a very windy day.</t>
  </si>
  <si>
    <t>(A) วันนี้เป็นวันที่มีลมแรงมาก (B) เป็นวันที่เงียบสงบมาก (C) วันนี้เป็นวันที่มีเมฆมาก (D) เป็นวันที่ฝนตกหนักมาก</t>
  </si>
  <si>
    <t>len_wow_2.jpg</t>
  </si>
  <si>
    <t>Two men are running.</t>
  </si>
  <si>
    <t>Two men are playing with a kite.</t>
  </si>
  <si>
    <t>Two men are fighting.</t>
  </si>
  <si>
    <t>Two men are dancing.</t>
  </si>
  <si>
    <t>(A) Two men are running. (B) Two men are playing with a kite. (C) Two men are fighting. (D) Two men are dancing.</t>
  </si>
  <si>
    <t>The image shows two men holding and running with a large kite, with many other kites flying in the background, which is a clear indication that they are playing with a kite.</t>
  </si>
  <si>
    <t>(A) มีชายสองคนกำลังวิ่ง (B) ชายสองคนกำลังเล่นว่าว (C) มีชายสองคนกำลังต่อสู้กัน (D) มีผู้ชายสองคนกำลังเต้นรำ</t>
  </si>
  <si>
    <t>The people are running with the kite. What is the purpose of this?</t>
  </si>
  <si>
    <t>To make the kite fly faster.</t>
  </si>
  <si>
    <t>To make the kite launch into the air.</t>
  </si>
  <si>
    <t>(A) To make the kite fly higher. (B) To make the kite spin. (C) To make the kite fly faster. (D) To make the kite launch into the air.</t>
  </si>
  <si>
    <t>Running with the kite creates the initial lift needed to get the kite off the ground and into the air.</t>
  </si>
  <si>
    <t>(A) เพื่อให้ว่าวบินสูงขึ้น (B) เพื่อทำให้ว่าวหมุน (C) เพื่อให้ว่าวบินได้เร็วขึ้น (D) เพื่อทำให้ว่าวลอยขึ้นสู่อากาศ</t>
  </si>
  <si>
    <t>The weather is a key element of this sport. What can be inferred about it from the image?</t>
  </si>
  <si>
    <t>The kite is flying high in the sky, and the clouds are moving very fast, which suggests that it is a very windy day.</t>
  </si>
  <si>
    <t>A tense, quiet atmosphere.</t>
  </si>
  <si>
    <t>A playful, energetic atmosphere.</t>
  </si>
  <si>
    <t>(A) A tense, quiet atmosphere. (B) A playful, energetic atmosphere. (C) A celebratory and festive one. (D) A casual and relaxed one.</t>
  </si>
  <si>
    <t>The people are smiling, and running with the kite, which suggests a playful and energetic atmosphere.</t>
  </si>
  <si>
    <t>(A) บรรยากาศตึงเครียดและเงียบสงบ (B) บรรยากาศสนุกสนาน มีชีวิตชีวา (C) แบบเฉลิมฉลองและรื่นเริง (D) แบบสบายๆ และผ่อนคลาย</t>
  </si>
  <si>
    <t>len_wow_7.jpg</t>
  </si>
  <si>
    <t>Two girls are running.</t>
  </si>
  <si>
    <t>Two girls are playing with a kite.</t>
  </si>
  <si>
    <t>Two girls are fighting.</t>
  </si>
  <si>
    <t>Two girls are dancing.</t>
  </si>
  <si>
    <t>(A) Two girls are running. (B) Two girls are playing with a kite. (C) Two girls are fighting. (D) Two girls are dancing.</t>
  </si>
  <si>
    <t>The image shows two girls, with one of them holding a kite and another girl holding a hula hoop, which is a clear indication that they are playing with a kite.</t>
  </si>
  <si>
    <t>(A) เด็กผู้หญิงสองคนกำลังวิ่ง (B) เด็กผู้หญิงสองคนกำลังเล่นว่าว (C) เด็กผู้หญิงสองคนกำลังต่อสู้กัน (D) เด็กผู้หญิงสองคนกำลังเต้นรำ</t>
  </si>
  <si>
    <t>The people are playing with the kite in a park. What does this suggest?</t>
  </si>
  <si>
    <t>It is an educational tool.</t>
  </si>
  <si>
    <t>It is a competitive sport.</t>
  </si>
  <si>
    <t>It is a fun pastime for children.</t>
  </si>
  <si>
    <t>It is a formal event.</t>
  </si>
  <si>
    <t>(A) It is an educational tool. (B) It is a competitive sport. (C) It is a fun pastime for children. (D) It is a formal event.</t>
  </si>
  <si>
    <t>The image of two young girls playing with a kite in a park suggests that kite flying is a fun and recreational pastime for children.</t>
  </si>
  <si>
    <t>(A) เป็นเครื่องมือทางการศึกษา (B) มันเป็นกีฬาที่มีการแข่งขัน (C) เป็นกิจกรรมยามว่างที่สนุกสนานสำหรับเด็กๆ (D) เป็นงานที่เป็นทางการ</t>
  </si>
  <si>
    <t>It is very small and simple.</t>
  </si>
  <si>
    <t>(A) It is very small and simple. (B) It is a very large and complex kite. (C) It is a very simple kite. (D) It is a single-string kite.</t>
  </si>
  <si>
    <t>(A) มันเล็กและเรียบง่ายมาก (B) มันเป็นว่าวที่มีขนาดใหญ่และซับซ้อนมาก (C) มันเป็นว่าวที่เรียบง่ายมาก (D) มันคือว่าวสายเดี่ยว</t>
  </si>
  <si>
    <t>The kite is flying high in the sky, which suggests that it is a very windy day.</t>
  </si>
  <si>
    <t>The girls are smiling and playing with the kite, which suggests a playful and energetic atmosphere.</t>
  </si>
  <si>
    <t>len_wow_8.jpg</t>
  </si>
  <si>
    <t>A man is watching a kite.</t>
  </si>
  <si>
    <t>A man is flying a kite.</t>
  </si>
  <si>
    <t>A man is running.</t>
  </si>
  <si>
    <t>A man is standing.</t>
  </si>
  <si>
    <t>(A) A man is watching a kite. (B) A man is flying a kite. (C) A man is running. (D) A man is standing.</t>
  </si>
  <si>
    <t>The image shows a man standing in a field with a very large, unique kite flying in the air, with a long line attached to it, which is a clear indication that he is flying a kite.</t>
  </si>
  <si>
    <t>(A) ชายคนหนึ่งกำลังดูว่าว (B) ชายคนหนึ่งกำลังเล่นว่าว (C) มีผู้ชายคนหนึ่งกำลังวิ่ง (D) มีชายคนหนึ่งยืนอยู่</t>
  </si>
  <si>
    <t>It is a very large and long kite.</t>
  </si>
  <si>
    <t>It is a very small and light kite.</t>
  </si>
  <si>
    <t>It is a very complex kite.</t>
  </si>
  <si>
    <t>(A) It is a very large and long kite. (B) It is a very simple kite. (C) It is a very small and light kite. (D) It is a very complex kite.</t>
  </si>
  <si>
    <t>The kite is a very long, tubular kite, which is a very unique and notable feature.</t>
  </si>
  <si>
    <t>(A) มันเป็นว่าวขนาดใหญ่และยาวมาก (B) มันเป็นว่าวที่เรียบง่ายมาก (C) มันเป็นว่าวขนาดเล็กและเบามาก (D) มันเป็นว่าวที่มีความซับซ้อนมาก</t>
  </si>
  <si>
    <t>The man is standing on a hill with other people. What does this suggest about the event?</t>
  </si>
  <si>
    <t>It is an informal practice.</t>
  </si>
  <si>
    <t>It is a formal kite festival.</t>
  </si>
  <si>
    <t>It is a military exercise.</t>
  </si>
  <si>
    <t>(A) It is an informal practice. (B) It is a formal kite festival. (C) It is a military exercise. (D) It is a private event.</t>
  </si>
  <si>
    <t>The image shows a large crowd of people, which suggests that the event is a formal kite festival.</t>
  </si>
  <si>
    <t>(A) เป็นการปฏิบัติแบบไม่เป็นทางการ (B) เป็นเทศกาลว่าวแบบเป็นทางการ (C) มันเป็นการฝึกทหาร (D) เป็นงานส่วนตัว</t>
  </si>
  <si>
    <t>The kite is flying high in the sky, and the trees are swaying, which suggests that it is a very windy day.</t>
  </si>
  <si>
    <t>The large crowd of people and the unique, colorful kites all create a celebratory and festive atmosphere.</t>
  </si>
  <si>
    <t>len_wow_10.jpg</t>
  </si>
  <si>
    <t>A girl is running.</t>
  </si>
  <si>
    <t>A girl is playing with a kite.</t>
  </si>
  <si>
    <t>A girl is fighting.</t>
  </si>
  <si>
    <t>A girl is dancing.</t>
  </si>
  <si>
    <t>(A) A girl is running. (B) A girl is playing with a kite. (C) A girl is fighting. (D) A girl is dancing.</t>
  </si>
  <si>
    <t>The image shows a girl holding a kite and a kite reel, with a kite flying in the sky, which is a clear indication that she is playing with a kite.</t>
  </si>
  <si>
    <t>(A) มีเด็กผู้หญิงคนหนึ่งกำลังวิ่ง (B) เด็กผู้หญิงคนหนึ่งกำลังเล่นว่าว (C) สาวน้อยกำลังต่อสู้อยู่ (D) มีสาวคนหนึ่งกำลังเต้นรำ</t>
  </si>
  <si>
    <t>The image of a young girl playing with a kite in a park suggests that kite flying is a fun and recreational pastime for children.</t>
  </si>
  <si>
    <t>It is a very small and simple kite.</t>
  </si>
  <si>
    <t>The kite is a very small and simple kite, which is a common feature of a recreational kite.</t>
  </si>
  <si>
    <t>The girl is smiling and playing with the kite, which suggests a playful and energetic atmosphere.</t>
  </si>
  <si>
    <t>len_wow_11.jpg</t>
  </si>
  <si>
    <t>A traditional Thai kite.</t>
  </si>
  <si>
    <t>A stunt kite.</t>
  </si>
  <si>
    <t>A modern geometric kite.</t>
  </si>
  <si>
    <t>A box kite.</t>
  </si>
  <si>
    <t>(A) A traditional Thai kite. (B) A stunt kite. (C) A modern geometric kite. (D) A box kite.</t>
  </si>
  <si>
    <t>(A) ว่าวไทยโบราณ (B) ว่าวผาดโผน (C) ว่าวเรขาคณิตแบบทันสมัย (D) ว่าวกล่อง</t>
  </si>
  <si>
    <t>len_wow_12.jpg</t>
  </si>
  <si>
    <t>A person is flying a kite.</t>
  </si>
  <si>
    <t>A group of people are flying kites.</t>
  </si>
  <si>
    <t>A kite festival.</t>
  </si>
  <si>
    <t>A kite race.</t>
  </si>
  <si>
    <t>(A) A person is flying a kite. (B) A group of people are flying kites. (C) A kite festival. (D) A kite race.</t>
  </si>
  <si>
    <t>The image shows a large number of kites of different shapes and sizes, which are flying in the sky, which is a clear indication that a group of people are flying kites.</t>
  </si>
  <si>
    <t>(A) คนๆหนึ่งกำลังเล่นว่าว (B) กลุ่มคนกำลังเล่นว่าวกันอยู่ (C) เทศกาลว่าว (D) การแข่งขันว่าว</t>
  </si>
  <si>
    <t>What is a notable feature of the kites?</t>
  </si>
  <si>
    <t>They are all identical.</t>
  </si>
  <si>
    <t>They are all made of paper.</t>
  </si>
  <si>
    <t>They are all in different shapes and sizes.</t>
  </si>
  <si>
    <t>They are all of a single color.</t>
  </si>
  <si>
    <t>(A) They are all identical. (B) They are all made of paper. (C) They are all in different shapes and sizes. (D) They are all of a single color.</t>
  </si>
  <si>
    <t>The kites are of different shapes and sizes, which is a key feature of a kite festival, where people bring their own unique kites.</t>
  </si>
  <si>
    <t>(A) พวกเขาทั้งหมดเหมือนกันหมด (B) มันทำจากกระดาษทั้งหมด (C) พวกมันมีรูปร่างและขนาดที่แตกต่างกัน (D) พวกมันมีสีเดียวกันหมด</t>
  </si>
  <si>
    <t>What is the purpose of the kites in this setting?</t>
  </si>
  <si>
    <t>To show off skills.</t>
  </si>
  <si>
    <t>To perform tricks.</t>
  </si>
  <si>
    <t>To fly high in the sky.</t>
  </si>
  <si>
    <t>To show off the variety of kites.</t>
  </si>
  <si>
    <t>(A) To show off skills. (B) To perform tricks. (C) To fly high in the sky. (D) To show off the variety of kites.</t>
  </si>
  <si>
    <t>(A) เพื่อแสดงความสามารถ (B) การแสดงกลอุบาย (C) ที่จะบินสูงไปบนท้องฟ้า (D) เพื่ออวดความหลากหลายของว่าว</t>
  </si>
  <si>
    <t>The kites are flying high in the sky, and the clouds are moving very fast, which suggests that it is a very windy day.</t>
  </si>
  <si>
    <t>The large number of kites and the colorful, unique designs all create a celebratory and festive atmosphere.</t>
  </si>
  <si>
    <t>len_wow_13.jpg</t>
  </si>
  <si>
    <t>A man is flying a kite on a beach.</t>
  </si>
  <si>
    <t>A man is swimming.</t>
  </si>
  <si>
    <t>(A) A man is flying a kite on a beach. (B) A man is running. (C) A man is swimming. (D) A man is standing.</t>
  </si>
  <si>
    <t>The image shows a man holding a kite and a kite string on a beach, with a kite flying in the sky, which is a clear indication that he is flying a kite.</t>
  </si>
  <si>
    <t>(A) ชายคนหนึ่งกำลังเล่นว่าวอยู่บนชายหาด (B) มีผู้ชายคนหนึ่งกำลังวิ่ง (C) ผู้ชายคนหนึ่งกำลังว่ายน้ำ (D) มีชายคนหนึ่งยืนอยู่</t>
  </si>
  <si>
    <t>It is a very large and unique kite.</t>
  </si>
  <si>
    <t>(A) It is a very small and simple kite. (B) It is a very large and unique kite. (C) It is a very simple kite. (D) It is a single-string kite.</t>
  </si>
  <si>
    <t>The kite is a very large and unique kite, with a shape of a cartoon character and a long tail, which requires a high level of skill to fly.</t>
  </si>
  <si>
    <t>(A) มันเป็นว่าวขนาดเล็กมากและเรียบง่าย (B) มันเป็นว่าวที่มีขนาดใหญ่และมีเอกลักษณ์มาก (C) มันเป็นว่าวที่เรียบง่ายมาก (D) มันคือว่าวสายเดี่ยว</t>
  </si>
  <si>
    <t>What is the purpose of the person holding the kite string?</t>
  </si>
  <si>
    <t>To keep the kite from flying away.</t>
  </si>
  <si>
    <t>To control the kite's movement.</t>
  </si>
  <si>
    <t>(A) To keep the kite from flying away. (B) To make the kite fly higher. (C) To control the kite's movement. (D) To make the kite spin.</t>
  </si>
  <si>
    <t>The person is holding the kite string, which they use to control the kite's movement and perform tricks.</t>
  </si>
  <si>
    <t>(A) เพื่อไม่ให้ว่าวบินหนีไป (B) เพื่อให้ว่าวบินสูงขึ้น (C) เพื่อควบคุมการเคลื่อนไหวของว่าว (D) เพื่อทำให้ว่าวหมุน</t>
  </si>
  <si>
    <t>The man is smiling and playing with the kite, which suggests a playful and energetic atmosphere.</t>
  </si>
  <si>
    <t>len_wow_37.jpg</t>
  </si>
  <si>
    <t>(A) A man is flying a kite. (B) A group of people are flying kites. (C) A kite festival. (D) A kite race.</t>
  </si>
  <si>
    <t>(A) ชายคนหนึ่งกำลังเล่นว่าว (B) กลุ่มคนกำลังเล่นว่าวกันอยู่ (C) เทศกาลว่าว (D) การแข่งขันว่าว</t>
  </si>
  <si>
    <t>len_wow_58.jpg</t>
  </si>
  <si>
    <t>The grass is green.</t>
  </si>
  <si>
    <t>The grass is covered with snow.</t>
  </si>
  <si>
    <t>The grass is brown.</t>
  </si>
  <si>
    <t>The grass is very green.</t>
  </si>
  <si>
    <t>(A) The grass is green. (B) The grass is covered with snow. (C) The grass is brown. (D) The grass is very green.</t>
  </si>
  <si>
    <t>The image shows the ground is covered with a thick layer of snow, which is a clear indication that the event is taking place in a very cold environment.</t>
  </si>
  <si>
    <t>(A) หญ้าเป็นสีเขียว (B) หญ้าถูกปกคลุมด้วยหิมะ (C) หญ้าเป็นสีน้ำตาล (D) หญ้าเขียวมาก</t>
  </si>
  <si>
    <t>len_wow_79.jpg</t>
  </si>
  <si>
    <t>(A) A man is flying a kite. (B) A man is running. (C) A man is swimming. (D) A man is standing.</t>
  </si>
  <si>
    <t>The image shows a man holding a large kite, with a kite string, and other kites flying in the background, which is a clear indication that he is flying a kite.</t>
  </si>
  <si>
    <t>(A) ชายคนหนึ่งกำลังเล่นว่าว (B) มีผู้ชายคนหนึ่งกำลังวิ่ง (C) ผู้ชายคนหนึ่งกำลังว่ายน้ำ (D) มีชายคนหนึ่งยืนอยู่</t>
  </si>
  <si>
    <t>The kite is a very large and unique kite, with a shape of a traditional Balinese mask, which requires a high level of skill to fly.</t>
  </si>
  <si>
    <t>The man is wearing a shirt that says "INDONESIA KITE TEAM". What does this suggest?</t>
  </si>
  <si>
    <t>He is a casual player.</t>
  </si>
  <si>
    <t>He is a member of a national team.</t>
  </si>
  <si>
    <t>He is a spectator.</t>
  </si>
  <si>
    <t>He is an amateur player.</t>
  </si>
  <si>
    <t>(A) He is a casual player. (B) He is a member of a national team. (C) He is a spectator. (D) He is an amateur player.</t>
  </si>
  <si>
    <t>The uniform with the country's name and a team logo indicates that the person is a professional athlete representing the Indonesian national kite team.</t>
  </si>
  <si>
    <t>(A) เขาเป็นผู้เล่นที่เล่นแบบสบายๆ (B) เขาเป็นสมาชิกทีมชาติ (C) เขาเป็นผู้ชม (D) เขาเป็นผู้เล่นสมัครเล่น</t>
  </si>
  <si>
    <t>len_wow_84.jpg</t>
  </si>
  <si>
    <t>(A) A group of people are flying kites. (B) A kite festival. (C) A kite race. (D) A group of people are flying kites.</t>
  </si>
  <si>
    <t>The image shows a group of people flying large, decorative kites near a river, with other kites flying in the sky, which is a clear indication that a group of people are flying kites.</t>
  </si>
  <si>
    <t>(A) กลุ่มคนกำลังเล่นว่าวกันอยู่ (B) เทศกาลว่าว (C) การแข่งขันว่าว (D) กลุ่มคนกำลังเล่นว่าวกันอยู่</t>
  </si>
  <si>
    <t>len_wow_94.jpg</t>
  </si>
  <si>
    <t>What is the main subject of the image?</t>
  </si>
  <si>
    <t>A set of kites.</t>
  </si>
  <si>
    <t>A single kite.</t>
  </si>
  <si>
    <t>A person flying a kite.</t>
  </si>
  <si>
    <t>(A) A set of kites. (B) A single kite. (C) A kite festival. (D) A person flying a kite.</t>
  </si>
  <si>
    <t>The image shows a close-up of a stack of multiple, colorful kites, which are ready to be flown.</t>
  </si>
  <si>
    <t>(A) ชุดว่าว (B) ว่าวตัวเดียว (C) เทศกาลว่าว (D) คนที่กำลังเล่นว่าว</t>
  </si>
  <si>
    <t>len_wow_97.jpg</t>
  </si>
  <si>
    <t>A kite.</t>
  </si>
  <si>
    <t>(A) A kite. (B) A kite festival. (C) A person flying a kite. (D) A single kite.</t>
  </si>
  <si>
    <t>The image shows a single kite, which is ready to be flown.</t>
  </si>
  <si>
    <t>(A) ว่าว (B) เทศกาลว่าว (C) คนที่กำลังเล่นว่าว (D) ว่าวตัวเดียว</t>
  </si>
  <si>
    <t>The kite is a very large and unique kite, with a shape of a traditional Thai bird, which requires a high level of skill to fly.</t>
  </si>
  <si>
    <t>What is the purpose of the kite's design?</t>
  </si>
  <si>
    <t>The kite's design, with its long tail and large wings, is designed to make the kite more stable and controllable in the air.</t>
  </si>
  <si>
    <t>The kite's vibrant colors and unique design all create a celebratory and festive atmosphere.</t>
  </si>
  <si>
    <t>What is a key element of this sport?</t>
  </si>
  <si>
    <t>The wind.</t>
  </si>
  <si>
    <t>The sun.</t>
  </si>
  <si>
    <t>The clouds.</t>
  </si>
  <si>
    <t>The rain.</t>
  </si>
  <si>
    <t>(A) The wind. (B) The sun. (C) The clouds. (D) The rain.</t>
  </si>
  <si>
    <t>The wind is a key element of this sport, as it provides the lift needed to get the kite off the ground and into the air.</t>
  </si>
  <si>
    <t>(A) ลม. (B) ดวงอาทิตย์ (C) เมฆหมอก (D) ฝนตก</t>
  </si>
  <si>
    <t>sepak_takraw_1.jpg</t>
  </si>
  <si>
    <t>A gymnastics competition.</t>
  </si>
  <si>
    <t>A badminton match.</t>
  </si>
  <si>
    <t>A Sepak Takraw match.</t>
  </si>
  <si>
    <t>A soccer game.</t>
  </si>
  <si>
    <t>The image shows players in a court, kicking a woven ball over a net, which is the defining characteristic of Sepak Takraw, a sport popular in Southeast Asia.</t>
  </si>
  <si>
    <t>What is a notable feature of the player's movement?</t>
  </si>
  <si>
    <t>The use of hands.</t>
  </si>
  <si>
    <t>The use of feet, head, and chest.</t>
  </si>
  <si>
    <t>The use of rackets.</t>
  </si>
  <si>
    <t>The use of a bat.</t>
  </si>
  <si>
    <t>(A) The use of hands. (B) The use of feet, head, and chest. (C) The use of rackets. (D) The use of a bat.</t>
  </si>
  <si>
    <t>Sepak Takraw is unique because players are prohibited from using their hands and must rely on their feet, head, and chest to hit the ball over the net.</t>
  </si>
  <si>
    <t>(A) การใช้มือ (B) การใช้เท้า ศีรษะ และหน้าอก (C) การใช้แร็กเกต (D) การใช้ไม้ตี</t>
  </si>
  <si>
    <t>What is the ball made of?</t>
  </si>
  <si>
    <t>Rubber.</t>
  </si>
  <si>
    <t>Plastic.</t>
  </si>
  <si>
    <t>Woven rattan or synthetic fibers.</t>
  </si>
  <si>
    <t>Leather.</t>
  </si>
  <si>
    <t>(A) Rubber. (B) Plastic. (C) Woven rattan or synthetic fibers. (D) Leather.</t>
  </si>
  <si>
    <t>The ball, called a Takraw ball, is traditionally made from woven rattan or, in modern competitions, from synthetic plastic fibers.</t>
  </si>
  <si>
    <t>(A) ยาง. (B) พลาสติก. (C) หวายทอหรือเส้นใยสังเคราะห์ (D) หนัง.</t>
  </si>
  <si>
    <t>What is the purpose of the high kick and mid-air posture?</t>
  </si>
  <si>
    <t>To hit the ball high over the net and make it difficult to return.</t>
  </si>
  <si>
    <t>To stretch the legs.</t>
  </si>
  <si>
    <t>To make the game more difficult.</t>
  </si>
  <si>
    <t>(A) To show off skills. (B) To hit the ball high over the net and make it difficult to return. (C) To stretch the legs. (D) To make the game more difficult.</t>
  </si>
  <si>
    <t>The acrobatic kicks, often called "spikes" or "kills", are used to hit the ball with power and precision over the net, making it difficult for the opposing team to defend.</t>
  </si>
  <si>
    <t>(A) เพื่อแสดงความสามารถ (B) การตีลูกให้สูงข้ามตาข่ายทำให้ตีโต้กลับได้ยาก (C) เพื่อยืดเหยียดขา (D) เพื่อทำให้เกมยากยิ่งขึ้น</t>
  </si>
  <si>
    <t>The players are in what type of environment?</t>
  </si>
  <si>
    <t>A modern, indoor sports arena.</t>
  </si>
  <si>
    <t>A traditional, outdoor court.</t>
  </si>
  <si>
    <t>A beach.</t>
  </si>
  <si>
    <t>A public park.</t>
  </si>
  <si>
    <t>(A) A modern, indoor sports arena. (B) A traditional, outdoor court. (C) A beach. (D) A public park.</t>
  </si>
  <si>
    <t>The image shows an indoor court with professional lighting, sponsor banners, and a crowd of spectators, indicating a modern, professional sports arena.</t>
  </si>
  <si>
    <t>(A) สนามกีฬาในร่มที่ทันสมัย (B) สนามกลางแจ้งแบบดั้งเดิม (C) ชายหาด (D) สวนสาธารณะ</t>
  </si>
  <si>
    <t>sepak_takraw_2.jpg</t>
  </si>
  <si>
    <t>(A) A gymnastics competition. (B) A badminton match. (C) A Sepak Takraw match. (D) A soccer game.</t>
  </si>
  <si>
    <t>(A) การแข่งขันยิมนาสติก (B) การแข่งขันแบดมินตัน (C) การแข่งขันตะกร้อเซปักตะกร้อ (D) เกมฟุตบอล</t>
  </si>
  <si>
    <t>sepak_takraw_10.jpg</t>
  </si>
  <si>
    <t>A volleyball game.</t>
  </si>
  <si>
    <t>A game of soccer.</t>
  </si>
  <si>
    <t>(A) A badminton match. (B) A volleyball game. (C) A Sepak Takraw match. (D) A game of soccer.</t>
  </si>
  <si>
    <t>The image shows a player in a uniform kicking a woven ball over a net, which is a clear indication of a Sepak Takraw match.</t>
  </si>
  <si>
    <t>(A) การแข่งขันแบดมินตัน (B) เกมวอลเลย์บอล (C) การแข่งขันตะกร้อเซปักตะกร้อ (D) เกมฟุตบอล</t>
  </si>
  <si>
    <t>The player is in mid-air, kicking with his leg. What is the purpose of this motion?</t>
  </si>
  <si>
    <t>To stretch his leg.</t>
  </si>
  <si>
    <t>To hit the ball over the net.</t>
  </si>
  <si>
    <t>(A) To stretch his leg. (B) To hit the ball over the net. (C) To show off his skills. (D) To make the game more difficult.</t>
  </si>
  <si>
    <t>The player is performing a powerful, high kick to send the ball high and fast over the net, making it difficult for the opponent to return.</t>
  </si>
  <si>
    <t>(A) เพื่อยืดขาของเขา (B) การตีลูกให้ข้ามตาข่ายไป (C) เพื่อแสดงความสามารถของตัวเอง (D) เพื่อทำให้เกมยากยิ่งขึ้น</t>
  </si>
  <si>
    <t>The player is in what type of environment?</t>
  </si>
  <si>
    <t>What can be inferred about the game's status from this image?</t>
  </si>
  <si>
    <t>It is an obscure sport.</t>
  </si>
  <si>
    <t>It is a professional sport with organized competitions.</t>
  </si>
  <si>
    <t>It is a casual pastime.</t>
  </si>
  <si>
    <t>It is a game for children.</t>
  </si>
  <si>
    <t>(A) It is an obscure sport. (B) It is a professional sport with organized competitions. (C) It is a casual pastime. (D) It is a game for children.</t>
  </si>
  <si>
    <t>The uniforms, the court, and the presence of a net all indicate that Sepak Takraw has evolved from a casual pastime into an organized, professional sport.</t>
  </si>
  <si>
    <t>(A) มันเป็นกีฬาที่ไม่มีใครรู้จัก (B) เป็นกีฬาอาชีพที่มีการจัดการแข่งขันอย่างเป็นระบบ (C) มันเป็นเพียงกิจกรรมยามว่างธรรมดา (D) มันเป็นเกมสำหรับเด็ก</t>
  </si>
  <si>
    <t>sepak_takraw_11.jpg</t>
  </si>
  <si>
    <t>sepak_takraw_12.jpg</t>
  </si>
  <si>
    <t>sepak_takraw_14.jpg</t>
  </si>
  <si>
    <t>The image shows an outdoor court with a net, and trees and greenery in the background, which is a common setting for a traditional, outdoor court.</t>
  </si>
  <si>
    <t>The casual setting, with no professional lighting or sponsor banners, indicates that this is a casual pastime.</t>
  </si>
  <si>
    <t>sepak_takraw_16.jpg</t>
  </si>
  <si>
    <t>sepak_takraw_26.jpg</t>
  </si>
  <si>
    <t>A badminton shuttlecock.</t>
  </si>
  <si>
    <t>A Sepak Takraw ball.</t>
  </si>
  <si>
    <t>A volleyball.</t>
  </si>
  <si>
    <t>A tennis ball.</t>
  </si>
  <si>
    <t>(A) A badminton shuttlecock. (B) A Sepak Takraw ball. (C) A volleyball. (D) A tennis ball.</t>
  </si>
  <si>
    <t>The image shows a woven, round ball with a net in the background, which is a clear indication that it is a Sepak Takraw ball.</t>
  </si>
  <si>
    <t>(A) ลูกขนไก่แบดมินตัน (B) ลูกตะกร้อ (C) ลูกวอลเลย์บอล (D) ลูกเทนนิส</t>
  </si>
  <si>
    <t>What is the purpose of the woven design?</t>
  </si>
  <si>
    <t>To make the ball more durable.</t>
  </si>
  <si>
    <t>To make the ball more aerodynamic.</t>
  </si>
  <si>
    <t>To make the ball more comfortable to kick.</t>
  </si>
  <si>
    <t>To make the ball look more traditional.</t>
  </si>
  <si>
    <t>(A) To make the ball more durable. (B) To make the ball more aerodynamic. (C) To make the ball more comfortable to kick. (D) To make the ball look more traditional.</t>
  </si>
  <si>
    <t>The woven design of the ball creates a stable, aerodynamic flight pattern, which is crucial for the game's unique kicking and volleying techniques.</t>
  </si>
  <si>
    <t>(A) เพื่อให้ลูกบอลมีความทนทานมากขึ้น (B) เพื่อให้ลูกบอลมีอากาศพลศาสตร์มากขึ้น (C) เพื่อให้เตะบอลได้สบายยิ่งขึ้น (D) เพื่อให้ลูกบอลดูคลาสสิกมากขึ้น</t>
  </si>
  <si>
    <t>What is a notable feature of the ball?</t>
  </si>
  <si>
    <t>It is very heavy.</t>
  </si>
  <si>
    <t>It is very light and hollow.</t>
  </si>
  <si>
    <t>It is a solid ball.</t>
  </si>
  <si>
    <t>It is a bouncy ball.</t>
  </si>
  <si>
    <t>(A) It is very heavy. (B) It is very light and hollow. (C) It is a solid ball. (D) It is a bouncy ball.</t>
  </si>
  <si>
    <t>The ball is made of woven material and is light and hollow, which allows it to be easily kicked and kept in the air.</t>
  </si>
  <si>
    <t>(A) มันหนักมาก. (B) มันเบาและกลวงมาก (C) มันเป็นลูกบอลที่แข็งแกร่ง (D) มันเป็นลูกบอลเด้งดึ๋ง</t>
  </si>
  <si>
    <t>What is the purpose of the net?</t>
  </si>
  <si>
    <t>To separate the teams and define the playing area.</t>
  </si>
  <si>
    <t>To block the ball.</t>
  </si>
  <si>
    <t>To add a decorative element.</t>
  </si>
  <si>
    <t>(A) To separate the teams and define the playing area. (B) To block the ball. (C) To add a decorative element. (D) To make the game more difficult.</t>
  </si>
  <si>
    <t>The net is a crucial part of the game, used to divide the court and establish a clear barrier that the ball must be kicked over.</t>
  </si>
  <si>
    <t>(A) เพื่อแบ่งทีมและกำหนดพื้นที่การเล่น (B) เพื่อบล็อคลูกบอล (C) เพื่อเพิ่มองค์ประกอบการตกแต่ง (D) เพื่อทำให้เกมยากยิ่งขึ้น</t>
  </si>
  <si>
    <t>sepak_takraw_66.jpg</t>
  </si>
  <si>
    <t>sepak_takraw_70.jpg</t>
  </si>
  <si>
    <t>The image shows an outdoor court with a net, and trees and greenery in the background, which is a common setting for a public park.</t>
  </si>
  <si>
    <t>sepak_takraw_71.jpg</t>
  </si>
  <si>
    <t>The image shows a player in a court, kicking a woven ball over a net, which is the defining characteristic of Sepak Takraw, a sport popular in Southeast Asia.</t>
  </si>
  <si>
    <t>sepak_takraw_72.jpg</t>
  </si>
  <si>
    <t>sepak_takraw_78.jpg</t>
  </si>
  <si>
    <t>sepak_takraw_82.jpg</t>
  </si>
  <si>
    <t>muay_thai_1.jpg</t>
  </si>
  <si>
    <t>A boxing match</t>
  </si>
  <si>
    <t>A karate competition</t>
  </si>
  <si>
    <t>A Muay Thai fight</t>
  </si>
  <si>
    <t>An MMA fight</t>
  </si>
  <si>
    <t>The image shows two fighters in a ring, wearing boxing gloves and shorts, and one is performing a kick, which is a key element of Muay Thai, or Thai boxing.</t>
  </si>
  <si>
    <t>What is a notable feature of the fighter's attire?</t>
  </si>
  <si>
    <t>A gi uniform</t>
  </si>
  <si>
    <t>A casual outfit</t>
  </si>
  <si>
    <t>Boxing shorts with traditional motifs</t>
  </si>
  <si>
    <t>(A) A gi uniform (B) A casual outfit (C) Boxing shorts with traditional motifs (D) Wetsuits</t>
  </si>
  <si>
    <t>The fighters are wearing boxing shorts with traditional Thai motifs, which is a classic attire for Muay Thai fighters.</t>
  </si>
  <si>
    <t>(A) ชุดกิ (B) ชุดลำลอง (C) กางเกงมวยลายดั้งเดิม (D) ชุดดำน้ำ</t>
  </si>
  <si>
    <t>What is the purpose of the kick in Muay Thai?</t>
  </si>
  <si>
    <t>To knock out the opponent.</t>
  </si>
  <si>
    <t>To hit the opponent's body and legs.</t>
  </si>
  <si>
    <t>(A) To show off skills. (B) To knock out the opponent. (C) To hit the opponent's body and legs. (D) To make the game more difficult.</t>
  </si>
  <si>
    <t>The kick is a fundamental part of Muay Thai, which is used to attack the opponent's body and legs, as well as to create distance and control.</t>
  </si>
  <si>
    <t>(A) เพื่อแสดงความสามารถ (B) เพื่อจะน็อคคู่ต่อสู้ (C) เพื่อโจมตีเข้าที่ลำตัวและขาของคู่ต่อสู้ (D) เพื่อทำให้เกมยากยิ่งขึ้น</t>
  </si>
  <si>
    <t>The fighters are in what type of environment?</t>
  </si>
  <si>
    <t>A street fight</t>
  </si>
  <si>
    <t>A traditional training hall</t>
  </si>
  <si>
    <t>A boxing ring</t>
  </si>
  <si>
    <t>A large stadium</t>
  </si>
  <si>
    <t>(A) A street fight (B) A traditional training hall (C) A boxing ring (D) A large stadium</t>
  </si>
  <si>
    <t>The image shows the fighters in a square arena with ropes and posts, which is a boxing ring, a standard venue for combat sports.</t>
  </si>
  <si>
    <t>(A) การต่อสู้บนท้องถนน (B) ห้องฝึกอบรมแบบดั้งเดิม (C) เวทีมวย (D) สนามกีฬาขนาดใหญ่</t>
  </si>
  <si>
    <t>A playful, casual one</t>
  </si>
  <si>
    <t>A tense and focused one</t>
  </si>
  <si>
    <t>A celebratory and festive one</t>
  </si>
  <si>
    <t>A quiet and somber one</t>
  </si>
  <si>
    <t>(A) A playful, casual one (B) A tense and focused one (C) A celebratory and festive one (D) A quiet and somber one</t>
  </si>
  <si>
    <t>The fighters' serious expressions, the action in the ring, and the crowd in the background all create a tense and focused atmosphere.</t>
  </si>
  <si>
    <t>(A) แบบสบายๆ สนุกสนาน (B) ตึงเครียดและมีสมาธิ (C) งานเฉลิมฉลองและรื่นเริง (D) เงียบสงบและเศร้าหมอง</t>
  </si>
  <si>
    <t>muay_thai_3.jpg</t>
  </si>
  <si>
    <t>(A) A boxing match (B) A karate competition (C) A Muay Thai fight (D) An MMA fight</t>
  </si>
  <si>
    <t>(A) การแข่งขันชกมวย (B) การแข่งขันคาราเต้ (C) การต่อสู้มวยไทย (D) การต่อสู้แบบ MMA</t>
  </si>
  <si>
    <t>muay_thai_4.jpg</t>
  </si>
  <si>
    <t>The image shows two fighters in a cage, wearing fingerless gloves, and one is performing a flying kick, which is a key element of MMA, or mixed martial arts.</t>
  </si>
  <si>
    <t>Boxing gloves</t>
  </si>
  <si>
    <t>Fingerless MMA gloves</t>
  </si>
  <si>
    <t>Traditional Thai shorts</t>
  </si>
  <si>
    <t>(A) Boxing gloves (B) Fingerless MMA gloves (C) Wetsuits (D) Traditional Thai shorts</t>
  </si>
  <si>
    <t>The fighters are wearing fingerless MMA gloves, which are designed to allow them to grapple and use their hands for both punching and grabbing.</t>
  </si>
  <si>
    <t>(A) ถุงมือมวย (B) ถุงมือ MMA แบบไม่มีนิ้ว (C) ชุดดำน้ำ (D) กางเกงขาสั้นลายไทย</t>
  </si>
  <si>
    <t>What is the purpose of the flying kick?</t>
  </si>
  <si>
    <t>The flying kick, also known as a flying knee, is a very powerful and effective move in MMA that is used to knock out the opponent.</t>
  </si>
  <si>
    <t>A cage (octagon)</t>
  </si>
  <si>
    <t>(A) A street fight (B) A traditional training hall (C) A boxing ring (D) A cage (octagon)</t>
  </si>
  <si>
    <t>The image shows the fighters in a hexagonal cage, which is a standard venue for MMA fights.</t>
  </si>
  <si>
    <t>(A) การต่อสู้บนท้องถนน (B) ห้องฝึกอบรมแบบดั้งเดิม (C) เวทีมวย (D) กรง (แปดเหลี่ยม)</t>
  </si>
  <si>
    <t>muay_thai_5.jpg</t>
  </si>
  <si>
    <t>muay_thai_6.jpg</t>
  </si>
  <si>
    <t>muay_thai_8.jpg</t>
  </si>
  <si>
    <t>muay_thai_9.jpg</t>
  </si>
  <si>
    <t>Two fighters are fighting.</t>
  </si>
  <si>
    <t>Two fighters are training.</t>
  </si>
  <si>
    <t>Two fighters are hugging after a fight.</t>
  </si>
  <si>
    <t>Two fighters are stretching.</t>
  </si>
  <si>
    <t>(A) Two fighters are fighting. (B) Two fighters are training. (C) Two fighters are hugging after a fight. (D) Two fighters are stretching.</t>
  </si>
  <si>
    <t>The image shows two fighters embracing each other after a fight, which is a clear indication that the fight is over and they are showing sportsmanship.</t>
  </si>
  <si>
    <t>(A) นักสู้สองคนกำลังต่อสู้กัน (B) นักสู้สองคนกำลังฝึกซ้อม (C) นักสู้สองคนกอดกันหลังจากการต่อสู้ (D) นักสู้สองคนกำลังยืดตัว</t>
  </si>
  <si>
    <t>What is the purpose of the hug?</t>
  </si>
  <si>
    <t>To show sportsmanship and respect.</t>
  </si>
  <si>
    <t>(A) To show off skills. (B) To show sportsmanship and respect. (C) To make the game more difficult. (D) To make the game more difficult.</t>
  </si>
  <si>
    <t>The hug is a classic gesture of sportsmanship and respect between two fighters after a fight.</t>
  </si>
  <si>
    <t>(A) เพื่อแสดงความสามารถ (B) เพื่อแสดงความมีน้ำใจนักกีฬาและความเคารพ (C) เพื่อทำให้เกมยากยิ่งขึ้น (D) เพื่อทำให้เกมยากยิ่งขึ้น</t>
  </si>
  <si>
    <t>The black and white filter and the fighters' expressions create a quiet and somber atmosphere.</t>
  </si>
  <si>
    <t>muay_thai_11.jpg</t>
  </si>
  <si>
    <t>muay_thai_12.jpg</t>
  </si>
  <si>
    <t>muay_thai_13.jpg</t>
  </si>
  <si>
    <t>A fighter is resting.</t>
  </si>
  <si>
    <t>A fighter is knocked out.</t>
  </si>
  <si>
    <t>A fighter is stretching.</t>
  </si>
  <si>
    <t>A fighter is talking to the referee.</t>
  </si>
  <si>
    <t>(A) A fighter is resting. (B) A fighter is knocked out. (C) A fighter is stretching. (D) A fighter is talking to the referee.</t>
  </si>
  <si>
    <t>The image shows a fighter lying on the ground in a boxing ring, which is a clear indication that he has been knocked out or is unable to continue the fight.</t>
  </si>
  <si>
    <t>(A) นักสู้กำลังพักผ่อน (B) นักสู้ถูกน็อคเอาท์ (C) นักสู้กำลังยืดตัว (D) นักสู้กำลังพูดคุยกับผู้ตัดสิน</t>
  </si>
  <si>
    <t>The fighter is wearing boxing shorts with traditional Thai motifs, which is a classic attire for Muay Thai fighters.</t>
  </si>
  <si>
    <t>To cause harm to the fighters.</t>
  </si>
  <si>
    <t>To select the strongest fighter.</t>
  </si>
  <si>
    <t>It is a ritual.</t>
  </si>
  <si>
    <t>(A) To cause harm to the fighters. (B) To select the strongest fighter. (C) It is a form of entertainment. (D) It is a ritual.</t>
  </si>
  <si>
    <t>The purpose of Muay Thai is a form of entertainment and a spectacle for the crowd, not to cause serious harm to the fighters.</t>
  </si>
  <si>
    <t>(A) เพื่อก่อให้เกิดอันตรายแก่เหล่านักสู้ (B) การคัดเลือกนักสู้ที่แข็งแกร่งที่สุด (C) มันคือรูปแบบหนึ่งของความบันเทิง (D) มันเป็นพิธีกรรม</t>
  </si>
  <si>
    <t>The fighter is in what type of environment?</t>
  </si>
  <si>
    <t>The image shows the fighter in a square arena with ropes and posts, which is a boxing ring, a standard venue for combat sports.</t>
  </si>
  <si>
    <t>The black and white filter and the fighter's helpless posture create a quiet and somber atmosphere.</t>
  </si>
  <si>
    <t>muay_thai_23.jpg</t>
  </si>
  <si>
    <t>The image shows two fighters in a ring, wearing boxing gloves and shorts, and one is performing a punch, which is a key element of Muay Thai, or Thai boxing.</t>
  </si>
  <si>
    <t>What is the purpose of the punch in Muay Thai?</t>
  </si>
  <si>
    <t>To hit the opponent's body and head.</t>
  </si>
  <si>
    <t>(A) To show off skills. (B) To knock out the opponent. (C) To hit the opponent's body and head. (D) To make the game more difficult.</t>
  </si>
  <si>
    <t>The punch is a fundamental part of Muay Thai, which is used to attack the opponent's head and body, as well as to create distance and control.</t>
  </si>
  <si>
    <t>(A) เพื่อแสดงความสามารถ (B) เพื่อจะน็อคคู่ต่อสู้ (C) เพื่อโจมตีเข้าที่ลำตัวและศีรษะของคู่ต่อสู้ (D) เพื่อทำให้เกมยากยิ่งขึ้น</t>
  </si>
  <si>
    <t>muay_thai_29.jpg</t>
  </si>
  <si>
    <t>A fighter is performing a kick.</t>
  </si>
  <si>
    <t>A fighter is punching a bag.</t>
  </si>
  <si>
    <t>(A) Two fighters are training. (B) A fighter is performing a kick. (C) A fighter is punching a bag. (D) A fighter is resting.</t>
  </si>
  <si>
    <t>The image shows a fighter in a training ring, performing a high kick, which is a key element of Muay Thai, or Thai boxing.</t>
  </si>
  <si>
    <t>(A) นักสู้สองคนกำลังฝึกซ้อม (B) นักสู้กำลังเตะ (C) นักสู้กำลังต่อยกระสอบทราย (D) นักสู้กำลังพักผ่อน</t>
  </si>
  <si>
    <t>The image shows the fighters in a boxing ring in what appears to be an open-air training hall, which is a common setting for a traditional training hall.</t>
  </si>
  <si>
    <t>The fighters' serious expressions, the action in the ring, and the blurred background all create a tense and focused atmosphere.</t>
  </si>
  <si>
    <t>muay_thai_30.jpg</t>
  </si>
  <si>
    <t>(A) A fighter is performing a kick. (B) A fighter is punching a bag. (C) A fighter is resting. (D) A fighter is punching a bag.</t>
  </si>
  <si>
    <t>The image shows a fighter in a ring, performing a high kick, which is a key element of Muay Thai, or Thai boxing.</t>
  </si>
  <si>
    <t>(A) นักสู้กำลังเตะ (B) นักสู้กำลังต่อยกระสอบทราย (C) นักสู้กำลังพักผ่อน (D) นักสู้กำลังต่อยกระสอบทราย</t>
  </si>
  <si>
    <t>The fighter's serious expressions, the action in the ring, and the crowd in the background all create a tense and focused atmosphere.</t>
  </si>
  <si>
    <t>muay_thai_42.jpg</t>
  </si>
  <si>
    <t>muay_thai_49.jpg</t>
  </si>
  <si>
    <t>Two fighters are sparring.</t>
  </si>
  <si>
    <t>(A) Two fighters are fighting. (B) Two fighters are training. (C) Two fighters are sparring. (D) Two fighters are stretching.</t>
  </si>
  <si>
    <t>The image shows two people in a gym, practicing a martial arts routine with each other, which is characteristic of a sparring session.</t>
  </si>
  <si>
    <t>(A) นักสู้สองคนกำลังต่อสู้กัน (B) นักสู้สองคนกำลังฝึกซ้อม (C) นักสู้สองคนกำลังต่อสู้กัน (D) นักสู้สองคนกำลังยืดตัว</t>
  </si>
  <si>
    <t>Casual outfit</t>
  </si>
  <si>
    <t>The fighters are wearing casual clothing, such as a tank top, a t-shirt, and leggings, which is common in a gym setting.</t>
  </si>
  <si>
    <t>What is the purpose of the sparring session?</t>
  </si>
  <si>
    <t>To fight each other.</t>
  </si>
  <si>
    <t>To practice and improve skills.</t>
  </si>
  <si>
    <t>(A) To fight each other. (B) To practice and improve skills. (C) To show off skills. (D) To make the game more difficult.</t>
  </si>
  <si>
    <t>Sparring is a form of practice where two fighters simulate a fight to hone their techniques and improve their skills.</t>
  </si>
  <si>
    <t>(A) เพื่อต่อสู้กัน (B) เพื่อฝึกฝนและพัฒนาทักษะ (C) เพื่อแสดงความสามารถ (D) เพื่อทำให้เกมยากยิ่งขึ้น</t>
  </si>
  <si>
    <t>A gym or studio</t>
  </si>
  <si>
    <t>(A) A street fight (B) A traditional training hall (C) A gym or studio (D) A large stadium</t>
  </si>
  <si>
    <t>The image shows the fighters in a gym with punching bags and mirrors, which is a common setting for a martial arts gym or studio.</t>
  </si>
  <si>
    <t>(A) การต่อสู้บนท้องถนน (B) ห้องฝึกอบรมแบบดั้งเดิม (C) โรงยิมหรือสตูดิโอ (D) สนามกีฬาขนาดใหญ่</t>
  </si>
  <si>
    <t>muay_thai_53.jpg</t>
  </si>
  <si>
    <t>muay_thai_68.jpg</t>
  </si>
  <si>
    <t>Two fighters are grappling on the ground.</t>
  </si>
  <si>
    <t>Two fighters are standing up.</t>
  </si>
  <si>
    <t>(A) Two fighters are grappling on the ground. (B) Two fighters are standing up. (C) Two fighters are fighting. (D) Two fighters are stretching.</t>
  </si>
  <si>
    <t>The image shows two fighters on the ground, with one of them on top of the other, which is characteristic of grappling, a key element of MMA.</t>
  </si>
  <si>
    <t>(A) นักสู้สองคนกำลังต่อสู้กันอยู่บนพื้น (B) นักสู้สองคนกำลังยืนขึ้น (C) นักสู้สองคนกำลังต่อสู้กัน (D) นักสู้สองคนกำลังยืดตัว</t>
  </si>
  <si>
    <t>What is the purpose of the grappling?</t>
  </si>
  <si>
    <t>To control the opponent and submit them.</t>
  </si>
  <si>
    <t>(A) To show off skills. (B) To knock out the opponent. (C) To control the opponent and submit them. (D) To make the game more difficult.</t>
  </si>
  <si>
    <t>Grappling is a fundamental part of MMA, which is used to control the opponent and to submit them with joint locks or chokes.</t>
  </si>
  <si>
    <t>(A) เพื่อแสดงความสามารถ (B) เพื่อจะน็อคคู่ต่อสู้ (C) เพื่อควบคุมคู่ต่อสู้และยอมแพ้ (D) เพื่อทำให้เกมยากยิ่งขึ้น</t>
  </si>
  <si>
    <t>muay_thai_70.jpg</t>
  </si>
  <si>
    <t>muay_thai_79.jpg</t>
  </si>
  <si>
    <t>Two fighters are in a clinch.</t>
  </si>
  <si>
    <t>(A) Two fighters are fighting. (B) Two fighters are training. (C) Two fighters are in a clinch. (D) Two fighters are stretching.</t>
  </si>
  <si>
    <t>The image shows two fighters holding onto each other, which is a classic position in Muay Thai, known as the clinch.</t>
  </si>
  <si>
    <t>(A) นักสู้สองคนกำลังต่อสู้กัน (B) นักสู้สองคนกำลังฝึกซ้อม (C) นักสู้สองคนอยู่ในการประชิดตัว (D) นักสู้สองคนกำลังยืดตัว</t>
  </si>
  <si>
    <t>What is the purpose of the clinch?</t>
  </si>
  <si>
    <t>To hit the opponent with knees and elbows.</t>
  </si>
  <si>
    <t>(A) To show off skills. (B) To hit the opponent with knees and elbows. (C) To make the game more difficult. (D) To make the game more difficult.</t>
  </si>
  <si>
    <t>The clinch is a fundamental part of Muay Thai, which is used to control the opponent and to hit them with knees and elbows.</t>
  </si>
  <si>
    <t>(A) เพื่อแสดงความสามารถ (B) การโจมตีคู่ต่อสู้ด้วยเข่าและศอก (C) เพื่อทำให้เกมยากยิ่งขึ้น (D) เพื่อทำให้เกมยากยิ่งขึ้น</t>
  </si>
  <si>
    <t>muay_thai_83.jpg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</si>
</sst>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2" numFmtId="0" xfId="0" applyAlignment="1" applyFont="1">
      <alignment shrinkToFit="0" vertical="center" wrapText="0"/>
    </xf>
    <xf borderId="0" fillId="0" fontId="1" numFmtId="0" xfId="0" applyAlignment="1" applyFont="1">
      <alignment readingOrder="0" shrinkToFit="0" vertical="bottom" wrapText="0"/>
    </xf>
    <xf borderId="0" fillId="0" fontId="2" numFmtId="0" xfId="0" applyFont="1"/>
    <xf borderId="0" fillId="0" fontId="1" numFmtId="0" xfId="0" applyAlignment="1" applyFont="1">
      <alignment horizontal="right" vertical="bottom"/>
    </xf>
    <xf borderId="0" fillId="0" fontId="1" numFmtId="0" xfId="0" applyAlignment="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chon_wua(bull fighting)-style">
      <tableStyleElement dxfId="1" type="headerRow"/>
      <tableStyleElement dxfId="2" type="firstRowStripe"/>
      <tableStyleElement dxfId="3" type="secondRowStripe"/>
      <tableStyleElement dxfId="4" size="0" type="wholeTable"/>
    </tableStyle>
    <tableStyle count="4" pivot="0" name="chon_wua(bull fighting)-style 2">
      <tableStyleElement dxfId="1" type="headerRow"/>
      <tableStyleElement dxfId="2" type="firstRowStripe"/>
      <tableStyleElement dxfId="3" type="secondRowStripe"/>
      <tableStyleElement dxfId="4" size="0" type="wholeTable"/>
    </tableStyle>
    <tableStyle count="4" pivot="0" name="kaeng ruer(boat racing)-style">
      <tableStyleElement dxfId="1" type="headerRow"/>
      <tableStyleElement dxfId="2" type="firstRowStripe"/>
      <tableStyleElement dxfId="3" type="secondRowStripe"/>
      <tableStyleElement dxfId="4" size="0" type="wholeTable"/>
    </tableStyle>
    <tableStyle count="4" pivot="0" name="kaeng ruer(boat racing)-style 2">
      <tableStyleElement dxfId="1" type="headerRow"/>
      <tableStyleElement dxfId="2" type="firstRowStripe"/>
      <tableStyleElement dxfId="3" type="secondRowStripe"/>
      <tableStyleElement dxfId="4" size="0" type="wholeTable"/>
    </tableStyle>
    <tableStyle count="4" pivot="0" name="len_wow-style">
      <tableStyleElement dxfId="1" type="headerRow"/>
      <tableStyleElement dxfId="2" type="firstRowStripe"/>
      <tableStyleElement dxfId="3" type="secondRowStripe"/>
      <tableStyleElement dxfId="4" size="0" type="wholeTable"/>
    </tableStyle>
    <tableStyle count="4" pivot="0" name="len_wow-style 2">
      <tableStyleElement dxfId="1" type="headerRow"/>
      <tableStyleElement dxfId="2" type="firstRowStripe"/>
      <tableStyleElement dxfId="3" type="secondRowStripe"/>
      <tableStyleElement dxfId="4" size="0" type="wholeTable"/>
    </tableStyle>
    <tableStyle count="4" pivot="0" name="Sepak_Takraw-style">
      <tableStyleElement dxfId="1" type="headerRow"/>
      <tableStyleElement dxfId="2" type="firstRowStripe"/>
      <tableStyleElement dxfId="3" type="secondRowStripe"/>
      <tableStyleElement dxfId="4" size="0" type="wholeTable"/>
    </tableStyle>
    <tableStyle count="4" pivot="0" name="Sepak_Takraw-style 2">
      <tableStyleElement dxfId="1" type="headerRow"/>
      <tableStyleElement dxfId="2" type="firstRowStripe"/>
      <tableStyleElement dxfId="3" type="secondRowStripe"/>
      <tableStyleElement dxfId="4" size="0" type="wholeTable"/>
    </tableStyle>
    <tableStyle count="4" pivot="0" name="muay_thai-style">
      <tableStyleElement dxfId="1" type="headerRow"/>
      <tableStyleElement dxfId="2" type="firstRowStripe"/>
      <tableStyleElement dxfId="3" type="secondRowStripe"/>
      <tableStyleElement dxfId="4" size="0" type="wholeTable"/>
    </tableStyle>
    <tableStyle count="4" pivot="0" name="muay_thai-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81" displayName="chon_wua_data" name="chon_wua_data" id="1">
  <tableColumns count="10">
    <tableColumn name="Image Namez" id="1"/>
    <tableColumn name="Serial No.z" id="2"/>
    <tableColumn name="Questionz" id="3"/>
    <tableColumn name="Option 1z" id="4"/>
    <tableColumn name="Option 2z" id="5"/>
    <tableColumn name="Option 3z" id="6"/>
    <tableColumn name="Option 4z" id="7"/>
    <tableColumn name="Optionsz" id="8"/>
    <tableColumn name="Correct Answerz" id="9"/>
    <tableColumn name="Descriptionz" id="10"/>
  </tableColumns>
  <tableStyleInfo name="chon_wua(bull fighting)-style" showColumnStripes="0" showFirstColumn="1" showLastColumn="1" showRowStripes="1"/>
</table>
</file>

<file path=xl/tables/table2.xml><?xml version="1.0" encoding="utf-8"?>
<table xmlns="http://schemas.openxmlformats.org/spreadsheetml/2006/main" ref="M1:V81" displayName="Table8" name="Table8" id="2">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chon_wua(bull fighting)-style 2" showColumnStripes="0" showFirstColumn="1" showLastColumn="1" showRowStripes="1"/>
</table>
</file>

<file path=xl/tables/table3.xml><?xml version="1.0" encoding="utf-8"?>
<table xmlns="http://schemas.openxmlformats.org/spreadsheetml/2006/main" ref="A1:J81" displayName="Table6" name="Table6" id="3">
  <tableColumns count="10">
    <tableColumn name="Image Namez" id="1"/>
    <tableColumn name="Serial No.z" id="2"/>
    <tableColumn name="Questionz" id="3"/>
    <tableColumn name="Option 1z" id="4"/>
    <tableColumn name="Option 2z" id="5"/>
    <tableColumn name="Option 3z" id="6"/>
    <tableColumn name="Option 4z" id="7"/>
    <tableColumn name="Optionsz" id="8"/>
    <tableColumn name="Correct Answerz" id="9"/>
    <tableColumn name="Descriptionz" id="10"/>
  </tableColumns>
  <tableStyleInfo name="kaeng ruer(boat racing)-style" showColumnStripes="0" showFirstColumn="1" showLastColumn="1" showRowStripes="1"/>
</table>
</file>

<file path=xl/tables/table4.xml><?xml version="1.0" encoding="utf-8"?>
<table xmlns="http://schemas.openxmlformats.org/spreadsheetml/2006/main" ref="M1:V81" displayName="Table7" name="Table7" id="4">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kaeng ruer(boat racing)-style 2" showColumnStripes="0" showFirstColumn="1" showLastColumn="1" showRowStripes="1"/>
</table>
</file>

<file path=xl/tables/table5.xml><?xml version="1.0" encoding="utf-8"?>
<table xmlns="http://schemas.openxmlformats.org/spreadsheetml/2006/main" ref="A1:J71" displayName="Table4" name="Table4" id="5">
  <tableColumns count="10">
    <tableColumn name="Image Namez" id="1"/>
    <tableColumn name="Serial No.z" id="2"/>
    <tableColumn name="Questionz" id="3"/>
    <tableColumn name="Option 1z" id="4"/>
    <tableColumn name="Option 2z" id="5"/>
    <tableColumn name="Option 3z" id="6"/>
    <tableColumn name="Option 4z" id="7"/>
    <tableColumn name="Optionsz" id="8"/>
    <tableColumn name="Correct Answerz" id="9"/>
    <tableColumn name="Descriptionz" id="10"/>
  </tableColumns>
  <tableStyleInfo name="len_wow-style" showColumnStripes="0" showFirstColumn="1" showLastColumn="1" showRowStripes="1"/>
</table>
</file>

<file path=xl/tables/table6.xml><?xml version="1.0" encoding="utf-8"?>
<table xmlns="http://schemas.openxmlformats.org/spreadsheetml/2006/main" ref="M1:V71" displayName="Table5" name="Table5" id="6">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len_wow-style 2" showColumnStripes="0" showFirstColumn="1" showLastColumn="1" showRowStripes="1"/>
</table>
</file>

<file path=xl/tables/table7.xml><?xml version="1.0" encoding="utf-8"?>
<table xmlns="http://schemas.openxmlformats.org/spreadsheetml/2006/main" ref="A1:J71" displayName="Sepak_Takraw_Questions" name="Sepak_Takraw_Questions" id="7">
  <tableColumns count="10">
    <tableColumn name="Image Namez" id="1"/>
    <tableColumn name="Serial No.z" id="2"/>
    <tableColumn name="Questionz" id="3"/>
    <tableColumn name="Option 1z" id="4"/>
    <tableColumn name="Option 2z" id="5"/>
    <tableColumn name="Option 3z" id="6"/>
    <tableColumn name="Option 4z" id="7"/>
    <tableColumn name="Optionsz" id="8"/>
    <tableColumn name="Correct Answerz" id="9"/>
    <tableColumn name="Descriptionz" id="10"/>
  </tableColumns>
  <tableStyleInfo name="Sepak_Takraw-style" showColumnStripes="0" showFirstColumn="1" showLastColumn="1" showRowStripes="1"/>
</table>
</file>

<file path=xl/tables/table8.xml><?xml version="1.0" encoding="utf-8"?>
<table xmlns="http://schemas.openxmlformats.org/spreadsheetml/2006/main" ref="M1:V71" displayName="Table3" name="Table3" id="8">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Sepak_Takraw-style 2" showColumnStripes="0" showFirstColumn="1" showLastColumn="1" showRowStripes="1"/>
</table>
</file>

<file path=xl/tables/table9.xml><?xml version="1.0" encoding="utf-8"?>
<table xmlns="http://schemas.openxmlformats.org/spreadsheetml/2006/main" ref="A1:J101" displayName="Table2" name="Table2" id="9">
  <tableColumns count="10">
    <tableColumn name="Image Namez" id="1"/>
    <tableColumn name="Serial No.z" id="2"/>
    <tableColumn name="Questionz" id="3"/>
    <tableColumn name="Option 1z" id="4"/>
    <tableColumn name="Option 2z" id="5"/>
    <tableColumn name="Option 3z" id="6"/>
    <tableColumn name="Option 4z" id="7"/>
    <tableColumn name="Optionsz" id="8"/>
    <tableColumn name="Correct Answerz" id="9"/>
    <tableColumn name="Descriptionz" id="10"/>
  </tableColumns>
  <tableStyleInfo name="muay_thai-style" showColumnStripes="0" showFirstColumn="1" showLastColumn="1" showRowStripes="1"/>
</table>
</file>

<file path=xl/tables/table10.xml><?xml version="1.0" encoding="utf-8"?>
<table xmlns="http://schemas.openxmlformats.org/spreadsheetml/2006/main" ref="M1:V101" displayName="Table1" name="Table1" id="10">
  <tableColumns count="10">
    <tableColumn name="Image Name" id="1"/>
    <tableColumn name="Serial No." id="2"/>
    <tableColumn name="Question" id="3"/>
    <tableColumn name="Option 1" id="4"/>
    <tableColumn name="Option 2" id="5"/>
    <tableColumn name="Option 3" id="6"/>
    <tableColumn name="Option 4" id="7"/>
    <tableColumn name="Options" id="8"/>
    <tableColumn name="Correct Answer" id="9"/>
    <tableColumn name="Description" id="10"/>
  </tableColumns>
  <tableStyleInfo name="muay_thai-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16.13"/>
    <col customWidth="1" min="3" max="3" width="37.63"/>
    <col customWidth="1" min="4" max="4" width="22.13"/>
    <col customWidth="1" min="5" max="5" width="33.0"/>
    <col customWidth="1" min="6" max="6" width="31.0"/>
    <col customWidth="1" min="7" max="7" width="27.0"/>
    <col customWidth="1" min="8" max="8" width="37.75"/>
    <col customWidth="1" min="9" max="9" width="27.0"/>
    <col customWidth="1" min="10" max="10" width="33.0"/>
    <col customWidth="1" min="11" max="11" width="37.63"/>
    <col customWidth="1" min="14" max="14" width="15.38"/>
    <col customWidth="1" min="15" max="15" width="12.88"/>
    <col customWidth="1" min="21" max="21" width="17.0"/>
    <col customWidth="1" min="22" max="22" width="13.88"/>
  </cols>
  <sheetData>
    <row r="1" ht="22.5" customHeight="1">
      <c r="A1" s="1" t="s">
        <v>0</v>
      </c>
      <c r="B1" s="1" t="s">
        <v>1</v>
      </c>
      <c r="C1" s="1" t="s">
        <v>2</v>
      </c>
      <c r="D1" s="1" t="s">
        <v>3</v>
      </c>
      <c r="E1" s="1" t="s">
        <v>4</v>
      </c>
      <c r="F1" s="1" t="s">
        <v>5</v>
      </c>
      <c r="G1" s="1" t="s">
        <v>6</v>
      </c>
      <c r="H1" s="1" t="s">
        <v>7</v>
      </c>
      <c r="I1" s="1" t="s">
        <v>8</v>
      </c>
      <c r="J1" s="1" t="s">
        <v>9</v>
      </c>
      <c r="M1" s="1" t="s">
        <v>10</v>
      </c>
      <c r="N1" s="1" t="s">
        <v>11</v>
      </c>
      <c r="O1" s="1" t="s">
        <v>12</v>
      </c>
      <c r="P1" s="1" t="s">
        <v>13</v>
      </c>
      <c r="Q1" s="1" t="s">
        <v>14</v>
      </c>
      <c r="R1" s="1" t="s">
        <v>15</v>
      </c>
      <c r="S1" s="1" t="s">
        <v>16</v>
      </c>
      <c r="T1" s="1" t="s">
        <v>17</v>
      </c>
      <c r="U1" s="1" t="s">
        <v>18</v>
      </c>
      <c r="V1" s="1" t="s">
        <v>19</v>
      </c>
    </row>
    <row r="2" ht="22.5" customHeight="1">
      <c r="A2" s="2" t="s">
        <v>20</v>
      </c>
      <c r="B2" s="3">
        <v>1.0</v>
      </c>
      <c r="C2" s="4" t="s">
        <v>21</v>
      </c>
      <c r="D2" s="4" t="s">
        <v>22</v>
      </c>
      <c r="E2" s="4" t="s">
        <v>23</v>
      </c>
      <c r="F2" s="4" t="s">
        <v>24</v>
      </c>
      <c r="G2" s="4" t="s">
        <v>25</v>
      </c>
      <c r="H2" s="4" t="str">
        <f t="array" ref="H2:H50500">TRIM("(A) " &amp; D2:D50500 &amp; " (B) " &amp; E2:E50500 &amp; " (C) " &amp; F2:F50500 &amp; " (D) " &amp; G2:G50500)</f>
        <v>(A) A man leading a bull. (B) A bull fighting another bull. (C) A man on a bull. (D) A bull being trained.</v>
      </c>
      <c r="I2" s="4" t="s">
        <v>22</v>
      </c>
      <c r="J2" s="4" t="s">
        <v>26</v>
      </c>
      <c r="M2" s="4" t="s">
        <v>20</v>
      </c>
      <c r="N2" s="5">
        <v>1.0</v>
      </c>
      <c r="O2" s="6" t="str">
        <f>IFERROR(__xludf.DUMMYFUNCTION("GOOGLETRANSLATE(C2,""en"",""th"")"),"ภาพที่แสดงเป็นกิจกรรมหลักอะไร?")</f>
        <v>ภาพที่แสดงเป็นกิจกรรมหลักอะไร?</v>
      </c>
      <c r="P2" s="6" t="str">
        <f>IFERROR(__xludf.DUMMYFUNCTION("GOOGLETRANSLATE(D2,""en"",""th"")"),"ชายคนหนึ่งกำลังจูงกระทิง")</f>
        <v>ชายคนหนึ่งกำลังจูงกระทิง</v>
      </c>
      <c r="Q2" s="6" t="str">
        <f>IFERROR(__xludf.DUMMYFUNCTION("GOOGLETRANSLATE(E2,""en"",""th"")"),"กระทิงกำลังสู้กับกระทิงอีกตัวหนึ่ง")</f>
        <v>กระทิงกำลังสู้กับกระทิงอีกตัวหนึ่ง</v>
      </c>
      <c r="R2" s="6" t="str">
        <f>IFERROR(__xludf.DUMMYFUNCTION("GOOGLETRANSLATE(F2,""en"",""th"")"),"ชายคนหนึ่งอยู่บนหลังวัวกระทิง")</f>
        <v>ชายคนหนึ่งอยู่บนหลังวัวกระทิง</v>
      </c>
      <c r="S2" s="6" t="str">
        <f>IFERROR(__xludf.DUMMYFUNCTION("GOOGLETRANSLATE(G2,""en"",""th"")"),"กระทิงกำลังถูกฝึก")</f>
        <v>กระทิงกำลังถูกฝึก</v>
      </c>
      <c r="T2" s="6" t="str">
        <f t="array" ref="T2:T81">TRIM(" (A) " &amp; P2:P81 &amp; " (B) " &amp; Q2:Q81 &amp; " (C) " &amp; R2:R81 &amp; " (D) " &amp; S2:S81)</f>
        <v>(A) ชายคนหนึ่งกำลังจูงกระทิง (B) กระทิงกำลังสู้กับกระทิงอีกตัวหนึ่ง (C) ชายคนหนึ่งอยู่บนหลังวัวกระทิง (D) กระทิงกำลังถูกฝึก</v>
      </c>
      <c r="U2" s="6" t="str">
        <f>IFERROR(__xludf.DUMMYFUNCTION("GOOGLETRANSLATE(I2,""en"",""th"")"),"ชายคนหนึ่งกำลังจูงกระทิง")</f>
        <v>ชายคนหนึ่งกำลังจูงกระทิง</v>
      </c>
      <c r="V2" s="6" t="str">
        <f>IFERROR(__xludf.DUMMYFUNCTION("GOOGLETRANSLATE(J2,""en"",""th"")"),"ภาพนี้แสดงให้เห็นชายคนหนึ่งถือไม้ยาวเพื่อนำทางวัวกระทิง ซึ่งเป็นกิจกรรมปกติของการสู้วัวกระทิงในไทย")</f>
        <v>ภาพนี้แสดงให้เห็นชายคนหนึ่งถือไม้ยาวเพื่อนำทางวัวกระทิง ซึ่งเป็นกิจกรรมปกติของการสู้วัวกระทิงในไทย</v>
      </c>
    </row>
    <row r="3" ht="22.5" customHeight="1">
      <c r="A3" s="2" t="s">
        <v>20</v>
      </c>
      <c r="B3" s="3">
        <v>2.0</v>
      </c>
      <c r="C3" s="4" t="s">
        <v>27</v>
      </c>
      <c r="D3" s="4" t="s">
        <v>28</v>
      </c>
      <c r="E3" s="4" t="s">
        <v>29</v>
      </c>
      <c r="F3" s="4" t="s">
        <v>30</v>
      </c>
      <c r="G3" s="4" t="s">
        <v>31</v>
      </c>
      <c r="H3" s="4" t="s">
        <v>32</v>
      </c>
      <c r="I3" s="4" t="s">
        <v>29</v>
      </c>
      <c r="J3" s="4" t="s">
        <v>33</v>
      </c>
      <c r="M3" s="4" t="s">
        <v>20</v>
      </c>
      <c r="N3" s="5">
        <v>2.0</v>
      </c>
      <c r="O3" s="6" t="str">
        <f>IFERROR(__xludf.DUMMYFUNCTION("GOOGLETRANSLATE(C3,""en"",""th"")"),"เสาไม้ยาวที่ผู้ชายถืออยู่มีจุดประสงค์อะไร?")</f>
        <v>เสาไม้ยาวที่ผู้ชายถืออยู่มีจุดประสงค์อะไร?</v>
      </c>
      <c r="P3" s="6" t="str">
        <f>IFERROR(__xludf.DUMMYFUNCTION("GOOGLETRANSLATE(D3,""en"",""th"")"),"เพื่อทำร้ายกระทิง")</f>
        <v>เพื่อทำร้ายกระทิง</v>
      </c>
      <c r="Q3" s="6" t="str">
        <f>IFERROR(__xludf.DUMMYFUNCTION("GOOGLETRANSLATE(E3,""en"",""th"")"),"เพื่อนำทางและควบคุมการเคลื่อนไหวของกระทิง")</f>
        <v>เพื่อนำทางและควบคุมการเคลื่อนไหวของกระทิง</v>
      </c>
      <c r="R3" s="6" t="str">
        <f>IFERROR(__xludf.DUMMYFUNCTION("GOOGLETRANSLATE(F3,""en"",""th"")"),"เพื่อผลักกระทิง")</f>
        <v>เพื่อผลักกระทิง</v>
      </c>
      <c r="S3" s="6" t="str">
        <f>IFERROR(__xludf.DUMMYFUNCTION("GOOGLETRANSLATE(G3,""en"",""th"")"),"เพื่อเป็นสัญญาณการเริ่มการแข่งขัน")</f>
        <v>เพื่อเป็นสัญญาณการเริ่มการแข่งขัน</v>
      </c>
      <c r="T3" s="6" t="s">
        <v>34</v>
      </c>
      <c r="U3" s="6" t="str">
        <f>IFERROR(__xludf.DUMMYFUNCTION("GOOGLETRANSLATE(I3,""en"",""th"")"),"เพื่อนำทางและควบคุมการเคลื่อนไหวของกระทิง")</f>
        <v>เพื่อนำทางและควบคุมการเคลื่อนไหวของกระทิง</v>
      </c>
      <c r="V3" s="6" t="str">
        <f>IFERROR(__xludf.DUMMYFUNCTION("GOOGLETRANSLATE(J3,""en"",""th"")"),"เสาที่ยาวเป็นเครื่องมือที่ใช้ในการนำการเคลื่อนไหวของกระทิงและทำให้กระทิงอยู่ในแนวตรง รวมทั้งใช้รักษาให้กระทิงสงบ")</f>
        <v>เสาที่ยาวเป็นเครื่องมือที่ใช้ในการนำการเคลื่อนไหวของกระทิงและทำให้กระทิงอยู่ในแนวตรง รวมทั้งใช้รักษาให้กระทิงสงบ</v>
      </c>
    </row>
    <row r="4" ht="22.5" customHeight="1">
      <c r="A4" s="2" t="s">
        <v>20</v>
      </c>
      <c r="B4" s="3">
        <v>3.0</v>
      </c>
      <c r="C4" s="4" t="s">
        <v>35</v>
      </c>
      <c r="D4" s="4" t="s">
        <v>36</v>
      </c>
      <c r="E4" s="4" t="s">
        <v>37</v>
      </c>
      <c r="F4" s="4" t="s">
        <v>38</v>
      </c>
      <c r="G4" s="4" t="s">
        <v>39</v>
      </c>
      <c r="H4" s="4" t="s">
        <v>40</v>
      </c>
      <c r="I4" s="4" t="s">
        <v>38</v>
      </c>
      <c r="J4" s="4" t="s">
        <v>41</v>
      </c>
      <c r="M4" s="4" t="s">
        <v>20</v>
      </c>
      <c r="N4" s="5">
        <v>3.0</v>
      </c>
      <c r="O4" s="6" t="str">
        <f>IFERROR(__xludf.DUMMYFUNCTION("GOOGLETRANSLATE(C4,""en"",""th"")"),"ลักษณะเด่นของร่างกายวัวคืออะไร?")</f>
        <v>ลักษณะเด่นของร่างกายวัวคืออะไร?</v>
      </c>
      <c r="P4" s="6" t="str">
        <f>IFERROR(__xludf.DUMMYFUNCTION("GOOGLETRANSLATE(D4,""en"",""th"")"),"มันมีปลอกคอ")</f>
        <v>มันมีปลอกคอ</v>
      </c>
      <c r="Q4" s="6" t="str">
        <f>IFERROR(__xludf.DUMMYFUNCTION("GOOGLETRANSLATE(E4,""en"",""th"")"),"มันมีสายรัด")</f>
        <v>มันมีสายรัด</v>
      </c>
      <c r="R4" s="6" t="str">
        <f>IFERROR(__xludf.DUMMYFUNCTION("GOOGLETRANSLATE(F4,""en"",""th"")"),"มีหลังโค้งใหญ่")</f>
        <v>มีหลังโค้งใหญ่</v>
      </c>
      <c r="S4" s="6" t="str">
        <f>IFERROR(__xludf.DUMMYFUNCTION("GOOGLETRANSLATE(G4,""en"",""th"")"),"มันมีเชือกอยู่รอบคอ")</f>
        <v>มันมีเชือกอยู่รอบคอ</v>
      </c>
      <c r="T4" s="6" t="s">
        <v>42</v>
      </c>
      <c r="U4" s="6" t="str">
        <f>IFERROR(__xludf.DUMMYFUNCTION("GOOGLETRANSLATE(I4,""en"",""th"")"),"มีหลังโค้งใหญ่")</f>
        <v>มีหลังโค้งใหญ่</v>
      </c>
      <c r="V4" s="6" t="str">
        <f>IFERROR(__xludf.DUMMYFUNCTION("GOOGLETRANSLATE(J4,""en"",""th"")"),"โคตัวผู้มีหลังโค้งเด่นชัด ซึ่งเป็นลักษณะเฉพาะของโคพันธุ์เซบู ซึ่งเป็นสายพันธุ์ที่นิยมใช้ในการสู้วัวกระทิงของไทย")</f>
        <v>โคตัวผู้มีหลังโค้งเด่นชัด ซึ่งเป็นลักษณะเฉพาะของโคพันธุ์เซบู ซึ่งเป็นสายพันธุ์ที่นิยมใช้ในการสู้วัวกระทิงของไทย</v>
      </c>
    </row>
    <row r="5" ht="22.5" customHeight="1">
      <c r="A5" s="2" t="s">
        <v>20</v>
      </c>
      <c r="B5" s="3">
        <v>4.0</v>
      </c>
      <c r="C5" s="4" t="s">
        <v>43</v>
      </c>
      <c r="D5" s="4" t="s">
        <v>44</v>
      </c>
      <c r="E5" s="4" t="s">
        <v>45</v>
      </c>
      <c r="F5" s="4" t="s">
        <v>46</v>
      </c>
      <c r="G5" s="4" t="s">
        <v>47</v>
      </c>
      <c r="H5" s="4" t="s">
        <v>48</v>
      </c>
      <c r="I5" s="4" t="s">
        <v>46</v>
      </c>
      <c r="J5" s="4" t="s">
        <v>49</v>
      </c>
      <c r="M5" s="4" t="s">
        <v>20</v>
      </c>
      <c r="N5" s="5">
        <v>4.0</v>
      </c>
      <c r="O5" s="6" t="str">
        <f>IFERROR(__xludf.DUMMYFUNCTION("GOOGLETRANSLATE(C5,""en"",""th"")"),"ชายคนนี้เท้าเปล่า สิ่งนี้บ่งบอกอะไรเกี่ยวกับสิ่งแวดล้อมบ้าง?")</f>
        <v>ชายคนนี้เท้าเปล่า สิ่งนี้บ่งบอกอะไรเกี่ยวกับสิ่งแวดล้อมบ้าง?</v>
      </c>
      <c r="P5" s="6" t="str">
        <f>IFERROR(__xludf.DUMMYFUNCTION("GOOGLETRANSLATE(D5,""en"",""th"")"),"เป็นสนามกีฬาที่มีความทันสมัย")</f>
        <v>เป็นสนามกีฬาที่มีความทันสมัย</v>
      </c>
      <c r="Q5" s="6" t="str">
        <f>IFERROR(__xludf.DUMMYFUNCTION("GOOGLETRANSLATE(E5,""en"",""th"")"),"เป็นสนามต่อสู้อย่างเป็นทางการ")</f>
        <v>เป็นสนามต่อสู้อย่างเป็นทางการ</v>
      </c>
      <c r="R5" s="6" t="str">
        <f>IFERROR(__xludf.DUMMYFUNCTION("GOOGLETRANSLATE(F5,""en"",""th"")"),"เป็นบรรยากาศแบบดั้งเดิมและชนบทมากขึ้น")</f>
        <v>เป็นบรรยากาศแบบดั้งเดิมและชนบทมากขึ้น</v>
      </c>
      <c r="S5" s="6" t="str">
        <f>IFERROR(__xludf.DUMMYFUNCTION("GOOGLETRANSLATE(G5,""en"",""th"")"),"เป็นงานส่วนตัว")</f>
        <v>เป็นงานส่วนตัว</v>
      </c>
      <c r="T5" s="6" t="s">
        <v>50</v>
      </c>
      <c r="U5" s="6" t="str">
        <f>IFERROR(__xludf.DUMMYFUNCTION("GOOGLETRANSLATE(I5,""en"",""th"")"),"เป็นบรรยากาศแบบดั้งเดิมและชนบทมากขึ้น")</f>
        <v>เป็นบรรยากาศแบบดั้งเดิมและชนบทมากขึ้น</v>
      </c>
      <c r="V5" s="6" t="str">
        <f>IFERROR(__xludf.DUMMYFUNCTION("GOOGLETRANSLATE(J5,""en"",""th"")"),"การที่ชายคนหนึ่งเดินเท้าเปล่าในสนามดินทำให้นึกถึงบรรยากาศแบบดั้งเดิม ไม่เป็นทางการ และเป็นชนบท มากกว่าจะเป็นสนามกีฬาสมัยใหม่")</f>
        <v>การที่ชายคนหนึ่งเดินเท้าเปล่าในสนามดินทำให้นึกถึงบรรยากาศแบบดั้งเดิม ไม่เป็นทางการ และเป็นชนบท มากกว่าจะเป็นสนามกีฬาสมัยใหม่</v>
      </c>
    </row>
    <row r="6" ht="22.5" customHeight="1">
      <c r="A6" s="2" t="s">
        <v>20</v>
      </c>
      <c r="B6" s="3">
        <v>5.0</v>
      </c>
      <c r="C6" s="4" t="s">
        <v>51</v>
      </c>
      <c r="D6" s="4" t="s">
        <v>52</v>
      </c>
      <c r="E6" s="4" t="s">
        <v>53</v>
      </c>
      <c r="F6" s="4" t="s">
        <v>54</v>
      </c>
      <c r="G6" s="4" t="s">
        <v>55</v>
      </c>
      <c r="H6" s="4" t="s">
        <v>56</v>
      </c>
      <c r="I6" s="4" t="s">
        <v>52</v>
      </c>
      <c r="J6" s="4" t="s">
        <v>57</v>
      </c>
      <c r="M6" s="4" t="s">
        <v>20</v>
      </c>
      <c r="N6" s="5">
        <v>5.0</v>
      </c>
      <c r="O6" s="6" t="str">
        <f>IFERROR(__xludf.DUMMYFUNCTION("GOOGLETRANSLATE(C6,""en"",""th"")"),"ฝูงชนหลังรั้วมีจุดประสงค์อะไร?")</f>
        <v>ฝูงชนหลังรั้วมีจุดประสงค์อะไร?</v>
      </c>
      <c r="P6" s="6" t="str">
        <f>IFERROR(__xludf.DUMMYFUNCTION("GOOGLETRANSLATE(D6,""en"",""th"")"),"พวกเขาเป็นผู้ชม")</f>
        <v>พวกเขาเป็นผู้ชม</v>
      </c>
      <c r="Q6" s="6" t="str">
        <f>IFERROR(__xludf.DUMMYFUNCTION("GOOGLETRANSLATE(E6,""en"",""th"")"),"พวกเขาเป็นนักสู้คนอื่น")</f>
        <v>พวกเขาเป็นนักสู้คนอื่น</v>
      </c>
      <c r="R6" s="6" t="str">
        <f>IFERROR(__xludf.DUMMYFUNCTION("GOOGLETRANSLATE(F6,""en"",""th"")"),"พวกเขาเป็นผู้พิพากษา")</f>
        <v>พวกเขาเป็นผู้พิพากษา</v>
      </c>
      <c r="S6" s="6" t="str">
        <f>IFERROR(__xludf.DUMMYFUNCTION("GOOGLETRANSLATE(G6,""en"",""th"")"),"พวกเขาเป็นเจ้าหน้าที่รักษาความปลอดภัย")</f>
        <v>พวกเขาเป็นเจ้าหน้าที่รักษาความปลอดภัย</v>
      </c>
      <c r="T6" s="6" t="s">
        <v>58</v>
      </c>
      <c r="U6" s="6" t="str">
        <f>IFERROR(__xludf.DUMMYFUNCTION("GOOGLETRANSLATE(I6,""en"",""th"")"),"พวกเขาเป็นผู้ชม")</f>
        <v>พวกเขาเป็นผู้ชม</v>
      </c>
      <c r="V6" s="6" t="str">
        <f>IFERROR(__xludf.DUMMYFUNCTION("GOOGLETRANSLATE(J6,""en"",""th"")"),"ผู้คนจำนวนมากที่อยู่หลังรั้วกำลังชมงานอยู่ แสดงให้เห็นว่าพวกเขาคือผู้ชมคนหนึ่งหรือหลายคน")</f>
        <v>ผู้คนจำนวนมากที่อยู่หลังรั้วกำลังชมงานอยู่ แสดงให้เห็นว่าพวกเขาคือผู้ชมคนหนึ่งหรือหลายคน</v>
      </c>
    </row>
    <row r="7" ht="22.5" customHeight="1">
      <c r="A7" s="2" t="s">
        <v>59</v>
      </c>
      <c r="B7" s="3">
        <v>6.0</v>
      </c>
      <c r="C7" s="4" t="s">
        <v>21</v>
      </c>
      <c r="D7" s="4" t="s">
        <v>60</v>
      </c>
      <c r="E7" s="4" t="s">
        <v>61</v>
      </c>
      <c r="F7" s="4" t="s">
        <v>25</v>
      </c>
      <c r="G7" s="4" t="s">
        <v>62</v>
      </c>
      <c r="H7" s="4" t="s">
        <v>63</v>
      </c>
      <c r="I7" s="4" t="s">
        <v>60</v>
      </c>
      <c r="J7" s="4" t="s">
        <v>64</v>
      </c>
      <c r="M7" s="4" t="s">
        <v>59</v>
      </c>
      <c r="N7" s="5">
        <v>6.0</v>
      </c>
      <c r="O7" s="6" t="str">
        <f>IFERROR(__xludf.DUMMYFUNCTION("GOOGLETRANSLATE(C7,""en"",""th"")"),"ภาพที่แสดงเป็นกิจกรรมหลักอะไร?")</f>
        <v>ภาพที่แสดงเป็นกิจกรรมหลักอะไร?</v>
      </c>
      <c r="P7" s="6" t="str">
        <f>IFERROR(__xludf.DUMMYFUNCTION("GOOGLETRANSLATE(D7,""en"",""th"")"),"กระทิงสองตัวกำลังต่อสู้กัน")</f>
        <v>กระทิงสองตัวกำลังต่อสู้กัน</v>
      </c>
      <c r="Q7" s="6" t="str">
        <f>IFERROR(__xludf.DUMMYFUNCTION("GOOGLETRANSLATE(E7,""en"",""th"")"),"กระทิงสองตัวกำลังพักผ่อน")</f>
        <v>กระทิงสองตัวกำลังพักผ่อน</v>
      </c>
      <c r="R7" s="6" t="str">
        <f>IFERROR(__xludf.DUMMYFUNCTION("GOOGLETRANSLATE(F7,""en"",""th"")"),"กระทิงกำลังถูกฝึก")</f>
        <v>กระทิงกำลังถูกฝึก</v>
      </c>
      <c r="S7" s="6" t="str">
        <f>IFERROR(__xludf.DUMMYFUNCTION("GOOGLETRANSLATE(G7,""en"",""th"")"),"กระทิงกำลังถูกจูง")</f>
        <v>กระทิงกำลังถูกจูง</v>
      </c>
      <c r="T7" s="6" t="s">
        <v>65</v>
      </c>
      <c r="U7" s="6" t="str">
        <f>IFERROR(__xludf.DUMMYFUNCTION("GOOGLETRANSLATE(I7,""en"",""th"")"),"กระทิงสองตัวกำลังต่อสู้กัน")</f>
        <v>กระทิงสองตัวกำลังต่อสู้กัน</v>
      </c>
      <c r="V7" s="6" t="str">
        <f>IFERROR(__xludf.DUMMYFUNCTION("GOOGLETRANSLATE(J7,""en"",""th"")"),"ในภาพเป็นภาพกระทิง 2 ตัวที่มีหัวและเขาประสานกัน ซึ่งเป็นหัวใจสำคัญของการสู้วัวกระทิงของไทย")</f>
        <v>ในภาพเป็นภาพกระทิง 2 ตัวที่มีหัวและเขาประสานกัน ซึ่งเป็นหัวใจสำคัญของการสู้วัวกระทิงของไทย</v>
      </c>
    </row>
    <row r="8" ht="22.5" customHeight="1">
      <c r="A8" s="2" t="s">
        <v>59</v>
      </c>
      <c r="B8" s="3">
        <v>7.0</v>
      </c>
      <c r="C8" s="4" t="s">
        <v>66</v>
      </c>
      <c r="D8" s="4" t="s">
        <v>67</v>
      </c>
      <c r="E8" s="4" t="s">
        <v>68</v>
      </c>
      <c r="F8" s="4" t="s">
        <v>69</v>
      </c>
      <c r="G8" s="4" t="s">
        <v>70</v>
      </c>
      <c r="H8" s="4" t="s">
        <v>71</v>
      </c>
      <c r="I8" s="4" t="s">
        <v>68</v>
      </c>
      <c r="J8" s="4" t="s">
        <v>72</v>
      </c>
      <c r="M8" s="4" t="s">
        <v>59</v>
      </c>
      <c r="N8" s="5">
        <v>7.0</v>
      </c>
      <c r="O8" s="6" t="str">
        <f>IFERROR(__xludf.DUMMYFUNCTION("GOOGLETRANSLATE(C8,""en"",""th"")"),"แหวนที่จมูกวัวมีไว้เพื่ออะไร?")</f>
        <v>แหวนที่จมูกวัวมีไว้เพื่ออะไร?</v>
      </c>
      <c r="P8" s="6" t="str">
        <f>IFERROR(__xludf.DUMMYFUNCTION("GOOGLETRANSLATE(D8,""en"",""th"")"),"มันเป็นของตกแต่ง")</f>
        <v>มันเป็นของตกแต่ง</v>
      </c>
      <c r="Q8" s="6" t="str">
        <f>IFERROR(__xludf.DUMMYFUNCTION("GOOGLETRANSLATE(E8,""en"",""th"")"),"เป็นเครื่องมือสำหรับนำทางกระทิง")</f>
        <v>เป็นเครื่องมือสำหรับนำทางกระทิง</v>
      </c>
      <c r="R8" s="6" t="str">
        <f>IFERROR(__xludf.DUMMYFUNCTION("GOOGLETRANSLATE(F8,""en"",""th"")"),"เป็นสัญลักษณ์แห่งโคชั้นสูง")</f>
        <v>เป็นสัญลักษณ์แห่งโคชั้นสูง</v>
      </c>
      <c r="S8" s="6" t="str">
        <f>IFERROR(__xludf.DUMMYFUNCTION("GOOGLETRANSLATE(G8,""en"",""th"")"),"เป็นสัญญาณของกระทิงที่ชนะ")</f>
        <v>เป็นสัญญาณของกระทิงที่ชนะ</v>
      </c>
      <c r="T8" s="6" t="s">
        <v>73</v>
      </c>
      <c r="U8" s="6" t="str">
        <f>IFERROR(__xludf.DUMMYFUNCTION("GOOGLETRANSLATE(I8,""en"",""th"")"),"เป็นเครื่องมือสำหรับนำทางกระทิง")</f>
        <v>เป็นเครื่องมือสำหรับนำทางกระทิง</v>
      </c>
      <c r="V8" s="6" t="str">
        <f>IFERROR(__xludf.DUMMYFUNCTION("GOOGLETRANSLATE(J8,""en"",""th"")"),"แหวนจมูก หรือที่เรียกอีกอย่างว่า สายจูงจมูก เป็นเครื่องมือที่ผู้ฝึกใช้เพื่อชี้นำและควบคุมการเคลื่อนไหวของวัวกระทิง")</f>
        <v>แหวนจมูก หรือที่เรียกอีกอย่างว่า สายจูงจมูก เป็นเครื่องมือที่ผู้ฝึกใช้เพื่อชี้นำและควบคุมการเคลื่อนไหวของวัวกระทิง</v>
      </c>
    </row>
    <row r="9" ht="22.5" customHeight="1">
      <c r="A9" s="2" t="s">
        <v>59</v>
      </c>
      <c r="B9" s="3">
        <v>8.0</v>
      </c>
      <c r="C9" s="4" t="s">
        <v>74</v>
      </c>
      <c r="D9" s="4" t="s">
        <v>75</v>
      </c>
      <c r="E9" s="4" t="s">
        <v>76</v>
      </c>
      <c r="F9" s="4" t="s">
        <v>77</v>
      </c>
      <c r="G9" s="4" t="s">
        <v>78</v>
      </c>
      <c r="H9" s="4" t="s">
        <v>79</v>
      </c>
      <c r="I9" s="4" t="s">
        <v>77</v>
      </c>
      <c r="J9" s="4" t="s">
        <v>80</v>
      </c>
      <c r="M9" s="4" t="s">
        <v>59</v>
      </c>
      <c r="N9" s="5">
        <v>8.0</v>
      </c>
      <c r="O9" s="6" t="str">
        <f>IFERROR(__xludf.DUMMYFUNCTION("GOOGLETRANSLATE(C9,""en"",""th"")"),"วัวกระทิงมีรอยแผลเป็นและรอยต่างๆ บนเขา สิ่งนี้บ่งบอกอะไร?")</f>
        <v>วัวกระทิงมีรอยแผลเป็นและรอยต่างๆ บนเขา สิ่งนี้บ่งบอกอะไร?</v>
      </c>
      <c r="P9" s="6" t="str">
        <f>IFERROR(__xludf.DUMMYFUNCTION("GOOGLETRANSLATE(D9,""en"",""th"")"),"พวกเขาได้รับบาดเจ็บ")</f>
        <v>พวกเขาได้รับบาดเจ็บ</v>
      </c>
      <c r="Q9" s="6" t="str">
        <f>IFERROR(__xludf.DUMMYFUNCTION("GOOGLETRANSLATE(E9,""en"",""th"")"),"พวกเขาเป็นสัญลักษณ์ของกระทิงป่า")</f>
        <v>พวกเขาเป็นสัญลักษณ์ของกระทิงป่า</v>
      </c>
      <c r="R9" s="6" t="str">
        <f>IFERROR(__xludf.DUMMYFUNCTION("GOOGLETRANSLATE(F9,""en"",""th"")"),"พวกเขามีประวัติการต่อสู้กัน")</f>
        <v>พวกเขามีประวัติการต่อสู้กัน</v>
      </c>
      <c r="S9" s="6" t="str">
        <f>IFERROR(__xludf.DUMMYFUNCTION("GOOGLETRANSLATE(G9,""en"",""th"")"),"พวกเขาแก่แล้ว")</f>
        <v>พวกเขาแก่แล้ว</v>
      </c>
      <c r="T9" s="6" t="s">
        <v>81</v>
      </c>
      <c r="U9" s="6" t="str">
        <f>IFERROR(__xludf.DUMMYFUNCTION("GOOGLETRANSLATE(I9,""en"",""th"")"),"พวกเขามีประวัติการต่อสู้กัน")</f>
        <v>พวกเขามีประวัติการต่อสู้กัน</v>
      </c>
      <c r="V9" s="6" t="str">
        <f>IFERROR(__xludf.DUMMYFUNCTION("GOOGLETRANSLATE(J9,""en"",""th"")"),"การสึกหรอที่มองเห็นได้บนเขาถือเป็นสัญญาณที่ชัดเจนของประวัติศาสตร์การต่อสู้ของกระทิง ซึ่งเป็นส่วนสำคัญของสถานะของพวกมัน")</f>
        <v>การสึกหรอที่มองเห็นได้บนเขาถือเป็นสัญญาณที่ชัดเจนของประวัติศาสตร์การต่อสู้ของกระทิง ซึ่งเป็นส่วนสำคัญของสถานะของพวกมัน</v>
      </c>
    </row>
    <row r="10" ht="22.5" customHeight="1">
      <c r="A10" s="2" t="s">
        <v>59</v>
      </c>
      <c r="B10" s="3">
        <v>9.0</v>
      </c>
      <c r="C10" s="4" t="s">
        <v>82</v>
      </c>
      <c r="D10" s="4" t="s">
        <v>83</v>
      </c>
      <c r="E10" s="4" t="s">
        <v>84</v>
      </c>
      <c r="F10" s="4" t="s">
        <v>85</v>
      </c>
      <c r="G10" s="4" t="s">
        <v>86</v>
      </c>
      <c r="H10" s="4" t="s">
        <v>87</v>
      </c>
      <c r="I10" s="4" t="s">
        <v>84</v>
      </c>
      <c r="J10" s="4" t="s">
        <v>88</v>
      </c>
      <c r="M10" s="4" t="s">
        <v>59</v>
      </c>
      <c r="N10" s="5">
        <v>9.0</v>
      </c>
      <c r="O10" s="6" t="str">
        <f>IFERROR(__xludf.DUMMYFUNCTION("GOOGLETRANSLATE(C10,""en"",""th"")"),"หน้ากระทิงแสดงอารมณ์อะไร?")</f>
        <v>หน้ากระทิงแสดงอารมณ์อะไร?</v>
      </c>
      <c r="P10" s="6" t="str">
        <f>IFERROR(__xludf.DUMMYFUNCTION("GOOGLETRANSLATE(D10,""en"",""th"")"),"พวกเขาโกรธ")</f>
        <v>พวกเขาโกรธ</v>
      </c>
      <c r="Q10" s="6" t="str">
        <f>IFERROR(__xludf.DUMMYFUNCTION("GOOGLETRANSLATE(E10,""en"",""th"")"),"พวกเขามีความมุ่งมั่นและตั้งใจ")</f>
        <v>พวกเขามีความมุ่งมั่นและตั้งใจ</v>
      </c>
      <c r="R10" s="6" t="str">
        <f>IFERROR(__xludf.DUMMYFUNCTION("GOOGLETRANSLATE(F10,""en"",""th"")"),"พวกเขาหวาดกลัว")</f>
        <v>พวกเขาหวาดกลัว</v>
      </c>
      <c r="S10" s="6" t="str">
        <f>IFERROR(__xludf.DUMMYFUNCTION("GOOGLETRANSLATE(G10,""en"",""th"")"),"พวกเขาสับสน")</f>
        <v>พวกเขาสับสน</v>
      </c>
      <c r="T10" s="6" t="s">
        <v>89</v>
      </c>
      <c r="U10" s="6" t="str">
        <f>IFERROR(__xludf.DUMMYFUNCTION("GOOGLETRANSLATE(I10,""en"",""th"")"),"พวกเขามีความมุ่งมั่นและตั้งใจ")</f>
        <v>พวกเขามีความมุ่งมั่นและตั้งใจ</v>
      </c>
      <c r="V10" s="6" t="str">
        <f>IFERROR(__xludf.DUMMYFUNCTION("GOOGLETRANSLATE(J10,""en"",""th"")"),"การแสดงออกของวัวกระทิง คิ้วขมวดและดวงตาที่เข้มข้น แสดงให้เห็นถึงสมาธิและความมุ่งมั่นในระดับสูง")</f>
        <v>การแสดงออกของวัวกระทิง คิ้วขมวดและดวงตาที่เข้มข้น แสดงให้เห็นถึงสมาธิและความมุ่งมั่นในระดับสูง</v>
      </c>
    </row>
    <row r="11" ht="22.5" customHeight="1">
      <c r="A11" s="2" t="s">
        <v>59</v>
      </c>
      <c r="B11" s="3">
        <v>10.0</v>
      </c>
      <c r="C11" s="4" t="s">
        <v>90</v>
      </c>
      <c r="D11" s="4" t="s">
        <v>91</v>
      </c>
      <c r="E11" s="4" t="s">
        <v>92</v>
      </c>
      <c r="F11" s="4" t="s">
        <v>93</v>
      </c>
      <c r="G11" s="4" t="s">
        <v>94</v>
      </c>
      <c r="H11" s="4" t="s">
        <v>95</v>
      </c>
      <c r="I11" s="4" t="s">
        <v>93</v>
      </c>
      <c r="J11" s="4" t="s">
        <v>96</v>
      </c>
      <c r="M11" s="4" t="s">
        <v>59</v>
      </c>
      <c r="N11" s="5">
        <v>10.0</v>
      </c>
      <c r="O11" s="6" t="str">
        <f>IFERROR(__xludf.DUMMYFUNCTION("GOOGLETRANSLATE(C11,""en"",""th"")"),"ลักษณะเด่นของกระทิงบนหัวซ้ายคืออะไร?")</f>
        <v>ลักษณะเด่นของกระทิงบนหัวซ้ายคืออะไร?</v>
      </c>
      <c r="P11" s="6" t="str">
        <f>IFERROR(__xludf.DUMMYFUNCTION("GOOGLETRANSLATE(D11,""en"",""th"")"),"มันมีเขาที่ยาวมาก")</f>
        <v>มันมีเขาที่ยาวมาก</v>
      </c>
      <c r="Q11" s="6" t="str">
        <f>IFERROR(__xludf.DUMMYFUNCTION("GOOGLETRANSLATE(E11,""en"",""th"")"),"มันมีเขาสั้นมาก")</f>
        <v>มันมีเขาสั้นมาก</v>
      </c>
      <c r="R11" s="6" t="str">
        <f>IFERROR(__xludf.DUMMYFUNCTION("GOOGLETRANSLATE(F11,""en"",""th"")"),"เขาของมันถูกหุ้มด้วยผ้าสีแดง")</f>
        <v>เขาของมันถูกหุ้มด้วยผ้าสีแดง</v>
      </c>
      <c r="S11" s="6" t="str">
        <f>IFERROR(__xludf.DUMMYFUNCTION("GOOGLETRANSLATE(G11,""en"",""th"")"),"เขาของมันมีดอกไม้ประดับอยู่")</f>
        <v>เขาของมันมีดอกไม้ประดับอยู่</v>
      </c>
      <c r="T11" s="6" t="s">
        <v>97</v>
      </c>
      <c r="U11" s="6" t="str">
        <f>IFERROR(__xludf.DUMMYFUNCTION("GOOGLETRANSLATE(I11,""en"",""th"")"),"เขาของมันถูกหุ้มด้วยผ้าสีแดง")</f>
        <v>เขาของมันถูกหุ้มด้วยผ้าสีแดง</v>
      </c>
      <c r="V11" s="6" t="str">
        <f>IFERROR(__xludf.DUMMYFUNCTION("GOOGLETRANSLATE(J11,""en"",""th"")"),"วัวตัวซ้ายมีผ้าสีแดงพันรอบโคนเขาซึ่งเป็นธรรมเนียมปฏิบัติของวัวชน เป็นสัญลักษณ์ของอำนาจและโชคลาภ")</f>
        <v>วัวตัวซ้ายมีผ้าสีแดงพันรอบโคนเขาซึ่งเป็นธรรมเนียมปฏิบัติของวัวชน เป็นสัญลักษณ์ของอำนาจและโชคลาภ</v>
      </c>
    </row>
    <row r="12" ht="22.5" customHeight="1">
      <c r="A12" s="2" t="s">
        <v>98</v>
      </c>
      <c r="B12" s="3">
        <v>11.0</v>
      </c>
      <c r="C12" s="4" t="s">
        <v>21</v>
      </c>
      <c r="D12" s="4" t="s">
        <v>60</v>
      </c>
      <c r="E12" s="4" t="s">
        <v>61</v>
      </c>
      <c r="F12" s="4" t="s">
        <v>25</v>
      </c>
      <c r="G12" s="4" t="s">
        <v>62</v>
      </c>
      <c r="H12" s="4" t="s">
        <v>63</v>
      </c>
      <c r="I12" s="4" t="s">
        <v>60</v>
      </c>
      <c r="J12" s="4" t="s">
        <v>64</v>
      </c>
      <c r="M12" s="4" t="s">
        <v>98</v>
      </c>
      <c r="N12" s="5">
        <v>11.0</v>
      </c>
      <c r="O12" s="6" t="str">
        <f>IFERROR(__xludf.DUMMYFUNCTION("GOOGLETRANSLATE(C12,""en"",""th"")"),"ภาพที่แสดงเป็นกิจกรรมหลักอะไร?")</f>
        <v>ภาพที่แสดงเป็นกิจกรรมหลักอะไร?</v>
      </c>
      <c r="P12" s="6" t="str">
        <f>IFERROR(__xludf.DUMMYFUNCTION("GOOGLETRANSLATE(D12,""en"",""th"")"),"กระทิงสองตัวกำลังต่อสู้กัน")</f>
        <v>กระทิงสองตัวกำลังต่อสู้กัน</v>
      </c>
      <c r="Q12" s="6" t="str">
        <f>IFERROR(__xludf.DUMMYFUNCTION("GOOGLETRANSLATE(E12,""en"",""th"")"),"กระทิงสองตัวกำลังพักผ่อน")</f>
        <v>กระทิงสองตัวกำลังพักผ่อน</v>
      </c>
      <c r="R12" s="6" t="str">
        <f>IFERROR(__xludf.DUMMYFUNCTION("GOOGLETRANSLATE(F12,""en"",""th"")"),"กระทิงกำลังถูกฝึก")</f>
        <v>กระทิงกำลังถูกฝึก</v>
      </c>
      <c r="S12" s="6" t="str">
        <f>IFERROR(__xludf.DUMMYFUNCTION("GOOGLETRANSLATE(G12,""en"",""th"")"),"กระทิงกำลังถูกจูง")</f>
        <v>กระทิงกำลังถูกจูง</v>
      </c>
      <c r="T12" s="6" t="s">
        <v>65</v>
      </c>
      <c r="U12" s="6" t="str">
        <f>IFERROR(__xludf.DUMMYFUNCTION("GOOGLETRANSLATE(I12,""en"",""th"")"),"กระทิงสองตัวกำลังต่อสู้กัน")</f>
        <v>กระทิงสองตัวกำลังต่อสู้กัน</v>
      </c>
      <c r="V12" s="6" t="str">
        <f>IFERROR(__xludf.DUMMYFUNCTION("GOOGLETRANSLATE(J12,""en"",""th"")"),"ในภาพเป็นภาพกระทิง 2 ตัวที่มีหัวและเขาประสานกัน ซึ่งเป็นหัวใจสำคัญของการสู้วัวกระทิงของไทย")</f>
        <v>ในภาพเป็นภาพกระทิง 2 ตัวที่มีหัวและเขาประสานกัน ซึ่งเป็นหัวใจสำคัญของการสู้วัวกระทิงของไทย</v>
      </c>
    </row>
    <row r="13" ht="22.5" customHeight="1">
      <c r="A13" s="2" t="s">
        <v>98</v>
      </c>
      <c r="B13" s="3">
        <v>12.0</v>
      </c>
      <c r="C13" s="4" t="s">
        <v>99</v>
      </c>
      <c r="D13" s="4" t="s">
        <v>100</v>
      </c>
      <c r="E13" s="4" t="s">
        <v>101</v>
      </c>
      <c r="F13" s="4" t="s">
        <v>102</v>
      </c>
      <c r="G13" s="4" t="s">
        <v>103</v>
      </c>
      <c r="H13" s="4" t="s">
        <v>104</v>
      </c>
      <c r="I13" s="4" t="s">
        <v>101</v>
      </c>
      <c r="J13" s="4" t="s">
        <v>105</v>
      </c>
      <c r="M13" s="4" t="s">
        <v>98</v>
      </c>
      <c r="N13" s="5">
        <v>12.0</v>
      </c>
      <c r="O13" s="6" t="str">
        <f>IFERROR(__xludf.DUMMYFUNCTION("GOOGLETRANSLATE(C13,""en"",""th"")"),"กระทิงสู้กันในสภาพแวดล้อมแบบไหน?")</f>
        <v>กระทิงสู้กันในสภาพแวดล้อมแบบไหน?</v>
      </c>
      <c r="P13" s="6" t="str">
        <f>IFERROR(__xludf.DUMMYFUNCTION("GOOGLETRANSLATE(D13,""en"",""th"")"),"ลานปูหิน")</f>
        <v>ลานปูหิน</v>
      </c>
      <c r="Q13" s="6" t="str">
        <f>IFERROR(__xludf.DUMMYFUNCTION("GOOGLETRANSLATE(E13,""en"",""th"")"),"หลุมดินและโคลน")</f>
        <v>หลุมดินและโคลน</v>
      </c>
      <c r="R13" s="6" t="str">
        <f>IFERROR(__xludf.DUMMYFUNCTION("GOOGLETRANSLATE(F13,""en"",""th"")"),"ทุ่งโล่งกว้างใหญ่")</f>
        <v>ทุ่งโล่งกว้างใหญ่</v>
      </c>
      <c r="S13" s="6" t="str">
        <f>IFERROR(__xludf.DUMMYFUNCTION("GOOGLETRANSLATE(G13,""en"",""th"")"),"สนามกีฬาในร่ม")</f>
        <v>สนามกีฬาในร่ม</v>
      </c>
      <c r="T13" s="6" t="s">
        <v>106</v>
      </c>
      <c r="U13" s="6" t="str">
        <f>IFERROR(__xludf.DUMMYFUNCTION("GOOGLETRANSLATE(I13,""en"",""th"")"),"หลุมดินและโคลน")</f>
        <v>หลุมดินและโคลน</v>
      </c>
      <c r="V13" s="6" t="str">
        <f>IFERROR(__xludf.DUMMYFUNCTION("GOOGLETRANSLATE(J13,""en"",""th"")"),"วัวกระทิงกำลังต่อสู้กันในสนามดินที่เต็มไปด้วยน้ำและโคลน ซึ่งเป็นลักษณะทั่วไปของสนามสู้วัวกระทิงของไทย")</f>
        <v>วัวกระทิงกำลังต่อสู้กันในสนามดินที่เต็มไปด้วยน้ำและโคลน ซึ่งเป็นลักษณะทั่วไปของสนามสู้วัวกระทิงของไทย</v>
      </c>
    </row>
    <row r="14" ht="22.5" customHeight="1">
      <c r="A14" s="2" t="s">
        <v>98</v>
      </c>
      <c r="B14" s="3">
        <v>13.0</v>
      </c>
      <c r="C14" s="4" t="s">
        <v>107</v>
      </c>
      <c r="D14" s="4" t="s">
        <v>108</v>
      </c>
      <c r="E14" s="4" t="s">
        <v>109</v>
      </c>
      <c r="F14" s="4" t="s">
        <v>110</v>
      </c>
      <c r="G14" s="4" t="s">
        <v>111</v>
      </c>
      <c r="H14" s="4" t="s">
        <v>112</v>
      </c>
      <c r="I14" s="4" t="s">
        <v>110</v>
      </c>
      <c r="J14" s="4" t="s">
        <v>113</v>
      </c>
      <c r="M14" s="4" t="s">
        <v>98</v>
      </c>
      <c r="N14" s="5">
        <v>13.0</v>
      </c>
      <c r="O14" s="6" t="str">
        <f>IFERROR(__xludf.DUMMYFUNCTION("GOOGLETRANSLATE(C14,""en"",""th"")"),"รั้วหลังวัวมีไว้เพื่ออะไร?")</f>
        <v>รั้วหลังวัวมีไว้เพื่ออะไร?</v>
      </c>
      <c r="P14" s="6" t="str">
        <f>IFERROR(__xludf.DUMMYFUNCTION("GOOGLETRANSLATE(D14,""en"",""th"")"),"เป็นองค์ประกอบการตกแต่ง")</f>
        <v>เป็นองค์ประกอบการตกแต่ง</v>
      </c>
      <c r="Q14" s="6" t="str">
        <f>IFERROR(__xludf.DUMMYFUNCTION("GOOGLETRANSLATE(E14,""en"",""th"")"),"เป็นสิ่งกั้นแบ่งแยกกระทิง")</f>
        <v>เป็นสิ่งกั้นแบ่งแยกกระทิง</v>
      </c>
      <c r="R14" s="6" t="str">
        <f>IFERROR(__xludf.DUMMYFUNCTION("GOOGLETRANSLATE(F14,""en"",""th"")"),"เป็นเครื่องกั้นความปลอดภัยให้กับผู้ชม")</f>
        <v>เป็นเครื่องกั้นความปลอดภัยให้กับผู้ชม</v>
      </c>
      <c r="S14" s="6" t="str">
        <f>IFERROR(__xludf.DUMMYFUNCTION("GOOGLETRANSLATE(G14,""en"",""th"")"),"เป็นเขตแดนของกระทิง")</f>
        <v>เป็นเขตแดนของกระทิง</v>
      </c>
      <c r="T14" s="6" t="s">
        <v>114</v>
      </c>
      <c r="U14" s="6" t="str">
        <f>IFERROR(__xludf.DUMMYFUNCTION("GOOGLETRANSLATE(I14,""en"",""th"")"),"เป็นเครื่องกั้นความปลอดภัยให้กับผู้ชม")</f>
        <v>เป็นเครื่องกั้นความปลอดภัยให้กับผู้ชม</v>
      </c>
      <c r="V14" s="6" t="str">
        <f>IFERROR(__xludf.DUMMYFUNCTION("GOOGLETRANSLATE(J14,""en"",""th"")"),"รั้วไม้ทำหน้าที่เป็นสิ่งกั้นความปลอดภัยที่สำคัญ โดยแยกวัวออกจากผู้ชมและป้องกันอุบัติเหตุ")</f>
        <v>รั้วไม้ทำหน้าที่เป็นสิ่งกั้นความปลอดภัยที่สำคัญ โดยแยกวัวออกจากผู้ชมและป้องกันอุบัติเหตุ</v>
      </c>
    </row>
    <row r="15" ht="22.5" customHeight="1">
      <c r="A15" s="2" t="s">
        <v>98</v>
      </c>
      <c r="B15" s="3">
        <v>14.0</v>
      </c>
      <c r="C15" s="4" t="s">
        <v>115</v>
      </c>
      <c r="D15" s="4" t="s">
        <v>116</v>
      </c>
      <c r="E15" s="4" t="s">
        <v>117</v>
      </c>
      <c r="F15" s="4" t="s">
        <v>118</v>
      </c>
      <c r="G15" s="4" t="s">
        <v>119</v>
      </c>
      <c r="H15" s="4" t="s">
        <v>120</v>
      </c>
      <c r="I15" s="4" t="s">
        <v>117</v>
      </c>
      <c r="J15" s="4" t="s">
        <v>121</v>
      </c>
      <c r="M15" s="4" t="s">
        <v>98</v>
      </c>
      <c r="N15" s="5">
        <v>14.0</v>
      </c>
      <c r="O15" s="6" t="str">
        <f>IFERROR(__xludf.DUMMYFUNCTION("GOOGLETRANSLATE(C15,""en"",""th"")"),"สามารถอนุมานถึงความแข็งแกร่งและพลังของกระทิงได้อย่างไรบ้าง?")</f>
        <v>สามารถอนุมานถึงความแข็งแกร่งและพลังของกระทิงได้อย่างไรบ้าง?</v>
      </c>
      <c r="P15" s="6" t="str">
        <f>IFERROR(__xludf.DUMMYFUNCTION("GOOGLETRANSLATE(D15,""en"",""th"")"),"พวกเขาอ่อนแอ")</f>
        <v>พวกเขาอ่อนแอ</v>
      </c>
      <c r="Q15" s="6" t="str">
        <f>IFERROR(__xludf.DUMMYFUNCTION("GOOGLETRANSLATE(E15,""en"",""th"")"),"พวกเขาแข็งแกร่งมาก")</f>
        <v>พวกเขาแข็งแกร่งมาก</v>
      </c>
      <c r="R15" s="6" t="str">
        <f>IFERROR(__xludf.DUMMYFUNCTION("GOOGLETRANSLATE(F15,""en"",""th"")"),"พวกเขาได้รับการฝึกให้มีความอ่อนโยน")</f>
        <v>พวกเขาได้รับการฝึกให้มีความอ่อนโยน</v>
      </c>
      <c r="S15" s="6" t="str">
        <f>IFERROR(__xludf.DUMMYFUNCTION("GOOGLETRANSLATE(G15,""en"",""th"")"),"พวกมันเชื่องมาก")</f>
        <v>พวกมันเชื่องมาก</v>
      </c>
      <c r="T15" s="6" t="s">
        <v>122</v>
      </c>
      <c r="U15" s="6" t="str">
        <f>IFERROR(__xludf.DUMMYFUNCTION("GOOGLETRANSLATE(I15,""en"",""th"")"),"พวกเขาแข็งแกร่งมาก")</f>
        <v>พวกเขาแข็งแกร่งมาก</v>
      </c>
      <c r="V15" s="6" t="str">
        <f>IFERROR(__xludf.DUMMYFUNCTION("GOOGLETRANSLATE(J15,""en"",""th"")"),"โครงสร้างกล้ามเนื้อของกระทิง หัวที่ต่ำลง และความตึงเครียดในร่างกาย แสดงให้เห็นว่าพวกมันแข็งแกร่งมาก และใช้ความแข็งแกร่งทั้งหมดในการต่อสู้")</f>
        <v>โครงสร้างกล้ามเนื้อของกระทิง หัวที่ต่ำลง และความตึงเครียดในร่างกาย แสดงให้เห็นว่าพวกมันแข็งแกร่งมาก และใช้ความแข็งแกร่งทั้งหมดในการต่อสู้</v>
      </c>
    </row>
    <row r="16" ht="22.5" customHeight="1">
      <c r="A16" s="2" t="s">
        <v>98</v>
      </c>
      <c r="B16" s="3">
        <v>15.0</v>
      </c>
      <c r="C16" s="4" t="s">
        <v>123</v>
      </c>
      <c r="D16" s="4" t="s">
        <v>124</v>
      </c>
      <c r="E16" s="4" t="s">
        <v>125</v>
      </c>
      <c r="F16" s="4" t="s">
        <v>126</v>
      </c>
      <c r="G16" s="4" t="s">
        <v>127</v>
      </c>
      <c r="H16" s="4" t="s">
        <v>128</v>
      </c>
      <c r="I16" s="4" t="s">
        <v>125</v>
      </c>
      <c r="J16" s="4" t="s">
        <v>129</v>
      </c>
      <c r="M16" s="4" t="s">
        <v>98</v>
      </c>
      <c r="N16" s="5">
        <v>15.0</v>
      </c>
      <c r="O16" s="6" t="str">
        <f>IFERROR(__xludf.DUMMYFUNCTION("GOOGLETRANSLATE(C16,""en"",""th"")"),"บรรยากาศโดยรวมงานเป็นอย่างไรบ้าง?")</f>
        <v>บรรยากาศโดยรวมงานเป็นอย่างไรบ้าง?</v>
      </c>
      <c r="P16" s="6" t="str">
        <f>IFERROR(__xludf.DUMMYFUNCTION("GOOGLETRANSLATE(D16,""en"",""th"")"),"เป็นที่เงียบสงบและสันติ")</f>
        <v>เป็นที่เงียบสงบและสันติ</v>
      </c>
      <c r="Q16" s="6" t="str">
        <f>IFERROR(__xludf.DUMMYFUNCTION("GOOGLETRANSLATE(E16,""en"",""th"")"),"แบบตึงเครียดและมีสมาธิ")</f>
        <v>แบบตึงเครียดและมีสมาธิ</v>
      </c>
      <c r="R16" s="6" t="str">
        <f>IFERROR(__xludf.DUMMYFUNCTION("GOOGLETRANSLATE(F16,""en"",""th"")"),"แบบเฉลิมฉลองและรื่นเริง")</f>
        <v>แบบเฉลิมฉลองและรื่นเริง</v>
      </c>
      <c r="S16" s="6" t="str">
        <f>IFERROR(__xludf.DUMMYFUNCTION("GOOGLETRANSLATE(G16,""en"",""th"")"),"แบบสบายๆ และผ่อนคลาย")</f>
        <v>แบบสบายๆ และผ่อนคลาย</v>
      </c>
      <c r="T16" s="6" t="s">
        <v>130</v>
      </c>
      <c r="U16" s="6" t="str">
        <f>IFERROR(__xludf.DUMMYFUNCTION("GOOGLETRANSLATE(I16,""en"",""th"")"),"แบบตึงเครียดและมีสมาธิ")</f>
        <v>แบบตึงเครียดและมีสมาธิ</v>
      </c>
      <c r="V16" s="6" t="str">
        <f>IFERROR(__xludf.DUMMYFUNCTION("GOOGLETRANSLATE(J16,""en"",""th"")"),"สายตาที่จ้องมองของฝูงชนและเขาที่ล็อคกันของวัวทำให้เกิดบรรยากาศที่ตึงเครียดและตั้งใจ ซึ่งเป็นลักษณะเฉพาะของการต่อสู้วัวกระทิงที่มีเดิมพันสูง")</f>
        <v>สายตาที่จ้องมองของฝูงชนและเขาที่ล็อคกันของวัวทำให้เกิดบรรยากาศที่ตึงเครียดและตั้งใจ ซึ่งเป็นลักษณะเฉพาะของการต่อสู้วัวกระทิงที่มีเดิมพันสูง</v>
      </c>
    </row>
    <row r="17" ht="22.5" customHeight="1">
      <c r="A17" s="2" t="s">
        <v>131</v>
      </c>
      <c r="B17" s="3">
        <v>16.0</v>
      </c>
      <c r="C17" s="4" t="s">
        <v>21</v>
      </c>
      <c r="D17" s="4" t="s">
        <v>132</v>
      </c>
      <c r="E17" s="4" t="s">
        <v>133</v>
      </c>
      <c r="F17" s="4" t="s">
        <v>134</v>
      </c>
      <c r="G17" s="4" t="s">
        <v>135</v>
      </c>
      <c r="H17" s="4" t="s">
        <v>136</v>
      </c>
      <c r="I17" s="4" t="s">
        <v>134</v>
      </c>
      <c r="J17" s="4" t="s">
        <v>137</v>
      </c>
      <c r="M17" s="4" t="s">
        <v>131</v>
      </c>
      <c r="N17" s="5">
        <v>16.0</v>
      </c>
      <c r="O17" s="6" t="str">
        <f>IFERROR(__xludf.DUMMYFUNCTION("GOOGLETRANSLATE(C17,""en"",""th"")"),"ภาพที่แสดงเป็นกิจกรรมหลักอะไร?")</f>
        <v>ภาพที่แสดงเป็นกิจกรรมหลักอะไร?</v>
      </c>
      <c r="P17" s="6" t="str">
        <f>IFERROR(__xludf.DUMMYFUNCTION("GOOGLETRANSLATE(D17,""en"",""th"")"),"กระทิงกำลังดื่มน้ำ")</f>
        <v>กระทิงกำลังดื่มน้ำ</v>
      </c>
      <c r="Q17" s="6" t="str">
        <f>IFERROR(__xludf.DUMMYFUNCTION("GOOGLETRANSLATE(E17,""en"",""th"")"),"วัวตัวหนึ่งกำลังพักผ่อน")</f>
        <v>วัวตัวหนึ่งกำลังพักผ่อน</v>
      </c>
      <c r="R17" s="6" t="str">
        <f>IFERROR(__xludf.DUMMYFUNCTION("GOOGLETRANSLATE(F17,""en"",""th"")"),"กระทิงตัวหนึ่งได้รับบาดเจ็บจากการต่อสู้")</f>
        <v>กระทิงตัวหนึ่งได้รับบาดเจ็บจากการต่อสู้</v>
      </c>
      <c r="S17" s="6" t="str">
        <f>IFERROR(__xludf.DUMMYFUNCTION("GOOGLETRANSLATE(G17,""en"",""th"")"),"มีการนำวัวกระทิง")</f>
        <v>มีการนำวัวกระทิง</v>
      </c>
      <c r="T17" s="6" t="s">
        <v>138</v>
      </c>
      <c r="U17" s="6" t="str">
        <f>IFERROR(__xludf.DUMMYFUNCTION("GOOGLETRANSLATE(I17,""en"",""th"")"),"กระทิงตัวหนึ่งได้รับบาดเจ็บจากการต่อสู้")</f>
        <v>กระทิงตัวหนึ่งได้รับบาดเจ็บจากการต่อสู้</v>
      </c>
      <c r="V17" s="6" t="str">
        <f>IFERROR(__xludf.DUMMYFUNCTION("GOOGLETRANSLATE(J17,""en"",""th"")"),"รูปภาพแสดงให้เห็นกระทิงที่มีบาดแผลเลือดออกบนหัว ซึ่งเป็นสัญญาณชัดเจนว่ามันได้รับบาดเจ็บจากการต่อสู้")</f>
        <v>รูปภาพแสดงให้เห็นกระทิงที่มีบาดแผลเลือดออกบนหัว ซึ่งเป็นสัญญาณชัดเจนว่ามันได้รับบาดเจ็บจากการต่อสู้</v>
      </c>
    </row>
    <row r="18" ht="22.5" customHeight="1">
      <c r="A18" s="2" t="s">
        <v>131</v>
      </c>
      <c r="B18" s="3">
        <v>17.0</v>
      </c>
      <c r="C18" s="4" t="s">
        <v>139</v>
      </c>
      <c r="D18" s="4" t="s">
        <v>140</v>
      </c>
      <c r="E18" s="4" t="s">
        <v>141</v>
      </c>
      <c r="F18" s="4" t="s">
        <v>142</v>
      </c>
      <c r="G18" s="4" t="s">
        <v>143</v>
      </c>
      <c r="H18" s="4" t="s">
        <v>144</v>
      </c>
      <c r="I18" s="4" t="s">
        <v>142</v>
      </c>
      <c r="J18" s="4" t="s">
        <v>145</v>
      </c>
      <c r="M18" s="4" t="s">
        <v>131</v>
      </c>
      <c r="N18" s="5">
        <v>17.0</v>
      </c>
      <c r="O18" s="6" t="str">
        <f>IFERROR(__xludf.DUMMYFUNCTION("GOOGLETRANSLATE(C18,""en"",""th"")"),"จุดประสงค์ของการต่อสู้คืออะไร?")</f>
        <v>จุดประสงค์ของการต่อสู้คืออะไร?</v>
      </c>
      <c r="P18" s="6" t="str">
        <f>IFERROR(__xludf.DUMMYFUNCTION("GOOGLETRANSLATE(D18,""en"",""th"")"),"เพื่อสร้างอันตรายแก่กระทิง")</f>
        <v>เพื่อสร้างอันตรายแก่กระทิง</v>
      </c>
      <c r="Q18" s="6" t="str">
        <f>IFERROR(__xludf.DUMMYFUNCTION("GOOGLETRANSLATE(E18,""en"",""th"")"),"เป็นพิธีกรรมในการคัดเลือกกระทิงที่แข็งแกร่งที่สุด")</f>
        <v>เป็นพิธีกรรมในการคัดเลือกกระทิงที่แข็งแกร่งที่สุด</v>
      </c>
      <c r="R18" s="6" t="str">
        <f>IFERROR(__xludf.DUMMYFUNCTION("GOOGLETRANSLATE(F18,""en"",""th"")"),"มันคือรูปแบบหนึ่งของความบันเทิง")</f>
        <v>มันคือรูปแบบหนึ่งของความบันเทิง</v>
      </c>
      <c r="S18" s="6" t="str">
        <f>IFERROR(__xludf.DUMMYFUNCTION("GOOGLETRANSLATE(G18,""en"",""th"")"),"มันเป็นงานพิธีกรรมทางศาสนา")</f>
        <v>มันเป็นงานพิธีกรรมทางศาสนา</v>
      </c>
      <c r="T18" s="6" t="s">
        <v>146</v>
      </c>
      <c r="U18" s="6" t="str">
        <f>IFERROR(__xludf.DUMMYFUNCTION("GOOGLETRANSLATE(I18,""en"",""th"")"),"มันคือรูปแบบหนึ่งของความบันเทิง")</f>
        <v>มันคือรูปแบบหนึ่งของความบันเทิง</v>
      </c>
      <c r="V18" s="6" t="str">
        <f>IFERROR(__xludf.DUMMYFUNCTION("GOOGLETRANSLATE(J18,""en"",""th"")"),"จุดประสงค์ของการโชว์วัวคือเพื่อความบันเทิงและการแสดงให้คนดูได้เห็น ไม่ใช่เพื่อทำร้ายวัวอย่างรุนแรง")</f>
        <v>จุดประสงค์ของการโชว์วัวคือเพื่อความบันเทิงและการแสดงให้คนดูได้เห็น ไม่ใช่เพื่อทำร้ายวัวอย่างรุนแรง</v>
      </c>
    </row>
    <row r="19" ht="22.5" customHeight="1">
      <c r="A19" s="2" t="s">
        <v>131</v>
      </c>
      <c r="B19" s="3">
        <v>18.0</v>
      </c>
      <c r="C19" s="4" t="s">
        <v>35</v>
      </c>
      <c r="D19" s="4" t="s">
        <v>36</v>
      </c>
      <c r="E19" s="4" t="s">
        <v>37</v>
      </c>
      <c r="F19" s="4" t="s">
        <v>38</v>
      </c>
      <c r="G19" s="4" t="s">
        <v>39</v>
      </c>
      <c r="H19" s="4" t="s">
        <v>40</v>
      </c>
      <c r="I19" s="4" t="s">
        <v>38</v>
      </c>
      <c r="J19" s="4" t="s">
        <v>41</v>
      </c>
      <c r="M19" s="4" t="s">
        <v>131</v>
      </c>
      <c r="N19" s="5">
        <v>18.0</v>
      </c>
      <c r="O19" s="6" t="str">
        <f>IFERROR(__xludf.DUMMYFUNCTION("GOOGLETRANSLATE(C19,""en"",""th"")"),"ลักษณะเด่นของร่างกายวัวคืออะไร?")</f>
        <v>ลักษณะเด่นของร่างกายวัวคืออะไร?</v>
      </c>
      <c r="P19" s="6" t="str">
        <f>IFERROR(__xludf.DUMMYFUNCTION("GOOGLETRANSLATE(D19,""en"",""th"")"),"มันมีปลอกคอ")</f>
        <v>มันมีปลอกคอ</v>
      </c>
      <c r="Q19" s="6" t="str">
        <f>IFERROR(__xludf.DUMMYFUNCTION("GOOGLETRANSLATE(E19,""en"",""th"")"),"มันมีสายรัด")</f>
        <v>มันมีสายรัด</v>
      </c>
      <c r="R19" s="6" t="str">
        <f>IFERROR(__xludf.DUMMYFUNCTION("GOOGLETRANSLATE(F19,""en"",""th"")"),"มีหลังโค้งใหญ่")</f>
        <v>มีหลังโค้งใหญ่</v>
      </c>
      <c r="S19" s="6" t="str">
        <f>IFERROR(__xludf.DUMMYFUNCTION("GOOGLETRANSLATE(G19,""en"",""th"")"),"มันมีเชือกอยู่รอบคอ")</f>
        <v>มันมีเชือกอยู่รอบคอ</v>
      </c>
      <c r="T19" s="6" t="s">
        <v>42</v>
      </c>
      <c r="U19" s="6" t="str">
        <f>IFERROR(__xludf.DUMMYFUNCTION("GOOGLETRANSLATE(I19,""en"",""th"")"),"มีหลังโค้งใหญ่")</f>
        <v>มีหลังโค้งใหญ่</v>
      </c>
      <c r="V19" s="6" t="str">
        <f>IFERROR(__xludf.DUMMYFUNCTION("GOOGLETRANSLATE(J19,""en"",""th"")"),"โคตัวผู้มีหลังโค้งเด่นชัด ซึ่งเป็นลักษณะเฉพาะของโคพันธุ์เซบู ซึ่งเป็นสายพันธุ์ที่นิยมใช้ในการสู้วัวกระทิงของไทย")</f>
        <v>โคตัวผู้มีหลังโค้งเด่นชัด ซึ่งเป็นลักษณะเฉพาะของโคพันธุ์เซบู ซึ่งเป็นสายพันธุ์ที่นิยมใช้ในการสู้วัวกระทิงของไทย</v>
      </c>
    </row>
    <row r="20" ht="22.5" customHeight="1">
      <c r="A20" s="2" t="s">
        <v>131</v>
      </c>
      <c r="B20" s="3">
        <v>19.0</v>
      </c>
      <c r="C20" s="4" t="s">
        <v>147</v>
      </c>
      <c r="D20" s="4" t="s">
        <v>148</v>
      </c>
      <c r="E20" s="4" t="s">
        <v>149</v>
      </c>
      <c r="F20" s="4" t="s">
        <v>100</v>
      </c>
      <c r="G20" s="4" t="s">
        <v>150</v>
      </c>
      <c r="H20" s="4" t="s">
        <v>151</v>
      </c>
      <c r="I20" s="4" t="s">
        <v>149</v>
      </c>
      <c r="J20" s="4" t="s">
        <v>152</v>
      </c>
      <c r="M20" s="4" t="s">
        <v>131</v>
      </c>
      <c r="N20" s="5">
        <v>19.0</v>
      </c>
      <c r="O20" s="6" t="str">
        <f>IFERROR(__xludf.DUMMYFUNCTION("GOOGLETRANSLATE(C20,""en"",""th"")"),"สถานที่จัดงานครั้งนี้มีสภาพแวดล้อมแบบใด?")</f>
        <v>สถานที่จัดงานครั้งนี้มีสภาพแวดล้อมแบบใด?</v>
      </c>
      <c r="P20" s="6" t="str">
        <f>IFERROR(__xludf.DUMMYFUNCTION("GOOGLETRANSLATE(D20,""en"",""th"")"),"สนามกีฬาที่ทันสมัย")</f>
        <v>สนามกีฬาที่ทันสมัย</v>
      </c>
      <c r="Q20" s="6" t="str">
        <f>IFERROR(__xludf.DUMMYFUNCTION("GOOGLETRANSLATE(E20,""en"",""th"")"),"ทุ่งโล่งกว้างและมีโคลนมากมาย")</f>
        <v>ทุ่งโล่งกว้างและมีโคลนมากมาย</v>
      </c>
      <c r="R20" s="6" t="str">
        <f>IFERROR(__xludf.DUMMYFUNCTION("GOOGLETRANSLATE(F20,""en"",""th"")"),"ลานปูหิน")</f>
        <v>ลานปูหิน</v>
      </c>
      <c r="S20" s="6" t="str">
        <f>IFERROR(__xludf.DUMMYFUNCTION("GOOGLETRANSLATE(G20,""en"",""th"")"),"สนามกีฬาในร่ม")</f>
        <v>สนามกีฬาในร่ม</v>
      </c>
      <c r="T20" s="6" t="s">
        <v>153</v>
      </c>
      <c r="U20" s="6" t="str">
        <f>IFERROR(__xludf.DUMMYFUNCTION("GOOGLETRANSLATE(I20,""en"",""th"")"),"ทุ่งโล่งกว้างและมีโคลนมากมาย")</f>
        <v>ทุ่งโล่งกว้างและมีโคลนมากมาย</v>
      </c>
      <c r="V20" s="6" t="str">
        <f>IFERROR(__xludf.DUMMYFUNCTION("GOOGLETRANSLATE(J20,""en"",""th"")"),"ภาพนี้แสดงให้เห็นพื้นที่โล่งกว้างมีโคลนและน้ำเป็นจำนวนมาก ซึ่งเป็นลักษณะทั่วไปของสนามสู้วัวกระทิงของไทย")</f>
        <v>ภาพนี้แสดงให้เห็นพื้นที่โล่งกว้างมีโคลนและน้ำเป็นจำนวนมาก ซึ่งเป็นลักษณะทั่วไปของสนามสู้วัวกระทิงของไทย</v>
      </c>
    </row>
    <row r="21" ht="22.5" customHeight="1">
      <c r="A21" s="2" t="s">
        <v>131</v>
      </c>
      <c r="B21" s="3">
        <v>20.0</v>
      </c>
      <c r="C21" s="4" t="s">
        <v>154</v>
      </c>
      <c r="D21" s="4" t="s">
        <v>155</v>
      </c>
      <c r="E21" s="4" t="s">
        <v>156</v>
      </c>
      <c r="F21" s="4" t="s">
        <v>157</v>
      </c>
      <c r="G21" s="4" t="s">
        <v>127</v>
      </c>
      <c r="H21" s="4" t="s">
        <v>158</v>
      </c>
      <c r="I21" s="4" t="s">
        <v>156</v>
      </c>
      <c r="J21" s="4" t="s">
        <v>159</v>
      </c>
      <c r="M21" s="4" t="s">
        <v>131</v>
      </c>
      <c r="N21" s="5">
        <v>20.0</v>
      </c>
      <c r="O21" s="6" t="str">
        <f>IFERROR(__xludf.DUMMYFUNCTION("GOOGLETRANSLATE(C21,""en"",""th"")"),"บรรยากาศโดยรวมของภาพเป็นอย่างไร?")</f>
        <v>บรรยากาศโดยรวมของภาพเป็นอย่างไร?</v>
      </c>
      <c r="P21" s="6" t="str">
        <f>IFERROR(__xludf.DUMMYFUNCTION("GOOGLETRANSLATE(D21,""en"",""th"")"),"แบบสนุกสนานรื่นเริง")</f>
        <v>แบบสนุกสนานรื่นเริง</v>
      </c>
      <c r="Q21" s="6" t="str">
        <f>IFERROR(__xludf.DUMMYFUNCTION("GOOGLETRANSLATE(E21,""en"",""th"")"),"เป็นเรื่องที่จริงจังและตึงเครียด")</f>
        <v>เป็นเรื่องที่จริงจังและตึงเครียด</v>
      </c>
      <c r="R21" s="6" t="str">
        <f>IFERROR(__xludf.DUMMYFUNCTION("GOOGLETRANSLATE(F21,""en"",""th"")"),"เป็นบรรยากาศเงียบสงบและเศร้าหมอง")</f>
        <v>เป็นบรรยากาศเงียบสงบและเศร้าหมอง</v>
      </c>
      <c r="S21" s="6" t="str">
        <f>IFERROR(__xludf.DUMMYFUNCTION("GOOGLETRANSLATE(G21,""en"",""th"")"),"แบบสบายๆ และผ่อนคลาย")</f>
        <v>แบบสบายๆ และผ่อนคลาย</v>
      </c>
      <c r="T21" s="6" t="s">
        <v>160</v>
      </c>
      <c r="U21" s="6" t="str">
        <f>IFERROR(__xludf.DUMMYFUNCTION("GOOGLETRANSLATE(I21,""en"",""th"")"),"เป็นเรื่องที่จริงจังและตึงเครียด")</f>
        <v>เป็นเรื่องที่จริงจังและตึงเครียด</v>
      </c>
      <c r="V21" s="6" t="str">
        <f>IFERROR(__xludf.DUMMYFUNCTION("GOOGLETRANSLATE(J21,""en"",""th"")"),"ท่าทางที่เหนื่อยล้าของวัวและอาการบาดเจ็บที่หัวทำให้เกิดบรรยากาศที่จริงจังและตึงเครียด ซึ่งเป็นส่วนสำคัญของธรรมชาติการต่อสู้")</f>
        <v>ท่าทางที่เหนื่อยล้าของวัวและอาการบาดเจ็บที่หัวทำให้เกิดบรรยากาศที่จริงจังและตึงเครียด ซึ่งเป็นส่วนสำคัญของธรรมชาติการต่อสู้</v>
      </c>
    </row>
    <row r="22" ht="22.5" customHeight="1">
      <c r="A22" s="2" t="s">
        <v>161</v>
      </c>
      <c r="B22" s="3">
        <v>21.0</v>
      </c>
      <c r="C22" s="4" t="s">
        <v>21</v>
      </c>
      <c r="D22" s="4" t="s">
        <v>162</v>
      </c>
      <c r="E22" s="4" t="s">
        <v>163</v>
      </c>
      <c r="F22" s="4" t="s">
        <v>61</v>
      </c>
      <c r="G22" s="4" t="s">
        <v>164</v>
      </c>
      <c r="H22" s="4" t="s">
        <v>165</v>
      </c>
      <c r="I22" s="4" t="s">
        <v>162</v>
      </c>
      <c r="J22" s="4" t="s">
        <v>166</v>
      </c>
      <c r="M22" s="4" t="s">
        <v>161</v>
      </c>
      <c r="N22" s="5">
        <v>21.0</v>
      </c>
      <c r="O22" s="6" t="str">
        <f>IFERROR(__xludf.DUMMYFUNCTION("GOOGLETRANSLATE(C22,""en"",""th"")"),"ภาพที่แสดงเป็นกิจกรรมหลักอะไร?")</f>
        <v>ภาพที่แสดงเป็นกิจกรรมหลักอะไร?</v>
      </c>
      <c r="P22" s="6" t="str">
        <f>IFERROR(__xludf.DUMMYFUNCTION("GOOGLETRANSLATE(D22,""en"",""th"")"),"กระทิงสองตัวกำลังต่อสู้กันในหลุมโคลน")</f>
        <v>กระทิงสองตัวกำลังต่อสู้กันในหลุมโคลน</v>
      </c>
      <c r="Q22" s="6" t="str">
        <f>IFERROR(__xludf.DUMMYFUNCTION("GOOGLETRANSLATE(E22,""en"",""th"")"),"กระทิงสองตัวกำลังวิ่ง")</f>
        <v>กระทิงสองตัวกำลังวิ่ง</v>
      </c>
      <c r="R22" s="6" t="str">
        <f>IFERROR(__xludf.DUMMYFUNCTION("GOOGLETRANSLATE(F22,""en"",""th"")"),"กระทิงสองตัวกำลังพักผ่อน")</f>
        <v>กระทิงสองตัวกำลังพักผ่อน</v>
      </c>
      <c r="S22" s="6" t="str">
        <f>IFERROR(__xludf.DUMMYFUNCTION("GOOGLETRANSLATE(G22,""en"",""th"")"),"กระทิงสองตัวกำลังเล่นกัน")</f>
        <v>กระทิงสองตัวกำลังเล่นกัน</v>
      </c>
      <c r="T22" s="6" t="s">
        <v>167</v>
      </c>
      <c r="U22" s="6" t="str">
        <f>IFERROR(__xludf.DUMMYFUNCTION("GOOGLETRANSLATE(I22,""en"",""th"")"),"กระทิงสองตัวกำลังต่อสู้กันในหลุมโคลน")</f>
        <v>กระทิงสองตัวกำลังต่อสู้กันในหลุมโคลน</v>
      </c>
      <c r="V22" s="6" t="str">
        <f>IFERROR(__xludf.DUMMYFUNCTION("GOOGLETRANSLATE(J22,""en"",""th"")"),"ภาพนี้แสดงให้เห็นวัว 2 ตัวที่มีหัวล็อกกันอยู่กลางบ่อโคลน โดยมีโคลนและน้ำกระเซ็นไปทั่ว ซึ่งเป็นสัญญาณชัดเจนว่าวัวทั้งสองตัวกำลังต่อสู้กัน")</f>
        <v>ภาพนี้แสดงให้เห็นวัว 2 ตัวที่มีหัวล็อกกันอยู่กลางบ่อโคลน โดยมีโคลนและน้ำกระเซ็นไปทั่ว ซึ่งเป็นสัญญาณชัดเจนว่าวัวทั้งสองตัวกำลังต่อสู้กัน</v>
      </c>
    </row>
    <row r="23" ht="22.5" customHeight="1">
      <c r="A23" s="2" t="s">
        <v>161</v>
      </c>
      <c r="B23" s="3">
        <v>22.0</v>
      </c>
      <c r="C23" s="4" t="s">
        <v>115</v>
      </c>
      <c r="D23" s="4" t="s">
        <v>116</v>
      </c>
      <c r="E23" s="4" t="s">
        <v>117</v>
      </c>
      <c r="F23" s="4" t="s">
        <v>118</v>
      </c>
      <c r="G23" s="4" t="s">
        <v>119</v>
      </c>
      <c r="H23" s="4" t="s">
        <v>120</v>
      </c>
      <c r="I23" s="4" t="s">
        <v>117</v>
      </c>
      <c r="J23" s="4" t="s">
        <v>121</v>
      </c>
      <c r="M23" s="4" t="s">
        <v>161</v>
      </c>
      <c r="N23" s="5">
        <v>22.0</v>
      </c>
      <c r="O23" s="6" t="str">
        <f>IFERROR(__xludf.DUMMYFUNCTION("GOOGLETRANSLATE(C23,""en"",""th"")"),"สามารถอนุมานถึงความแข็งแกร่งและพลังของกระทิงได้อย่างไรบ้าง?")</f>
        <v>สามารถอนุมานถึงความแข็งแกร่งและพลังของกระทิงได้อย่างไรบ้าง?</v>
      </c>
      <c r="P23" s="6" t="str">
        <f>IFERROR(__xludf.DUMMYFUNCTION("GOOGLETRANSLATE(D23,""en"",""th"")"),"พวกเขาอ่อนแอ")</f>
        <v>พวกเขาอ่อนแอ</v>
      </c>
      <c r="Q23" s="6" t="str">
        <f>IFERROR(__xludf.DUMMYFUNCTION("GOOGLETRANSLATE(E23,""en"",""th"")"),"พวกเขาแข็งแกร่งมาก")</f>
        <v>พวกเขาแข็งแกร่งมาก</v>
      </c>
      <c r="R23" s="6" t="str">
        <f>IFERROR(__xludf.DUMMYFUNCTION("GOOGLETRANSLATE(F23,""en"",""th"")"),"พวกเขาได้รับการฝึกให้มีความอ่อนโยน")</f>
        <v>พวกเขาได้รับการฝึกให้มีความอ่อนโยน</v>
      </c>
      <c r="S23" s="6" t="str">
        <f>IFERROR(__xludf.DUMMYFUNCTION("GOOGLETRANSLATE(G23,""en"",""th"")"),"พวกมันเชื่องมาก")</f>
        <v>พวกมันเชื่องมาก</v>
      </c>
      <c r="T23" s="6" t="s">
        <v>122</v>
      </c>
      <c r="U23" s="6" t="str">
        <f>IFERROR(__xludf.DUMMYFUNCTION("GOOGLETRANSLATE(I23,""en"",""th"")"),"พวกเขาแข็งแกร่งมาก")</f>
        <v>พวกเขาแข็งแกร่งมาก</v>
      </c>
      <c r="V23" s="6" t="str">
        <f>IFERROR(__xludf.DUMMYFUNCTION("GOOGLETRANSLATE(J23,""en"",""th"")"),"โครงสร้างกล้ามเนื้อของกระทิง หัวที่ต่ำลง และความตึงเครียดในร่างกาย แสดงให้เห็นว่าพวกมันแข็งแกร่งมาก และใช้ความแข็งแกร่งทั้งหมดในการต่อสู้")</f>
        <v>โครงสร้างกล้ามเนื้อของกระทิง หัวที่ต่ำลง และความตึงเครียดในร่างกาย แสดงให้เห็นว่าพวกมันแข็งแกร่งมาก และใช้ความแข็งแกร่งทั้งหมดในการต่อสู้</v>
      </c>
    </row>
    <row r="24" ht="22.5" customHeight="1">
      <c r="A24" s="2" t="s">
        <v>161</v>
      </c>
      <c r="B24" s="3">
        <v>23.0</v>
      </c>
      <c r="C24" s="4" t="s">
        <v>168</v>
      </c>
      <c r="D24" s="4" t="s">
        <v>169</v>
      </c>
      <c r="E24" s="4" t="s">
        <v>170</v>
      </c>
      <c r="F24" s="4" t="s">
        <v>171</v>
      </c>
      <c r="G24" s="4" t="s">
        <v>172</v>
      </c>
      <c r="H24" s="4" t="s">
        <v>173</v>
      </c>
      <c r="I24" s="4" t="s">
        <v>172</v>
      </c>
      <c r="J24" s="4" t="s">
        <v>174</v>
      </c>
      <c r="M24" s="4" t="s">
        <v>161</v>
      </c>
      <c r="N24" s="5">
        <v>23.0</v>
      </c>
      <c r="O24" s="6" t="str">
        <f>IFERROR(__xludf.DUMMYFUNCTION("GOOGLETRANSLATE(C24,""en"",""th"")"),"ลักษณะเด่นของเขากระทิงคืออะไร?")</f>
        <v>ลักษณะเด่นของเขากระทิงคืออะไร?</v>
      </c>
      <c r="P24" s="6" t="str">
        <f>IFERROR(__xludf.DUMMYFUNCTION("GOOGLETRANSLATE(D24,""en"",""th"")"),"มีการตกแต่งด้วยดอกไม้")</f>
        <v>มีการตกแต่งด้วยดอกไม้</v>
      </c>
      <c r="Q24" s="6" t="str">
        <f>IFERROR(__xludf.DUMMYFUNCTION("GOOGLETRANSLATE(E24,""en"",""th"")"),"มันยาวและตรงมาก")</f>
        <v>มันยาวและตรงมาก</v>
      </c>
      <c r="R24" s="6" t="str">
        <f>IFERROR(__xludf.DUMMYFUNCTION("GOOGLETRANSLATE(F24,""en"",""th"")"),"พวกมันสั้นและอ้วนมาก")</f>
        <v>พวกมันสั้นและอ้วนมาก</v>
      </c>
      <c r="S24" s="6" t="str">
        <f>IFERROR(__xludf.DUMMYFUNCTION("GOOGLETRANSLATE(G24,""en"",""th"")"),"มีลักษณะบิดเบี้ยวและมีรูปร่างที่เป็นเอกลักษณ์")</f>
        <v>มีลักษณะบิดเบี้ยวและมีรูปร่างที่เป็นเอกลักษณ์</v>
      </c>
      <c r="T24" s="6" t="s">
        <v>175</v>
      </c>
      <c r="U24" s="6" t="str">
        <f>IFERROR(__xludf.DUMMYFUNCTION("GOOGLETRANSLATE(I24,""en"",""th"")"),"มีลักษณะบิดเบี้ยวและมีรูปร่างที่เป็นเอกลักษณ์")</f>
        <v>มีลักษณะบิดเบี้ยวและมีรูปร่างที่เป็นเอกลักษณ์</v>
      </c>
      <c r="V24" s="6" t="str">
        <f>IFERROR(__xludf.DUMMYFUNCTION("GOOGLETRANSLATE(J24,""en"",""th"")"),"เขาของกระทิงนั้นไม่ตรงแต่มีรูปร่างบิดเบี้ยวเป็นเอกลักษณ์ซึ่งเป็นลักษณะเฉพาะของกระทิงที่ใช้ในการสู้วัวกระทิงของไทย")</f>
        <v>เขาของกระทิงนั้นไม่ตรงแต่มีรูปร่างบิดเบี้ยวเป็นเอกลักษณ์ซึ่งเป็นลักษณะเฉพาะของกระทิงที่ใช้ในการสู้วัวกระทิงของไทย</v>
      </c>
    </row>
    <row r="25" ht="22.5" customHeight="1">
      <c r="A25" s="2" t="s">
        <v>161</v>
      </c>
      <c r="B25" s="3">
        <v>24.0</v>
      </c>
      <c r="C25" s="4" t="s">
        <v>176</v>
      </c>
      <c r="D25" s="4" t="s">
        <v>177</v>
      </c>
      <c r="E25" s="4" t="s">
        <v>178</v>
      </c>
      <c r="F25" s="4" t="s">
        <v>179</v>
      </c>
      <c r="G25" s="4" t="s">
        <v>180</v>
      </c>
      <c r="H25" s="4" t="s">
        <v>181</v>
      </c>
      <c r="I25" s="4" t="s">
        <v>178</v>
      </c>
      <c r="J25" s="4" t="s">
        <v>182</v>
      </c>
      <c r="M25" s="4" t="s">
        <v>161</v>
      </c>
      <c r="N25" s="5">
        <v>24.0</v>
      </c>
      <c r="O25" s="6" t="str">
        <f>IFERROR(__xludf.DUMMYFUNCTION("GOOGLETRANSLATE(C25,""en"",""th"")"),"โคลนและน้ำที่กระเซ็นไปทั่วบ่งบอกอะไร?")</f>
        <v>โคลนและน้ำที่กระเซ็นไปทั่วบ่งบอกอะไร?</v>
      </c>
      <c r="P25" s="6" t="str">
        <f>IFERROR(__xludf.DUMMYFUNCTION("GOOGLETRANSLATE(D25,""en"",""th"")"),"วัวกำลังเล่นอยู่ในโคลน")</f>
        <v>วัวกำลังเล่นอยู่ในโคลน</v>
      </c>
      <c r="Q25" s="6" t="str">
        <f>IFERROR(__xludf.DUMMYFUNCTION("GOOGLETRANSLATE(E25,""en"",""th"")"),"กระทิงกำลังต่อสู้กันอย่างเข้มข้นมาก")</f>
        <v>กระทิงกำลังต่อสู้กันอย่างเข้มข้นมาก</v>
      </c>
      <c r="R25" s="6" t="str">
        <f>IFERROR(__xludf.DUMMYFUNCTION("GOOGLETRANSLATE(F25,""en"",""th"")"),"กระทิงอยู่ในภาวะต่อสู้ที่อ่อนแอมาก")</f>
        <v>กระทิงอยู่ในภาวะต่อสู้ที่อ่อนแอมาก</v>
      </c>
      <c r="S25" s="6" t="str">
        <f>IFERROR(__xludf.DUMMYFUNCTION("GOOGLETRANSLATE(G25,""en"",""th"")"),"กระทิงกำลังพักผ่อน")</f>
        <v>กระทิงกำลังพักผ่อน</v>
      </c>
      <c r="T25" s="6" t="s">
        <v>183</v>
      </c>
      <c r="U25" s="6" t="str">
        <f>IFERROR(__xludf.DUMMYFUNCTION("GOOGLETRANSLATE(I25,""en"",""th"")"),"กระทิงกำลังต่อสู้กันอย่างเข้มข้นมาก")</f>
        <v>กระทิงกำลังต่อสู้กันอย่างเข้มข้นมาก</v>
      </c>
      <c r="V25" s="6" t="str">
        <f>IFERROR(__xludf.DUMMYFUNCTION("GOOGLETRANSLATE(J25,""en"",""th"")"),"โคลนและน้ำที่กระเซ็นไปทั่วเป็นสัญญาณที่ชัดเจนของการสัมผัสทางกายภาพที่รุนแรงและพลังที่เกิดขึ้นจากการต่อสู้ของกระทิง")</f>
        <v>โคลนและน้ำที่กระเซ็นไปทั่วเป็นสัญญาณที่ชัดเจนของการสัมผัสทางกายภาพที่รุนแรงและพลังที่เกิดขึ้นจากการต่อสู้ของกระทิง</v>
      </c>
    </row>
    <row r="26" ht="22.5" customHeight="1">
      <c r="A26" s="2" t="s">
        <v>161</v>
      </c>
      <c r="B26" s="3">
        <v>25.0</v>
      </c>
      <c r="C26" s="4" t="s">
        <v>123</v>
      </c>
      <c r="D26" s="4" t="s">
        <v>124</v>
      </c>
      <c r="E26" s="4" t="s">
        <v>125</v>
      </c>
      <c r="F26" s="4" t="s">
        <v>126</v>
      </c>
      <c r="G26" s="4" t="s">
        <v>127</v>
      </c>
      <c r="H26" s="4" t="s">
        <v>128</v>
      </c>
      <c r="I26" s="4" t="s">
        <v>125</v>
      </c>
      <c r="J26" s="4" t="s">
        <v>184</v>
      </c>
      <c r="M26" s="4" t="s">
        <v>161</v>
      </c>
      <c r="N26" s="5">
        <v>25.0</v>
      </c>
      <c r="O26" s="6" t="str">
        <f>IFERROR(__xludf.DUMMYFUNCTION("GOOGLETRANSLATE(C26,""en"",""th"")"),"บรรยากาศโดยรวมงานเป็นอย่างไรบ้าง?")</f>
        <v>บรรยากาศโดยรวมงานเป็นอย่างไรบ้าง?</v>
      </c>
      <c r="P26" s="6" t="str">
        <f>IFERROR(__xludf.DUMMYFUNCTION("GOOGLETRANSLATE(D26,""en"",""th"")"),"เป็นที่เงียบสงบและสันติ")</f>
        <v>เป็นที่เงียบสงบและสันติ</v>
      </c>
      <c r="Q26" s="6" t="str">
        <f>IFERROR(__xludf.DUMMYFUNCTION("GOOGLETRANSLATE(E26,""en"",""th"")"),"แบบตึงเครียดและมีสมาธิ")</f>
        <v>แบบตึงเครียดและมีสมาธิ</v>
      </c>
      <c r="R26" s="6" t="str">
        <f>IFERROR(__xludf.DUMMYFUNCTION("GOOGLETRANSLATE(F26,""en"",""th"")"),"แบบเฉลิมฉลองและรื่นเริง")</f>
        <v>แบบเฉลิมฉลองและรื่นเริง</v>
      </c>
      <c r="S26" s="6" t="str">
        <f>IFERROR(__xludf.DUMMYFUNCTION("GOOGLETRANSLATE(G26,""en"",""th"")"),"แบบสบายๆ และผ่อนคลาย")</f>
        <v>แบบสบายๆ และผ่อนคลาย</v>
      </c>
      <c r="T26" s="6" t="s">
        <v>130</v>
      </c>
      <c r="U26" s="6" t="str">
        <f>IFERROR(__xludf.DUMMYFUNCTION("GOOGLETRANSLATE(I26,""en"",""th"")"),"แบบตึงเครียดและมีสมาธิ")</f>
        <v>แบบตึงเครียดและมีสมาธิ</v>
      </c>
      <c r="V26" s="6" t="str">
        <f>IFERROR(__xludf.DUMMYFUNCTION("GOOGLETRANSLATE(J26,""en"",""th"")"),"การแสดงออกที่ดุร้ายของกระทิงและโคลนที่กระเซ็นสร้างบรรยากาศที่ตึงเครียดและมีสมาธิ ซึ่งเป็นลักษณะเฉพาะของการต่อสู้กระทิงที่มีเดิมพันสูง")</f>
        <v>การแสดงออกที่ดุร้ายของกระทิงและโคลนที่กระเซ็นสร้างบรรยากาศที่ตึงเครียดและมีสมาธิ ซึ่งเป็นลักษณะเฉพาะของการต่อสู้กระทิงที่มีเดิมพันสูง</v>
      </c>
    </row>
    <row r="27" ht="22.5" customHeight="1">
      <c r="A27" s="2" t="s">
        <v>185</v>
      </c>
      <c r="B27" s="3">
        <v>26.0</v>
      </c>
      <c r="C27" s="4" t="s">
        <v>21</v>
      </c>
      <c r="D27" s="4" t="s">
        <v>60</v>
      </c>
      <c r="E27" s="4" t="s">
        <v>186</v>
      </c>
      <c r="F27" s="4" t="s">
        <v>23</v>
      </c>
      <c r="G27" s="4" t="s">
        <v>25</v>
      </c>
      <c r="H27" s="4" t="s">
        <v>187</v>
      </c>
      <c r="I27" s="4" t="s">
        <v>60</v>
      </c>
      <c r="J27" s="4" t="s">
        <v>188</v>
      </c>
      <c r="M27" s="4" t="s">
        <v>185</v>
      </c>
      <c r="N27" s="5">
        <v>26.0</v>
      </c>
      <c r="O27" s="6" t="str">
        <f>IFERROR(__xludf.DUMMYFUNCTION("GOOGLETRANSLATE(C27,""en"",""th"")"),"ภาพที่แสดงเป็นกิจกรรมหลักอะไร?")</f>
        <v>ภาพที่แสดงเป็นกิจกรรมหลักอะไร?</v>
      </c>
      <c r="P27" s="6" t="str">
        <f>IFERROR(__xludf.DUMMYFUNCTION("GOOGLETRANSLATE(D27,""en"",""th"")"),"กระทิงสองตัวกำลังต่อสู้กัน")</f>
        <v>กระทิงสองตัวกำลังต่อสู้กัน</v>
      </c>
      <c r="Q27" s="6" t="str">
        <f>IFERROR(__xludf.DUMMYFUNCTION("GOOGLETRANSLATE(E27,""en"",""th"")"),"กระทิงสองตัวที่ถูกจูงโดยคนดูแล")</f>
        <v>กระทิงสองตัวที่ถูกจูงโดยคนดูแล</v>
      </c>
      <c r="R27" s="6" t="str">
        <f>IFERROR(__xludf.DUMMYFUNCTION("GOOGLETRANSLATE(F27,""en"",""th"")"),"กระทิงกำลังสู้กับกระทิงอีกตัวหนึ่ง")</f>
        <v>กระทิงกำลังสู้กับกระทิงอีกตัวหนึ่ง</v>
      </c>
      <c r="S27" s="6" t="str">
        <f>IFERROR(__xludf.DUMMYFUNCTION("GOOGLETRANSLATE(G27,""en"",""th"")"),"กระทิงกำลังถูกฝึก")</f>
        <v>กระทิงกำลังถูกฝึก</v>
      </c>
      <c r="T27" s="6" t="s">
        <v>189</v>
      </c>
      <c r="U27" s="6" t="str">
        <f>IFERROR(__xludf.DUMMYFUNCTION("GOOGLETRANSLATE(I27,""en"",""th"")"),"กระทิงสองตัวกำลังต่อสู้กัน")</f>
        <v>กระทิงสองตัวกำลังต่อสู้กัน</v>
      </c>
      <c r="V27" s="6" t="str">
        <f>IFERROR(__xludf.DUMMYFUNCTION("GOOGLETRANSLATE(J27,""en"",""th"")"),"รูปภาพแสดงให้เห็นวัวกระทิง 2 ตัวที่มีหัวล็อกเข้าด้วยกันในวงแหวนดิน โดยมีคนดูแล 2 คนอยู่ด้านข้าง ซึ่งเป็นสัญญาณชัดเจนว่าวัวกระทิงกำลังต่อสู้กัน")</f>
        <v>รูปภาพแสดงให้เห็นวัวกระทิง 2 ตัวที่มีหัวล็อกเข้าด้วยกันในวงแหวนดิน โดยมีคนดูแล 2 คนอยู่ด้านข้าง ซึ่งเป็นสัญญาณชัดเจนว่าวัวกระทิงกำลังต่อสู้กัน</v>
      </c>
    </row>
    <row r="28" ht="22.5" customHeight="1">
      <c r="A28" s="2" t="s">
        <v>185</v>
      </c>
      <c r="B28" s="3">
        <v>27.0</v>
      </c>
      <c r="C28" s="4" t="s">
        <v>190</v>
      </c>
      <c r="D28" s="4" t="s">
        <v>191</v>
      </c>
      <c r="E28" s="4" t="s">
        <v>192</v>
      </c>
      <c r="F28" s="4" t="s">
        <v>193</v>
      </c>
      <c r="G28" s="4" t="s">
        <v>194</v>
      </c>
      <c r="H28" s="4" t="s">
        <v>195</v>
      </c>
      <c r="I28" s="4" t="s">
        <v>193</v>
      </c>
      <c r="J28" s="4" t="s">
        <v>196</v>
      </c>
      <c r="M28" s="4" t="s">
        <v>185</v>
      </c>
      <c r="N28" s="5">
        <v>27.0</v>
      </c>
      <c r="O28" s="6" t="str">
        <f>IFERROR(__xludf.DUMMYFUNCTION("GOOGLETRANSLATE(C28,""en"",""th"")"),"จุดประสงค์ของผู้จัดการคืออะไร?")</f>
        <v>จุดประสงค์ของผู้จัดการคืออะไร?</v>
      </c>
      <c r="P28" s="6" t="str">
        <f>IFERROR(__xludf.DUMMYFUNCTION("GOOGLETRANSLATE(D28,""en"",""th"")"),"เพื่อเป็นกำลังใจให้กระทิงสู้ต่อไป")</f>
        <v>เพื่อเป็นกำลังใจให้กระทิงสู้ต่อไป</v>
      </c>
      <c r="Q28" s="6" t="str">
        <f>IFERROR(__xludf.DUMMYFUNCTION("GOOGLETRANSLATE(E28,""en"",""th"")"),"เพื่อให้แน่ใจว่ากระทิงจะไม่ได้รับบาดเจ็บ")</f>
        <v>เพื่อให้แน่ใจว่ากระทิงจะไม่ได้รับบาดเจ็บ</v>
      </c>
      <c r="R28" s="6" t="str">
        <f>IFERROR(__xludf.DUMMYFUNCTION("GOOGLETRANSLATE(F28,""en"",""th"")"),"เพื่อควบคุมการเคลื่อนไหวของกระทิงและป้องกันไม่ให้มันออกจากสังเวียน")</f>
        <v>เพื่อควบคุมการเคลื่อนไหวของกระทิงและป้องกันไม่ให้มันออกจากสังเวียน</v>
      </c>
      <c r="S28" s="6" t="str">
        <f>IFERROR(__xludf.DUMMYFUNCTION("GOOGLETRANSLATE(G28,""en"",""th"")"),"เพื่อช่วยเหลือวัวกระทิง")</f>
        <v>เพื่อช่วยเหลือวัวกระทิง</v>
      </c>
      <c r="T28" s="6" t="s">
        <v>197</v>
      </c>
      <c r="U28" s="6" t="str">
        <f>IFERROR(__xludf.DUMMYFUNCTION("GOOGLETRANSLATE(I28,""en"",""th"")"),"เพื่อควบคุมการเคลื่อนไหวของกระทิงและป้องกันไม่ให้มันออกจากสังเวียน")</f>
        <v>เพื่อควบคุมการเคลื่อนไหวของกระทิงและป้องกันไม่ให้มันออกจากสังเวียน</v>
      </c>
      <c r="V28" s="6" t="str">
        <f>IFERROR(__xludf.DUMMYFUNCTION("GOOGLETRANSLATE(J28,""en"",""th"")"),"ผู้ฝึกจะถือเชือกที่ผูกติดกับตัววัว ซึ่งพวกเขาใช้ควบคุมการเคลื่อนไหวของมันและกักขังพวกมันไว้ในพื้นที่ต่อสู้")</f>
        <v>ผู้ฝึกจะถือเชือกที่ผูกติดกับตัววัว ซึ่งพวกเขาใช้ควบคุมการเคลื่อนไหวของมันและกักขังพวกมันไว้ในพื้นที่ต่อสู้</v>
      </c>
    </row>
    <row r="29" ht="22.5" customHeight="1">
      <c r="A29" s="2" t="s">
        <v>185</v>
      </c>
      <c r="B29" s="3">
        <v>28.0</v>
      </c>
      <c r="C29" s="4" t="s">
        <v>147</v>
      </c>
      <c r="D29" s="4" t="s">
        <v>148</v>
      </c>
      <c r="E29" s="4" t="s">
        <v>149</v>
      </c>
      <c r="F29" s="4" t="s">
        <v>100</v>
      </c>
      <c r="G29" s="4" t="s">
        <v>150</v>
      </c>
      <c r="H29" s="4" t="s">
        <v>151</v>
      </c>
      <c r="I29" s="4" t="s">
        <v>149</v>
      </c>
      <c r="J29" s="4" t="s">
        <v>198</v>
      </c>
      <c r="M29" s="4" t="s">
        <v>185</v>
      </c>
      <c r="N29" s="5">
        <v>28.0</v>
      </c>
      <c r="O29" s="6" t="str">
        <f>IFERROR(__xludf.DUMMYFUNCTION("GOOGLETRANSLATE(C29,""en"",""th"")"),"สถานที่จัดงานครั้งนี้มีสภาพแวดล้อมแบบใด?")</f>
        <v>สถานที่จัดงานครั้งนี้มีสภาพแวดล้อมแบบใด?</v>
      </c>
      <c r="P29" s="6" t="str">
        <f>IFERROR(__xludf.DUMMYFUNCTION("GOOGLETRANSLATE(D29,""en"",""th"")"),"สนามกีฬาที่ทันสมัย")</f>
        <v>สนามกีฬาที่ทันสมัย</v>
      </c>
      <c r="Q29" s="6" t="str">
        <f>IFERROR(__xludf.DUMMYFUNCTION("GOOGLETRANSLATE(E29,""en"",""th"")"),"ทุ่งโล่งกว้างและมีโคลนมากมาย")</f>
        <v>ทุ่งโล่งกว้างและมีโคลนมากมาย</v>
      </c>
      <c r="R29" s="6" t="str">
        <f>IFERROR(__xludf.DUMMYFUNCTION("GOOGLETRANSLATE(F29,""en"",""th"")"),"ลานปูหิน")</f>
        <v>ลานปูหิน</v>
      </c>
      <c r="S29" s="6" t="str">
        <f>IFERROR(__xludf.DUMMYFUNCTION("GOOGLETRANSLATE(G29,""en"",""th"")"),"สนามกีฬาในร่ม")</f>
        <v>สนามกีฬาในร่ม</v>
      </c>
      <c r="T29" s="6" t="s">
        <v>153</v>
      </c>
      <c r="U29" s="6" t="str">
        <f>IFERROR(__xludf.DUMMYFUNCTION("GOOGLETRANSLATE(I29,""en"",""th"")"),"ทุ่งโล่งกว้างและมีโคลนมากมาย")</f>
        <v>ทุ่งโล่งกว้างและมีโคลนมากมาย</v>
      </c>
      <c r="V29" s="6" t="str">
        <f>IFERROR(__xludf.DUMMYFUNCTION("GOOGLETRANSLATE(J29,""en"",""th"")"),"ภาพนี้แสดงให้เห็นสนามดินโล่งกว้างที่มีรั้ว ซึ่งเป็นลักษณะทั่วไปของสนามสู้วัวกระทิงของไทย")</f>
        <v>ภาพนี้แสดงให้เห็นสนามดินโล่งกว้างที่มีรั้ว ซึ่งเป็นลักษณะทั่วไปของสนามสู้วัวกระทิงของไทย</v>
      </c>
    </row>
    <row r="30" ht="22.5" customHeight="1">
      <c r="A30" s="2" t="s">
        <v>185</v>
      </c>
      <c r="B30" s="3">
        <v>29.0</v>
      </c>
      <c r="C30" s="4" t="s">
        <v>199</v>
      </c>
      <c r="D30" s="4" t="s">
        <v>200</v>
      </c>
      <c r="E30" s="4" t="s">
        <v>201</v>
      </c>
      <c r="F30" s="4" t="s">
        <v>202</v>
      </c>
      <c r="G30" s="4" t="s">
        <v>203</v>
      </c>
      <c r="H30" s="4" t="s">
        <v>204</v>
      </c>
      <c r="I30" s="4" t="s">
        <v>201</v>
      </c>
      <c r="J30" s="4" t="s">
        <v>205</v>
      </c>
      <c r="M30" s="4" t="s">
        <v>185</v>
      </c>
      <c r="N30" s="5">
        <v>29.0</v>
      </c>
      <c r="O30" s="6" t="str">
        <f>IFERROR(__xludf.DUMMYFUNCTION("GOOGLETRANSLATE(C30,""en"",""th"")"),"เสาไม้ยาวมีไว้ทำอะไร?")</f>
        <v>เสาไม้ยาวมีไว้ทำอะไร?</v>
      </c>
      <c r="P30" s="6" t="str">
        <f>IFERROR(__xludf.DUMMYFUNCTION("GOOGLETRANSLATE(D30,""en"",""th"")"),"พวกมันไว้เพื่อการตกแต่ง")</f>
        <v>พวกมันไว้เพื่อการตกแต่ง</v>
      </c>
      <c r="Q30" s="6" t="str">
        <f>IFERROR(__xludf.DUMMYFUNCTION("GOOGLETRANSLATE(E30,""en"",""th"")"),"พวกเขาทำหน้าที่นำทางวัวกระทิง")</f>
        <v>พวกเขาทำหน้าที่นำทางวัวกระทิง</v>
      </c>
      <c r="R30" s="6" t="str">
        <f>IFERROR(__xludf.DUMMYFUNCTION("GOOGLETRANSLATE(F30,""en"",""th"")"),"พวกเขาเป็นสิ่งกั้นความปลอดภัย")</f>
        <v>พวกเขาเป็นสิ่งกั้นความปลอดภัย</v>
      </c>
      <c r="S30" s="6" t="str">
        <f>IFERROR(__xludf.DUMMYFUNCTION("GOOGLETRANSLATE(G30,""en"",""th"")"),"พวกเขาเป็นเขตแดนของกระทิง")</f>
        <v>พวกเขาเป็นเขตแดนของกระทิง</v>
      </c>
      <c r="T30" s="6" t="s">
        <v>206</v>
      </c>
      <c r="U30" s="6" t="str">
        <f>IFERROR(__xludf.DUMMYFUNCTION("GOOGLETRANSLATE(I30,""en"",""th"")"),"พวกเขาทำหน้าที่นำทางวัวกระทิง")</f>
        <v>พวกเขาทำหน้าที่นำทางวัวกระทิง</v>
      </c>
      <c r="V30" s="6" t="str">
        <f>IFERROR(__xludf.DUMMYFUNCTION("GOOGLETRANSLATE(J30,""en"",""th"")"),"ผู้ฝึกจะถือไม้ยาวๆ ไว้ใช้ในการนำทางและควบคุมการเคลื่อนไหวของวัวกระทิง")</f>
        <v>ผู้ฝึกจะถือไม้ยาวๆ ไว้ใช้ในการนำทางและควบคุมการเคลื่อนไหวของวัวกระทิง</v>
      </c>
    </row>
    <row r="31" ht="22.5" customHeight="1">
      <c r="A31" s="2" t="s">
        <v>185</v>
      </c>
      <c r="B31" s="3">
        <v>30.0</v>
      </c>
      <c r="C31" s="4" t="s">
        <v>154</v>
      </c>
      <c r="D31" s="4" t="s">
        <v>155</v>
      </c>
      <c r="E31" s="4" t="s">
        <v>156</v>
      </c>
      <c r="F31" s="4" t="s">
        <v>157</v>
      </c>
      <c r="G31" s="4" t="s">
        <v>127</v>
      </c>
      <c r="H31" s="4" t="s">
        <v>158</v>
      </c>
      <c r="I31" s="4" t="s">
        <v>156</v>
      </c>
      <c r="J31" s="4" t="s">
        <v>207</v>
      </c>
      <c r="M31" s="4" t="s">
        <v>185</v>
      </c>
      <c r="N31" s="5">
        <v>30.0</v>
      </c>
      <c r="O31" s="6" t="str">
        <f>IFERROR(__xludf.DUMMYFUNCTION("GOOGLETRANSLATE(C31,""en"",""th"")"),"บรรยากาศโดยรวมของภาพเป็นอย่างไร?")</f>
        <v>บรรยากาศโดยรวมของภาพเป็นอย่างไร?</v>
      </c>
      <c r="P31" s="6" t="str">
        <f>IFERROR(__xludf.DUMMYFUNCTION("GOOGLETRANSLATE(D31,""en"",""th"")"),"แบบสนุกสนานรื่นเริง")</f>
        <v>แบบสนุกสนานรื่นเริง</v>
      </c>
      <c r="Q31" s="6" t="str">
        <f>IFERROR(__xludf.DUMMYFUNCTION("GOOGLETRANSLATE(E31,""en"",""th"")"),"เป็นเรื่องที่จริงจังและตึงเครียด")</f>
        <v>เป็นเรื่องที่จริงจังและตึงเครียด</v>
      </c>
      <c r="R31" s="6" t="str">
        <f>IFERROR(__xludf.DUMMYFUNCTION("GOOGLETRANSLATE(F31,""en"",""th"")"),"เป็นบรรยากาศเงียบสงบและเศร้าหมอง")</f>
        <v>เป็นบรรยากาศเงียบสงบและเศร้าหมอง</v>
      </c>
      <c r="S31" s="6" t="str">
        <f>IFERROR(__xludf.DUMMYFUNCTION("GOOGLETRANSLATE(G31,""en"",""th"")"),"แบบสบายๆ และผ่อนคลาย")</f>
        <v>แบบสบายๆ และผ่อนคลาย</v>
      </c>
      <c r="T31" s="6" t="s">
        <v>160</v>
      </c>
      <c r="U31" s="6" t="str">
        <f>IFERROR(__xludf.DUMMYFUNCTION("GOOGLETRANSLATE(I31,""en"",""th"")"),"เป็นเรื่องที่จริงจังและตึงเครียด")</f>
        <v>เป็นเรื่องที่จริงจังและตึงเครียด</v>
      </c>
      <c r="V31" s="6" t="str">
        <f>IFERROR(__xludf.DUMMYFUNCTION("GOOGLETRANSLATE(J31,""en"",""th"")"),"เสียงแตรที่ประสานกันของวัวกระทิง ท่าทางที่มุ่งมั่นของผู้ฝึก และผู้ชมที่อยู่เบื้องหลัง ล้วนสร้างบรรยากาศที่จริงจังและตึงเครียด")</f>
        <v>เสียงแตรที่ประสานกันของวัวกระทิง ท่าทางที่มุ่งมั่นของผู้ฝึก และผู้ชมที่อยู่เบื้องหลัง ล้วนสร้างบรรยากาศที่จริงจังและตึงเครียด</v>
      </c>
    </row>
    <row r="32" ht="22.5" customHeight="1">
      <c r="A32" s="2" t="s">
        <v>208</v>
      </c>
      <c r="B32" s="3">
        <v>31.0</v>
      </c>
      <c r="C32" s="4" t="s">
        <v>21</v>
      </c>
      <c r="D32" s="4" t="s">
        <v>23</v>
      </c>
      <c r="E32" s="4" t="s">
        <v>209</v>
      </c>
      <c r="F32" s="4" t="s">
        <v>24</v>
      </c>
      <c r="G32" s="4" t="s">
        <v>25</v>
      </c>
      <c r="H32" s="4" t="s">
        <v>210</v>
      </c>
      <c r="I32" s="4" t="s">
        <v>209</v>
      </c>
      <c r="J32" s="4" t="s">
        <v>211</v>
      </c>
      <c r="M32" s="4" t="s">
        <v>208</v>
      </c>
      <c r="N32" s="5">
        <v>31.0</v>
      </c>
      <c r="O32" s="6" t="str">
        <f>IFERROR(__xludf.DUMMYFUNCTION("GOOGLETRANSLATE(C32,""en"",""th"")"),"ภาพที่แสดงเป็นกิจกรรมหลักอะไร?")</f>
        <v>ภาพที่แสดงเป็นกิจกรรมหลักอะไร?</v>
      </c>
      <c r="P32" s="6" t="str">
        <f>IFERROR(__xludf.DUMMYFUNCTION("GOOGLETRANSLATE(D32,""en"",""th"")"),"กระทิงกำลังสู้กับกระทิงอีกตัวหนึ่ง")</f>
        <v>กระทิงกำลังสู้กับกระทิงอีกตัวหนึ่ง</v>
      </c>
      <c r="Q32" s="6" t="str">
        <f>IFERROR(__xludf.DUMMYFUNCTION("GOOGLETRANSLATE(E32,""en"",""th"")"),"กิจกรรมการสู้วัวกระทิงในสนามสู้วัวกระทิง")</f>
        <v>กิจกรรมการสู้วัวกระทิงในสนามสู้วัวกระทิง</v>
      </c>
      <c r="R32" s="6" t="str">
        <f>IFERROR(__xludf.DUMMYFUNCTION("GOOGLETRANSLATE(F32,""en"",""th"")"),"ชายคนหนึ่งอยู่บนหลังวัวกระทิง")</f>
        <v>ชายคนหนึ่งอยู่บนหลังวัวกระทิง</v>
      </c>
      <c r="S32" s="6" t="str">
        <f>IFERROR(__xludf.DUMMYFUNCTION("GOOGLETRANSLATE(G32,""en"",""th"")"),"กระทิงกำลังถูกฝึก")</f>
        <v>กระทิงกำลังถูกฝึก</v>
      </c>
      <c r="T32" s="6" t="s">
        <v>212</v>
      </c>
      <c r="U32" s="6" t="str">
        <f>IFERROR(__xludf.DUMMYFUNCTION("GOOGLETRANSLATE(I32,""en"",""th"")"),"กิจกรรมการสู้วัวกระทิงในสนามสู้วัวกระทิง")</f>
        <v>กิจกรรมการสู้วัวกระทิงในสนามสู้วัวกระทิง</v>
      </c>
      <c r="V32" s="6" t="str">
        <f>IFERROR(__xludf.DUMMYFUNCTION("GOOGLETRANSLATE(J32,""en"",""th"")"),"ภาพนี้แสดงให้เห็นวัวกระทิงในสนามวงกลมพร้อมกับผู้คนหลายคนที่สวมชุดสู้วัวกระทิงแบบดั้งเดิม ซึ่งเป็นลักษณะเฉพาะของการสู้วัวกระทิงในสเปน ไม่ใช่วัวกระทิง")</f>
        <v>ภาพนี้แสดงให้เห็นวัวกระทิงในสนามวงกลมพร้อมกับผู้คนหลายคนที่สวมชุดสู้วัวกระทิงแบบดั้งเดิม ซึ่งเป็นลักษณะเฉพาะของการสู้วัวกระทิงในสเปน ไม่ใช่วัวกระทิง</v>
      </c>
    </row>
    <row r="33" ht="22.5" customHeight="1">
      <c r="A33" s="2" t="s">
        <v>208</v>
      </c>
      <c r="B33" s="3">
        <v>32.0</v>
      </c>
      <c r="C33" s="4" t="s">
        <v>213</v>
      </c>
      <c r="D33" s="4" t="s">
        <v>214</v>
      </c>
      <c r="E33" s="4" t="s">
        <v>215</v>
      </c>
      <c r="F33" s="4" t="s">
        <v>216</v>
      </c>
      <c r="G33" s="4" t="s">
        <v>217</v>
      </c>
      <c r="H33" s="4" t="s">
        <v>218</v>
      </c>
      <c r="I33" s="4" t="s">
        <v>215</v>
      </c>
      <c r="J33" s="4" t="s">
        <v>219</v>
      </c>
      <c r="M33" s="4" t="s">
        <v>208</v>
      </c>
      <c r="N33" s="5">
        <v>32.0</v>
      </c>
      <c r="O33" s="6" t="str">
        <f>IFERROR(__xludf.DUMMYFUNCTION("GOOGLETRANSLATE(C33,""en"",""th"")"),"งานนี้กับชนวัวต่างกันอย่างไร?")</f>
        <v>งานนี้กับชนวัวต่างกันอย่างไร?</v>
      </c>
      <c r="P33" s="6" t="str">
        <f>IFERROR(__xludf.DUMMYFUNCTION("GOOGLETRANSLATE(D33,""en"",""th"")"),"การใช้กระทิง")</f>
        <v>การใช้กระทิง</v>
      </c>
      <c r="Q33" s="6" t="str">
        <f>IFERROR(__xludf.DUMMYFUNCTION("GOOGLETRANSLATE(E33,""en"",""th"")"),"การใช้สนามชนวัว")</f>
        <v>การใช้สนามชนวัว</v>
      </c>
      <c r="R33" s="6" t="str">
        <f>IFERROR(__xludf.DUMMYFUNCTION("GOOGLETRANSLATE(F33,""en"",""th"")"),"การใช้ของผู้ชาย")</f>
        <v>การใช้ของผู้ชาย</v>
      </c>
      <c r="S33" s="6" t="str">
        <f>IFERROR(__xludf.DUMMYFUNCTION("GOOGLETRANSLATE(G33,""en"",""th"")"),"การใช้ผู้ชายในเครื่องแต่งกาย")</f>
        <v>การใช้ผู้ชายในเครื่องแต่งกาย</v>
      </c>
      <c r="T33" s="6" t="s">
        <v>220</v>
      </c>
      <c r="U33" s="6" t="str">
        <f>IFERROR(__xludf.DUMMYFUNCTION("GOOGLETRANSLATE(I33,""en"",""th"")"),"การใช้สนามชนวัว")</f>
        <v>การใช้สนามชนวัว</v>
      </c>
      <c r="V33" s="6" t="str">
        <f>IFERROR(__xludf.DUMMYFUNCTION("GOOGLETRANSLATE(J33,""en"",""th"")"),"ชนวัวเป็นการต่อสู้แบบกระทิง โดยภาพนี้แสดงให้เห็นการสู้วัวกระทิงโดยมีชายคนหนึ่งต่อสู้กับวัวกระทิงในสนามสู้วัวกระทิง")</f>
        <v>ชนวัวเป็นการต่อสู้แบบกระทิง โดยภาพนี้แสดงให้เห็นการสู้วัวกระทิงโดยมีชายคนหนึ่งต่อสู้กับวัวกระทิงในสนามสู้วัวกระทิง</v>
      </c>
    </row>
    <row r="34" ht="22.5" customHeight="1">
      <c r="A34" s="2" t="s">
        <v>208</v>
      </c>
      <c r="B34" s="3">
        <v>33.0</v>
      </c>
      <c r="C34" s="4" t="s">
        <v>221</v>
      </c>
      <c r="D34" s="4" t="s">
        <v>52</v>
      </c>
      <c r="E34" s="4" t="s">
        <v>54</v>
      </c>
      <c r="F34" s="4" t="s">
        <v>222</v>
      </c>
      <c r="G34" s="4" t="s">
        <v>55</v>
      </c>
      <c r="H34" s="4" t="s">
        <v>223</v>
      </c>
      <c r="I34" s="4" t="s">
        <v>222</v>
      </c>
      <c r="J34" s="4" t="s">
        <v>224</v>
      </c>
      <c r="M34" s="4" t="s">
        <v>208</v>
      </c>
      <c r="N34" s="5">
        <v>33.0</v>
      </c>
      <c r="O34" s="6" t="str">
        <f>IFERROR(__xludf.DUMMYFUNCTION("GOOGLETRANSLATE(C34,""en"",""th"")"),"คนในสนามสู้วัวกระทิงมีจุดประสงค์อะไร?")</f>
        <v>คนในสนามสู้วัวกระทิงมีจุดประสงค์อะไร?</v>
      </c>
      <c r="P34" s="6" t="str">
        <f>IFERROR(__xludf.DUMMYFUNCTION("GOOGLETRANSLATE(D34,""en"",""th"")"),"พวกเขาเป็นผู้ชม")</f>
        <v>พวกเขาเป็นผู้ชม</v>
      </c>
      <c r="Q34" s="6" t="str">
        <f>IFERROR(__xludf.DUMMYFUNCTION("GOOGLETRANSLATE(E34,""en"",""th"")"),"พวกเขาเป็นผู้พิพากษา")</f>
        <v>พวกเขาเป็นผู้พิพากษา</v>
      </c>
      <c r="R34" s="6" t="str">
        <f>IFERROR(__xludf.DUMMYFUNCTION("GOOGLETRANSLATE(F34,""en"",""th"")"),"พวกเขาคือนักสู้วัวกระทิง")</f>
        <v>พวกเขาคือนักสู้วัวกระทิง</v>
      </c>
      <c r="S34" s="6" t="str">
        <f>IFERROR(__xludf.DUMMYFUNCTION("GOOGLETRANSLATE(G34,""en"",""th"")"),"พวกเขาเป็นเจ้าหน้าที่รักษาความปลอดภัย")</f>
        <v>พวกเขาเป็นเจ้าหน้าที่รักษาความปลอดภัย</v>
      </c>
      <c r="T34" s="6" t="s">
        <v>225</v>
      </c>
      <c r="U34" s="6" t="str">
        <f>IFERROR(__xludf.DUMMYFUNCTION("GOOGLETRANSLATE(I34,""en"",""th"")"),"พวกเขาคือนักสู้วัวกระทิง")</f>
        <v>พวกเขาคือนักสู้วัวกระทิง</v>
      </c>
      <c r="V34" s="6" t="str">
        <f>IFERROR(__xludf.DUMMYFUNCTION("GOOGLETRANSLATE(J34,""en"",""th"")"),"ผู้คนในสังเวียนกระทิงจะสวมชุดสู้วัวกระทิงแบบดั้งเดิม ซึ่งเป็นเครื่องแบบของนักสู้วัวกระทิงหรือมาทาดอร์")</f>
        <v>ผู้คนในสังเวียนกระทิงจะสวมชุดสู้วัวกระทิงแบบดั้งเดิม ซึ่งเป็นเครื่องแบบของนักสู้วัวกระทิงหรือมาทาดอร์</v>
      </c>
    </row>
    <row r="35" ht="22.5" customHeight="1">
      <c r="A35" s="2" t="s">
        <v>208</v>
      </c>
      <c r="B35" s="3">
        <v>34.0</v>
      </c>
      <c r="C35" s="4" t="s">
        <v>147</v>
      </c>
      <c r="D35" s="4" t="s">
        <v>148</v>
      </c>
      <c r="E35" s="4" t="s">
        <v>149</v>
      </c>
      <c r="F35" s="4" t="s">
        <v>226</v>
      </c>
      <c r="G35" s="4" t="s">
        <v>150</v>
      </c>
      <c r="H35" s="4" t="s">
        <v>227</v>
      </c>
      <c r="I35" s="4" t="s">
        <v>226</v>
      </c>
      <c r="J35" s="4" t="s">
        <v>228</v>
      </c>
      <c r="M35" s="4" t="s">
        <v>208</v>
      </c>
      <c r="N35" s="5">
        <v>34.0</v>
      </c>
      <c r="O35" s="6" t="str">
        <f>IFERROR(__xludf.DUMMYFUNCTION("GOOGLETRANSLATE(C35,""en"",""th"")"),"สถานที่จัดงานครั้งนี้มีสภาพแวดล้อมแบบใด?")</f>
        <v>สถานที่จัดงานครั้งนี้มีสภาพแวดล้อมแบบใด?</v>
      </c>
      <c r="P35" s="6" t="str">
        <f>IFERROR(__xludf.DUMMYFUNCTION("GOOGLETRANSLATE(D35,""en"",""th"")"),"สนามกีฬาที่ทันสมัย")</f>
        <v>สนามกีฬาที่ทันสมัย</v>
      </c>
      <c r="Q35" s="6" t="str">
        <f>IFERROR(__xludf.DUMMYFUNCTION("GOOGLETRANSLATE(E35,""en"",""th"")"),"ทุ่งโล่งกว้างและมีโคลนมากมาย")</f>
        <v>ทุ่งโล่งกว้างและมีโคลนมากมาย</v>
      </c>
      <c r="R35" s="6" t="str">
        <f>IFERROR(__xludf.DUMMYFUNCTION("GOOGLETRANSLATE(F35,""en"",""th"")"),"สังเวียนวัวกระทิงแบบวงกลม")</f>
        <v>สังเวียนวัวกระทิงแบบวงกลม</v>
      </c>
      <c r="S35" s="6" t="str">
        <f>IFERROR(__xludf.DUMMYFUNCTION("GOOGLETRANSLATE(G35,""en"",""th"")"),"สนามกีฬาในร่ม")</f>
        <v>สนามกีฬาในร่ม</v>
      </c>
      <c r="T35" s="6" t="s">
        <v>229</v>
      </c>
      <c r="U35" s="6" t="str">
        <f>IFERROR(__xludf.DUMMYFUNCTION("GOOGLETRANSLATE(I35,""en"",""th"")"),"สังเวียนวัวกระทิงแบบวงกลม")</f>
        <v>สังเวียนวัวกระทิงแบบวงกลม</v>
      </c>
      <c r="V35" s="6" t="str">
        <f>IFERROR(__xludf.DUMMYFUNCTION("GOOGLETRANSLATE(J35,""en"",""th"")"),"ภาพนี้แสดงให้เห็นสนามดินวงกลมที่มีรั้วสีแดง ซึ่งเป็นลักษณะเฉพาะของสนามสู้วัวกระทิงในสเปนหรือประเทศละตินอื่นๆ")</f>
        <v>ภาพนี้แสดงให้เห็นสนามดินวงกลมที่มีรั้วสีแดง ซึ่งเป็นลักษณะเฉพาะของสนามสู้วัวกระทิงในสเปนหรือประเทศละตินอื่นๆ</v>
      </c>
    </row>
    <row r="36" ht="22.5" customHeight="1">
      <c r="A36" s="2" t="s">
        <v>208</v>
      </c>
      <c r="B36" s="3">
        <v>35.0</v>
      </c>
      <c r="C36" s="4" t="s">
        <v>154</v>
      </c>
      <c r="D36" s="4" t="s">
        <v>155</v>
      </c>
      <c r="E36" s="4" t="s">
        <v>156</v>
      </c>
      <c r="F36" s="4" t="s">
        <v>157</v>
      </c>
      <c r="G36" s="4" t="s">
        <v>127</v>
      </c>
      <c r="H36" s="4" t="s">
        <v>158</v>
      </c>
      <c r="I36" s="4" t="s">
        <v>156</v>
      </c>
      <c r="J36" s="4" t="s">
        <v>230</v>
      </c>
      <c r="M36" s="4" t="s">
        <v>208</v>
      </c>
      <c r="N36" s="5">
        <v>35.0</v>
      </c>
      <c r="O36" s="6" t="str">
        <f>IFERROR(__xludf.DUMMYFUNCTION("GOOGLETRANSLATE(C36,""en"",""th"")"),"บรรยากาศโดยรวมของภาพเป็นอย่างไร?")</f>
        <v>บรรยากาศโดยรวมของภาพเป็นอย่างไร?</v>
      </c>
      <c r="P36" s="6" t="str">
        <f>IFERROR(__xludf.DUMMYFUNCTION("GOOGLETRANSLATE(D36,""en"",""th"")"),"แบบสนุกสนานรื่นเริง")</f>
        <v>แบบสนุกสนานรื่นเริง</v>
      </c>
      <c r="Q36" s="6" t="str">
        <f>IFERROR(__xludf.DUMMYFUNCTION("GOOGLETRANSLATE(E36,""en"",""th"")"),"เป็นเรื่องที่จริงจังและตึงเครียด")</f>
        <v>เป็นเรื่องที่จริงจังและตึงเครียด</v>
      </c>
      <c r="R36" s="6" t="str">
        <f>IFERROR(__xludf.DUMMYFUNCTION("GOOGLETRANSLATE(F36,""en"",""th"")"),"เป็นบรรยากาศเงียบสงบและเศร้าหมอง")</f>
        <v>เป็นบรรยากาศเงียบสงบและเศร้าหมอง</v>
      </c>
      <c r="S36" s="6" t="str">
        <f>IFERROR(__xludf.DUMMYFUNCTION("GOOGLETRANSLATE(G36,""en"",""th"")"),"แบบสบายๆ และผ่อนคลาย")</f>
        <v>แบบสบายๆ และผ่อนคลาย</v>
      </c>
      <c r="T36" s="6" t="s">
        <v>160</v>
      </c>
      <c r="U36" s="6" t="str">
        <f>IFERROR(__xludf.DUMMYFUNCTION("GOOGLETRANSLATE(I36,""en"",""th"")"),"เป็นเรื่องที่จริงจังและตึงเครียด")</f>
        <v>เป็นเรื่องที่จริงจังและตึงเครียด</v>
      </c>
      <c r="V36" s="6" t="str">
        <f>IFERROR(__xludf.DUMMYFUNCTION("GOOGLETRANSLATE(J36,""en"",""th"")"),"สายตาอันเข้มข้นของกระทิงและการแสดงออกที่มุ่งมั่นของนักสู้กระทิงสร้างบรรยากาศที่จริงจังและตึงเครียดซึ่งเป็นส่วนสำคัญของธรรมชาติของการสู้วัวกระทิง")</f>
        <v>สายตาอันเข้มข้นของกระทิงและการแสดงออกที่มุ่งมั่นของนักสู้กระทิงสร้างบรรยากาศที่จริงจังและตึงเครียดซึ่งเป็นส่วนสำคัญของธรรมชาติของการสู้วัวกระทิง</v>
      </c>
    </row>
    <row r="37" ht="22.5" customHeight="1">
      <c r="A37" s="2" t="s">
        <v>231</v>
      </c>
      <c r="B37" s="3">
        <v>36.0</v>
      </c>
      <c r="C37" s="4" t="s">
        <v>21</v>
      </c>
      <c r="D37" s="4" t="s">
        <v>60</v>
      </c>
      <c r="E37" s="4" t="s">
        <v>61</v>
      </c>
      <c r="F37" s="4" t="s">
        <v>25</v>
      </c>
      <c r="G37" s="4" t="s">
        <v>62</v>
      </c>
      <c r="H37" s="4" t="s">
        <v>63</v>
      </c>
      <c r="I37" s="4" t="s">
        <v>60</v>
      </c>
      <c r="J37" s="4" t="s">
        <v>64</v>
      </c>
      <c r="M37" s="4" t="s">
        <v>231</v>
      </c>
      <c r="N37" s="5">
        <v>36.0</v>
      </c>
      <c r="O37" s="6" t="str">
        <f>IFERROR(__xludf.DUMMYFUNCTION("GOOGLETRANSLATE(C37,""en"",""th"")"),"ภาพที่แสดงเป็นกิจกรรมหลักอะไร?")</f>
        <v>ภาพที่แสดงเป็นกิจกรรมหลักอะไร?</v>
      </c>
      <c r="P37" s="6" t="str">
        <f>IFERROR(__xludf.DUMMYFUNCTION("GOOGLETRANSLATE(D37,""en"",""th"")"),"กระทิงสองตัวกำลังต่อสู้กัน")</f>
        <v>กระทิงสองตัวกำลังต่อสู้กัน</v>
      </c>
      <c r="Q37" s="6" t="str">
        <f>IFERROR(__xludf.DUMMYFUNCTION("GOOGLETRANSLATE(E37,""en"",""th"")"),"กระทิงสองตัวกำลังพักผ่อน")</f>
        <v>กระทิงสองตัวกำลังพักผ่อน</v>
      </c>
      <c r="R37" s="6" t="str">
        <f>IFERROR(__xludf.DUMMYFUNCTION("GOOGLETRANSLATE(F37,""en"",""th"")"),"กระทิงกำลังถูกฝึก")</f>
        <v>กระทิงกำลังถูกฝึก</v>
      </c>
      <c r="S37" s="6" t="str">
        <f>IFERROR(__xludf.DUMMYFUNCTION("GOOGLETRANSLATE(G37,""en"",""th"")"),"กระทิงกำลังถูกจูง")</f>
        <v>กระทิงกำลังถูกจูง</v>
      </c>
      <c r="T37" s="6" t="s">
        <v>65</v>
      </c>
      <c r="U37" s="6" t="str">
        <f>IFERROR(__xludf.DUMMYFUNCTION("GOOGLETRANSLATE(I37,""en"",""th"")"),"กระทิงสองตัวกำลังต่อสู้กัน")</f>
        <v>กระทิงสองตัวกำลังต่อสู้กัน</v>
      </c>
      <c r="V37" s="6" t="str">
        <f>IFERROR(__xludf.DUMMYFUNCTION("GOOGLETRANSLATE(J37,""en"",""th"")"),"ในภาพเป็นภาพกระทิง 2 ตัวที่มีหัวและเขาประสานกัน ซึ่งเป็นหัวใจสำคัญของการสู้วัวกระทิงของไทย")</f>
        <v>ในภาพเป็นภาพกระทิง 2 ตัวที่มีหัวและเขาประสานกัน ซึ่งเป็นหัวใจสำคัญของการสู้วัวกระทิงของไทย</v>
      </c>
    </row>
    <row r="38" ht="22.5" customHeight="1">
      <c r="A38" s="2" t="s">
        <v>231</v>
      </c>
      <c r="B38" s="3">
        <v>37.0</v>
      </c>
      <c r="C38" s="4" t="s">
        <v>232</v>
      </c>
      <c r="D38" s="4" t="s">
        <v>233</v>
      </c>
      <c r="E38" s="4" t="s">
        <v>234</v>
      </c>
      <c r="F38" s="4" t="s">
        <v>235</v>
      </c>
      <c r="G38" s="4" t="s">
        <v>236</v>
      </c>
      <c r="H38" s="4" t="s">
        <v>237</v>
      </c>
      <c r="I38" s="4" t="s">
        <v>233</v>
      </c>
      <c r="J38" s="4" t="s">
        <v>238</v>
      </c>
      <c r="M38" s="4" t="s">
        <v>231</v>
      </c>
      <c r="N38" s="5">
        <v>37.0</v>
      </c>
      <c r="O38" s="6" t="str">
        <f>IFERROR(__xludf.DUMMYFUNCTION("GOOGLETRANSLATE(C38,""en"",""th"")"),"ลักษณะเด่นของร่างกายวัวกระทิงคืออะไร?")</f>
        <v>ลักษณะเด่นของร่างกายวัวกระทิงคืออะไร?</v>
      </c>
      <c r="P38" s="6" t="str">
        <f>IFERROR(__xludf.DUMMYFUNCTION("GOOGLETRANSLATE(D38,""en"",""th"")"),"พวกมันมีหลังโค้งใหญ่มาก")</f>
        <v>พวกมันมีหลังโค้งใหญ่มาก</v>
      </c>
      <c r="Q38" s="6" t="str">
        <f>IFERROR(__xludf.DUMMYFUNCTION("GOOGLETRANSLATE(E38,""en"",""th"")"),"มันผอมมาก")</f>
        <v>มันผอมมาก</v>
      </c>
      <c r="R38" s="6" t="str">
        <f>IFERROR(__xludf.DUMMYFUNCTION("GOOGLETRANSLATE(F38,""en"",""th"")"),"พวกมันเล็กมาก")</f>
        <v>พวกมันเล็กมาก</v>
      </c>
      <c r="S38" s="6" t="str">
        <f>IFERROR(__xludf.DUMMYFUNCTION("GOOGLETRANSLATE(G38,""en"",""th"")"),"พวกมันไม่มีเขา")</f>
        <v>พวกมันไม่มีเขา</v>
      </c>
      <c r="T38" s="6" t="s">
        <v>239</v>
      </c>
      <c r="U38" s="6" t="str">
        <f>IFERROR(__xludf.DUMMYFUNCTION("GOOGLETRANSLATE(I38,""en"",""th"")"),"พวกมันมีหลังโค้งใหญ่มาก")</f>
        <v>พวกมันมีหลังโค้งใหญ่มาก</v>
      </c>
      <c r="V38" s="6" t="str">
        <f>IFERROR(__xludf.DUMMYFUNCTION("GOOGLETRANSLATE(J38,""en"",""th"")"),"กระทิงมีหลังค่อมที่เด่นชัด ซึ่งเป็นลักษณะเฉพาะของวัวพันธุ์เซบู ซึ่งเป็นสายพันธุ์ที่นิยมใช้ในการสู้วัวกระทิงของไทย")</f>
        <v>กระทิงมีหลังค่อมที่เด่นชัด ซึ่งเป็นลักษณะเฉพาะของวัวพันธุ์เซบู ซึ่งเป็นสายพันธุ์ที่นิยมใช้ในการสู้วัวกระทิงของไทย</v>
      </c>
    </row>
    <row r="39" ht="22.5" customHeight="1">
      <c r="A39" s="2" t="s">
        <v>231</v>
      </c>
      <c r="B39" s="3">
        <v>38.0</v>
      </c>
      <c r="C39" s="4" t="s">
        <v>240</v>
      </c>
      <c r="D39" s="4" t="s">
        <v>52</v>
      </c>
      <c r="E39" s="4" t="s">
        <v>54</v>
      </c>
      <c r="F39" s="4" t="s">
        <v>55</v>
      </c>
      <c r="G39" s="4" t="s">
        <v>241</v>
      </c>
      <c r="H39" s="4" t="s">
        <v>242</v>
      </c>
      <c r="I39" s="4" t="s">
        <v>241</v>
      </c>
      <c r="J39" s="4" t="s">
        <v>243</v>
      </c>
      <c r="M39" s="4" t="s">
        <v>231</v>
      </c>
      <c r="N39" s="5">
        <v>38.0</v>
      </c>
      <c r="O39" s="6" t="str">
        <f>IFERROR(__xludf.DUMMYFUNCTION("GOOGLETRANSLATE(C39,""en"",""th"")"),"คนที่ยืนอยู่หลังวัวมีจุดประสงค์อะไร?")</f>
        <v>คนที่ยืนอยู่หลังวัวมีจุดประสงค์อะไร?</v>
      </c>
      <c r="P39" s="6" t="str">
        <f>IFERROR(__xludf.DUMMYFUNCTION("GOOGLETRANSLATE(D39,""en"",""th"")"),"พวกเขาเป็นผู้ชม")</f>
        <v>พวกเขาเป็นผู้ชม</v>
      </c>
      <c r="Q39" s="6" t="str">
        <f>IFERROR(__xludf.DUMMYFUNCTION("GOOGLETRANSLATE(E39,""en"",""th"")"),"พวกเขาเป็นผู้พิพากษา")</f>
        <v>พวกเขาเป็นผู้พิพากษา</v>
      </c>
      <c r="R39" s="6" t="str">
        <f>IFERROR(__xludf.DUMMYFUNCTION("GOOGLETRANSLATE(F39,""en"",""th"")"),"พวกเขาเป็นเจ้าหน้าที่รักษาความปลอดภัย")</f>
        <v>พวกเขาเป็นเจ้าหน้าที่รักษาความปลอดภัย</v>
      </c>
      <c r="S39" s="6" t="str">
        <f>IFERROR(__xludf.DUMMYFUNCTION("GOOGLETRANSLATE(G39,""en"",""th"")"),"พวกนั้นเป็นผู้ดูแลคอยชี้ทางให้วัวกระทิง")</f>
        <v>พวกนั้นเป็นผู้ดูแลคอยชี้ทางให้วัวกระทิง</v>
      </c>
      <c r="T39" s="6" t="s">
        <v>244</v>
      </c>
      <c r="U39" s="6" t="str">
        <f>IFERROR(__xludf.DUMMYFUNCTION("GOOGLETRANSLATE(I39,""en"",""th"")"),"พวกนั้นเป็นผู้ดูแลคอยชี้ทางให้วัวกระทิง")</f>
        <v>พวกนั้นเป็นผู้ดูแลคอยชี้ทางให้วัวกระทิง</v>
      </c>
      <c r="V39" s="6" t="str">
        <f>IFERROR(__xludf.DUMMYFUNCTION("GOOGLETRANSLATE(J39,""en"",""th"")"),"คนที่ยืนอยู่ใกล้ตัววัวกำลังถือเชือกและเสา แสดงให้เห็นว่าพวกเขาคือคนต้อนวัวที่รับผิดชอบในการนำวัว")</f>
        <v>คนที่ยืนอยู่ใกล้ตัววัวกำลังถือเชือกและเสา แสดงให้เห็นว่าพวกเขาคือคนต้อนวัวที่รับผิดชอบในการนำวัว</v>
      </c>
    </row>
    <row r="40" ht="22.5" customHeight="1">
      <c r="A40" s="2" t="s">
        <v>231</v>
      </c>
      <c r="B40" s="3">
        <v>39.0</v>
      </c>
      <c r="C40" s="4" t="s">
        <v>245</v>
      </c>
      <c r="D40" s="4" t="s">
        <v>246</v>
      </c>
      <c r="E40" s="4" t="s">
        <v>247</v>
      </c>
      <c r="F40" s="4" t="s">
        <v>248</v>
      </c>
      <c r="G40" s="4" t="s">
        <v>249</v>
      </c>
      <c r="H40" s="4" t="s">
        <v>250</v>
      </c>
      <c r="I40" s="4" t="s">
        <v>247</v>
      </c>
      <c r="J40" s="4" t="s">
        <v>251</v>
      </c>
      <c r="M40" s="4" t="s">
        <v>231</v>
      </c>
      <c r="N40" s="5">
        <v>39.0</v>
      </c>
      <c r="O40" s="6" t="str">
        <f>IFERROR(__xludf.DUMMYFUNCTION("GOOGLETRANSLATE(C40,""en"",""th"")"),"ฝูงชนอยู่หลังรั้ว รั้วนั้นมีจุดประสงค์อะไร")</f>
        <v>ฝูงชนอยู่หลังรั้ว รั้วนั้นมีจุดประสงค์อะไร</v>
      </c>
      <c r="P40" s="6" t="str">
        <f>IFERROR(__xludf.DUMMYFUNCTION("GOOGLETRANSLATE(D40,""en"",""th"")"),"เพื่อป้องกันไม่ให้กระทิงออกจากสนาม")</f>
        <v>เพื่อป้องกันไม่ให้กระทิงออกจากสนาม</v>
      </c>
      <c r="Q40" s="6" t="str">
        <f>IFERROR(__xludf.DUMMYFUNCTION("GOOGLETRANSLATE(E40,""en"",""th"")"),"เพื่อความปลอดภัยของผู้ชม")</f>
        <v>เพื่อความปลอดภัยของผู้ชม</v>
      </c>
      <c r="R40" s="6" t="str">
        <f>IFERROR(__xludf.DUMMYFUNCTION("GOOGLETRANSLATE(F40,""en"",""th"")"),"เพื่อทำเครื่องหมายขอบเขตของวงแหวน")</f>
        <v>เพื่อทำเครื่องหมายขอบเขตของวงแหวน</v>
      </c>
      <c r="S40" s="6" t="str">
        <f>IFERROR(__xludf.DUMMYFUNCTION("GOOGLETRANSLATE(G40,""en"",""th"")"),"เพื่อจัดให้มีสถานที่ให้ผู้คนนั่ง")</f>
        <v>เพื่อจัดให้มีสถานที่ให้ผู้คนนั่ง</v>
      </c>
      <c r="T40" s="6" t="s">
        <v>252</v>
      </c>
      <c r="U40" s="6" t="str">
        <f>IFERROR(__xludf.DUMMYFUNCTION("GOOGLETRANSLATE(I40,""en"",""th"")"),"เพื่อความปลอดภัยของผู้ชม")</f>
        <v>เพื่อความปลอดภัยของผู้ชม</v>
      </c>
      <c r="V40" s="6" t="str">
        <f>IFERROR(__xludf.DUMMYFUNCTION("GOOGLETRANSLATE(J40,""en"",""th"")"),"รั้วทำหน้าที่เป็นสิ่งกั้นความปลอดภัยที่สำคัญ โดยแยกวัวออกจากผู้ชมและป้องกันอุบัติเหตุ")</f>
        <v>รั้วทำหน้าที่เป็นสิ่งกั้นความปลอดภัยที่สำคัญ โดยแยกวัวออกจากผู้ชมและป้องกันอุบัติเหตุ</v>
      </c>
    </row>
    <row r="41" ht="22.5" customHeight="1">
      <c r="A41" s="2" t="s">
        <v>231</v>
      </c>
      <c r="B41" s="3">
        <v>40.0</v>
      </c>
      <c r="C41" s="4" t="s">
        <v>154</v>
      </c>
      <c r="D41" s="4" t="s">
        <v>124</v>
      </c>
      <c r="E41" s="4" t="s">
        <v>125</v>
      </c>
      <c r="F41" s="4" t="s">
        <v>126</v>
      </c>
      <c r="G41" s="4" t="s">
        <v>127</v>
      </c>
      <c r="H41" s="4" t="s">
        <v>128</v>
      </c>
      <c r="I41" s="4" t="s">
        <v>125</v>
      </c>
      <c r="J41" s="4" t="s">
        <v>253</v>
      </c>
      <c r="M41" s="4" t="s">
        <v>231</v>
      </c>
      <c r="N41" s="5">
        <v>40.0</v>
      </c>
      <c r="O41" s="6" t="str">
        <f>IFERROR(__xludf.DUMMYFUNCTION("GOOGLETRANSLATE(C41,""en"",""th"")"),"บรรยากาศโดยรวมของภาพเป็นอย่างไร?")</f>
        <v>บรรยากาศโดยรวมของภาพเป็นอย่างไร?</v>
      </c>
      <c r="P41" s="6" t="str">
        <f>IFERROR(__xludf.DUMMYFUNCTION("GOOGLETRANSLATE(D41,""en"",""th"")"),"เป็นที่เงียบสงบและสันติ")</f>
        <v>เป็นที่เงียบสงบและสันติ</v>
      </c>
      <c r="Q41" s="6" t="str">
        <f>IFERROR(__xludf.DUMMYFUNCTION("GOOGLETRANSLATE(E41,""en"",""th"")"),"แบบตึงเครียดและมีสมาธิ")</f>
        <v>แบบตึงเครียดและมีสมาธิ</v>
      </c>
      <c r="R41" s="6" t="str">
        <f>IFERROR(__xludf.DUMMYFUNCTION("GOOGLETRANSLATE(F41,""en"",""th"")"),"แบบเฉลิมฉลองและรื่นเริง")</f>
        <v>แบบเฉลิมฉลองและรื่นเริง</v>
      </c>
      <c r="S41" s="6" t="str">
        <f>IFERROR(__xludf.DUMMYFUNCTION("GOOGLETRANSLATE(G41,""en"",""th"")"),"แบบสบายๆ และผ่อนคลาย")</f>
        <v>แบบสบายๆ และผ่อนคลาย</v>
      </c>
      <c r="T41" s="6" t="s">
        <v>130</v>
      </c>
      <c r="U41" s="6" t="str">
        <f>IFERROR(__xludf.DUMMYFUNCTION("GOOGLETRANSLATE(I41,""en"",""th"")"),"แบบตึงเครียดและมีสมาธิ")</f>
        <v>แบบตึงเครียดและมีสมาธิ</v>
      </c>
      <c r="V41" s="6" t="str">
        <f>IFERROR(__xludf.DUMMYFUNCTION("GOOGLETRANSLATE(J41,""en"",""th"")"),"การที่วัวกระทิงก้มหัวลง ท่าทางที่มุ่งมั่นของผู้ฝึก และสายตาที่จดจ่อของฝูงชน ทำให้เกิดบรรยากาศที่ตึงเครียดและมุ่งมั่น")</f>
        <v>การที่วัวกระทิงก้มหัวลง ท่าทางที่มุ่งมั่นของผู้ฝึก และสายตาที่จดจ่อของฝูงชน ทำให้เกิดบรรยากาศที่ตึงเครียดและมุ่งมั่น</v>
      </c>
    </row>
    <row r="42" ht="22.5" customHeight="1">
      <c r="A42" s="2" t="s">
        <v>254</v>
      </c>
      <c r="B42" s="3">
        <v>41.0</v>
      </c>
      <c r="C42" s="4" t="s">
        <v>21</v>
      </c>
      <c r="D42" s="4" t="s">
        <v>133</v>
      </c>
      <c r="E42" s="4" t="s">
        <v>255</v>
      </c>
      <c r="F42" s="4" t="s">
        <v>135</v>
      </c>
      <c r="G42" s="4" t="s">
        <v>256</v>
      </c>
      <c r="H42" s="4" t="s">
        <v>257</v>
      </c>
      <c r="I42" s="4" t="s">
        <v>255</v>
      </c>
      <c r="J42" s="4" t="s">
        <v>258</v>
      </c>
      <c r="M42" s="4" t="s">
        <v>254</v>
      </c>
      <c r="N42" s="5">
        <v>41.0</v>
      </c>
      <c r="O42" s="6" t="str">
        <f>IFERROR(__xludf.DUMMYFUNCTION("GOOGLETRANSLATE(C42,""en"",""th"")"),"ภาพที่แสดงเป็นกิจกรรมหลักอะไร?")</f>
        <v>ภาพที่แสดงเป็นกิจกรรมหลักอะไร?</v>
      </c>
      <c r="P42" s="6" t="str">
        <f>IFERROR(__xludf.DUMMYFUNCTION("GOOGLETRANSLATE(D42,""en"",""th"")"),"วัวตัวหนึ่งกำลังพักผ่อน")</f>
        <v>วัวตัวหนึ่งกำลังพักผ่อน</v>
      </c>
      <c r="Q42" s="6" t="str">
        <f>IFERROR(__xludf.DUMMYFUNCTION("GOOGLETRANSLATE(E42,""en"",""th"")"),"มีวัวอยู่ในบ่อโคลน")</f>
        <v>มีวัวอยู่ในบ่อโคลน</v>
      </c>
      <c r="R42" s="6" t="str">
        <f>IFERROR(__xludf.DUMMYFUNCTION("GOOGLETRANSLATE(F42,""en"",""th"")"),"มีการนำวัวกระทิง")</f>
        <v>มีการนำวัวกระทิง</v>
      </c>
      <c r="S42" s="6" t="str">
        <f>IFERROR(__xludf.DUMMYFUNCTION("GOOGLETRANSLATE(G42,""en"",""th"")"),"กำลังฝึกกระทิงอยู่")</f>
        <v>กำลังฝึกกระทิงอยู่</v>
      </c>
      <c r="T42" s="6" t="s">
        <v>259</v>
      </c>
      <c r="U42" s="6" t="str">
        <f>IFERROR(__xludf.DUMMYFUNCTION("GOOGLETRANSLATE(I42,""en"",""th"")"),"มีวัวอยู่ในบ่อโคลน")</f>
        <v>มีวัวอยู่ในบ่อโคลน</v>
      </c>
      <c r="V42" s="6" t="str">
        <f>IFERROR(__xludf.DUMMYFUNCTION("GOOGLETRANSLATE(J42,""en"",""th"")"),"ภาพนี้แสดงให้เห็นกระทิงตัวหนึ่งยืนโดดเดี่ยวอยู่ในหลุมโคลน โดยมีโคลนและน้ำล้อมรอบอยู่ ซึ่งเป็นลักษณะทั่วไปของสนามสู้วัวกระทิงของไทย")</f>
        <v>ภาพนี้แสดงให้เห็นกระทิงตัวหนึ่งยืนโดดเดี่ยวอยู่ในหลุมโคลน โดยมีโคลนและน้ำล้อมรอบอยู่ ซึ่งเป็นลักษณะทั่วไปของสนามสู้วัวกระทิงของไทย</v>
      </c>
    </row>
    <row r="43" ht="22.5" customHeight="1">
      <c r="A43" s="2" t="s">
        <v>254</v>
      </c>
      <c r="B43" s="3">
        <v>42.0</v>
      </c>
      <c r="C43" s="4" t="s">
        <v>168</v>
      </c>
      <c r="D43" s="4" t="s">
        <v>169</v>
      </c>
      <c r="E43" s="4" t="s">
        <v>170</v>
      </c>
      <c r="F43" s="4" t="s">
        <v>171</v>
      </c>
      <c r="G43" s="4" t="s">
        <v>260</v>
      </c>
      <c r="H43" s="4" t="s">
        <v>261</v>
      </c>
      <c r="I43" s="4" t="s">
        <v>260</v>
      </c>
      <c r="J43" s="4" t="s">
        <v>262</v>
      </c>
      <c r="M43" s="4" t="s">
        <v>254</v>
      </c>
      <c r="N43" s="5">
        <v>42.0</v>
      </c>
      <c r="O43" s="6" t="str">
        <f>IFERROR(__xludf.DUMMYFUNCTION("GOOGLETRANSLATE(C43,""en"",""th"")"),"ลักษณะเด่นของเขากระทิงคืออะไร?")</f>
        <v>ลักษณะเด่นของเขากระทิงคืออะไร?</v>
      </c>
      <c r="P43" s="6" t="str">
        <f>IFERROR(__xludf.DUMMYFUNCTION("GOOGLETRANSLATE(D43,""en"",""th"")"),"มีการตกแต่งด้วยดอกไม้")</f>
        <v>มีการตกแต่งด้วยดอกไม้</v>
      </c>
      <c r="Q43" s="6" t="str">
        <f>IFERROR(__xludf.DUMMYFUNCTION("GOOGLETRANSLATE(E43,""en"",""th"")"),"มันยาวและตรงมาก")</f>
        <v>มันยาวและตรงมาก</v>
      </c>
      <c r="R43" s="6" t="str">
        <f>IFERROR(__xludf.DUMMYFUNCTION("GOOGLETRANSLATE(F43,""en"",""th"")"),"พวกมันสั้นและอ้วนมาก")</f>
        <v>พวกมันสั้นและอ้วนมาก</v>
      </c>
      <c r="S43" s="6" t="str">
        <f>IFERROR(__xludf.DUMMYFUNCTION("GOOGLETRANSLATE(G43,""en"",""th"")"),"มีการห่อด้วยผ้า")</f>
        <v>มีการห่อด้วยผ้า</v>
      </c>
      <c r="T43" s="6" t="s">
        <v>263</v>
      </c>
      <c r="U43" s="6" t="str">
        <f>IFERROR(__xludf.DUMMYFUNCTION("GOOGLETRANSLATE(I43,""en"",""th"")"),"มีการห่อด้วยผ้า")</f>
        <v>มีการห่อด้วยผ้า</v>
      </c>
      <c r="V43" s="6" t="str">
        <f>IFERROR(__xludf.DUMMYFUNCTION("GOOGLETRANSLATE(J43,""en"",""th"")"),"วัวตัวผู้มีผ้าพันรอบโคนเขา อาจเป็นผ้าพันแผลหรือของใช้ในพิธีกรรม ซึ่งถือเป็นธรรมเนียมปฏิบัติทั่วไปของชนวัว")</f>
        <v>วัวตัวผู้มีผ้าพันรอบโคนเขา อาจเป็นผ้าพันแผลหรือของใช้ในพิธีกรรม ซึ่งถือเป็นธรรมเนียมปฏิบัติทั่วไปของชนวัว</v>
      </c>
    </row>
    <row r="44" ht="22.5" customHeight="1">
      <c r="A44" s="2" t="s">
        <v>254</v>
      </c>
      <c r="B44" s="3">
        <v>43.0</v>
      </c>
      <c r="C44" s="4" t="s">
        <v>264</v>
      </c>
      <c r="D44" s="4" t="s">
        <v>67</v>
      </c>
      <c r="E44" s="4" t="s">
        <v>68</v>
      </c>
      <c r="F44" s="4" t="s">
        <v>69</v>
      </c>
      <c r="G44" s="4" t="s">
        <v>70</v>
      </c>
      <c r="H44" s="4" t="s">
        <v>71</v>
      </c>
      <c r="I44" s="4" t="s">
        <v>68</v>
      </c>
      <c r="J44" s="4" t="s">
        <v>265</v>
      </c>
      <c r="M44" s="4" t="s">
        <v>254</v>
      </c>
      <c r="N44" s="5">
        <v>43.0</v>
      </c>
      <c r="O44" s="6" t="str">
        <f>IFERROR(__xludf.DUMMYFUNCTION("GOOGLETRANSLATE(C44,""en"",""th"")"),"วัวมีเชือกหรือสายรัดที่ซับซ้อนพันรอบหัว จุดประสงค์ของมันคืออะไร?")</f>
        <v>วัวมีเชือกหรือสายรัดที่ซับซ้อนพันรอบหัว จุดประสงค์ของมันคืออะไร?</v>
      </c>
      <c r="P44" s="6" t="str">
        <f>IFERROR(__xludf.DUMMYFUNCTION("GOOGLETRANSLATE(D44,""en"",""th"")"),"มันเป็นของตกแต่ง")</f>
        <v>มันเป็นของตกแต่ง</v>
      </c>
      <c r="Q44" s="6" t="str">
        <f>IFERROR(__xludf.DUMMYFUNCTION("GOOGLETRANSLATE(E44,""en"",""th"")"),"เป็นเครื่องมือสำหรับนำทางกระทิง")</f>
        <v>เป็นเครื่องมือสำหรับนำทางกระทิง</v>
      </c>
      <c r="R44" s="6" t="str">
        <f>IFERROR(__xludf.DUMMYFUNCTION("GOOGLETRANSLATE(F44,""en"",""th"")"),"เป็นสัญลักษณ์แห่งโคชั้นสูง")</f>
        <v>เป็นสัญลักษณ์แห่งโคชั้นสูง</v>
      </c>
      <c r="S44" s="6" t="str">
        <f>IFERROR(__xludf.DUMMYFUNCTION("GOOGLETRANSLATE(G44,""en"",""th"")"),"เป็นสัญญาณของกระทิงที่ชนะ")</f>
        <v>เป็นสัญญาณของกระทิงที่ชนะ</v>
      </c>
      <c r="T44" s="6" t="s">
        <v>73</v>
      </c>
      <c r="U44" s="6" t="str">
        <f>IFERROR(__xludf.DUMMYFUNCTION("GOOGLETRANSLATE(I44,""en"",""th"")"),"เป็นเครื่องมือสำหรับนำทางกระทิง")</f>
        <v>เป็นเครื่องมือสำหรับนำทางกระทิง</v>
      </c>
      <c r="V44" s="6" t="str">
        <f>IFERROR(__xludf.DUMMYFUNCTION("GOOGLETRANSLATE(J44,""en"",""th"")"),"เชือกคือสายรัดหรือสายจูงที่ผู้บังคับใช้เพื่อนำทางและควบคุมการเคลื่อนไหวของวัวกระทิง")</f>
        <v>เชือกคือสายรัดหรือสายจูงที่ผู้บังคับใช้เพื่อนำทางและควบคุมการเคลื่อนไหวของวัวกระทิง</v>
      </c>
    </row>
    <row r="45" ht="22.5" customHeight="1">
      <c r="A45" s="2" t="s">
        <v>254</v>
      </c>
      <c r="B45" s="3">
        <v>44.0</v>
      </c>
      <c r="C45" s="4" t="s">
        <v>147</v>
      </c>
      <c r="D45" s="4" t="s">
        <v>148</v>
      </c>
      <c r="E45" s="4" t="s">
        <v>149</v>
      </c>
      <c r="F45" s="4" t="s">
        <v>100</v>
      </c>
      <c r="G45" s="4" t="s">
        <v>150</v>
      </c>
      <c r="H45" s="4" t="s">
        <v>151</v>
      </c>
      <c r="I45" s="4" t="s">
        <v>149</v>
      </c>
      <c r="J45" s="4" t="s">
        <v>198</v>
      </c>
      <c r="M45" s="4" t="s">
        <v>254</v>
      </c>
      <c r="N45" s="5">
        <v>44.0</v>
      </c>
      <c r="O45" s="6" t="str">
        <f>IFERROR(__xludf.DUMMYFUNCTION("GOOGLETRANSLATE(C45,""en"",""th"")"),"สถานที่จัดงานครั้งนี้มีสภาพแวดล้อมแบบใด?")</f>
        <v>สถานที่จัดงานครั้งนี้มีสภาพแวดล้อมแบบใด?</v>
      </c>
      <c r="P45" s="6" t="str">
        <f>IFERROR(__xludf.DUMMYFUNCTION("GOOGLETRANSLATE(D45,""en"",""th"")"),"สนามกีฬาที่ทันสมัย")</f>
        <v>สนามกีฬาที่ทันสมัย</v>
      </c>
      <c r="Q45" s="6" t="str">
        <f>IFERROR(__xludf.DUMMYFUNCTION("GOOGLETRANSLATE(E45,""en"",""th"")"),"ทุ่งโล่งกว้างและมีโคลนมากมาย")</f>
        <v>ทุ่งโล่งกว้างและมีโคลนมากมาย</v>
      </c>
      <c r="R45" s="6" t="str">
        <f>IFERROR(__xludf.DUMMYFUNCTION("GOOGLETRANSLATE(F45,""en"",""th"")"),"ลานปูหิน")</f>
        <v>ลานปูหิน</v>
      </c>
      <c r="S45" s="6" t="str">
        <f>IFERROR(__xludf.DUMMYFUNCTION("GOOGLETRANSLATE(G45,""en"",""th"")"),"สนามกีฬาในร่ม")</f>
        <v>สนามกีฬาในร่ม</v>
      </c>
      <c r="T45" s="6" t="s">
        <v>153</v>
      </c>
      <c r="U45" s="6" t="str">
        <f>IFERROR(__xludf.DUMMYFUNCTION("GOOGLETRANSLATE(I45,""en"",""th"")"),"ทุ่งโล่งกว้างและมีโคลนมากมาย")</f>
        <v>ทุ่งโล่งกว้างและมีโคลนมากมาย</v>
      </c>
      <c r="V45" s="6" t="str">
        <f>IFERROR(__xludf.DUMMYFUNCTION("GOOGLETRANSLATE(J45,""en"",""th"")"),"ภาพนี้แสดงให้เห็นสนามดินโล่งกว้างที่มีรั้ว ซึ่งเป็นลักษณะทั่วไปของสนามสู้วัวกระทิงของไทย")</f>
        <v>ภาพนี้แสดงให้เห็นสนามดินโล่งกว้างที่มีรั้ว ซึ่งเป็นลักษณะทั่วไปของสนามสู้วัวกระทิงของไทย</v>
      </c>
    </row>
    <row r="46" ht="22.5" customHeight="1">
      <c r="A46" s="2" t="s">
        <v>254</v>
      </c>
      <c r="B46" s="3">
        <v>45.0</v>
      </c>
      <c r="C46" s="4" t="s">
        <v>154</v>
      </c>
      <c r="D46" s="4" t="s">
        <v>155</v>
      </c>
      <c r="E46" s="4" t="s">
        <v>156</v>
      </c>
      <c r="F46" s="4" t="s">
        <v>157</v>
      </c>
      <c r="G46" s="4" t="s">
        <v>127</v>
      </c>
      <c r="H46" s="4" t="s">
        <v>158</v>
      </c>
      <c r="I46" s="4" t="s">
        <v>127</v>
      </c>
      <c r="J46" s="4" t="s">
        <v>266</v>
      </c>
      <c r="M46" s="4" t="s">
        <v>254</v>
      </c>
      <c r="N46" s="5">
        <v>45.0</v>
      </c>
      <c r="O46" s="6" t="str">
        <f>IFERROR(__xludf.DUMMYFUNCTION("GOOGLETRANSLATE(C46,""en"",""th"")"),"บรรยากาศโดยรวมของภาพเป็นอย่างไร?")</f>
        <v>บรรยากาศโดยรวมของภาพเป็นอย่างไร?</v>
      </c>
      <c r="P46" s="6" t="str">
        <f>IFERROR(__xludf.DUMMYFUNCTION("GOOGLETRANSLATE(D46,""en"",""th"")"),"แบบสนุกสนานรื่นเริง")</f>
        <v>แบบสนุกสนานรื่นเริง</v>
      </c>
      <c r="Q46" s="6" t="str">
        <f>IFERROR(__xludf.DUMMYFUNCTION("GOOGLETRANSLATE(E46,""en"",""th"")"),"เป็นเรื่องที่จริงจังและตึงเครียด")</f>
        <v>เป็นเรื่องที่จริงจังและตึงเครียด</v>
      </c>
      <c r="R46" s="6" t="str">
        <f>IFERROR(__xludf.DUMMYFUNCTION("GOOGLETRANSLATE(F46,""en"",""th"")"),"เป็นบรรยากาศเงียบสงบและเศร้าหมอง")</f>
        <v>เป็นบรรยากาศเงียบสงบและเศร้าหมอง</v>
      </c>
      <c r="S46" s="6" t="str">
        <f>IFERROR(__xludf.DUMMYFUNCTION("GOOGLETRANSLATE(G46,""en"",""th"")"),"แบบสบายๆ และผ่อนคลาย")</f>
        <v>แบบสบายๆ และผ่อนคลาย</v>
      </c>
      <c r="T46" s="6" t="s">
        <v>160</v>
      </c>
      <c r="U46" s="6" t="str">
        <f>IFERROR(__xludf.DUMMYFUNCTION("GOOGLETRANSLATE(I46,""en"",""th"")"),"แบบสบายๆ และผ่อนคลาย")</f>
        <v>แบบสบายๆ และผ่อนคลาย</v>
      </c>
      <c r="V46" s="6" t="str">
        <f>IFERROR(__xludf.DUMMYFUNCTION("GOOGLETRANSLATE(J46,""en"",""th"")"),"กระทิงกำลังยืนอยู่อย่างสงบในหลุมโคลน และไม่มีการต่อสู้ใดๆ เกิดขึ้น ซึ่งสร้างบรรยากาศที่เป็นกันเองและผ่อนคลาย")</f>
        <v>กระทิงกำลังยืนอยู่อย่างสงบในหลุมโคลน และไม่มีการต่อสู้ใดๆ เกิดขึ้น ซึ่งสร้างบรรยากาศที่เป็นกันเองและผ่อนคลาย</v>
      </c>
    </row>
    <row r="47" ht="22.5" customHeight="1">
      <c r="A47" s="2" t="s">
        <v>267</v>
      </c>
      <c r="B47" s="3">
        <v>46.0</v>
      </c>
      <c r="C47" s="4" t="s">
        <v>21</v>
      </c>
      <c r="D47" s="4" t="s">
        <v>133</v>
      </c>
      <c r="E47" s="4" t="s">
        <v>255</v>
      </c>
      <c r="F47" s="4" t="s">
        <v>60</v>
      </c>
      <c r="G47" s="4" t="s">
        <v>135</v>
      </c>
      <c r="H47" s="4" t="s">
        <v>268</v>
      </c>
      <c r="I47" s="4" t="s">
        <v>60</v>
      </c>
      <c r="J47" s="4" t="s">
        <v>269</v>
      </c>
      <c r="M47" s="4" t="s">
        <v>267</v>
      </c>
      <c r="N47" s="5">
        <v>46.0</v>
      </c>
      <c r="O47" s="6" t="str">
        <f>IFERROR(__xludf.DUMMYFUNCTION("GOOGLETRANSLATE(C47,""en"",""th"")"),"ภาพที่แสดงเป็นกิจกรรมหลักอะไร?")</f>
        <v>ภาพที่แสดงเป็นกิจกรรมหลักอะไร?</v>
      </c>
      <c r="P47" s="6" t="str">
        <f>IFERROR(__xludf.DUMMYFUNCTION("GOOGLETRANSLATE(D47,""en"",""th"")"),"วัวตัวหนึ่งกำลังพักผ่อน")</f>
        <v>วัวตัวหนึ่งกำลังพักผ่อน</v>
      </c>
      <c r="Q47" s="6" t="str">
        <f>IFERROR(__xludf.DUMMYFUNCTION("GOOGLETRANSLATE(E47,""en"",""th"")"),"มีวัวอยู่ในบ่อโคลน")</f>
        <v>มีวัวอยู่ในบ่อโคลน</v>
      </c>
      <c r="R47" s="6" t="str">
        <f>IFERROR(__xludf.DUMMYFUNCTION("GOOGLETRANSLATE(F47,""en"",""th"")"),"กระทิงสองตัวกำลังต่อสู้กัน")</f>
        <v>กระทิงสองตัวกำลังต่อสู้กัน</v>
      </c>
      <c r="S47" s="6" t="str">
        <f>IFERROR(__xludf.DUMMYFUNCTION("GOOGLETRANSLATE(G47,""en"",""th"")"),"มีการนำวัวกระทิง")</f>
        <v>มีการนำวัวกระทิง</v>
      </c>
      <c r="T47" s="6" t="s">
        <v>270</v>
      </c>
      <c r="U47" s="6" t="str">
        <f>IFERROR(__xludf.DUMMYFUNCTION("GOOGLETRANSLATE(I47,""en"",""th"")"),"กระทิงสองตัวกำลังต่อสู้กัน")</f>
        <v>กระทิงสองตัวกำลังต่อสู้กัน</v>
      </c>
      <c r="V47" s="6" t="str">
        <f>IFERROR(__xludf.DUMMYFUNCTION("GOOGLETRANSLATE(J47,""en"",""th"")"),"รูปภาพแสดงให้เห็นวัวกระทิง 2 ตัวที่มีหัวและเขาติดกันอยู่ในหลุมโคลน โดยตัวหนึ่งอยู่บนพื้น ซึ่งเป็นสัญญาณชัดเจนว่าวัวกระทิงกำลังต่อสู้กัน")</f>
        <v>รูปภาพแสดงให้เห็นวัวกระทิง 2 ตัวที่มีหัวและเขาติดกันอยู่ในหลุมโคลน โดยตัวหนึ่งอยู่บนพื้น ซึ่งเป็นสัญญาณชัดเจนว่าวัวกระทิงกำลังต่อสู้กัน</v>
      </c>
    </row>
    <row r="48" ht="22.5" customHeight="1">
      <c r="A48" s="2" t="s">
        <v>267</v>
      </c>
      <c r="B48" s="3">
        <v>47.0</v>
      </c>
      <c r="C48" s="4" t="s">
        <v>271</v>
      </c>
      <c r="D48" s="4" t="s">
        <v>108</v>
      </c>
      <c r="E48" s="4" t="s">
        <v>272</v>
      </c>
      <c r="F48" s="4" t="s">
        <v>273</v>
      </c>
      <c r="G48" s="4" t="s">
        <v>274</v>
      </c>
      <c r="H48" s="4" t="s">
        <v>275</v>
      </c>
      <c r="I48" s="4" t="s">
        <v>273</v>
      </c>
      <c r="J48" s="4" t="s">
        <v>276</v>
      </c>
      <c r="M48" s="4" t="s">
        <v>267</v>
      </c>
      <c r="N48" s="5">
        <v>47.0</v>
      </c>
      <c r="O48" s="6" t="str">
        <f>IFERROR(__xludf.DUMMYFUNCTION("GOOGLETRANSLATE(C48,""en"",""th"")"),"โคลนและน้ำในสังเวียนต่อสู้มีไว้เพื่ออะไร?")</f>
        <v>โคลนและน้ำในสังเวียนต่อสู้มีไว้เพื่ออะไร?</v>
      </c>
      <c r="P48" s="6" t="str">
        <f>IFERROR(__xludf.DUMMYFUNCTION("GOOGLETRANSLATE(D48,""en"",""th"")"),"เป็นองค์ประกอบการตกแต่ง")</f>
        <v>เป็นองค์ประกอบการตกแต่ง</v>
      </c>
      <c r="Q48" s="6" t="str">
        <f>IFERROR(__xludf.DUMMYFUNCTION("GOOGLETRANSLATE(E48,""en"",""th"")"),"มันทำให้การต่อสู้ยากยิ่งขึ้น")</f>
        <v>มันทำให้การต่อสู้ยากยิ่งขึ้น</v>
      </c>
      <c r="R48" s="6" t="str">
        <f>IFERROR(__xludf.DUMMYFUNCTION("GOOGLETRANSLATE(F48,""en"",""th"")"),"เป็นส่วนหนึ่งของสิ่งแวดล้อมตามธรรมชาติ")</f>
        <v>เป็นส่วนหนึ่งของสิ่งแวดล้อมตามธรรมชาติ</v>
      </c>
      <c r="S48" s="6" t="str">
        <f>IFERROR(__xludf.DUMMYFUNCTION("GOOGLETRANSLATE(G48,""en"",""th"")"),"มันเป็นการทำให้วัวกระทิงเย็นลง")</f>
        <v>มันเป็นการทำให้วัวกระทิงเย็นลง</v>
      </c>
      <c r="T48" s="6" t="s">
        <v>277</v>
      </c>
      <c r="U48" s="6" t="str">
        <f>IFERROR(__xludf.DUMMYFUNCTION("GOOGLETRANSLATE(I48,""en"",""th"")"),"เป็นส่วนหนึ่งของสิ่งแวดล้อมตามธรรมชาติ")</f>
        <v>เป็นส่วนหนึ่งของสิ่งแวดล้อมตามธรรมชาติ</v>
      </c>
      <c r="V48" s="6" t="str">
        <f>IFERROR(__xludf.DUMMYFUNCTION("GOOGLETRANSLATE(J48,""en"",""th"")"),"โคลนและน้ำเป็นลักษณะธรรมชาติของสนามสู้วัวกระทิงของไทย ซึ่งมักจะอยู่ในทุ่งโล่งและจะกลายเป็นโคลนในช่วงฤดูฝน")</f>
        <v>โคลนและน้ำเป็นลักษณะธรรมชาติของสนามสู้วัวกระทิงของไทย ซึ่งมักจะอยู่ในทุ่งโล่งและจะกลายเป็นโคลนในช่วงฤดูฝน</v>
      </c>
    </row>
    <row r="49" ht="22.5" customHeight="1">
      <c r="A49" s="2" t="s">
        <v>267</v>
      </c>
      <c r="B49" s="3">
        <v>48.0</v>
      </c>
      <c r="C49" s="4" t="s">
        <v>115</v>
      </c>
      <c r="D49" s="4" t="s">
        <v>116</v>
      </c>
      <c r="E49" s="4" t="s">
        <v>117</v>
      </c>
      <c r="F49" s="4" t="s">
        <v>118</v>
      </c>
      <c r="G49" s="4" t="s">
        <v>119</v>
      </c>
      <c r="H49" s="4" t="s">
        <v>120</v>
      </c>
      <c r="I49" s="4" t="s">
        <v>117</v>
      </c>
      <c r="J49" s="4" t="s">
        <v>121</v>
      </c>
      <c r="M49" s="4" t="s">
        <v>267</v>
      </c>
      <c r="N49" s="5">
        <v>48.0</v>
      </c>
      <c r="O49" s="6" t="str">
        <f>IFERROR(__xludf.DUMMYFUNCTION("GOOGLETRANSLATE(C49,""en"",""th"")"),"สามารถอนุมานถึงความแข็งแกร่งและพลังของกระทิงได้อย่างไรบ้าง?")</f>
        <v>สามารถอนุมานถึงความแข็งแกร่งและพลังของกระทิงได้อย่างไรบ้าง?</v>
      </c>
      <c r="P49" s="6" t="str">
        <f>IFERROR(__xludf.DUMMYFUNCTION("GOOGLETRANSLATE(D49,""en"",""th"")"),"พวกเขาอ่อนแอ")</f>
        <v>พวกเขาอ่อนแอ</v>
      </c>
      <c r="Q49" s="6" t="str">
        <f>IFERROR(__xludf.DUMMYFUNCTION("GOOGLETRANSLATE(E49,""en"",""th"")"),"พวกเขาแข็งแกร่งมาก")</f>
        <v>พวกเขาแข็งแกร่งมาก</v>
      </c>
      <c r="R49" s="6" t="str">
        <f>IFERROR(__xludf.DUMMYFUNCTION("GOOGLETRANSLATE(F49,""en"",""th"")"),"พวกเขาได้รับการฝึกให้มีความอ่อนโยน")</f>
        <v>พวกเขาได้รับการฝึกให้มีความอ่อนโยน</v>
      </c>
      <c r="S49" s="6" t="str">
        <f>IFERROR(__xludf.DUMMYFUNCTION("GOOGLETRANSLATE(G49,""en"",""th"")"),"พวกมันเชื่องมาก")</f>
        <v>พวกมันเชื่องมาก</v>
      </c>
      <c r="T49" s="6" t="s">
        <v>122</v>
      </c>
      <c r="U49" s="6" t="str">
        <f>IFERROR(__xludf.DUMMYFUNCTION("GOOGLETRANSLATE(I49,""en"",""th"")"),"พวกเขาแข็งแกร่งมาก")</f>
        <v>พวกเขาแข็งแกร่งมาก</v>
      </c>
      <c r="V49" s="6" t="str">
        <f>IFERROR(__xludf.DUMMYFUNCTION("GOOGLETRANSLATE(J49,""en"",""th"")"),"โครงสร้างกล้ามเนื้อของกระทิง หัวที่ต่ำลง และความตึงเครียดในร่างกาย แสดงให้เห็นว่าพวกมันแข็งแกร่งมาก และใช้ความแข็งแกร่งทั้งหมดในการต่อสู้")</f>
        <v>โครงสร้างกล้ามเนื้อของกระทิง หัวที่ต่ำลง และความตึงเครียดในร่างกาย แสดงให้เห็นว่าพวกมันแข็งแกร่งมาก และใช้ความแข็งแกร่งทั้งหมดในการต่อสู้</v>
      </c>
    </row>
    <row r="50" ht="22.5" customHeight="1">
      <c r="A50" s="2" t="s">
        <v>267</v>
      </c>
      <c r="B50" s="3">
        <v>49.0</v>
      </c>
      <c r="C50" s="4" t="s">
        <v>278</v>
      </c>
      <c r="D50" s="4" t="s">
        <v>279</v>
      </c>
      <c r="E50" s="4" t="s">
        <v>280</v>
      </c>
      <c r="F50" s="4" t="s">
        <v>281</v>
      </c>
      <c r="G50" s="4" t="s">
        <v>282</v>
      </c>
      <c r="H50" s="4" t="s">
        <v>283</v>
      </c>
      <c r="I50" s="4" t="s">
        <v>279</v>
      </c>
      <c r="J50" s="4" t="s">
        <v>284</v>
      </c>
      <c r="M50" s="4" t="s">
        <v>267</v>
      </c>
      <c r="N50" s="5">
        <v>49.0</v>
      </c>
      <c r="O50" s="6" t="str">
        <f>IFERROR(__xludf.DUMMYFUNCTION("GOOGLETRANSLATE(C50,""en"",""th"")"),"วัวตัวซ้ายอยู่บนพื้น นี่บอกอะไรเกี่ยวกับการต่อสู้ครั้งนี้?")</f>
        <v>วัวตัวซ้ายอยู่บนพื้น นี่บอกอะไรเกี่ยวกับการต่อสู้ครั้งนี้?</v>
      </c>
      <c r="P50" s="6" t="str">
        <f>IFERROR(__xludf.DUMMYFUNCTION("GOOGLETRANSLATE(D50,""en"",""th"")"),"กระทิงพ่ายแพ้แล้ว")</f>
        <v>กระทิงพ่ายแพ้แล้ว</v>
      </c>
      <c r="Q50" s="6" t="str">
        <f>IFERROR(__xludf.DUMMYFUNCTION("GOOGLETRANSLATE(E50,""en"",""th"")"),"วัวกำลังพักผ่อน")</f>
        <v>วัวกำลังพักผ่อน</v>
      </c>
      <c r="R50" s="6" t="str">
        <f>IFERROR(__xludf.DUMMYFUNCTION("GOOGLETRANSLATE(F50,""en"",""th"")"),"กระทิงกำลังเล่นอยู่")</f>
        <v>กระทิงกำลังเล่นอยู่</v>
      </c>
      <c r="S50" s="6" t="str">
        <f>IFERROR(__xludf.DUMMYFUNCTION("GOOGLETRANSLATE(G50,""en"",""th"")"),"กระทิงอยู่ในตำแหน่งป้องกัน")</f>
        <v>กระทิงอยู่ในตำแหน่งป้องกัน</v>
      </c>
      <c r="T50" s="6" t="s">
        <v>285</v>
      </c>
      <c r="U50" s="6" t="str">
        <f>IFERROR(__xludf.DUMMYFUNCTION("GOOGLETRANSLATE(I50,""en"",""th"")"),"กระทิงพ่ายแพ้แล้ว")</f>
        <v>กระทิงพ่ายแพ้แล้ว</v>
      </c>
      <c r="V50" s="6" t="str">
        <f>IFERROR(__xludf.DUMMYFUNCTION("GOOGLETRANSLATE(J50,""en"",""th"")"),"การที่วัวอยู่บนพื้นเป็นสัญญาณชัดเจนว่ามันพ่ายแพ้หรือถูกคู่ต่อสู้เอาชนะ")</f>
        <v>การที่วัวอยู่บนพื้นเป็นสัญญาณชัดเจนว่ามันพ่ายแพ้หรือถูกคู่ต่อสู้เอาชนะ</v>
      </c>
    </row>
    <row r="51" ht="22.5" customHeight="1">
      <c r="A51" s="2" t="s">
        <v>267</v>
      </c>
      <c r="B51" s="3">
        <v>50.0</v>
      </c>
      <c r="C51" s="4" t="s">
        <v>154</v>
      </c>
      <c r="D51" s="4" t="s">
        <v>124</v>
      </c>
      <c r="E51" s="4" t="s">
        <v>125</v>
      </c>
      <c r="F51" s="4" t="s">
        <v>126</v>
      </c>
      <c r="G51" s="4" t="s">
        <v>127</v>
      </c>
      <c r="H51" s="4" t="s">
        <v>128</v>
      </c>
      <c r="I51" s="4" t="s">
        <v>125</v>
      </c>
      <c r="J51" s="4" t="s">
        <v>184</v>
      </c>
      <c r="M51" s="4" t="s">
        <v>267</v>
      </c>
      <c r="N51" s="5">
        <v>50.0</v>
      </c>
      <c r="O51" s="6" t="str">
        <f>IFERROR(__xludf.DUMMYFUNCTION("GOOGLETRANSLATE(C51,""en"",""th"")"),"บรรยากาศโดยรวมของภาพเป็นอย่างไร?")</f>
        <v>บรรยากาศโดยรวมของภาพเป็นอย่างไร?</v>
      </c>
      <c r="P51" s="6" t="str">
        <f>IFERROR(__xludf.DUMMYFUNCTION("GOOGLETRANSLATE(D51,""en"",""th"")"),"เป็นที่เงียบสงบและสันติ")</f>
        <v>เป็นที่เงียบสงบและสันติ</v>
      </c>
      <c r="Q51" s="6" t="str">
        <f>IFERROR(__xludf.DUMMYFUNCTION("GOOGLETRANSLATE(E51,""en"",""th"")"),"แบบตึงเครียดและมีสมาธิ")</f>
        <v>แบบตึงเครียดและมีสมาธิ</v>
      </c>
      <c r="R51" s="6" t="str">
        <f>IFERROR(__xludf.DUMMYFUNCTION("GOOGLETRANSLATE(F51,""en"",""th"")"),"แบบเฉลิมฉลองและรื่นเริง")</f>
        <v>แบบเฉลิมฉลองและรื่นเริง</v>
      </c>
      <c r="S51" s="6" t="str">
        <f>IFERROR(__xludf.DUMMYFUNCTION("GOOGLETRANSLATE(G51,""en"",""th"")"),"แบบสบายๆ และผ่อนคลาย")</f>
        <v>แบบสบายๆ และผ่อนคลาย</v>
      </c>
      <c r="T51" s="6" t="s">
        <v>130</v>
      </c>
      <c r="U51" s="6" t="str">
        <f>IFERROR(__xludf.DUMMYFUNCTION("GOOGLETRANSLATE(I51,""en"",""th"")"),"แบบตึงเครียดและมีสมาธิ")</f>
        <v>แบบตึงเครียดและมีสมาธิ</v>
      </c>
      <c r="V51" s="6" t="str">
        <f>IFERROR(__xludf.DUMMYFUNCTION("GOOGLETRANSLATE(J51,""en"",""th"")"),"การแสดงออกที่ดุร้ายของกระทิงและโคลนที่กระเซ็นสร้างบรรยากาศที่ตึงเครียดและมีสมาธิ ซึ่งเป็นลักษณะเฉพาะของการต่อสู้กระทิงที่มีเดิมพันสูง")</f>
        <v>การแสดงออกที่ดุร้ายของกระทิงและโคลนที่กระเซ็นสร้างบรรยากาศที่ตึงเครียดและมีสมาธิ ซึ่งเป็นลักษณะเฉพาะของการต่อสู้กระทิงที่มีเดิมพันสูง</v>
      </c>
    </row>
    <row r="52" ht="22.5" customHeight="1">
      <c r="A52" s="2" t="s">
        <v>286</v>
      </c>
      <c r="B52" s="3">
        <v>51.0</v>
      </c>
      <c r="C52" s="4" t="s">
        <v>21</v>
      </c>
      <c r="D52" s="4" t="s">
        <v>287</v>
      </c>
      <c r="E52" s="4" t="s">
        <v>288</v>
      </c>
      <c r="F52" s="4" t="s">
        <v>289</v>
      </c>
      <c r="G52" s="4" t="s">
        <v>290</v>
      </c>
      <c r="H52" s="4" t="s">
        <v>291</v>
      </c>
      <c r="I52" s="4" t="s">
        <v>287</v>
      </c>
      <c r="J52" s="4" t="s">
        <v>292</v>
      </c>
      <c r="M52" s="4" t="s">
        <v>286</v>
      </c>
      <c r="N52" s="5">
        <v>51.0</v>
      </c>
      <c r="O52" s="6" t="str">
        <f>IFERROR(__xludf.DUMMYFUNCTION("GOOGLETRANSLATE(C52,""en"",""th"")"),"ภาพที่แสดงเป็นกิจกรรมหลักอะไร?")</f>
        <v>ภาพที่แสดงเป็นกิจกรรมหลักอะไร?</v>
      </c>
      <c r="P52" s="6" t="str">
        <f>IFERROR(__xludf.DUMMYFUNCTION("GOOGLETRANSLATE(D52,""en"",""th"")"),"กระทิงตัวหนึ่งกำลังได้รับการฝึกจากชายคนหนึ่ง")</f>
        <v>กระทิงตัวหนึ่งกำลังได้รับการฝึกจากชายคนหนึ่ง</v>
      </c>
      <c r="Q52" s="6" t="str">
        <f>IFERROR(__xludf.DUMMYFUNCTION("GOOGLETRANSLATE(E52,""en"",""th"")"),"กระทิงตัวหนึ่งกำลังต่อสู้กับกระทิงอีกตัวหนึ่ง")</f>
        <v>กระทิงตัวหนึ่งกำลังต่อสู้กับกระทิงอีกตัวหนึ่ง</v>
      </c>
      <c r="R52" s="6" t="str">
        <f>IFERROR(__xludf.DUMMYFUNCTION("GOOGLETRANSLATE(F52,""en"",""th"")"),"ชายคนหนึ่งกำลังขี่กระทิง")</f>
        <v>ชายคนหนึ่งกำลังขี่กระทิง</v>
      </c>
      <c r="S52" s="6" t="str">
        <f>IFERROR(__xludf.DUMMYFUNCTION("GOOGLETRANSLATE(G52,""en"",""th"")"),"ผู้ชายคนหนึ่งกำลังคุยกับผู้ชายอีกคน")</f>
        <v>ผู้ชายคนหนึ่งกำลังคุยกับผู้ชายอีกคน</v>
      </c>
      <c r="T52" s="6" t="s">
        <v>293</v>
      </c>
      <c r="U52" s="6" t="str">
        <f>IFERROR(__xludf.DUMMYFUNCTION("GOOGLETRANSLATE(I52,""en"",""th"")"),"กระทิงตัวหนึ่งกำลังได้รับการฝึกจากชายคนหนึ่ง")</f>
        <v>กระทิงตัวหนึ่งกำลังได้รับการฝึกจากชายคนหนึ่ง</v>
      </c>
      <c r="V52" s="6" t="str">
        <f>IFERROR(__xludf.DUMMYFUNCTION("GOOGLETRANSLATE(J52,""en"",""th"")"),"ภาพนี้แสดงให้เห็นวัวกระทิงที่ถูกควบคุมโดยชายคนหนึ่งด้วยเชือก ในขณะที่ชายอีกคนกำลังเข้าใกล้มัน ซึ่งแสดงถึงการฝึกฝนหรือการสาธิต")</f>
        <v>ภาพนี้แสดงให้เห็นวัวกระทิงที่ถูกควบคุมโดยชายคนหนึ่งด้วยเชือก ในขณะที่ชายอีกคนกำลังเข้าใกล้มัน ซึ่งแสดงถึงการฝึกฝนหรือการสาธิต</v>
      </c>
    </row>
    <row r="53" ht="22.5" customHeight="1">
      <c r="A53" s="2" t="s">
        <v>286</v>
      </c>
      <c r="B53" s="3">
        <v>52.0</v>
      </c>
      <c r="C53" s="4" t="s">
        <v>35</v>
      </c>
      <c r="D53" s="4" t="s">
        <v>91</v>
      </c>
      <c r="E53" s="4" t="s">
        <v>39</v>
      </c>
      <c r="F53" s="4" t="s">
        <v>38</v>
      </c>
      <c r="G53" s="4" t="s">
        <v>92</v>
      </c>
      <c r="H53" s="4" t="s">
        <v>294</v>
      </c>
      <c r="I53" s="4" t="s">
        <v>38</v>
      </c>
      <c r="J53" s="4" t="s">
        <v>41</v>
      </c>
      <c r="M53" s="4" t="s">
        <v>286</v>
      </c>
      <c r="N53" s="5">
        <v>52.0</v>
      </c>
      <c r="O53" s="6" t="str">
        <f>IFERROR(__xludf.DUMMYFUNCTION("GOOGLETRANSLATE(C53,""en"",""th"")"),"ลักษณะเด่นของร่างกายวัวคืออะไร?")</f>
        <v>ลักษณะเด่นของร่างกายวัวคืออะไร?</v>
      </c>
      <c r="P53" s="6" t="str">
        <f>IFERROR(__xludf.DUMMYFUNCTION("GOOGLETRANSLATE(D53,""en"",""th"")"),"มันมีเขาที่ยาวมาก")</f>
        <v>มันมีเขาที่ยาวมาก</v>
      </c>
      <c r="Q53" s="6" t="str">
        <f>IFERROR(__xludf.DUMMYFUNCTION("GOOGLETRANSLATE(E53,""en"",""th"")"),"มันมีเชือกอยู่รอบคอ")</f>
        <v>มันมีเชือกอยู่รอบคอ</v>
      </c>
      <c r="R53" s="6" t="str">
        <f>IFERROR(__xludf.DUMMYFUNCTION("GOOGLETRANSLATE(F53,""en"",""th"")"),"มีหลังโค้งใหญ่")</f>
        <v>มีหลังโค้งใหญ่</v>
      </c>
      <c r="S53" s="6" t="str">
        <f>IFERROR(__xludf.DUMMYFUNCTION("GOOGLETRANSLATE(G53,""en"",""th"")"),"มันมีเขาสั้นมาก")</f>
        <v>มันมีเขาสั้นมาก</v>
      </c>
      <c r="T53" s="6" t="s">
        <v>295</v>
      </c>
      <c r="U53" s="6" t="str">
        <f>IFERROR(__xludf.DUMMYFUNCTION("GOOGLETRANSLATE(I53,""en"",""th"")"),"มีหลังโค้งใหญ่")</f>
        <v>มีหลังโค้งใหญ่</v>
      </c>
      <c r="V53" s="6" t="str">
        <f>IFERROR(__xludf.DUMMYFUNCTION("GOOGLETRANSLATE(J53,""en"",""th"")"),"โคตัวผู้มีหลังโค้งเด่นชัด ซึ่งเป็นลักษณะเฉพาะของโคพันธุ์เซบู ซึ่งเป็นสายพันธุ์ที่นิยมใช้ในการสู้วัวกระทิงของไทย")</f>
        <v>โคตัวผู้มีหลังโค้งเด่นชัด ซึ่งเป็นลักษณะเฉพาะของโคพันธุ์เซบู ซึ่งเป็นสายพันธุ์ที่นิยมใช้ในการสู้วัวกระทิงของไทย</v>
      </c>
    </row>
    <row r="54" ht="22.5" customHeight="1">
      <c r="A54" s="2" t="s">
        <v>286</v>
      </c>
      <c r="B54" s="3">
        <v>53.0</v>
      </c>
      <c r="C54" s="4" t="s">
        <v>66</v>
      </c>
      <c r="D54" s="4" t="s">
        <v>67</v>
      </c>
      <c r="E54" s="4" t="s">
        <v>68</v>
      </c>
      <c r="F54" s="4" t="s">
        <v>69</v>
      </c>
      <c r="G54" s="4" t="s">
        <v>70</v>
      </c>
      <c r="H54" s="4" t="s">
        <v>71</v>
      </c>
      <c r="I54" s="4" t="s">
        <v>68</v>
      </c>
      <c r="J54" s="4" t="s">
        <v>72</v>
      </c>
      <c r="M54" s="4" t="s">
        <v>286</v>
      </c>
      <c r="N54" s="5">
        <v>53.0</v>
      </c>
      <c r="O54" s="6" t="str">
        <f>IFERROR(__xludf.DUMMYFUNCTION("GOOGLETRANSLATE(C54,""en"",""th"")"),"แหวนที่จมูกวัวมีไว้เพื่ออะไร?")</f>
        <v>แหวนที่จมูกวัวมีไว้เพื่ออะไร?</v>
      </c>
      <c r="P54" s="6" t="str">
        <f>IFERROR(__xludf.DUMMYFUNCTION("GOOGLETRANSLATE(D54,""en"",""th"")"),"มันเป็นของตกแต่ง")</f>
        <v>มันเป็นของตกแต่ง</v>
      </c>
      <c r="Q54" s="6" t="str">
        <f>IFERROR(__xludf.DUMMYFUNCTION("GOOGLETRANSLATE(E54,""en"",""th"")"),"เป็นเครื่องมือสำหรับนำทางกระทิง")</f>
        <v>เป็นเครื่องมือสำหรับนำทางกระทิง</v>
      </c>
      <c r="R54" s="6" t="str">
        <f>IFERROR(__xludf.DUMMYFUNCTION("GOOGLETRANSLATE(F54,""en"",""th"")"),"เป็นสัญลักษณ์แห่งโคชั้นสูง")</f>
        <v>เป็นสัญลักษณ์แห่งโคชั้นสูง</v>
      </c>
      <c r="S54" s="6" t="str">
        <f>IFERROR(__xludf.DUMMYFUNCTION("GOOGLETRANSLATE(G54,""en"",""th"")"),"เป็นสัญญาณของกระทิงที่ชนะ")</f>
        <v>เป็นสัญญาณของกระทิงที่ชนะ</v>
      </c>
      <c r="T54" s="6" t="s">
        <v>73</v>
      </c>
      <c r="U54" s="6" t="str">
        <f>IFERROR(__xludf.DUMMYFUNCTION("GOOGLETRANSLATE(I54,""en"",""th"")"),"เป็นเครื่องมือสำหรับนำทางกระทิง")</f>
        <v>เป็นเครื่องมือสำหรับนำทางกระทิง</v>
      </c>
      <c r="V54" s="6" t="str">
        <f>IFERROR(__xludf.DUMMYFUNCTION("GOOGLETRANSLATE(J54,""en"",""th"")"),"แหวนจมูก หรือที่เรียกอีกอย่างว่า สายจูงจมูก เป็นเครื่องมือที่ผู้ฝึกใช้เพื่อชี้นำและควบคุมการเคลื่อนไหวของวัวกระทิง")</f>
        <v>แหวนจมูก หรือที่เรียกอีกอย่างว่า สายจูงจมูก เป็นเครื่องมือที่ผู้ฝึกใช้เพื่อชี้นำและควบคุมการเคลื่อนไหวของวัวกระทิง</v>
      </c>
    </row>
    <row r="55" ht="22.5" customHeight="1">
      <c r="A55" s="2" t="s">
        <v>286</v>
      </c>
      <c r="B55" s="3">
        <v>54.0</v>
      </c>
      <c r="C55" s="4" t="s">
        <v>296</v>
      </c>
      <c r="D55" s="4" t="s">
        <v>44</v>
      </c>
      <c r="E55" s="4" t="s">
        <v>45</v>
      </c>
      <c r="F55" s="4" t="s">
        <v>46</v>
      </c>
      <c r="G55" s="4" t="s">
        <v>47</v>
      </c>
      <c r="H55" s="4" t="s">
        <v>48</v>
      </c>
      <c r="I55" s="4" t="s">
        <v>46</v>
      </c>
      <c r="J55" s="4" t="s">
        <v>297</v>
      </c>
      <c r="M55" s="4" t="s">
        <v>286</v>
      </c>
      <c r="N55" s="5">
        <v>54.0</v>
      </c>
      <c r="O55" s="6" t="str">
        <f>IFERROR(__xludf.DUMMYFUNCTION("GOOGLETRANSLATE(C55,""en"",""th"")"),"พวกผู้ชายอยู่ในสนามดิน นี่มันบ่งบอกอะไรเกี่ยวกับสิ่งแวดล้อมบ้าง?")</f>
        <v>พวกผู้ชายอยู่ในสนามดิน นี่มันบ่งบอกอะไรเกี่ยวกับสิ่งแวดล้อมบ้าง?</v>
      </c>
      <c r="P55" s="6" t="str">
        <f>IFERROR(__xludf.DUMMYFUNCTION("GOOGLETRANSLATE(D55,""en"",""th"")"),"เป็นสนามกีฬาที่มีความทันสมัย")</f>
        <v>เป็นสนามกีฬาที่มีความทันสมัย</v>
      </c>
      <c r="Q55" s="6" t="str">
        <f>IFERROR(__xludf.DUMMYFUNCTION("GOOGLETRANSLATE(E55,""en"",""th"")"),"เป็นสนามต่อสู้อย่างเป็นทางการ")</f>
        <v>เป็นสนามต่อสู้อย่างเป็นทางการ</v>
      </c>
      <c r="R55" s="6" t="str">
        <f>IFERROR(__xludf.DUMMYFUNCTION("GOOGLETRANSLATE(F55,""en"",""th"")"),"เป็นบรรยากาศแบบดั้งเดิมและชนบทมากขึ้น")</f>
        <v>เป็นบรรยากาศแบบดั้งเดิมและชนบทมากขึ้น</v>
      </c>
      <c r="S55" s="6" t="str">
        <f>IFERROR(__xludf.DUMMYFUNCTION("GOOGLETRANSLATE(G55,""en"",""th"")"),"เป็นงานส่วนตัว")</f>
        <v>เป็นงานส่วนตัว</v>
      </c>
      <c r="T55" s="6" t="s">
        <v>50</v>
      </c>
      <c r="U55" s="6" t="str">
        <f>IFERROR(__xludf.DUMMYFUNCTION("GOOGLETRANSLATE(I55,""en"",""th"")"),"เป็นบรรยากาศแบบดั้งเดิมและชนบทมากขึ้น")</f>
        <v>เป็นบรรยากาศแบบดั้งเดิมและชนบทมากขึ้น</v>
      </c>
      <c r="V55" s="6" t="str">
        <f>IFERROR(__xludf.DUMMYFUNCTION("GOOGLETRANSLATE(J55,""en"",""th"")"),"วงแหวนดินที่มีรั้วไม้ทำให้นึกถึงบรรยากาศแบบดั้งเดิมและชนบทมากกว่าสนามกีฬาสมัยใหม่")</f>
        <v>วงแหวนดินที่มีรั้วไม้ทำให้นึกถึงบรรยากาศแบบดั้งเดิมและชนบทมากกว่าสนามกีฬาสมัยใหม่</v>
      </c>
    </row>
    <row r="56" ht="22.5" customHeight="1">
      <c r="A56" s="2" t="s">
        <v>286</v>
      </c>
      <c r="B56" s="3">
        <v>55.0</v>
      </c>
      <c r="C56" s="4" t="s">
        <v>154</v>
      </c>
      <c r="D56" s="4" t="s">
        <v>155</v>
      </c>
      <c r="E56" s="4" t="s">
        <v>156</v>
      </c>
      <c r="F56" s="4" t="s">
        <v>157</v>
      </c>
      <c r="G56" s="4" t="s">
        <v>127</v>
      </c>
      <c r="H56" s="4" t="s">
        <v>158</v>
      </c>
      <c r="I56" s="4" t="s">
        <v>156</v>
      </c>
      <c r="J56" s="4" t="s">
        <v>298</v>
      </c>
      <c r="M56" s="4" t="s">
        <v>286</v>
      </c>
      <c r="N56" s="5">
        <v>55.0</v>
      </c>
      <c r="O56" s="6" t="str">
        <f>IFERROR(__xludf.DUMMYFUNCTION("GOOGLETRANSLATE(C56,""en"",""th"")"),"บรรยากาศโดยรวมของภาพเป็นอย่างไร?")</f>
        <v>บรรยากาศโดยรวมของภาพเป็นอย่างไร?</v>
      </c>
      <c r="P56" s="6" t="str">
        <f>IFERROR(__xludf.DUMMYFUNCTION("GOOGLETRANSLATE(D56,""en"",""th"")"),"แบบสนุกสนานรื่นเริง")</f>
        <v>แบบสนุกสนานรื่นเริง</v>
      </c>
      <c r="Q56" s="6" t="str">
        <f>IFERROR(__xludf.DUMMYFUNCTION("GOOGLETRANSLATE(E56,""en"",""th"")"),"เป็นเรื่องที่จริงจังและตึงเครียด")</f>
        <v>เป็นเรื่องที่จริงจังและตึงเครียด</v>
      </c>
      <c r="R56" s="6" t="str">
        <f>IFERROR(__xludf.DUMMYFUNCTION("GOOGLETRANSLATE(F56,""en"",""th"")"),"เป็นบรรยากาศเงียบสงบและเศร้าหมอง")</f>
        <v>เป็นบรรยากาศเงียบสงบและเศร้าหมอง</v>
      </c>
      <c r="S56" s="6" t="str">
        <f>IFERROR(__xludf.DUMMYFUNCTION("GOOGLETRANSLATE(G56,""en"",""th"")"),"แบบสบายๆ และผ่อนคลาย")</f>
        <v>แบบสบายๆ และผ่อนคลาย</v>
      </c>
      <c r="T56" s="6" t="s">
        <v>160</v>
      </c>
      <c r="U56" s="6" t="str">
        <f>IFERROR(__xludf.DUMMYFUNCTION("GOOGLETRANSLATE(I56,""en"",""th"")"),"เป็นเรื่องที่จริงจังและตึงเครียด")</f>
        <v>เป็นเรื่องที่จริงจังและตึงเครียด</v>
      </c>
      <c r="V56" s="6" t="str">
        <f>IFERROR(__xludf.DUMMYFUNCTION("GOOGLETRANSLATE(J56,""en"",""th"")"),"สายตาจ้องจับจ้องของกระทิงและท่าทางของกระทิง โดยที่ตัวหนึ่งเดินเข้าหาด้วยความระมัดระวัง ทำให้เกิดบรรยากาศที่จริงจังและตึงเครียด")</f>
        <v>สายตาจ้องจับจ้องของกระทิงและท่าทางของกระทิง โดยที่ตัวหนึ่งเดินเข้าหาด้วยความระมัดระวัง ทำให้เกิดบรรยากาศที่จริงจังและตึงเครียด</v>
      </c>
    </row>
    <row r="57" ht="22.5" customHeight="1">
      <c r="A57" s="2" t="s">
        <v>299</v>
      </c>
      <c r="B57" s="3">
        <v>56.0</v>
      </c>
      <c r="C57" s="4" t="s">
        <v>21</v>
      </c>
      <c r="D57" s="4" t="s">
        <v>300</v>
      </c>
      <c r="E57" s="4" t="s">
        <v>301</v>
      </c>
      <c r="F57" s="4" t="s">
        <v>289</v>
      </c>
      <c r="G57" s="4" t="s">
        <v>302</v>
      </c>
      <c r="H57" s="4" t="s">
        <v>303</v>
      </c>
      <c r="I57" s="4" t="s">
        <v>301</v>
      </c>
      <c r="J57" s="4" t="s">
        <v>304</v>
      </c>
      <c r="M57" s="4" t="s">
        <v>299</v>
      </c>
      <c r="N57" s="5">
        <v>56.0</v>
      </c>
      <c r="O57" s="6" t="str">
        <f>IFERROR(__xludf.DUMMYFUNCTION("GOOGLETRANSLATE(C57,""en"",""th"")"),"ภาพที่แสดงเป็นกิจกรรมหลักอะไร?")</f>
        <v>ภาพที่แสดงเป็นกิจกรรมหลักอะไร?</v>
      </c>
      <c r="P57" s="6" t="str">
        <f>IFERROR(__xludf.DUMMYFUNCTION("GOOGLETRANSLATE(D57,""en"",""th"")"),"ชายคนหนึ่งกำลังจูงกระทิง")</f>
        <v>ชายคนหนึ่งกำลังจูงกระทิง</v>
      </c>
      <c r="Q57" s="6" t="str">
        <f>IFERROR(__xludf.DUMMYFUNCTION("GOOGLETRANSLATE(E57,""en"",""th"")"),"ชายคนหนึ่งกำลังต่อสู้กับวัวกระทิง")</f>
        <v>ชายคนหนึ่งกำลังต่อสู้กับวัวกระทิง</v>
      </c>
      <c r="R57" s="6" t="str">
        <f>IFERROR(__xludf.DUMMYFUNCTION("GOOGLETRANSLATE(F57,""en"",""th"")"),"ชายคนหนึ่งกำลังขี่กระทิง")</f>
        <v>ชายคนหนึ่งกำลังขี่กระทิง</v>
      </c>
      <c r="S57" s="6" t="str">
        <f>IFERROR(__xludf.DUMMYFUNCTION("GOOGLETRANSLATE(G57,""en"",""th"")"),"ผู้ชายคนหนึ่งกำลังคุยกับวัวกระทิง")</f>
        <v>ผู้ชายคนหนึ่งกำลังคุยกับวัวกระทิง</v>
      </c>
      <c r="T57" s="6" t="s">
        <v>305</v>
      </c>
      <c r="U57" s="6" t="str">
        <f>IFERROR(__xludf.DUMMYFUNCTION("GOOGLETRANSLATE(I57,""en"",""th"")"),"ชายคนหนึ่งกำลังต่อสู้กับวัวกระทิง")</f>
        <v>ชายคนหนึ่งกำลังต่อสู้กับวัวกระทิง</v>
      </c>
      <c r="V57" s="6" t="str">
        <f>IFERROR(__xludf.DUMMYFUNCTION("GOOGLETRANSLATE(J57,""en"",""th"")"),"รูปภาพแสดงให้เห็นชายคนหนึ่งกำลังจับกระทิงไว้ที่หัวและเขา และกระทิงก็อยู่ในท่าป้องกัน แสดงให้เห็นว่าชายคนนั้นกำลังต่อสู้กับกระทิงอยู่")</f>
        <v>รูปภาพแสดงให้เห็นชายคนหนึ่งกำลังจับกระทิงไว้ที่หัวและเขา และกระทิงก็อยู่ในท่าป้องกัน แสดงให้เห็นว่าชายคนนั้นกำลังต่อสู้กับกระทิงอยู่</v>
      </c>
    </row>
    <row r="58" ht="22.5" customHeight="1">
      <c r="A58" s="2" t="s">
        <v>299</v>
      </c>
      <c r="B58" s="3">
        <v>57.0</v>
      </c>
      <c r="C58" s="4" t="s">
        <v>35</v>
      </c>
      <c r="D58" s="4" t="s">
        <v>36</v>
      </c>
      <c r="E58" s="4" t="s">
        <v>37</v>
      </c>
      <c r="F58" s="4" t="s">
        <v>38</v>
      </c>
      <c r="G58" s="4" t="s">
        <v>39</v>
      </c>
      <c r="H58" s="4" t="s">
        <v>40</v>
      </c>
      <c r="I58" s="4" t="s">
        <v>38</v>
      </c>
      <c r="J58" s="4" t="s">
        <v>41</v>
      </c>
      <c r="M58" s="4" t="s">
        <v>299</v>
      </c>
      <c r="N58" s="5">
        <v>57.0</v>
      </c>
      <c r="O58" s="6" t="str">
        <f>IFERROR(__xludf.DUMMYFUNCTION("GOOGLETRANSLATE(C58,""en"",""th"")"),"ลักษณะเด่นของร่างกายวัวคืออะไร?")</f>
        <v>ลักษณะเด่นของร่างกายวัวคืออะไร?</v>
      </c>
      <c r="P58" s="6" t="str">
        <f>IFERROR(__xludf.DUMMYFUNCTION("GOOGLETRANSLATE(D58,""en"",""th"")"),"มันมีปลอกคอ")</f>
        <v>มันมีปลอกคอ</v>
      </c>
      <c r="Q58" s="6" t="str">
        <f>IFERROR(__xludf.DUMMYFUNCTION("GOOGLETRANSLATE(E58,""en"",""th"")"),"มันมีสายรัด")</f>
        <v>มันมีสายรัด</v>
      </c>
      <c r="R58" s="6" t="str">
        <f>IFERROR(__xludf.DUMMYFUNCTION("GOOGLETRANSLATE(F58,""en"",""th"")"),"มีหลังโค้งใหญ่")</f>
        <v>มีหลังโค้งใหญ่</v>
      </c>
      <c r="S58" s="6" t="str">
        <f>IFERROR(__xludf.DUMMYFUNCTION("GOOGLETRANSLATE(G58,""en"",""th"")"),"มันมีเชือกอยู่รอบคอ")</f>
        <v>มันมีเชือกอยู่รอบคอ</v>
      </c>
      <c r="T58" s="6" t="s">
        <v>42</v>
      </c>
      <c r="U58" s="6" t="str">
        <f>IFERROR(__xludf.DUMMYFUNCTION("GOOGLETRANSLATE(I58,""en"",""th"")"),"มีหลังโค้งใหญ่")</f>
        <v>มีหลังโค้งใหญ่</v>
      </c>
      <c r="V58" s="6" t="str">
        <f>IFERROR(__xludf.DUMMYFUNCTION("GOOGLETRANSLATE(J58,""en"",""th"")"),"โคตัวผู้มีหลังโค้งเด่นชัด ซึ่งเป็นลักษณะเฉพาะของโคพันธุ์เซบู ซึ่งเป็นสายพันธุ์ที่นิยมใช้ในการสู้วัวกระทิงของไทย")</f>
        <v>โคตัวผู้มีหลังโค้งเด่นชัด ซึ่งเป็นลักษณะเฉพาะของโคพันธุ์เซบู ซึ่งเป็นสายพันธุ์ที่นิยมใช้ในการสู้วัวกระทิงของไทย</v>
      </c>
    </row>
    <row r="59" ht="22.5" customHeight="1">
      <c r="A59" s="2" t="s">
        <v>299</v>
      </c>
      <c r="B59" s="3">
        <v>58.0</v>
      </c>
      <c r="C59" s="4" t="s">
        <v>306</v>
      </c>
      <c r="D59" s="4" t="s">
        <v>67</v>
      </c>
      <c r="E59" s="4" t="s">
        <v>68</v>
      </c>
      <c r="F59" s="4" t="s">
        <v>69</v>
      </c>
      <c r="G59" s="4" t="s">
        <v>70</v>
      </c>
      <c r="H59" s="4" t="s">
        <v>71</v>
      </c>
      <c r="I59" s="4" t="s">
        <v>68</v>
      </c>
      <c r="J59" s="4" t="s">
        <v>307</v>
      </c>
      <c r="M59" s="4" t="s">
        <v>299</v>
      </c>
      <c r="N59" s="5">
        <v>58.0</v>
      </c>
      <c r="O59" s="6" t="str">
        <f>IFERROR(__xludf.DUMMYFUNCTION("GOOGLETRANSLATE(C59,""en"",""th"")"),"เชือกที่พันรอบจมูกวัวมีไว้เพื่ออะไร?")</f>
        <v>เชือกที่พันรอบจมูกวัวมีไว้เพื่ออะไร?</v>
      </c>
      <c r="P59" s="6" t="str">
        <f>IFERROR(__xludf.DUMMYFUNCTION("GOOGLETRANSLATE(D59,""en"",""th"")"),"มันเป็นของตกแต่ง")</f>
        <v>มันเป็นของตกแต่ง</v>
      </c>
      <c r="Q59" s="6" t="str">
        <f>IFERROR(__xludf.DUMMYFUNCTION("GOOGLETRANSLATE(E59,""en"",""th"")"),"เป็นเครื่องมือสำหรับนำทางกระทิง")</f>
        <v>เป็นเครื่องมือสำหรับนำทางกระทิง</v>
      </c>
      <c r="R59" s="6" t="str">
        <f>IFERROR(__xludf.DUMMYFUNCTION("GOOGLETRANSLATE(F59,""en"",""th"")"),"เป็นสัญลักษณ์แห่งโคชั้นสูง")</f>
        <v>เป็นสัญลักษณ์แห่งโคชั้นสูง</v>
      </c>
      <c r="S59" s="6" t="str">
        <f>IFERROR(__xludf.DUMMYFUNCTION("GOOGLETRANSLATE(G59,""en"",""th"")"),"เป็นสัญญาณของกระทิงที่ชนะ")</f>
        <v>เป็นสัญญาณของกระทิงที่ชนะ</v>
      </c>
      <c r="T59" s="6" t="s">
        <v>73</v>
      </c>
      <c r="U59" s="6" t="str">
        <f>IFERROR(__xludf.DUMMYFUNCTION("GOOGLETRANSLATE(I59,""en"",""th"")"),"เป็นเครื่องมือสำหรับนำทางกระทิง")</f>
        <v>เป็นเครื่องมือสำหรับนำทางกระทิง</v>
      </c>
      <c r="V59" s="6" t="str">
        <f>IFERROR(__xludf.DUMMYFUNCTION("GOOGLETRANSLATE(J59,""en"",""th"")"),"เชือกที่พันรอบจมูกวัว หรือที่เรียกว่าเชือกจูงจมูก เป็นเครื่องมือที่ผู้ฝึกใช้เพื่อนำทางและควบคุมการเคลื่อนไหวของวัว")</f>
        <v>เชือกที่พันรอบจมูกวัว หรือที่เรียกว่าเชือกจูงจมูก เป็นเครื่องมือที่ผู้ฝึกใช้เพื่อนำทางและควบคุมการเคลื่อนไหวของวัว</v>
      </c>
    </row>
    <row r="60" ht="22.5" customHeight="1">
      <c r="A60" s="2" t="s">
        <v>299</v>
      </c>
      <c r="B60" s="3">
        <v>59.0</v>
      </c>
      <c r="C60" s="4" t="s">
        <v>308</v>
      </c>
      <c r="D60" s="4" t="s">
        <v>309</v>
      </c>
      <c r="E60" s="4" t="s">
        <v>310</v>
      </c>
      <c r="F60" s="4" t="s">
        <v>311</v>
      </c>
      <c r="G60" s="4" t="s">
        <v>312</v>
      </c>
      <c r="H60" s="4" t="s">
        <v>313</v>
      </c>
      <c r="I60" s="4" t="s">
        <v>311</v>
      </c>
      <c r="J60" s="4" t="s">
        <v>314</v>
      </c>
      <c r="M60" s="4" t="s">
        <v>299</v>
      </c>
      <c r="N60" s="5">
        <v>59.0</v>
      </c>
      <c r="O60" s="6" t="str">
        <f>IFERROR(__xludf.DUMMYFUNCTION("GOOGLETRANSLATE(C60,""en"",""th"")"),"ผู้ชายคนนั้นใส่ชุดแบบไหน?")</f>
        <v>ผู้ชายคนนั้นใส่ชุดแบบไหน?</v>
      </c>
      <c r="P60" s="6" t="str">
        <f>IFERROR(__xludf.DUMMYFUNCTION("GOOGLETRANSLATE(D60,""en"",""th"")"),"ชุดสูทแบบเป็นทางการ")</f>
        <v>ชุดสูทแบบเป็นทางการ</v>
      </c>
      <c r="Q60" s="6" t="str">
        <f>IFERROR(__xludf.DUMMYFUNCTION("GOOGLETRANSLATE(E60,""en"",""th"")"),"ชุดยูนิฟอร์มแบบดั้งเดิม")</f>
        <v>ชุดยูนิฟอร์มแบบดั้งเดิม</v>
      </c>
      <c r="R60" s="6" t="str">
        <f>IFERROR(__xludf.DUMMYFUNCTION("GOOGLETRANSLATE(F60,""en"",""th"")"),"เสื้อผ้าลำลองสำหรับใส่ในชีวิตประจำวัน")</f>
        <v>เสื้อผ้าลำลองสำหรับใส่ในชีวิตประจำวัน</v>
      </c>
      <c r="S60" s="6" t="str">
        <f>IFERROR(__xludf.DUMMYFUNCTION("GOOGLETRANSLATE(G60,""en"",""th"")"),"อุปกรณ์กีฬา")</f>
        <v>อุปกรณ์กีฬา</v>
      </c>
      <c r="T60" s="6" t="s">
        <v>315</v>
      </c>
      <c r="U60" s="6" t="str">
        <f>IFERROR(__xludf.DUMMYFUNCTION("GOOGLETRANSLATE(I60,""en"",""th"")"),"เสื้อผ้าลำลองสำหรับใส่ในชีวิตประจำวัน")</f>
        <v>เสื้อผ้าลำลองสำหรับใส่ในชีวิตประจำวัน</v>
      </c>
      <c r="V60" s="6" t="str">
        <f>IFERROR(__xludf.DUMMYFUNCTION("GOOGLETRANSLATE(J60,""en"",""th"")"),"ชายคนนี้สวมเสื้อกล้ามและกางเกงซึ่งเป็นเครื่องแต่งกายทั่วไปสำหรับการพักผ่อนหย่อนใจแบบสบาย ๆ")</f>
        <v>ชายคนนี้สวมเสื้อกล้ามและกางเกงซึ่งเป็นเครื่องแต่งกายทั่วไปสำหรับการพักผ่อนหย่อนใจแบบสบาย ๆ</v>
      </c>
    </row>
    <row r="61" ht="22.5" customHeight="1">
      <c r="A61" s="2" t="s">
        <v>299</v>
      </c>
      <c r="B61" s="3">
        <v>60.0</v>
      </c>
      <c r="C61" s="4" t="s">
        <v>154</v>
      </c>
      <c r="D61" s="4" t="s">
        <v>155</v>
      </c>
      <c r="E61" s="4" t="s">
        <v>156</v>
      </c>
      <c r="F61" s="4" t="s">
        <v>157</v>
      </c>
      <c r="G61" s="4" t="s">
        <v>127</v>
      </c>
      <c r="H61" s="4" t="s">
        <v>158</v>
      </c>
      <c r="I61" s="4" t="s">
        <v>156</v>
      </c>
      <c r="J61" s="4" t="s">
        <v>316</v>
      </c>
      <c r="M61" s="4" t="s">
        <v>299</v>
      </c>
      <c r="N61" s="5">
        <v>60.0</v>
      </c>
      <c r="O61" s="6" t="str">
        <f>IFERROR(__xludf.DUMMYFUNCTION("GOOGLETRANSLATE(C61,""en"",""th"")"),"บรรยากาศโดยรวมของภาพเป็นอย่างไร?")</f>
        <v>บรรยากาศโดยรวมของภาพเป็นอย่างไร?</v>
      </c>
      <c r="P61" s="6" t="str">
        <f>IFERROR(__xludf.DUMMYFUNCTION("GOOGLETRANSLATE(D61,""en"",""th"")"),"แบบสนุกสนานรื่นเริง")</f>
        <v>แบบสนุกสนานรื่นเริง</v>
      </c>
      <c r="Q61" s="6" t="str">
        <f>IFERROR(__xludf.DUMMYFUNCTION("GOOGLETRANSLATE(E61,""en"",""th"")"),"เป็นเรื่องที่จริงจังและตึงเครียด")</f>
        <v>เป็นเรื่องที่จริงจังและตึงเครียด</v>
      </c>
      <c r="R61" s="6" t="str">
        <f>IFERROR(__xludf.DUMMYFUNCTION("GOOGLETRANSLATE(F61,""en"",""th"")"),"เป็นบรรยากาศเงียบสงบและเศร้าหมอง")</f>
        <v>เป็นบรรยากาศเงียบสงบและเศร้าหมอง</v>
      </c>
      <c r="S61" s="6" t="str">
        <f>IFERROR(__xludf.DUMMYFUNCTION("GOOGLETRANSLATE(G61,""en"",""th"")"),"แบบสบายๆ และผ่อนคลาย")</f>
        <v>แบบสบายๆ และผ่อนคลาย</v>
      </c>
      <c r="T61" s="6" t="s">
        <v>160</v>
      </c>
      <c r="U61" s="6" t="str">
        <f>IFERROR(__xludf.DUMMYFUNCTION("GOOGLETRANSLATE(I61,""en"",""th"")"),"เป็นเรื่องที่จริงจังและตึงเครียด")</f>
        <v>เป็นเรื่องที่จริงจังและตึงเครียด</v>
      </c>
      <c r="V61" s="6" t="str">
        <f>IFERROR(__xludf.DUMMYFUNCTION("GOOGLETRANSLATE(J61,""en"",""th"")"),"การแสดงออกที่ดุร้ายของชายคนนั้นและท่าทางป้องกันตัวของวัวสร้างบรรยากาศที่จริงจังและตึงเครียดซึ่งเป็นส่วนสำคัญของธรรมชาติการต่อสู้")</f>
        <v>การแสดงออกที่ดุร้ายของชายคนนั้นและท่าทางป้องกันตัวของวัวสร้างบรรยากาศที่จริงจังและตึงเครียดซึ่งเป็นส่วนสำคัญของธรรมชาติการต่อสู้</v>
      </c>
    </row>
    <row r="62" ht="22.5" customHeight="1">
      <c r="A62" s="2" t="s">
        <v>317</v>
      </c>
      <c r="B62" s="3">
        <v>61.0</v>
      </c>
      <c r="C62" s="4" t="s">
        <v>21</v>
      </c>
      <c r="D62" s="4" t="s">
        <v>318</v>
      </c>
      <c r="E62" s="4" t="s">
        <v>319</v>
      </c>
      <c r="F62" s="4" t="s">
        <v>256</v>
      </c>
      <c r="G62" s="4" t="s">
        <v>135</v>
      </c>
      <c r="H62" s="4" t="s">
        <v>320</v>
      </c>
      <c r="I62" s="4" t="s">
        <v>318</v>
      </c>
      <c r="J62" s="4" t="s">
        <v>64</v>
      </c>
      <c r="M62" s="4" t="s">
        <v>317</v>
      </c>
      <c r="N62" s="5">
        <v>61.0</v>
      </c>
      <c r="O62" s="6" t="str">
        <f>IFERROR(__xludf.DUMMYFUNCTION("GOOGLETRANSLATE(C62,""en"",""th"")"),"ภาพที่แสดงเป็นกิจกรรมหลักอะไร?")</f>
        <v>ภาพที่แสดงเป็นกิจกรรมหลักอะไร?</v>
      </c>
      <c r="P62" s="6" t="str">
        <f>IFERROR(__xludf.DUMMYFUNCTION("GOOGLETRANSLATE(D62,""en"",""th"")"),"มีกระทิงสองตัวกำลังต่อสู้กัน")</f>
        <v>มีกระทิงสองตัวกำลังต่อสู้กัน</v>
      </c>
      <c r="Q62" s="6" t="str">
        <f>IFERROR(__xludf.DUMMYFUNCTION("GOOGLETRANSLATE(E62,""en"",""th"")"),"มีกระทิงสองตัวกำลังพักผ่อน")</f>
        <v>มีกระทิงสองตัวกำลังพักผ่อน</v>
      </c>
      <c r="R62" s="6" t="str">
        <f>IFERROR(__xludf.DUMMYFUNCTION("GOOGLETRANSLATE(F62,""en"",""th"")"),"กำลังฝึกกระทิงอยู่")</f>
        <v>กำลังฝึกกระทิงอยู่</v>
      </c>
      <c r="S62" s="6" t="str">
        <f>IFERROR(__xludf.DUMMYFUNCTION("GOOGLETRANSLATE(G62,""en"",""th"")"),"มีการนำวัวกระทิง")</f>
        <v>มีการนำวัวกระทิง</v>
      </c>
      <c r="T62" s="6" t="s">
        <v>321</v>
      </c>
      <c r="U62" s="6" t="str">
        <f>IFERROR(__xludf.DUMMYFUNCTION("GOOGLETRANSLATE(I62,""en"",""th"")"),"มีกระทิงสองตัวกำลังต่อสู้กัน")</f>
        <v>มีกระทิงสองตัวกำลังต่อสู้กัน</v>
      </c>
      <c r="V62" s="6" t="str">
        <f>IFERROR(__xludf.DUMMYFUNCTION("GOOGLETRANSLATE(J62,""en"",""th"")"),"ในภาพเป็นภาพกระทิง 2 ตัวที่มีหัวและเขาประสานกัน ซึ่งเป็นหัวใจสำคัญของการสู้วัวกระทิงของไทย")</f>
        <v>ในภาพเป็นภาพกระทิง 2 ตัวที่มีหัวและเขาประสานกัน ซึ่งเป็นหัวใจสำคัญของการสู้วัวกระทิงของไทย</v>
      </c>
    </row>
    <row r="63" ht="22.5" customHeight="1">
      <c r="A63" s="2" t="s">
        <v>317</v>
      </c>
      <c r="B63" s="3">
        <v>62.0</v>
      </c>
      <c r="C63" s="4" t="s">
        <v>232</v>
      </c>
      <c r="D63" s="4" t="s">
        <v>322</v>
      </c>
      <c r="E63" s="4" t="s">
        <v>171</v>
      </c>
      <c r="F63" s="4" t="s">
        <v>233</v>
      </c>
      <c r="G63" s="4" t="s">
        <v>236</v>
      </c>
      <c r="H63" s="4" t="s">
        <v>323</v>
      </c>
      <c r="I63" s="4" t="s">
        <v>233</v>
      </c>
      <c r="J63" s="4" t="s">
        <v>238</v>
      </c>
      <c r="M63" s="4" t="s">
        <v>317</v>
      </c>
      <c r="N63" s="5">
        <v>62.0</v>
      </c>
      <c r="O63" s="6" t="str">
        <f>IFERROR(__xludf.DUMMYFUNCTION("GOOGLETRANSLATE(C63,""en"",""th"")"),"ลักษณะเด่นของร่างกายวัวกระทิงคืออะไร?")</f>
        <v>ลักษณะเด่นของร่างกายวัวกระทิงคืออะไร?</v>
      </c>
      <c r="P63" s="6" t="str">
        <f>IFERROR(__xludf.DUMMYFUNCTION("GOOGLETRANSLATE(D63,""en"",""th"")"),"พวกมันมีเขาที่ยาวมาก")</f>
        <v>พวกมันมีเขาที่ยาวมาก</v>
      </c>
      <c r="Q63" s="6" t="str">
        <f>IFERROR(__xludf.DUMMYFUNCTION("GOOGLETRANSLATE(E63,""en"",""th"")"),"พวกมันสั้นและอ้วนมาก")</f>
        <v>พวกมันสั้นและอ้วนมาก</v>
      </c>
      <c r="R63" s="6" t="str">
        <f>IFERROR(__xludf.DUMMYFUNCTION("GOOGLETRANSLATE(F63,""en"",""th"")"),"พวกมันมีหลังโค้งใหญ่มาก")</f>
        <v>พวกมันมีหลังโค้งใหญ่มาก</v>
      </c>
      <c r="S63" s="6" t="str">
        <f>IFERROR(__xludf.DUMMYFUNCTION("GOOGLETRANSLATE(G63,""en"",""th"")"),"พวกมันไม่มีเขา")</f>
        <v>พวกมันไม่มีเขา</v>
      </c>
      <c r="T63" s="6" t="s">
        <v>324</v>
      </c>
      <c r="U63" s="6" t="str">
        <f>IFERROR(__xludf.DUMMYFUNCTION("GOOGLETRANSLATE(I63,""en"",""th"")"),"พวกมันมีหลังโค้งใหญ่มาก")</f>
        <v>พวกมันมีหลังโค้งใหญ่มาก</v>
      </c>
      <c r="V63" s="6" t="str">
        <f>IFERROR(__xludf.DUMMYFUNCTION("GOOGLETRANSLATE(J63,""en"",""th"")"),"กระทิงมีหลังค่อมที่เด่นชัด ซึ่งเป็นลักษณะเฉพาะของวัวพันธุ์เซบู ซึ่งเป็นสายพันธุ์ที่นิยมใช้ในการสู้วัวกระทิงของไทย")</f>
        <v>กระทิงมีหลังค่อมที่เด่นชัด ซึ่งเป็นลักษณะเฉพาะของวัวพันธุ์เซบู ซึ่งเป็นสายพันธุ์ที่นิยมใช้ในการสู้วัวกระทิงของไทย</v>
      </c>
    </row>
    <row r="64" ht="22.5" customHeight="1">
      <c r="A64" s="2" t="s">
        <v>317</v>
      </c>
      <c r="B64" s="3">
        <v>63.0</v>
      </c>
      <c r="C64" s="4" t="s">
        <v>99</v>
      </c>
      <c r="D64" s="4" t="s">
        <v>100</v>
      </c>
      <c r="E64" s="4" t="s">
        <v>101</v>
      </c>
      <c r="F64" s="4" t="s">
        <v>102</v>
      </c>
      <c r="G64" s="4" t="s">
        <v>103</v>
      </c>
      <c r="H64" s="4" t="s">
        <v>104</v>
      </c>
      <c r="I64" s="4" t="s">
        <v>101</v>
      </c>
      <c r="J64" s="4" t="s">
        <v>105</v>
      </c>
      <c r="M64" s="4" t="s">
        <v>317</v>
      </c>
      <c r="N64" s="5">
        <v>63.0</v>
      </c>
      <c r="O64" s="6" t="str">
        <f>IFERROR(__xludf.DUMMYFUNCTION("GOOGLETRANSLATE(C64,""en"",""th"")"),"กระทิงสู้กันในสภาพแวดล้อมแบบไหน?")</f>
        <v>กระทิงสู้กันในสภาพแวดล้อมแบบไหน?</v>
      </c>
      <c r="P64" s="6" t="str">
        <f>IFERROR(__xludf.DUMMYFUNCTION("GOOGLETRANSLATE(D64,""en"",""th"")"),"ลานปูหิน")</f>
        <v>ลานปูหิน</v>
      </c>
      <c r="Q64" s="6" t="str">
        <f>IFERROR(__xludf.DUMMYFUNCTION("GOOGLETRANSLATE(E64,""en"",""th"")"),"หลุมดินและโคลน")</f>
        <v>หลุมดินและโคลน</v>
      </c>
      <c r="R64" s="6" t="str">
        <f>IFERROR(__xludf.DUMMYFUNCTION("GOOGLETRANSLATE(F64,""en"",""th"")"),"ทุ่งโล่งกว้างใหญ่")</f>
        <v>ทุ่งโล่งกว้างใหญ่</v>
      </c>
      <c r="S64" s="6" t="str">
        <f>IFERROR(__xludf.DUMMYFUNCTION("GOOGLETRANSLATE(G64,""en"",""th"")"),"สนามกีฬาในร่ม")</f>
        <v>สนามกีฬาในร่ม</v>
      </c>
      <c r="T64" s="6" t="s">
        <v>106</v>
      </c>
      <c r="U64" s="6" t="str">
        <f>IFERROR(__xludf.DUMMYFUNCTION("GOOGLETRANSLATE(I64,""en"",""th"")"),"หลุมดินและโคลน")</f>
        <v>หลุมดินและโคลน</v>
      </c>
      <c r="V64" s="6" t="str">
        <f>IFERROR(__xludf.DUMMYFUNCTION("GOOGLETRANSLATE(J64,""en"",""th"")"),"วัวกระทิงกำลังต่อสู้กันในสนามดินที่เต็มไปด้วยน้ำและโคลน ซึ่งเป็นลักษณะทั่วไปของสนามสู้วัวกระทิงของไทย")</f>
        <v>วัวกระทิงกำลังต่อสู้กันในสนามดินที่เต็มไปด้วยน้ำและโคลน ซึ่งเป็นลักษณะทั่วไปของสนามสู้วัวกระทิงของไทย</v>
      </c>
    </row>
    <row r="65" ht="22.5" customHeight="1">
      <c r="A65" s="2" t="s">
        <v>317</v>
      </c>
      <c r="B65" s="3">
        <v>64.0</v>
      </c>
      <c r="C65" s="4" t="s">
        <v>107</v>
      </c>
      <c r="D65" s="4" t="s">
        <v>108</v>
      </c>
      <c r="E65" s="4" t="s">
        <v>109</v>
      </c>
      <c r="F65" s="4" t="s">
        <v>110</v>
      </c>
      <c r="G65" s="4" t="s">
        <v>111</v>
      </c>
      <c r="H65" s="4" t="s">
        <v>112</v>
      </c>
      <c r="I65" s="4" t="s">
        <v>110</v>
      </c>
      <c r="J65" s="4" t="s">
        <v>113</v>
      </c>
      <c r="M65" s="4" t="s">
        <v>317</v>
      </c>
      <c r="N65" s="5">
        <v>64.0</v>
      </c>
      <c r="O65" s="6" t="str">
        <f>IFERROR(__xludf.DUMMYFUNCTION("GOOGLETRANSLATE(C65,""en"",""th"")"),"รั้วหลังวัวมีไว้เพื่ออะไร?")</f>
        <v>รั้วหลังวัวมีไว้เพื่ออะไร?</v>
      </c>
      <c r="P65" s="6" t="str">
        <f>IFERROR(__xludf.DUMMYFUNCTION("GOOGLETRANSLATE(D65,""en"",""th"")"),"เป็นองค์ประกอบการตกแต่ง")</f>
        <v>เป็นองค์ประกอบการตกแต่ง</v>
      </c>
      <c r="Q65" s="6" t="str">
        <f>IFERROR(__xludf.DUMMYFUNCTION("GOOGLETRANSLATE(E65,""en"",""th"")"),"เป็นสิ่งกั้นแบ่งแยกกระทิง")</f>
        <v>เป็นสิ่งกั้นแบ่งแยกกระทิง</v>
      </c>
      <c r="R65" s="6" t="str">
        <f>IFERROR(__xludf.DUMMYFUNCTION("GOOGLETRANSLATE(F65,""en"",""th"")"),"เป็นเครื่องกั้นความปลอดภัยให้กับผู้ชม")</f>
        <v>เป็นเครื่องกั้นความปลอดภัยให้กับผู้ชม</v>
      </c>
      <c r="S65" s="6" t="str">
        <f>IFERROR(__xludf.DUMMYFUNCTION("GOOGLETRANSLATE(G65,""en"",""th"")"),"เป็นเขตแดนของกระทิง")</f>
        <v>เป็นเขตแดนของกระทิง</v>
      </c>
      <c r="T65" s="6" t="s">
        <v>114</v>
      </c>
      <c r="U65" s="6" t="str">
        <f>IFERROR(__xludf.DUMMYFUNCTION("GOOGLETRANSLATE(I65,""en"",""th"")"),"เป็นเครื่องกั้นความปลอดภัยให้กับผู้ชม")</f>
        <v>เป็นเครื่องกั้นความปลอดภัยให้กับผู้ชม</v>
      </c>
      <c r="V65" s="6" t="str">
        <f>IFERROR(__xludf.DUMMYFUNCTION("GOOGLETRANSLATE(J65,""en"",""th"")"),"รั้วไม้ทำหน้าที่เป็นสิ่งกั้นความปลอดภัยที่สำคัญ โดยแยกวัวออกจากผู้ชมและป้องกันอุบัติเหตุ")</f>
        <v>รั้วไม้ทำหน้าที่เป็นสิ่งกั้นความปลอดภัยที่สำคัญ โดยแยกวัวออกจากผู้ชมและป้องกันอุบัติเหตุ</v>
      </c>
    </row>
    <row r="66" ht="22.5" customHeight="1">
      <c r="A66" s="2" t="s">
        <v>317</v>
      </c>
      <c r="B66" s="3">
        <v>65.0</v>
      </c>
      <c r="C66" s="4" t="s">
        <v>123</v>
      </c>
      <c r="D66" s="4" t="s">
        <v>124</v>
      </c>
      <c r="E66" s="4" t="s">
        <v>125</v>
      </c>
      <c r="F66" s="4" t="s">
        <v>126</v>
      </c>
      <c r="G66" s="4" t="s">
        <v>127</v>
      </c>
      <c r="H66" s="4" t="s">
        <v>128</v>
      </c>
      <c r="I66" s="4" t="s">
        <v>125</v>
      </c>
      <c r="J66" s="4" t="s">
        <v>129</v>
      </c>
      <c r="M66" s="4" t="s">
        <v>317</v>
      </c>
      <c r="N66" s="5">
        <v>65.0</v>
      </c>
      <c r="O66" s="6" t="str">
        <f>IFERROR(__xludf.DUMMYFUNCTION("GOOGLETRANSLATE(C66,""en"",""th"")"),"บรรยากาศโดยรวมงานเป็นอย่างไรบ้าง?")</f>
        <v>บรรยากาศโดยรวมงานเป็นอย่างไรบ้าง?</v>
      </c>
      <c r="P66" s="6" t="str">
        <f>IFERROR(__xludf.DUMMYFUNCTION("GOOGLETRANSLATE(D66,""en"",""th"")"),"เป็นที่เงียบสงบและสันติ")</f>
        <v>เป็นที่เงียบสงบและสันติ</v>
      </c>
      <c r="Q66" s="6" t="str">
        <f>IFERROR(__xludf.DUMMYFUNCTION("GOOGLETRANSLATE(E66,""en"",""th"")"),"แบบตึงเครียดและมีสมาธิ")</f>
        <v>แบบตึงเครียดและมีสมาธิ</v>
      </c>
      <c r="R66" s="6" t="str">
        <f>IFERROR(__xludf.DUMMYFUNCTION("GOOGLETRANSLATE(F66,""en"",""th"")"),"แบบเฉลิมฉลองและรื่นเริง")</f>
        <v>แบบเฉลิมฉลองและรื่นเริง</v>
      </c>
      <c r="S66" s="6" t="str">
        <f>IFERROR(__xludf.DUMMYFUNCTION("GOOGLETRANSLATE(G66,""en"",""th"")"),"แบบสบายๆ และผ่อนคลาย")</f>
        <v>แบบสบายๆ และผ่อนคลาย</v>
      </c>
      <c r="T66" s="6" t="s">
        <v>130</v>
      </c>
      <c r="U66" s="6" t="str">
        <f>IFERROR(__xludf.DUMMYFUNCTION("GOOGLETRANSLATE(I66,""en"",""th"")"),"แบบตึงเครียดและมีสมาธิ")</f>
        <v>แบบตึงเครียดและมีสมาธิ</v>
      </c>
      <c r="V66" s="6" t="str">
        <f>IFERROR(__xludf.DUMMYFUNCTION("GOOGLETRANSLATE(J66,""en"",""th"")"),"สายตาที่จ้องมองของฝูงชนและเขาที่ล็อคกันของวัวทำให้เกิดบรรยากาศที่ตึงเครียดและตั้งใจ ซึ่งเป็นลักษณะเฉพาะของการต่อสู้วัวกระทิงที่มีเดิมพันสูง")</f>
        <v>สายตาที่จ้องมองของฝูงชนและเขาที่ล็อคกันของวัวทำให้เกิดบรรยากาศที่ตึงเครียดและตั้งใจ ซึ่งเป็นลักษณะเฉพาะของการต่อสู้วัวกระทิงที่มีเดิมพันสูง</v>
      </c>
    </row>
    <row r="67" ht="22.5" customHeight="1">
      <c r="A67" s="2" t="s">
        <v>325</v>
      </c>
      <c r="B67" s="3">
        <v>66.0</v>
      </c>
      <c r="C67" s="4" t="s">
        <v>21</v>
      </c>
      <c r="D67" s="4" t="s">
        <v>162</v>
      </c>
      <c r="E67" s="4" t="s">
        <v>163</v>
      </c>
      <c r="F67" s="4" t="s">
        <v>61</v>
      </c>
      <c r="G67" s="4" t="s">
        <v>164</v>
      </c>
      <c r="H67" s="4" t="s">
        <v>165</v>
      </c>
      <c r="I67" s="4" t="s">
        <v>162</v>
      </c>
      <c r="J67" s="4" t="s">
        <v>166</v>
      </c>
      <c r="M67" s="4" t="s">
        <v>325</v>
      </c>
      <c r="N67" s="5">
        <v>66.0</v>
      </c>
      <c r="O67" s="6" t="str">
        <f>IFERROR(__xludf.DUMMYFUNCTION("GOOGLETRANSLATE(C67,""en"",""th"")"),"ภาพที่แสดงเป็นกิจกรรมหลักอะไร?")</f>
        <v>ภาพที่แสดงเป็นกิจกรรมหลักอะไร?</v>
      </c>
      <c r="P67" s="6" t="str">
        <f>IFERROR(__xludf.DUMMYFUNCTION("GOOGLETRANSLATE(D67,""en"",""th"")"),"กระทิงสองตัวกำลังต่อสู้กันในหลุมโคลน")</f>
        <v>กระทิงสองตัวกำลังต่อสู้กันในหลุมโคลน</v>
      </c>
      <c r="Q67" s="6" t="str">
        <f>IFERROR(__xludf.DUMMYFUNCTION("GOOGLETRANSLATE(E67,""en"",""th"")"),"กระทิงสองตัวกำลังวิ่ง")</f>
        <v>กระทิงสองตัวกำลังวิ่ง</v>
      </c>
      <c r="R67" s="6" t="str">
        <f>IFERROR(__xludf.DUMMYFUNCTION("GOOGLETRANSLATE(F67,""en"",""th"")"),"กระทิงสองตัวกำลังพักผ่อน")</f>
        <v>กระทิงสองตัวกำลังพักผ่อน</v>
      </c>
      <c r="S67" s="6" t="str">
        <f>IFERROR(__xludf.DUMMYFUNCTION("GOOGLETRANSLATE(G67,""en"",""th"")"),"กระทิงสองตัวกำลังเล่นกัน")</f>
        <v>กระทิงสองตัวกำลังเล่นกัน</v>
      </c>
      <c r="T67" s="6" t="s">
        <v>167</v>
      </c>
      <c r="U67" s="6" t="str">
        <f>IFERROR(__xludf.DUMMYFUNCTION("GOOGLETRANSLATE(I67,""en"",""th"")"),"กระทิงสองตัวกำลังต่อสู้กันในหลุมโคลน")</f>
        <v>กระทิงสองตัวกำลังต่อสู้กันในหลุมโคลน</v>
      </c>
      <c r="V67" s="6" t="str">
        <f>IFERROR(__xludf.DUMMYFUNCTION("GOOGLETRANSLATE(J67,""en"",""th"")"),"ภาพนี้แสดงให้เห็นวัว 2 ตัวที่มีหัวล็อกกันอยู่กลางบ่อโคลน โดยมีโคลนและน้ำกระเซ็นไปทั่ว ซึ่งเป็นสัญญาณชัดเจนว่าวัวทั้งสองตัวกำลังต่อสู้กัน")</f>
        <v>ภาพนี้แสดงให้เห็นวัว 2 ตัวที่มีหัวล็อกกันอยู่กลางบ่อโคลน โดยมีโคลนและน้ำกระเซ็นไปทั่ว ซึ่งเป็นสัญญาณชัดเจนว่าวัวทั้งสองตัวกำลังต่อสู้กัน</v>
      </c>
    </row>
    <row r="68" ht="22.5" customHeight="1">
      <c r="A68" s="2" t="s">
        <v>325</v>
      </c>
      <c r="B68" s="3">
        <v>67.0</v>
      </c>
      <c r="C68" s="4" t="s">
        <v>115</v>
      </c>
      <c r="D68" s="4" t="s">
        <v>116</v>
      </c>
      <c r="E68" s="4" t="s">
        <v>117</v>
      </c>
      <c r="F68" s="4" t="s">
        <v>118</v>
      </c>
      <c r="G68" s="4" t="s">
        <v>119</v>
      </c>
      <c r="H68" s="4" t="s">
        <v>120</v>
      </c>
      <c r="I68" s="4" t="s">
        <v>117</v>
      </c>
      <c r="J68" s="4" t="s">
        <v>121</v>
      </c>
      <c r="M68" s="4" t="s">
        <v>325</v>
      </c>
      <c r="N68" s="5">
        <v>67.0</v>
      </c>
      <c r="O68" s="6" t="str">
        <f>IFERROR(__xludf.DUMMYFUNCTION("GOOGLETRANSLATE(C68,""en"",""th"")"),"สามารถอนุมานถึงความแข็งแกร่งและพลังของกระทิงได้อย่างไรบ้าง?")</f>
        <v>สามารถอนุมานถึงความแข็งแกร่งและพลังของกระทิงได้อย่างไรบ้าง?</v>
      </c>
      <c r="P68" s="6" t="str">
        <f>IFERROR(__xludf.DUMMYFUNCTION("GOOGLETRANSLATE(D68,""en"",""th"")"),"พวกเขาอ่อนแอ")</f>
        <v>พวกเขาอ่อนแอ</v>
      </c>
      <c r="Q68" s="6" t="str">
        <f>IFERROR(__xludf.DUMMYFUNCTION("GOOGLETRANSLATE(E68,""en"",""th"")"),"พวกเขาแข็งแกร่งมาก")</f>
        <v>พวกเขาแข็งแกร่งมาก</v>
      </c>
      <c r="R68" s="6" t="str">
        <f>IFERROR(__xludf.DUMMYFUNCTION("GOOGLETRANSLATE(F68,""en"",""th"")"),"พวกเขาได้รับการฝึกให้มีความอ่อนโยน")</f>
        <v>พวกเขาได้รับการฝึกให้มีความอ่อนโยน</v>
      </c>
      <c r="S68" s="6" t="str">
        <f>IFERROR(__xludf.DUMMYFUNCTION("GOOGLETRANSLATE(G68,""en"",""th"")"),"พวกมันเชื่องมาก")</f>
        <v>พวกมันเชื่องมาก</v>
      </c>
      <c r="T68" s="6" t="s">
        <v>122</v>
      </c>
      <c r="U68" s="6" t="str">
        <f>IFERROR(__xludf.DUMMYFUNCTION("GOOGLETRANSLATE(I68,""en"",""th"")"),"พวกเขาแข็งแกร่งมาก")</f>
        <v>พวกเขาแข็งแกร่งมาก</v>
      </c>
      <c r="V68" s="6" t="str">
        <f>IFERROR(__xludf.DUMMYFUNCTION("GOOGLETRANSLATE(J68,""en"",""th"")"),"โครงสร้างกล้ามเนื้อของกระทิง หัวที่ต่ำลง และความตึงเครียดในร่างกาย แสดงให้เห็นว่าพวกมันแข็งแกร่งมาก และใช้ความแข็งแกร่งทั้งหมดในการต่อสู้")</f>
        <v>โครงสร้างกล้ามเนื้อของกระทิง หัวที่ต่ำลง และความตึงเครียดในร่างกาย แสดงให้เห็นว่าพวกมันแข็งแกร่งมาก และใช้ความแข็งแกร่งทั้งหมดในการต่อสู้</v>
      </c>
    </row>
    <row r="69" ht="22.5" customHeight="1">
      <c r="A69" s="2" t="s">
        <v>325</v>
      </c>
      <c r="B69" s="3">
        <v>68.0</v>
      </c>
      <c r="C69" s="4" t="s">
        <v>168</v>
      </c>
      <c r="D69" s="4" t="s">
        <v>169</v>
      </c>
      <c r="E69" s="4" t="s">
        <v>170</v>
      </c>
      <c r="F69" s="4" t="s">
        <v>171</v>
      </c>
      <c r="G69" s="4" t="s">
        <v>172</v>
      </c>
      <c r="H69" s="4" t="s">
        <v>173</v>
      </c>
      <c r="I69" s="4" t="s">
        <v>172</v>
      </c>
      <c r="J69" s="4" t="s">
        <v>174</v>
      </c>
      <c r="M69" s="4" t="s">
        <v>325</v>
      </c>
      <c r="N69" s="5">
        <v>68.0</v>
      </c>
      <c r="O69" s="6" t="str">
        <f>IFERROR(__xludf.DUMMYFUNCTION("GOOGLETRANSLATE(C69,""en"",""th"")"),"ลักษณะเด่นของเขากระทิงคืออะไร?")</f>
        <v>ลักษณะเด่นของเขากระทิงคืออะไร?</v>
      </c>
      <c r="P69" s="6" t="str">
        <f>IFERROR(__xludf.DUMMYFUNCTION("GOOGLETRANSLATE(D69,""en"",""th"")"),"มีการตกแต่งด้วยดอกไม้")</f>
        <v>มีการตกแต่งด้วยดอกไม้</v>
      </c>
      <c r="Q69" s="6" t="str">
        <f>IFERROR(__xludf.DUMMYFUNCTION("GOOGLETRANSLATE(E69,""en"",""th"")"),"มันยาวและตรงมาก")</f>
        <v>มันยาวและตรงมาก</v>
      </c>
      <c r="R69" s="6" t="str">
        <f>IFERROR(__xludf.DUMMYFUNCTION("GOOGLETRANSLATE(F69,""en"",""th"")"),"พวกมันสั้นและอ้วนมาก")</f>
        <v>พวกมันสั้นและอ้วนมาก</v>
      </c>
      <c r="S69" s="6" t="str">
        <f>IFERROR(__xludf.DUMMYFUNCTION("GOOGLETRANSLATE(G69,""en"",""th"")"),"มีลักษณะบิดเบี้ยวและมีรูปร่างที่เป็นเอกลักษณ์")</f>
        <v>มีลักษณะบิดเบี้ยวและมีรูปร่างที่เป็นเอกลักษณ์</v>
      </c>
      <c r="T69" s="6" t="s">
        <v>175</v>
      </c>
      <c r="U69" s="6" t="str">
        <f>IFERROR(__xludf.DUMMYFUNCTION("GOOGLETRANSLATE(I69,""en"",""th"")"),"มีลักษณะบิดเบี้ยวและมีรูปร่างที่เป็นเอกลักษณ์")</f>
        <v>มีลักษณะบิดเบี้ยวและมีรูปร่างที่เป็นเอกลักษณ์</v>
      </c>
      <c r="V69" s="6" t="str">
        <f>IFERROR(__xludf.DUMMYFUNCTION("GOOGLETRANSLATE(J69,""en"",""th"")"),"เขาของกระทิงนั้นไม่ตรงแต่มีรูปร่างบิดเบี้ยวเป็นเอกลักษณ์ซึ่งเป็นลักษณะเฉพาะของกระทิงที่ใช้ในการสู้วัวกระทิงของไทย")</f>
        <v>เขาของกระทิงนั้นไม่ตรงแต่มีรูปร่างบิดเบี้ยวเป็นเอกลักษณ์ซึ่งเป็นลักษณะเฉพาะของกระทิงที่ใช้ในการสู้วัวกระทิงของไทย</v>
      </c>
    </row>
    <row r="70" ht="22.5" customHeight="1">
      <c r="A70" s="2" t="s">
        <v>325</v>
      </c>
      <c r="B70" s="3">
        <v>69.0</v>
      </c>
      <c r="C70" s="4" t="s">
        <v>176</v>
      </c>
      <c r="D70" s="4" t="s">
        <v>177</v>
      </c>
      <c r="E70" s="4" t="s">
        <v>178</v>
      </c>
      <c r="F70" s="4" t="s">
        <v>179</v>
      </c>
      <c r="G70" s="4" t="s">
        <v>180</v>
      </c>
      <c r="H70" s="4" t="s">
        <v>181</v>
      </c>
      <c r="I70" s="4" t="s">
        <v>178</v>
      </c>
      <c r="J70" s="4" t="s">
        <v>182</v>
      </c>
      <c r="M70" s="4" t="s">
        <v>325</v>
      </c>
      <c r="N70" s="5">
        <v>69.0</v>
      </c>
      <c r="O70" s="6" t="str">
        <f>IFERROR(__xludf.DUMMYFUNCTION("GOOGLETRANSLATE(C70,""en"",""th"")"),"โคลนและน้ำที่กระเซ็นไปทั่วบ่งบอกอะไร?")</f>
        <v>โคลนและน้ำที่กระเซ็นไปทั่วบ่งบอกอะไร?</v>
      </c>
      <c r="P70" s="6" t="str">
        <f>IFERROR(__xludf.DUMMYFUNCTION("GOOGLETRANSLATE(D70,""en"",""th"")"),"วัวกำลังเล่นอยู่ในโคลน")</f>
        <v>วัวกำลังเล่นอยู่ในโคลน</v>
      </c>
      <c r="Q70" s="6" t="str">
        <f>IFERROR(__xludf.DUMMYFUNCTION("GOOGLETRANSLATE(E70,""en"",""th"")"),"กระทิงกำลังต่อสู้กันอย่างเข้มข้นมาก")</f>
        <v>กระทิงกำลังต่อสู้กันอย่างเข้มข้นมาก</v>
      </c>
      <c r="R70" s="6" t="str">
        <f>IFERROR(__xludf.DUMMYFUNCTION("GOOGLETRANSLATE(F70,""en"",""th"")"),"กระทิงอยู่ในภาวะต่อสู้ที่อ่อนแอมาก")</f>
        <v>กระทิงอยู่ในภาวะต่อสู้ที่อ่อนแอมาก</v>
      </c>
      <c r="S70" s="6" t="str">
        <f>IFERROR(__xludf.DUMMYFUNCTION("GOOGLETRANSLATE(G70,""en"",""th"")"),"กระทิงกำลังพักผ่อน")</f>
        <v>กระทิงกำลังพักผ่อน</v>
      </c>
      <c r="T70" s="6" t="s">
        <v>183</v>
      </c>
      <c r="U70" s="6" t="str">
        <f>IFERROR(__xludf.DUMMYFUNCTION("GOOGLETRANSLATE(I70,""en"",""th"")"),"กระทิงกำลังต่อสู้กันอย่างเข้มข้นมาก")</f>
        <v>กระทิงกำลังต่อสู้กันอย่างเข้มข้นมาก</v>
      </c>
      <c r="V70" s="6" t="str">
        <f>IFERROR(__xludf.DUMMYFUNCTION("GOOGLETRANSLATE(J70,""en"",""th"")"),"โคลนและน้ำที่กระเซ็นไปทั่วเป็นสัญญาณที่ชัดเจนของการสัมผัสทางกายภาพที่รุนแรงและพลังที่เกิดขึ้นจากการต่อสู้ของกระทิง")</f>
        <v>โคลนและน้ำที่กระเซ็นไปทั่วเป็นสัญญาณที่ชัดเจนของการสัมผัสทางกายภาพที่รุนแรงและพลังที่เกิดขึ้นจากการต่อสู้ของกระทิง</v>
      </c>
    </row>
    <row r="71" ht="22.5" customHeight="1">
      <c r="A71" s="2" t="s">
        <v>325</v>
      </c>
      <c r="B71" s="3">
        <v>70.0</v>
      </c>
      <c r="C71" s="4" t="s">
        <v>123</v>
      </c>
      <c r="D71" s="4" t="s">
        <v>124</v>
      </c>
      <c r="E71" s="4" t="s">
        <v>125</v>
      </c>
      <c r="F71" s="4" t="s">
        <v>126</v>
      </c>
      <c r="G71" s="4" t="s">
        <v>127</v>
      </c>
      <c r="H71" s="4" t="s">
        <v>128</v>
      </c>
      <c r="I71" s="4" t="s">
        <v>125</v>
      </c>
      <c r="J71" s="4" t="s">
        <v>184</v>
      </c>
      <c r="M71" s="4" t="s">
        <v>325</v>
      </c>
      <c r="N71" s="5">
        <v>70.0</v>
      </c>
      <c r="O71" s="6" t="str">
        <f>IFERROR(__xludf.DUMMYFUNCTION("GOOGLETRANSLATE(C71,""en"",""th"")"),"บรรยากาศโดยรวมงานเป็นอย่างไรบ้าง?")</f>
        <v>บรรยากาศโดยรวมงานเป็นอย่างไรบ้าง?</v>
      </c>
      <c r="P71" s="6" t="str">
        <f>IFERROR(__xludf.DUMMYFUNCTION("GOOGLETRANSLATE(D71,""en"",""th"")"),"เป็นที่เงียบสงบและสันติ")</f>
        <v>เป็นที่เงียบสงบและสันติ</v>
      </c>
      <c r="Q71" s="6" t="str">
        <f>IFERROR(__xludf.DUMMYFUNCTION("GOOGLETRANSLATE(E71,""en"",""th"")"),"แบบตึงเครียดและมีสมาธิ")</f>
        <v>แบบตึงเครียดและมีสมาธิ</v>
      </c>
      <c r="R71" s="6" t="str">
        <f>IFERROR(__xludf.DUMMYFUNCTION("GOOGLETRANSLATE(F71,""en"",""th"")"),"แบบเฉลิมฉลองและรื่นเริง")</f>
        <v>แบบเฉลิมฉลองและรื่นเริง</v>
      </c>
      <c r="S71" s="6" t="str">
        <f>IFERROR(__xludf.DUMMYFUNCTION("GOOGLETRANSLATE(G71,""en"",""th"")"),"แบบสบายๆ และผ่อนคลาย")</f>
        <v>แบบสบายๆ และผ่อนคลาย</v>
      </c>
      <c r="T71" s="6" t="s">
        <v>130</v>
      </c>
      <c r="U71" s="6" t="str">
        <f>IFERROR(__xludf.DUMMYFUNCTION("GOOGLETRANSLATE(I71,""en"",""th"")"),"แบบตึงเครียดและมีสมาธิ")</f>
        <v>แบบตึงเครียดและมีสมาธิ</v>
      </c>
      <c r="V71" s="6" t="str">
        <f>IFERROR(__xludf.DUMMYFUNCTION("GOOGLETRANSLATE(J71,""en"",""th"")"),"การแสดงออกที่ดุร้ายของกระทิงและโคลนที่กระเซ็นสร้างบรรยากาศที่ตึงเครียดและมีสมาธิ ซึ่งเป็นลักษณะเฉพาะของการต่อสู้กระทิงที่มีเดิมพันสูง")</f>
        <v>การแสดงออกที่ดุร้ายของกระทิงและโคลนที่กระเซ็นสร้างบรรยากาศที่ตึงเครียดและมีสมาธิ ซึ่งเป็นลักษณะเฉพาะของการต่อสู้กระทิงที่มีเดิมพันสูง</v>
      </c>
    </row>
    <row r="72" ht="22.5" customHeight="1">
      <c r="A72" s="2" t="s">
        <v>326</v>
      </c>
      <c r="B72" s="3">
        <v>71.0</v>
      </c>
      <c r="C72" s="4" t="s">
        <v>21</v>
      </c>
      <c r="D72" s="4" t="s">
        <v>327</v>
      </c>
      <c r="E72" s="4" t="s">
        <v>288</v>
      </c>
      <c r="F72" s="4" t="s">
        <v>289</v>
      </c>
      <c r="G72" s="4" t="s">
        <v>256</v>
      </c>
      <c r="H72" s="4" t="s">
        <v>328</v>
      </c>
      <c r="I72" s="4" t="s">
        <v>327</v>
      </c>
      <c r="J72" s="4" t="s">
        <v>329</v>
      </c>
      <c r="M72" s="4" t="s">
        <v>326</v>
      </c>
      <c r="N72" s="5">
        <v>71.0</v>
      </c>
      <c r="O72" s="6" t="str">
        <f>IFERROR(__xludf.DUMMYFUNCTION("GOOGLETRANSLATE(C72,""en"",""th"")"),"ภาพที่แสดงเป็นกิจกรรมหลักอะไร?")</f>
        <v>ภาพที่แสดงเป็นกิจกรรมหลักอะไร?</v>
      </c>
      <c r="P72" s="6" t="str">
        <f>IFERROR(__xludf.DUMMYFUNCTION("GOOGLETRANSLATE(D72,""en"",""th"")"),"มีวัวตัวหนึ่งกำลังถูกจูงฝ่าฝูงชน")</f>
        <v>มีวัวตัวหนึ่งกำลังถูกจูงฝ่าฝูงชน</v>
      </c>
      <c r="Q72" s="6" t="str">
        <f>IFERROR(__xludf.DUMMYFUNCTION("GOOGLETRANSLATE(E72,""en"",""th"")"),"กระทิงตัวหนึ่งกำลังต่อสู้กับกระทิงอีกตัวหนึ่ง")</f>
        <v>กระทิงตัวหนึ่งกำลังต่อสู้กับกระทิงอีกตัวหนึ่ง</v>
      </c>
      <c r="R72" s="6" t="str">
        <f>IFERROR(__xludf.DUMMYFUNCTION("GOOGLETRANSLATE(F72,""en"",""th"")"),"ชายคนหนึ่งกำลังขี่กระทิง")</f>
        <v>ชายคนหนึ่งกำลังขี่กระทิง</v>
      </c>
      <c r="S72" s="6" t="str">
        <f>IFERROR(__xludf.DUMMYFUNCTION("GOOGLETRANSLATE(G72,""en"",""th"")"),"กำลังฝึกกระทิงอยู่")</f>
        <v>กำลังฝึกกระทิงอยู่</v>
      </c>
      <c r="T72" s="6" t="s">
        <v>330</v>
      </c>
      <c r="U72" s="6" t="str">
        <f>IFERROR(__xludf.DUMMYFUNCTION("GOOGLETRANSLATE(I72,""en"",""th"")"),"มีวัวตัวหนึ่งกำลังถูกจูงฝ่าฝูงชน")</f>
        <v>มีวัวตัวหนึ่งกำลังถูกจูงฝ่าฝูงชน</v>
      </c>
      <c r="V72" s="6" t="str">
        <f>IFERROR(__xludf.DUMMYFUNCTION("GOOGLETRANSLATE(J72,""en"",""th"")"),"ภาพนี้แสดงให้เห็นชายคนหนึ่งถือเชือกและจูงวัวฝ่าฝูงคน ซึ่งเป็นภาพที่พบเห็นได้ทั่วไปในเมืองชนวัว")</f>
        <v>ภาพนี้แสดงให้เห็นชายคนหนึ่งถือเชือกและจูงวัวฝ่าฝูงคน ซึ่งเป็นภาพที่พบเห็นได้ทั่วไปในเมืองชนวัว</v>
      </c>
    </row>
    <row r="73" ht="22.5" customHeight="1">
      <c r="A73" s="2" t="s">
        <v>326</v>
      </c>
      <c r="B73" s="3">
        <v>72.0</v>
      </c>
      <c r="C73" s="4" t="s">
        <v>35</v>
      </c>
      <c r="D73" s="4" t="s">
        <v>36</v>
      </c>
      <c r="E73" s="4" t="s">
        <v>37</v>
      </c>
      <c r="F73" s="4" t="s">
        <v>38</v>
      </c>
      <c r="G73" s="4" t="s">
        <v>39</v>
      </c>
      <c r="H73" s="4" t="s">
        <v>40</v>
      </c>
      <c r="I73" s="4" t="s">
        <v>38</v>
      </c>
      <c r="J73" s="4" t="s">
        <v>41</v>
      </c>
      <c r="M73" s="4" t="s">
        <v>326</v>
      </c>
      <c r="N73" s="5">
        <v>72.0</v>
      </c>
      <c r="O73" s="6" t="str">
        <f>IFERROR(__xludf.DUMMYFUNCTION("GOOGLETRANSLATE(C73,""en"",""th"")"),"ลักษณะเด่นของร่างกายวัวคืออะไร?")</f>
        <v>ลักษณะเด่นของร่างกายวัวคืออะไร?</v>
      </c>
      <c r="P73" s="6" t="str">
        <f>IFERROR(__xludf.DUMMYFUNCTION("GOOGLETRANSLATE(D73,""en"",""th"")"),"มันมีปลอกคอ")</f>
        <v>มันมีปลอกคอ</v>
      </c>
      <c r="Q73" s="6" t="str">
        <f>IFERROR(__xludf.DUMMYFUNCTION("GOOGLETRANSLATE(E73,""en"",""th"")"),"มันมีสายรัด")</f>
        <v>มันมีสายรัด</v>
      </c>
      <c r="R73" s="6" t="str">
        <f>IFERROR(__xludf.DUMMYFUNCTION("GOOGLETRANSLATE(F73,""en"",""th"")"),"มีหลังโค้งใหญ่")</f>
        <v>มีหลังโค้งใหญ่</v>
      </c>
      <c r="S73" s="6" t="str">
        <f>IFERROR(__xludf.DUMMYFUNCTION("GOOGLETRANSLATE(G73,""en"",""th"")"),"มันมีเชือกอยู่รอบคอ")</f>
        <v>มันมีเชือกอยู่รอบคอ</v>
      </c>
      <c r="T73" s="6" t="s">
        <v>42</v>
      </c>
      <c r="U73" s="6" t="str">
        <f>IFERROR(__xludf.DUMMYFUNCTION("GOOGLETRANSLATE(I73,""en"",""th"")"),"มีหลังโค้งใหญ่")</f>
        <v>มีหลังโค้งใหญ่</v>
      </c>
      <c r="V73" s="6" t="str">
        <f>IFERROR(__xludf.DUMMYFUNCTION("GOOGLETRANSLATE(J73,""en"",""th"")"),"โคตัวผู้มีหลังโค้งเด่นชัด ซึ่งเป็นลักษณะเฉพาะของโคพันธุ์เซบู ซึ่งเป็นสายพันธุ์ที่นิยมใช้ในการสู้วัวกระทิงของไทย")</f>
        <v>โคตัวผู้มีหลังโค้งเด่นชัด ซึ่งเป็นลักษณะเฉพาะของโคพันธุ์เซบู ซึ่งเป็นสายพันธุ์ที่นิยมใช้ในการสู้วัวกระทิงของไทย</v>
      </c>
    </row>
    <row r="74" ht="22.5" customHeight="1">
      <c r="A74" s="2" t="s">
        <v>326</v>
      </c>
      <c r="B74" s="3">
        <v>73.0</v>
      </c>
      <c r="C74" s="4" t="s">
        <v>331</v>
      </c>
      <c r="D74" s="4" t="s">
        <v>70</v>
      </c>
      <c r="E74" s="4" t="s">
        <v>68</v>
      </c>
      <c r="F74" s="4" t="s">
        <v>332</v>
      </c>
      <c r="G74" s="4" t="s">
        <v>333</v>
      </c>
      <c r="H74" s="4" t="s">
        <v>334</v>
      </c>
      <c r="I74" s="4" t="s">
        <v>332</v>
      </c>
      <c r="J74" s="4" t="s">
        <v>335</v>
      </c>
      <c r="M74" s="4" t="s">
        <v>326</v>
      </c>
      <c r="N74" s="5">
        <v>73.0</v>
      </c>
      <c r="O74" s="6" t="str">
        <f>IFERROR(__xludf.DUMMYFUNCTION("GOOGLETRANSLATE(C74,""en"",""th"")"),"ริบบิ้นสีแดงที่พันรอบคอวัวมีไว้เพื่ออะไร?")</f>
        <v>ริบบิ้นสีแดงที่พันรอบคอวัวมีไว้เพื่ออะไร?</v>
      </c>
      <c r="P74" s="6" t="str">
        <f>IFERROR(__xludf.DUMMYFUNCTION("GOOGLETRANSLATE(D74,""en"",""th"")"),"เป็นสัญญาณของกระทิงที่ชนะ")</f>
        <v>เป็นสัญญาณของกระทิงที่ชนะ</v>
      </c>
      <c r="Q74" s="6" t="str">
        <f>IFERROR(__xludf.DUMMYFUNCTION("GOOGLETRANSLATE(E74,""en"",""th"")"),"เป็นเครื่องมือสำหรับนำทางกระทิง")</f>
        <v>เป็นเครื่องมือสำหรับนำทางกระทิง</v>
      </c>
      <c r="R74" s="6" t="str">
        <f>IFERROR(__xludf.DUMMYFUNCTION("GOOGLETRANSLATE(F74,""en"",""th"")"),"เป็นของประดับตกแต่งในงานพิธีต่างๆ")</f>
        <v>เป็นของประดับตกแต่งในงานพิธีต่างๆ</v>
      </c>
      <c r="S74" s="6" t="str">
        <f>IFERROR(__xludf.DUMMYFUNCTION("GOOGLETRANSLATE(G74,""en"",""th"")"),"เป็นการถือชื่อกระทิง")</f>
        <v>เป็นการถือชื่อกระทิง</v>
      </c>
      <c r="T74" s="6" t="s">
        <v>336</v>
      </c>
      <c r="U74" s="6" t="str">
        <f>IFERROR(__xludf.DUMMYFUNCTION("GOOGLETRANSLATE(I74,""en"",""th"")"),"เป็นของประดับตกแต่งในงานพิธีต่างๆ")</f>
        <v>เป็นของประดับตกแต่งในงานพิธีต่างๆ</v>
      </c>
      <c r="V74" s="6" t="str">
        <f>IFERROR(__xludf.DUMMYFUNCTION("GOOGLETRANSLATE(J74,""en"",""th"")"),"ริบบิ้นสีแดงสดเป็นสิ่งของตกแต่งและพิธีกรรม มักใช้ประดับกระทิงในขบวนแห่และการต่อสู้เพื่อเป็นสัญลักษณ์ของอำนาจและสถานะของมัน")</f>
        <v>ริบบิ้นสีแดงสดเป็นสิ่งของตกแต่งและพิธีกรรม มักใช้ประดับกระทิงในขบวนแห่และการต่อสู้เพื่อเป็นสัญลักษณ์ของอำนาจและสถานะของมัน</v>
      </c>
    </row>
    <row r="75" ht="22.5" customHeight="1">
      <c r="A75" s="2" t="s">
        <v>326</v>
      </c>
      <c r="B75" s="3">
        <v>74.0</v>
      </c>
      <c r="C75" s="4" t="s">
        <v>337</v>
      </c>
      <c r="D75" s="4" t="s">
        <v>44</v>
      </c>
      <c r="E75" s="4" t="s">
        <v>45</v>
      </c>
      <c r="F75" s="4" t="s">
        <v>46</v>
      </c>
      <c r="G75" s="4" t="s">
        <v>47</v>
      </c>
      <c r="H75" s="4" t="s">
        <v>48</v>
      </c>
      <c r="I75" s="4" t="s">
        <v>46</v>
      </c>
      <c r="J75" s="4" t="s">
        <v>338</v>
      </c>
      <c r="M75" s="4" t="s">
        <v>326</v>
      </c>
      <c r="N75" s="5">
        <v>74.0</v>
      </c>
      <c r="O75" s="6" t="str">
        <f>IFERROR(__xludf.DUMMYFUNCTION("GOOGLETRANSLATE(C75,""en"",""th"")"),"ผู้คนรวมตัวกันอยู่ในพื้นที่โล่งที่เต็มไปด้วยฝุ่น นี่หมายความว่าอย่างไร?")</f>
        <v>ผู้คนรวมตัวกันอยู่ในพื้นที่โล่งที่เต็มไปด้วยฝุ่น นี่หมายความว่าอย่างไร?</v>
      </c>
      <c r="P75" s="6" t="str">
        <f>IFERROR(__xludf.DUMMYFUNCTION("GOOGLETRANSLATE(D75,""en"",""th"")"),"เป็นสนามกีฬาที่มีความทันสมัย")</f>
        <v>เป็นสนามกีฬาที่มีความทันสมัย</v>
      </c>
      <c r="Q75" s="6" t="str">
        <f>IFERROR(__xludf.DUMMYFUNCTION("GOOGLETRANSLATE(E75,""en"",""th"")"),"เป็นสนามต่อสู้อย่างเป็นทางการ")</f>
        <v>เป็นสนามต่อสู้อย่างเป็นทางการ</v>
      </c>
      <c r="R75" s="6" t="str">
        <f>IFERROR(__xludf.DUMMYFUNCTION("GOOGLETRANSLATE(F75,""en"",""th"")"),"เป็นบรรยากาศแบบดั้งเดิมและชนบทมากขึ้น")</f>
        <v>เป็นบรรยากาศแบบดั้งเดิมและชนบทมากขึ้น</v>
      </c>
      <c r="S75" s="6" t="str">
        <f>IFERROR(__xludf.DUMMYFUNCTION("GOOGLETRANSLATE(G75,""en"",""th"")"),"เป็นงานส่วนตัว")</f>
        <v>เป็นงานส่วนตัว</v>
      </c>
      <c r="T75" s="6" t="s">
        <v>50</v>
      </c>
      <c r="U75" s="6" t="str">
        <f>IFERROR(__xludf.DUMMYFUNCTION("GOOGLETRANSLATE(I75,""en"",""th"")"),"เป็นบรรยากาศแบบดั้งเดิมและชนบทมากขึ้น")</f>
        <v>เป็นบรรยากาศแบบดั้งเดิมและชนบทมากขึ้น</v>
      </c>
      <c r="V75" s="6" t="str">
        <f>IFERROR(__xludf.DUMMYFUNCTION("GOOGLETRANSLATE(J75,""en"",""th"")"),"พื้นที่โล่งที่เต็มไปด้วยฝุ่นละอองและฝูงชนจำนวนมาก รวมถึงโครงสร้างพื้นฐานของสนามกีฬาที่ขาดความทันสมัย ​​แสดงให้เห็นถึงบรรยากาศแบบดั้งเดิมและชนบทมากขึ้น")</f>
        <v>พื้นที่โล่งที่เต็มไปด้วยฝุ่นละอองและฝูงชนจำนวนมาก รวมถึงโครงสร้างพื้นฐานของสนามกีฬาที่ขาดความทันสมัย ​​แสดงให้เห็นถึงบรรยากาศแบบดั้งเดิมและชนบทมากขึ้น</v>
      </c>
    </row>
    <row r="76" ht="22.5" customHeight="1">
      <c r="A76" s="2" t="s">
        <v>326</v>
      </c>
      <c r="B76" s="3">
        <v>75.0</v>
      </c>
      <c r="C76" s="4" t="s">
        <v>123</v>
      </c>
      <c r="D76" s="4" t="s">
        <v>155</v>
      </c>
      <c r="E76" s="4" t="s">
        <v>156</v>
      </c>
      <c r="F76" s="4" t="s">
        <v>157</v>
      </c>
      <c r="G76" s="4" t="s">
        <v>127</v>
      </c>
      <c r="H76" s="4" t="s">
        <v>158</v>
      </c>
      <c r="I76" s="4" t="s">
        <v>155</v>
      </c>
      <c r="J76" s="4" t="s">
        <v>339</v>
      </c>
      <c r="M76" s="4" t="s">
        <v>326</v>
      </c>
      <c r="N76" s="5">
        <v>75.0</v>
      </c>
      <c r="O76" s="6" t="str">
        <f>IFERROR(__xludf.DUMMYFUNCTION("GOOGLETRANSLATE(C76,""en"",""th"")"),"บรรยากาศโดยรวมงานเป็นอย่างไรบ้าง?")</f>
        <v>บรรยากาศโดยรวมงานเป็นอย่างไรบ้าง?</v>
      </c>
      <c r="P76" s="6" t="str">
        <f>IFERROR(__xludf.DUMMYFUNCTION("GOOGLETRANSLATE(D76,""en"",""th"")"),"แบบสนุกสนานรื่นเริง")</f>
        <v>แบบสนุกสนานรื่นเริง</v>
      </c>
      <c r="Q76" s="6" t="str">
        <f>IFERROR(__xludf.DUMMYFUNCTION("GOOGLETRANSLATE(E76,""en"",""th"")"),"เป็นเรื่องที่จริงจังและตึงเครียด")</f>
        <v>เป็นเรื่องที่จริงจังและตึงเครียด</v>
      </c>
      <c r="R76" s="6" t="str">
        <f>IFERROR(__xludf.DUMMYFUNCTION("GOOGLETRANSLATE(F76,""en"",""th"")"),"เป็นบรรยากาศเงียบสงบและเศร้าหมอง")</f>
        <v>เป็นบรรยากาศเงียบสงบและเศร้าหมอง</v>
      </c>
      <c r="S76" s="6" t="str">
        <f>IFERROR(__xludf.DUMMYFUNCTION("GOOGLETRANSLATE(G76,""en"",""th"")"),"แบบสบายๆ และผ่อนคลาย")</f>
        <v>แบบสบายๆ และผ่อนคลาย</v>
      </c>
      <c r="T76" s="6" t="s">
        <v>160</v>
      </c>
      <c r="U76" s="6" t="str">
        <f>IFERROR(__xludf.DUMMYFUNCTION("GOOGLETRANSLATE(I76,""en"",""th"")"),"แบบสนุกสนานรื่นเริง")</f>
        <v>แบบสนุกสนานรื่นเริง</v>
      </c>
      <c r="V76" s="6" t="str">
        <f>IFERROR(__xludf.DUMMYFUNCTION("GOOGLETRANSLATE(J76,""en"",""th"")"),"ฝูงชนมารวมตัวกันในท่าทางที่ผ่อนคลาย บางคนยิ้ม และมีขบวนแห่วัวกระทิง ซึ่งแสดงถึงบรรยากาศที่สนุกสนานและรื่นเริงก่อนหรือหลังการต่อสู้")</f>
        <v>ฝูงชนมารวมตัวกันในท่าทางที่ผ่อนคลาย บางคนยิ้ม และมีขบวนแห่วัวกระทิง ซึ่งแสดงถึงบรรยากาศที่สนุกสนานและรื่นเริงก่อนหรือหลังการต่อสู้</v>
      </c>
    </row>
    <row r="77" ht="22.5" customHeight="1">
      <c r="A77" s="7" t="s">
        <v>59</v>
      </c>
      <c r="B77" s="3">
        <v>76.0</v>
      </c>
      <c r="C77" s="4" t="s">
        <v>21</v>
      </c>
      <c r="D77" s="4" t="s">
        <v>327</v>
      </c>
      <c r="E77" s="4" t="s">
        <v>340</v>
      </c>
      <c r="F77" s="4" t="s">
        <v>301</v>
      </c>
      <c r="G77" s="4" t="s">
        <v>256</v>
      </c>
      <c r="H77" s="4" t="s">
        <v>341</v>
      </c>
      <c r="I77" s="4" t="s">
        <v>340</v>
      </c>
      <c r="J77" s="4" t="s">
        <v>342</v>
      </c>
      <c r="M77" s="4" t="s">
        <v>343</v>
      </c>
      <c r="N77" s="5">
        <v>76.0</v>
      </c>
      <c r="O77" s="6" t="str">
        <f>IFERROR(__xludf.DUMMYFUNCTION("GOOGLETRANSLATE(C77,""en"",""th"")"),"ภาพที่แสดงเป็นกิจกรรมหลักอะไร?")</f>
        <v>ภาพที่แสดงเป็นกิจกรรมหลักอะไร?</v>
      </c>
      <c r="P77" s="6" t="str">
        <f>IFERROR(__xludf.DUMMYFUNCTION("GOOGLETRANSLATE(D77,""en"",""th"")"),"มีวัวตัวหนึ่งกำลังถูกจูงฝ่าฝูงชน")</f>
        <v>มีวัวตัวหนึ่งกำลังถูกจูงฝ่าฝูงชน</v>
      </c>
      <c r="Q77" s="6" t="str">
        <f>IFERROR(__xludf.DUMMYFUNCTION("GOOGLETRANSLATE(E77,""en"",""th"")"),"ชายคนหนึ่งกำลังขี่กระทิงดุ")</f>
        <v>ชายคนหนึ่งกำลังขี่กระทิงดุ</v>
      </c>
      <c r="R77" s="6" t="str">
        <f>IFERROR(__xludf.DUMMYFUNCTION("GOOGLETRANSLATE(F77,""en"",""th"")"),"ชายคนหนึ่งกำลังต่อสู้กับวัวกระทิง")</f>
        <v>ชายคนหนึ่งกำลังต่อสู้กับวัวกระทิง</v>
      </c>
      <c r="S77" s="6" t="str">
        <f>IFERROR(__xludf.DUMMYFUNCTION("GOOGLETRANSLATE(G77,""en"",""th"")"),"กำลังฝึกกระทิงอยู่")</f>
        <v>กำลังฝึกกระทิงอยู่</v>
      </c>
      <c r="T77" s="6" t="s">
        <v>344</v>
      </c>
      <c r="U77" s="6" t="str">
        <f>IFERROR(__xludf.DUMMYFUNCTION("GOOGLETRANSLATE(I77,""en"",""th"")"),"ชายคนหนึ่งกำลังขี่กระทิงดุ")</f>
        <v>ชายคนหนึ่งกำลังขี่กระทิงดุ</v>
      </c>
      <c r="V77" s="6" t="str">
        <f>IFERROR(__xludf.DUMMYFUNCTION("GOOGLETRANSLATE(J77,""en"",""th"")"),"ในภาพเป็นภาพชายสวมชุดคาวบอยขี่กระทิงตัวใหญ่ที่กำลังขวิดอยู่ในสนามดิน ซึ่งเป็นลักษณะเฉพาะของการขี่กระทิง ไม่ใช่วัวชน")</f>
        <v>ในภาพเป็นภาพชายสวมชุดคาวบอยขี่กระทิงตัวใหญ่ที่กำลังขวิดอยู่ในสนามดิน ซึ่งเป็นลักษณะเฉพาะของการขี่กระทิง ไม่ใช่วัวชน</v>
      </c>
    </row>
    <row r="78" ht="22.5" customHeight="1">
      <c r="A78" s="7" t="s">
        <v>20</v>
      </c>
      <c r="B78" s="3">
        <v>77.0</v>
      </c>
      <c r="C78" s="4" t="s">
        <v>213</v>
      </c>
      <c r="D78" s="4" t="s">
        <v>214</v>
      </c>
      <c r="E78" s="4" t="s">
        <v>216</v>
      </c>
      <c r="F78" s="4" t="s">
        <v>345</v>
      </c>
      <c r="G78" s="4" t="s">
        <v>346</v>
      </c>
      <c r="H78" s="4" t="s">
        <v>347</v>
      </c>
      <c r="I78" s="4" t="s">
        <v>345</v>
      </c>
      <c r="J78" s="4" t="s">
        <v>348</v>
      </c>
      <c r="M78" s="4" t="s">
        <v>343</v>
      </c>
      <c r="N78" s="5">
        <v>77.0</v>
      </c>
      <c r="O78" s="6" t="str">
        <f>IFERROR(__xludf.DUMMYFUNCTION("GOOGLETRANSLATE(C78,""en"",""th"")"),"งานนี้กับชนวัวต่างกันอย่างไร?")</f>
        <v>งานนี้กับชนวัวต่างกันอย่างไร?</v>
      </c>
      <c r="P78" s="6" t="str">
        <f>IFERROR(__xludf.DUMMYFUNCTION("GOOGLETRANSLATE(D78,""en"",""th"")"),"การใช้กระทิง")</f>
        <v>การใช้กระทิง</v>
      </c>
      <c r="Q78" s="6" t="str">
        <f>IFERROR(__xludf.DUMMYFUNCTION("GOOGLETRANSLATE(E78,""en"",""th"")"),"การใช้ของผู้ชาย")</f>
        <v>การใช้ของผู้ชาย</v>
      </c>
      <c r="R78" s="6" t="str">
        <f>IFERROR(__xludf.DUMMYFUNCTION("GOOGLETRANSLATE(F78,""en"",""th"")"),"เน้นการต่อสู้แบบตัวต่อตัวระหว่างชายกับวัว")</f>
        <v>เน้นการต่อสู้แบบตัวต่อตัวระหว่างชายกับวัว</v>
      </c>
      <c r="S78" s="6" t="str">
        <f>IFERROR(__xludf.DUMMYFUNCTION("GOOGLETRANSLATE(G78,""en"",""th"")"),"เน้นการต่อสู้แบบกระทิงต่อกระทิง")</f>
        <v>เน้นการต่อสู้แบบกระทิงต่อกระทิง</v>
      </c>
      <c r="T78" s="6" t="s">
        <v>349</v>
      </c>
      <c r="U78" s="6" t="str">
        <f>IFERROR(__xludf.DUMMYFUNCTION("GOOGLETRANSLATE(I78,""en"",""th"")"),"เน้นการต่อสู้แบบตัวต่อตัวระหว่างชายกับวัว")</f>
        <v>เน้นการต่อสู้แบบตัวต่อตัวระหว่างชายกับวัว</v>
      </c>
      <c r="V78" s="6" t="str">
        <f>IFERROR(__xludf.DUMMYFUNCTION("GOOGLETRANSLATE(J78,""en"",""th"")"),"ชนวัวเป็นการต่อสู้แบบกระทิง โดยภาพนี้แสดงให้เห็นการขี่กระทิง โดยมีชายคนหนึ่งพยายามขี่กระทิงที่ดุร้ายเป็นเวลาที่กำหนด")</f>
        <v>ชนวัวเป็นการต่อสู้แบบกระทิง โดยภาพนี้แสดงให้เห็นการขี่กระทิง โดยมีชายคนหนึ่งพยายามขี่กระทิงที่ดุร้ายเป็นเวลาที่กำหนด</v>
      </c>
    </row>
    <row r="79" ht="22.5" customHeight="1">
      <c r="A79" s="2" t="s">
        <v>343</v>
      </c>
      <c r="B79" s="3">
        <v>78.0</v>
      </c>
      <c r="C79" s="4" t="s">
        <v>350</v>
      </c>
      <c r="D79" s="4" t="s">
        <v>351</v>
      </c>
      <c r="E79" s="4" t="s">
        <v>352</v>
      </c>
      <c r="F79" s="4" t="s">
        <v>353</v>
      </c>
      <c r="G79" s="4" t="s">
        <v>354</v>
      </c>
      <c r="H79" s="4" t="s">
        <v>355</v>
      </c>
      <c r="I79" s="4" t="s">
        <v>354</v>
      </c>
      <c r="J79" s="4" t="s">
        <v>356</v>
      </c>
      <c r="M79" s="4" t="s">
        <v>343</v>
      </c>
      <c r="N79" s="5">
        <v>78.0</v>
      </c>
      <c r="O79" s="6" t="str">
        <f>IFERROR(__xludf.DUMMYFUNCTION("GOOGLETRANSLATE(C79,""en"",""th"")"),"ผู้ชายแต่งตัวมีจุดประสงค์อะไร?")</f>
        <v>ผู้ชายแต่งตัวมีจุดประสงค์อะไร?</v>
      </c>
      <c r="P79" s="6" t="str">
        <f>IFERROR(__xludf.DUMMYFUNCTION("GOOGLETRANSLATE(D79,""en"",""th"")"),"เพื่อปกป้องเขาจากวัวกระทิง")</f>
        <v>เพื่อปกป้องเขาจากวัวกระทิง</v>
      </c>
      <c r="Q79" s="6" t="str">
        <f>IFERROR(__xludf.DUMMYFUNCTION("GOOGLETRANSLATE(E79,""en"",""th"")"),"เป็นเครื่องแบบที่เป็นทางการ")</f>
        <v>เป็นเครื่องแบบที่เป็นทางการ</v>
      </c>
      <c r="R79" s="6" t="str">
        <f>IFERROR(__xludf.DUMMYFUNCTION("GOOGLETRANSLATE(F79,""en"",""th"")"),"เป็นชุดยูนิฟอร์มแบบดั้งเดิม")</f>
        <v>เป็นชุดยูนิฟอร์มแบบดั้งเดิม</v>
      </c>
      <c r="S79" s="6" t="str">
        <f>IFERROR(__xludf.DUMMYFUNCTION("GOOGLETRANSLATE(G79,""en"",""th"")"),"เป็นชุดสไตล์คาวบอยสำหรับขี่กระทิง")</f>
        <v>เป็นชุดสไตล์คาวบอยสำหรับขี่กระทิง</v>
      </c>
      <c r="T79" s="6" t="s">
        <v>357</v>
      </c>
      <c r="U79" s="6" t="str">
        <f>IFERROR(__xludf.DUMMYFUNCTION("GOOGLETRANSLATE(I79,""en"",""th"")"),"เป็นชุดสไตล์คาวบอยสำหรับขี่กระทิง")</f>
        <v>เป็นชุดสไตล์คาวบอยสำหรับขี่กระทิง</v>
      </c>
      <c r="V79" s="6" t="str">
        <f>IFERROR(__xludf.DUMMYFUNCTION("GOOGLETRANSLATE(J79,""en"",""th"")"),"ชายคนนี้สวมเสื้อเชิ้ตคาวบอย กางเกงยีนส์ และเสื้อกั๊ก ซึ่งเป็นเครื่องแต่งกายมาตรฐานของนักขี่กระทิง")</f>
        <v>ชายคนนี้สวมเสื้อเชิ้ตคาวบอย กางเกงยีนส์ และเสื้อกั๊ก ซึ่งเป็นเครื่องแต่งกายมาตรฐานของนักขี่กระทิง</v>
      </c>
    </row>
    <row r="80" ht="22.5" customHeight="1">
      <c r="A80" s="2" t="s">
        <v>343</v>
      </c>
      <c r="B80" s="3">
        <v>79.0</v>
      </c>
      <c r="C80" s="4" t="s">
        <v>147</v>
      </c>
      <c r="D80" s="4" t="s">
        <v>358</v>
      </c>
      <c r="E80" s="4" t="s">
        <v>148</v>
      </c>
      <c r="F80" s="4" t="s">
        <v>359</v>
      </c>
      <c r="G80" s="4" t="s">
        <v>150</v>
      </c>
      <c r="H80" s="4" t="s">
        <v>360</v>
      </c>
      <c r="I80" s="4" t="s">
        <v>359</v>
      </c>
      <c r="J80" s="4" t="s">
        <v>361</v>
      </c>
      <c r="M80" s="4" t="s">
        <v>343</v>
      </c>
      <c r="N80" s="5">
        <v>79.0</v>
      </c>
      <c r="O80" s="6" t="str">
        <f>IFERROR(__xludf.DUMMYFUNCTION("GOOGLETRANSLATE(C80,""en"",""th"")"),"สถานที่จัดงานครั้งนี้มีสภาพแวดล้อมแบบใด?")</f>
        <v>สถานที่จัดงานครั้งนี้มีสภาพแวดล้อมแบบใด?</v>
      </c>
      <c r="P80" s="6" t="str">
        <f>IFERROR(__xludf.DUMMYFUNCTION("GOOGLETRANSLATE(D80,""en"",""th"")"),"เวทีการแสดงแบบดั้งเดิม")</f>
        <v>เวทีการแสดงแบบดั้งเดิม</v>
      </c>
      <c r="Q80" s="6" t="str">
        <f>IFERROR(__xludf.DUMMYFUNCTION("GOOGLETRANSLATE(E80,""en"",""th"")"),"สนามกีฬาที่ทันสมัย")</f>
        <v>สนามกีฬาที่ทันสมัย</v>
      </c>
      <c r="R80" s="6" t="str">
        <f>IFERROR(__xludf.DUMMYFUNCTION("GOOGLETRANSLATE(F80,""en"",""th"")"),"สนามกีฬากลางแจ้ง")</f>
        <v>สนามกีฬากลางแจ้ง</v>
      </c>
      <c r="S80" s="6" t="str">
        <f>IFERROR(__xludf.DUMMYFUNCTION("GOOGLETRANSLATE(G80,""en"",""th"")"),"สนามกีฬาในร่ม")</f>
        <v>สนามกีฬาในร่ม</v>
      </c>
      <c r="T80" s="6" t="s">
        <v>362</v>
      </c>
      <c r="U80" s="6" t="str">
        <f>IFERROR(__xludf.DUMMYFUNCTION("GOOGLETRANSLATE(I80,""en"",""th"")"),"สนามกีฬากลางแจ้ง")</f>
        <v>สนามกีฬากลางแจ้ง</v>
      </c>
      <c r="V80" s="6" t="str">
        <f>IFERROR(__xludf.DUMMYFUNCTION("GOOGLETRANSLATE(J80,""en"",""th"")"),"ภาพนี้แสดงให้เห็นวงแหวนดินที่ล้อมรอบด้วยรั้วและฝูงชน ซึ่งเป็นรูปแบบทั่วไปของงานโรดิโอกลางแจ้ง")</f>
        <v>ภาพนี้แสดงให้เห็นวงแหวนดินที่ล้อมรอบด้วยรั้วและฝูงชน ซึ่งเป็นรูปแบบทั่วไปของงานโรดิโอกลางแจ้ง</v>
      </c>
    </row>
    <row r="81" ht="22.5" customHeight="1">
      <c r="A81" s="2" t="s">
        <v>343</v>
      </c>
      <c r="B81" s="3">
        <v>80.0</v>
      </c>
      <c r="C81" s="4" t="s">
        <v>154</v>
      </c>
      <c r="D81" s="4" t="s">
        <v>124</v>
      </c>
      <c r="E81" s="4" t="s">
        <v>125</v>
      </c>
      <c r="F81" s="4" t="s">
        <v>126</v>
      </c>
      <c r="G81" s="4" t="s">
        <v>127</v>
      </c>
      <c r="H81" s="4" t="s">
        <v>128</v>
      </c>
      <c r="I81" s="4" t="s">
        <v>125</v>
      </c>
      <c r="J81" s="4" t="s">
        <v>363</v>
      </c>
      <c r="M81" s="4" t="s">
        <v>343</v>
      </c>
      <c r="N81" s="5">
        <v>80.0</v>
      </c>
      <c r="O81" s="6" t="str">
        <f>IFERROR(__xludf.DUMMYFUNCTION("GOOGLETRANSLATE(C81,""en"",""th"")"),"บรรยากาศโดยรวมของภาพเป็นอย่างไร?")</f>
        <v>บรรยากาศโดยรวมของภาพเป็นอย่างไร?</v>
      </c>
      <c r="P81" s="6" t="str">
        <f>IFERROR(__xludf.DUMMYFUNCTION("GOOGLETRANSLATE(D81,""en"",""th"")"),"เป็นที่เงียบสงบและสันติ")</f>
        <v>เป็นที่เงียบสงบและสันติ</v>
      </c>
      <c r="Q81" s="6" t="str">
        <f>IFERROR(__xludf.DUMMYFUNCTION("GOOGLETRANSLATE(E81,""en"",""th"")"),"แบบตึงเครียดและมีสมาธิ")</f>
        <v>แบบตึงเครียดและมีสมาธิ</v>
      </c>
      <c r="R81" s="6" t="str">
        <f>IFERROR(__xludf.DUMMYFUNCTION("GOOGLETRANSLATE(F81,""en"",""th"")"),"แบบเฉลิมฉลองและรื่นเริง")</f>
        <v>แบบเฉลิมฉลองและรื่นเริง</v>
      </c>
      <c r="S81" s="6" t="str">
        <f>IFERROR(__xludf.DUMMYFUNCTION("GOOGLETRANSLATE(G81,""en"",""th"")"),"แบบสบายๆ และผ่อนคลาย")</f>
        <v>แบบสบายๆ และผ่อนคลาย</v>
      </c>
      <c r="T81" s="6" t="s">
        <v>130</v>
      </c>
      <c r="U81" s="6" t="str">
        <f>IFERROR(__xludf.DUMMYFUNCTION("GOOGLETRANSLATE(I81,""en"",""th"")"),"แบบตึงเครียดและมีสมาธิ")</f>
        <v>แบบตึงเครียดและมีสมาธิ</v>
      </c>
      <c r="V81" s="6" t="str">
        <f>IFERROR(__xludf.DUMMYFUNCTION("GOOGLETRANSLATE(J81,""en"",""th"")"),"การแสดงออกที่ดุร้ายของกระทิงและท่าทางของคน รวมถึงฝุ่นที่ฟุ้งกระจาย ก่อให้เกิดบรรยากาศที่ตึงเครียดและมีสมาธิ ซึ่งเป็นลักษณะเฉพาะของงานขี่กระทิงที่มีเงินเดิมพันสูง")</f>
        <v>การแสดงออกที่ดุร้ายของกระทิงและท่าทางของคน รวมถึงฝุ่นที่ฟุ้งกระจาย ก่อให้เกิดบรรยากาศที่ตึงเครียดและมีสมาธิ ซึ่งเป็นลักษณะเฉพาะของงานขี่กระทิงที่มีเงินเดิมพันสูง</v>
      </c>
    </row>
    <row r="82">
      <c r="H82" s="8" t="s">
        <v>364</v>
      </c>
    </row>
    <row r="83">
      <c r="H83" s="8" t="s">
        <v>364</v>
      </c>
    </row>
    <row r="84">
      <c r="H84" s="8" t="s">
        <v>364</v>
      </c>
    </row>
    <row r="85">
      <c r="H85" s="8" t="s">
        <v>364</v>
      </c>
    </row>
    <row r="86">
      <c r="H86" s="8" t="s">
        <v>364</v>
      </c>
    </row>
    <row r="87">
      <c r="H87" s="8" t="s">
        <v>364</v>
      </c>
    </row>
    <row r="88">
      <c r="H88" s="8" t="s">
        <v>364</v>
      </c>
    </row>
    <row r="89">
      <c r="H89" s="8" t="s">
        <v>364</v>
      </c>
    </row>
    <row r="90">
      <c r="H90" s="8" t="s">
        <v>364</v>
      </c>
    </row>
    <row r="91">
      <c r="H91" s="8" t="s">
        <v>364</v>
      </c>
    </row>
    <row r="92">
      <c r="H92" s="8" t="s">
        <v>364</v>
      </c>
    </row>
    <row r="93">
      <c r="H93" s="8" t="s">
        <v>364</v>
      </c>
    </row>
    <row r="94">
      <c r="H94" s="8" t="s">
        <v>364</v>
      </c>
    </row>
    <row r="95">
      <c r="H95" s="8" t="s">
        <v>364</v>
      </c>
    </row>
    <row r="96">
      <c r="H96" s="8" t="s">
        <v>364</v>
      </c>
    </row>
    <row r="97">
      <c r="H97" s="8" t="s">
        <v>364</v>
      </c>
    </row>
    <row r="98">
      <c r="H98" s="8" t="s">
        <v>364</v>
      </c>
    </row>
    <row r="99">
      <c r="H99" s="8" t="s">
        <v>364</v>
      </c>
    </row>
    <row r="100">
      <c r="H100" s="8" t="s">
        <v>364</v>
      </c>
    </row>
    <row r="101">
      <c r="H101" s="8" t="s">
        <v>364</v>
      </c>
    </row>
    <row r="102">
      <c r="H102" s="8" t="s">
        <v>364</v>
      </c>
    </row>
    <row r="103">
      <c r="H103" s="8" t="s">
        <v>364</v>
      </c>
    </row>
    <row r="104">
      <c r="H104" s="8" t="s">
        <v>364</v>
      </c>
    </row>
    <row r="105">
      <c r="H105" s="8" t="s">
        <v>364</v>
      </c>
    </row>
    <row r="106">
      <c r="H106" s="8" t="s">
        <v>364</v>
      </c>
    </row>
    <row r="107">
      <c r="H107" s="8" t="s">
        <v>364</v>
      </c>
    </row>
    <row r="108">
      <c r="H108" s="8" t="s">
        <v>364</v>
      </c>
    </row>
    <row r="109">
      <c r="H109" s="8" t="s">
        <v>364</v>
      </c>
    </row>
    <row r="110">
      <c r="H110" s="8" t="s">
        <v>364</v>
      </c>
    </row>
    <row r="111">
      <c r="H111" s="8" t="s">
        <v>364</v>
      </c>
    </row>
    <row r="112">
      <c r="H112" s="8" t="s">
        <v>364</v>
      </c>
    </row>
    <row r="113">
      <c r="H113" s="8" t="s">
        <v>364</v>
      </c>
    </row>
    <row r="114">
      <c r="H114" s="8" t="s">
        <v>364</v>
      </c>
    </row>
    <row r="115">
      <c r="H115" s="8" t="s">
        <v>364</v>
      </c>
    </row>
    <row r="116">
      <c r="H116" s="8" t="s">
        <v>364</v>
      </c>
    </row>
    <row r="117">
      <c r="H117" s="8" t="s">
        <v>364</v>
      </c>
    </row>
    <row r="118">
      <c r="H118" s="8" t="s">
        <v>364</v>
      </c>
    </row>
    <row r="119">
      <c r="H119" s="8" t="s">
        <v>364</v>
      </c>
    </row>
    <row r="120">
      <c r="H120" s="8" t="s">
        <v>364</v>
      </c>
    </row>
    <row r="121">
      <c r="H121" s="8" t="s">
        <v>364</v>
      </c>
    </row>
    <row r="122">
      <c r="H122" s="8" t="s">
        <v>364</v>
      </c>
    </row>
    <row r="123">
      <c r="H123" s="8" t="s">
        <v>364</v>
      </c>
    </row>
    <row r="124">
      <c r="H124" s="8" t="s">
        <v>364</v>
      </c>
    </row>
    <row r="125">
      <c r="H125" s="8" t="s">
        <v>364</v>
      </c>
    </row>
    <row r="126">
      <c r="H126" s="8" t="s">
        <v>364</v>
      </c>
    </row>
    <row r="127">
      <c r="H127" s="8" t="s">
        <v>364</v>
      </c>
    </row>
    <row r="128">
      <c r="H128" s="8" t="s">
        <v>364</v>
      </c>
    </row>
    <row r="129">
      <c r="H129" s="8" t="s">
        <v>364</v>
      </c>
    </row>
    <row r="130">
      <c r="H130" s="8" t="s">
        <v>364</v>
      </c>
    </row>
    <row r="131">
      <c r="H131" s="8" t="s">
        <v>364</v>
      </c>
    </row>
    <row r="132">
      <c r="H132" s="8" t="s">
        <v>364</v>
      </c>
    </row>
    <row r="133">
      <c r="H133" s="8" t="s">
        <v>364</v>
      </c>
    </row>
    <row r="134">
      <c r="H134" s="8" t="s">
        <v>364</v>
      </c>
    </row>
    <row r="135">
      <c r="H135" s="8" t="s">
        <v>364</v>
      </c>
    </row>
    <row r="136">
      <c r="H136" s="8" t="s">
        <v>364</v>
      </c>
    </row>
    <row r="137">
      <c r="H137" s="8" t="s">
        <v>364</v>
      </c>
    </row>
    <row r="138">
      <c r="H138" s="8" t="s">
        <v>364</v>
      </c>
    </row>
    <row r="139">
      <c r="H139" s="8" t="s">
        <v>364</v>
      </c>
    </row>
    <row r="140">
      <c r="H140" s="8" t="s">
        <v>364</v>
      </c>
    </row>
    <row r="141">
      <c r="H141" s="8" t="s">
        <v>364</v>
      </c>
    </row>
    <row r="142">
      <c r="H142" s="8" t="s">
        <v>364</v>
      </c>
    </row>
    <row r="143">
      <c r="H143" s="8" t="s">
        <v>364</v>
      </c>
    </row>
    <row r="144">
      <c r="H144" s="8" t="s">
        <v>364</v>
      </c>
    </row>
    <row r="145">
      <c r="H145" s="8" t="s">
        <v>364</v>
      </c>
    </row>
    <row r="146">
      <c r="H146" s="8" t="s">
        <v>364</v>
      </c>
    </row>
    <row r="147">
      <c r="H147" s="8" t="s">
        <v>364</v>
      </c>
    </row>
    <row r="148">
      <c r="H148" s="8" t="s">
        <v>364</v>
      </c>
    </row>
    <row r="149">
      <c r="H149" s="8" t="s">
        <v>364</v>
      </c>
    </row>
    <row r="150">
      <c r="H150" s="8" t="s">
        <v>364</v>
      </c>
    </row>
    <row r="151">
      <c r="H151" s="8" t="s">
        <v>364</v>
      </c>
    </row>
    <row r="152">
      <c r="H152" s="8" t="s">
        <v>364</v>
      </c>
    </row>
    <row r="153">
      <c r="H153" s="8" t="s">
        <v>364</v>
      </c>
    </row>
    <row r="154">
      <c r="H154" s="8" t="s">
        <v>364</v>
      </c>
    </row>
    <row r="155">
      <c r="H155" s="8" t="s">
        <v>364</v>
      </c>
    </row>
    <row r="156">
      <c r="H156" s="8" t="s">
        <v>364</v>
      </c>
    </row>
    <row r="157">
      <c r="H157" s="8" t="s">
        <v>364</v>
      </c>
    </row>
    <row r="158">
      <c r="H158" s="8" t="s">
        <v>364</v>
      </c>
    </row>
    <row r="159">
      <c r="H159" s="8" t="s">
        <v>364</v>
      </c>
    </row>
    <row r="160">
      <c r="H160" s="8" t="s">
        <v>364</v>
      </c>
    </row>
    <row r="161">
      <c r="H161" s="8" t="s">
        <v>364</v>
      </c>
    </row>
    <row r="162">
      <c r="H162" s="8" t="s">
        <v>364</v>
      </c>
    </row>
    <row r="163">
      <c r="H163" s="8" t="s">
        <v>364</v>
      </c>
    </row>
    <row r="164">
      <c r="H164" s="8" t="s">
        <v>364</v>
      </c>
    </row>
    <row r="165">
      <c r="H165" s="8" t="s">
        <v>364</v>
      </c>
    </row>
    <row r="166">
      <c r="H166" s="8" t="s">
        <v>364</v>
      </c>
    </row>
    <row r="167">
      <c r="H167" s="8" t="s">
        <v>364</v>
      </c>
    </row>
    <row r="168">
      <c r="H168" s="8" t="s">
        <v>364</v>
      </c>
    </row>
    <row r="169">
      <c r="H169" s="8" t="s">
        <v>364</v>
      </c>
    </row>
    <row r="170">
      <c r="H170" s="8" t="s">
        <v>364</v>
      </c>
    </row>
    <row r="171">
      <c r="H171" s="8" t="s">
        <v>364</v>
      </c>
    </row>
    <row r="172">
      <c r="H172" s="8" t="s">
        <v>364</v>
      </c>
    </row>
    <row r="173">
      <c r="H173" s="8" t="s">
        <v>364</v>
      </c>
    </row>
    <row r="174">
      <c r="H174" s="8" t="s">
        <v>364</v>
      </c>
    </row>
    <row r="175">
      <c r="H175" s="8" t="s">
        <v>364</v>
      </c>
    </row>
    <row r="176">
      <c r="H176" s="8" t="s">
        <v>364</v>
      </c>
    </row>
    <row r="177">
      <c r="H177" s="8" t="s">
        <v>364</v>
      </c>
    </row>
    <row r="178">
      <c r="H178" s="8" t="s">
        <v>364</v>
      </c>
    </row>
    <row r="179">
      <c r="H179" s="8" t="s">
        <v>364</v>
      </c>
    </row>
    <row r="180">
      <c r="H180" s="8" t="s">
        <v>364</v>
      </c>
    </row>
    <row r="181">
      <c r="H181" s="8" t="s">
        <v>364</v>
      </c>
    </row>
    <row r="182">
      <c r="H182" s="8" t="s">
        <v>364</v>
      </c>
    </row>
    <row r="183">
      <c r="H183" s="8" t="s">
        <v>364</v>
      </c>
    </row>
    <row r="184">
      <c r="H184" s="8" t="s">
        <v>364</v>
      </c>
    </row>
    <row r="185">
      <c r="H185" s="8" t="s">
        <v>364</v>
      </c>
    </row>
    <row r="186">
      <c r="H186" s="8" t="s">
        <v>364</v>
      </c>
    </row>
    <row r="187">
      <c r="H187" s="8" t="s">
        <v>364</v>
      </c>
    </row>
    <row r="188">
      <c r="H188" s="8" t="s">
        <v>364</v>
      </c>
    </row>
    <row r="189">
      <c r="H189" s="8" t="s">
        <v>364</v>
      </c>
    </row>
    <row r="190">
      <c r="H190" s="8" t="s">
        <v>364</v>
      </c>
    </row>
    <row r="191">
      <c r="H191" s="8" t="s">
        <v>364</v>
      </c>
    </row>
    <row r="192">
      <c r="H192" s="8" t="s">
        <v>364</v>
      </c>
    </row>
    <row r="193">
      <c r="H193" s="8" t="s">
        <v>364</v>
      </c>
    </row>
    <row r="194">
      <c r="H194" s="8" t="s">
        <v>364</v>
      </c>
    </row>
    <row r="195">
      <c r="H195" s="8" t="s">
        <v>364</v>
      </c>
    </row>
    <row r="196">
      <c r="H196" s="8" t="s">
        <v>364</v>
      </c>
    </row>
    <row r="197">
      <c r="H197" s="8" t="s">
        <v>364</v>
      </c>
    </row>
    <row r="198">
      <c r="H198" s="8" t="s">
        <v>364</v>
      </c>
    </row>
    <row r="199">
      <c r="H199" s="8" t="s">
        <v>364</v>
      </c>
    </row>
    <row r="200">
      <c r="H200" s="8" t="s">
        <v>364</v>
      </c>
    </row>
    <row r="201">
      <c r="H201" s="8" t="s">
        <v>364</v>
      </c>
    </row>
    <row r="202">
      <c r="H202" s="8" t="s">
        <v>364</v>
      </c>
    </row>
    <row r="203">
      <c r="H203" s="8" t="s">
        <v>364</v>
      </c>
    </row>
    <row r="204">
      <c r="H204" s="8" t="s">
        <v>364</v>
      </c>
    </row>
    <row r="205">
      <c r="H205" s="8" t="s">
        <v>364</v>
      </c>
    </row>
    <row r="206">
      <c r="H206" s="8" t="s">
        <v>364</v>
      </c>
    </row>
    <row r="207">
      <c r="H207" s="8" t="s">
        <v>364</v>
      </c>
    </row>
    <row r="208">
      <c r="H208" s="8" t="s">
        <v>364</v>
      </c>
    </row>
    <row r="209">
      <c r="H209" s="8" t="s">
        <v>364</v>
      </c>
    </row>
    <row r="210">
      <c r="H210" s="8" t="s">
        <v>364</v>
      </c>
    </row>
    <row r="211">
      <c r="H211" s="8" t="s">
        <v>364</v>
      </c>
    </row>
    <row r="212">
      <c r="H212" s="8" t="s">
        <v>364</v>
      </c>
    </row>
    <row r="213">
      <c r="H213" s="8" t="s">
        <v>364</v>
      </c>
    </row>
    <row r="214">
      <c r="H214" s="8" t="s">
        <v>364</v>
      </c>
    </row>
    <row r="215">
      <c r="H215" s="8" t="s">
        <v>364</v>
      </c>
    </row>
    <row r="216">
      <c r="H216" s="8" t="s">
        <v>364</v>
      </c>
    </row>
    <row r="217">
      <c r="H217" s="8" t="s">
        <v>364</v>
      </c>
    </row>
    <row r="218">
      <c r="H218" s="8" t="s">
        <v>364</v>
      </c>
    </row>
    <row r="219">
      <c r="H219" s="8" t="s">
        <v>364</v>
      </c>
    </row>
    <row r="220">
      <c r="H220" s="8" t="s">
        <v>364</v>
      </c>
    </row>
    <row r="221">
      <c r="H221" s="8" t="s">
        <v>364</v>
      </c>
    </row>
    <row r="222">
      <c r="H222" s="8" t="s">
        <v>364</v>
      </c>
    </row>
    <row r="223">
      <c r="H223" s="8" t="s">
        <v>364</v>
      </c>
    </row>
    <row r="224">
      <c r="H224" s="8" t="s">
        <v>364</v>
      </c>
    </row>
    <row r="225">
      <c r="H225" s="8" t="s">
        <v>364</v>
      </c>
    </row>
    <row r="226">
      <c r="H226" s="8" t="s">
        <v>364</v>
      </c>
    </row>
    <row r="227">
      <c r="H227" s="8" t="s">
        <v>364</v>
      </c>
    </row>
    <row r="228">
      <c r="H228" s="8" t="s">
        <v>364</v>
      </c>
    </row>
    <row r="229">
      <c r="H229" s="8" t="s">
        <v>364</v>
      </c>
    </row>
    <row r="230">
      <c r="H230" s="8" t="s">
        <v>364</v>
      </c>
    </row>
    <row r="231">
      <c r="H231" s="8" t="s">
        <v>364</v>
      </c>
    </row>
    <row r="232">
      <c r="H232" s="8" t="s">
        <v>364</v>
      </c>
    </row>
    <row r="233">
      <c r="H233" s="8" t="s">
        <v>364</v>
      </c>
    </row>
    <row r="234">
      <c r="H234" s="8" t="s">
        <v>364</v>
      </c>
    </row>
    <row r="235">
      <c r="H235" s="8" t="s">
        <v>364</v>
      </c>
    </row>
    <row r="236">
      <c r="H236" s="8" t="s">
        <v>364</v>
      </c>
    </row>
    <row r="237">
      <c r="H237" s="8" t="s">
        <v>364</v>
      </c>
    </row>
    <row r="238">
      <c r="H238" s="8" t="s">
        <v>364</v>
      </c>
    </row>
    <row r="239">
      <c r="H239" s="8" t="s">
        <v>364</v>
      </c>
    </row>
    <row r="240">
      <c r="H240" s="8" t="s">
        <v>364</v>
      </c>
    </row>
    <row r="241">
      <c r="H241" s="8" t="s">
        <v>364</v>
      </c>
    </row>
    <row r="242">
      <c r="H242" s="8" t="s">
        <v>364</v>
      </c>
    </row>
    <row r="243">
      <c r="H243" s="8" t="s">
        <v>364</v>
      </c>
    </row>
    <row r="244">
      <c r="H244" s="8" t="s">
        <v>364</v>
      </c>
    </row>
    <row r="245">
      <c r="H245" s="8" t="s">
        <v>364</v>
      </c>
    </row>
    <row r="246">
      <c r="H246" s="8" t="s">
        <v>364</v>
      </c>
    </row>
    <row r="247">
      <c r="H247" s="8" t="s">
        <v>364</v>
      </c>
    </row>
    <row r="248">
      <c r="H248" s="8" t="s">
        <v>364</v>
      </c>
    </row>
    <row r="249">
      <c r="H249" s="8" t="s">
        <v>364</v>
      </c>
    </row>
    <row r="250">
      <c r="H250" s="8" t="s">
        <v>364</v>
      </c>
    </row>
    <row r="251">
      <c r="H251" s="8" t="s">
        <v>364</v>
      </c>
    </row>
    <row r="252">
      <c r="H252" s="8" t="s">
        <v>364</v>
      </c>
    </row>
    <row r="253">
      <c r="H253" s="8" t="s">
        <v>364</v>
      </c>
    </row>
    <row r="254">
      <c r="H254" s="8" t="s">
        <v>364</v>
      </c>
    </row>
    <row r="255">
      <c r="H255" s="8" t="s">
        <v>364</v>
      </c>
    </row>
    <row r="256">
      <c r="H256" s="8" t="s">
        <v>364</v>
      </c>
    </row>
    <row r="257">
      <c r="H257" s="8" t="s">
        <v>364</v>
      </c>
    </row>
    <row r="258">
      <c r="H258" s="8" t="s">
        <v>364</v>
      </c>
    </row>
    <row r="259">
      <c r="H259" s="8" t="s">
        <v>364</v>
      </c>
    </row>
    <row r="260">
      <c r="H260" s="8" t="s">
        <v>364</v>
      </c>
    </row>
    <row r="261">
      <c r="H261" s="8" t="s">
        <v>364</v>
      </c>
    </row>
    <row r="262">
      <c r="H262" s="8" t="s">
        <v>364</v>
      </c>
    </row>
    <row r="263">
      <c r="H263" s="8" t="s">
        <v>364</v>
      </c>
    </row>
    <row r="264">
      <c r="H264" s="8" t="s">
        <v>364</v>
      </c>
    </row>
    <row r="265">
      <c r="H265" s="8" t="s">
        <v>364</v>
      </c>
    </row>
    <row r="266">
      <c r="H266" s="8" t="s">
        <v>364</v>
      </c>
    </row>
    <row r="267">
      <c r="H267" s="8" t="s">
        <v>364</v>
      </c>
    </row>
    <row r="268">
      <c r="H268" s="8" t="s">
        <v>364</v>
      </c>
    </row>
    <row r="269">
      <c r="H269" s="8" t="s">
        <v>364</v>
      </c>
    </row>
    <row r="270">
      <c r="H270" s="8" t="s">
        <v>364</v>
      </c>
    </row>
    <row r="271">
      <c r="H271" s="8" t="s">
        <v>364</v>
      </c>
    </row>
    <row r="272">
      <c r="H272" s="8" t="s">
        <v>364</v>
      </c>
    </row>
    <row r="273">
      <c r="H273" s="8" t="s">
        <v>364</v>
      </c>
    </row>
    <row r="274">
      <c r="H274" s="8" t="s">
        <v>364</v>
      </c>
    </row>
    <row r="275">
      <c r="H275" s="8" t="s">
        <v>364</v>
      </c>
    </row>
    <row r="276">
      <c r="H276" s="8" t="s">
        <v>364</v>
      </c>
    </row>
    <row r="277">
      <c r="H277" s="8" t="s">
        <v>364</v>
      </c>
    </row>
    <row r="278">
      <c r="H278" s="8" t="s">
        <v>364</v>
      </c>
    </row>
    <row r="279">
      <c r="H279" s="8" t="s">
        <v>364</v>
      </c>
    </row>
    <row r="280">
      <c r="H280" s="8" t="s">
        <v>364</v>
      </c>
    </row>
    <row r="281">
      <c r="H281" s="8" t="s">
        <v>364</v>
      </c>
    </row>
    <row r="282">
      <c r="H282" s="8" t="s">
        <v>364</v>
      </c>
    </row>
    <row r="283">
      <c r="H283" s="8" t="s">
        <v>364</v>
      </c>
    </row>
    <row r="284">
      <c r="H284" s="8" t="s">
        <v>364</v>
      </c>
    </row>
    <row r="285">
      <c r="H285" s="8" t="s">
        <v>364</v>
      </c>
    </row>
    <row r="286">
      <c r="H286" s="8" t="s">
        <v>364</v>
      </c>
    </row>
    <row r="287">
      <c r="H287" s="8" t="s">
        <v>364</v>
      </c>
    </row>
    <row r="288">
      <c r="H288" s="8" t="s">
        <v>364</v>
      </c>
    </row>
    <row r="289">
      <c r="H289" s="8" t="s">
        <v>364</v>
      </c>
    </row>
    <row r="290">
      <c r="H290" s="8" t="s">
        <v>364</v>
      </c>
    </row>
    <row r="291">
      <c r="H291" s="8" t="s">
        <v>364</v>
      </c>
    </row>
    <row r="292">
      <c r="H292" s="8" t="s">
        <v>364</v>
      </c>
    </row>
    <row r="293">
      <c r="H293" s="8" t="s">
        <v>364</v>
      </c>
    </row>
    <row r="294">
      <c r="H294" s="8" t="s">
        <v>364</v>
      </c>
    </row>
    <row r="295">
      <c r="H295" s="8" t="s">
        <v>364</v>
      </c>
    </row>
    <row r="296">
      <c r="H296" s="8" t="s">
        <v>364</v>
      </c>
    </row>
    <row r="297">
      <c r="H297" s="8" t="s">
        <v>364</v>
      </c>
    </row>
    <row r="298">
      <c r="H298" s="8" t="s">
        <v>364</v>
      </c>
    </row>
    <row r="299">
      <c r="H299" s="8" t="s">
        <v>364</v>
      </c>
    </row>
    <row r="300">
      <c r="H300" s="8" t="s">
        <v>364</v>
      </c>
    </row>
    <row r="301">
      <c r="H301" s="8" t="s">
        <v>364</v>
      </c>
    </row>
    <row r="302">
      <c r="H302" s="8" t="s">
        <v>364</v>
      </c>
    </row>
    <row r="303">
      <c r="H303" s="8" t="s">
        <v>364</v>
      </c>
    </row>
    <row r="304">
      <c r="H304" s="8" t="s">
        <v>364</v>
      </c>
    </row>
    <row r="305">
      <c r="H305" s="8" t="s">
        <v>364</v>
      </c>
    </row>
    <row r="306">
      <c r="H306" s="8" t="s">
        <v>364</v>
      </c>
    </row>
    <row r="307">
      <c r="H307" s="8" t="s">
        <v>364</v>
      </c>
    </row>
    <row r="308">
      <c r="H308" s="8" t="s">
        <v>364</v>
      </c>
    </row>
    <row r="309">
      <c r="H309" s="8" t="s">
        <v>364</v>
      </c>
    </row>
    <row r="310">
      <c r="H310" s="8" t="s">
        <v>364</v>
      </c>
    </row>
    <row r="311">
      <c r="H311" s="8" t="s">
        <v>364</v>
      </c>
    </row>
    <row r="312">
      <c r="H312" s="8" t="s">
        <v>364</v>
      </c>
    </row>
    <row r="313">
      <c r="H313" s="8" t="s">
        <v>364</v>
      </c>
    </row>
    <row r="314">
      <c r="H314" s="8" t="s">
        <v>364</v>
      </c>
    </row>
    <row r="315">
      <c r="H315" s="8" t="s">
        <v>364</v>
      </c>
    </row>
    <row r="316">
      <c r="H316" s="8" t="s">
        <v>364</v>
      </c>
    </row>
    <row r="317">
      <c r="H317" s="8" t="s">
        <v>364</v>
      </c>
    </row>
    <row r="318">
      <c r="H318" s="8" t="s">
        <v>364</v>
      </c>
    </row>
    <row r="319">
      <c r="H319" s="8" t="s">
        <v>364</v>
      </c>
    </row>
    <row r="320">
      <c r="H320" s="8" t="s">
        <v>364</v>
      </c>
    </row>
    <row r="321">
      <c r="H321" s="8" t="s">
        <v>364</v>
      </c>
    </row>
    <row r="322">
      <c r="H322" s="8" t="s">
        <v>364</v>
      </c>
    </row>
    <row r="323">
      <c r="H323" s="8" t="s">
        <v>364</v>
      </c>
    </row>
    <row r="324">
      <c r="H324" s="8" t="s">
        <v>364</v>
      </c>
    </row>
    <row r="325">
      <c r="H325" s="8" t="s">
        <v>364</v>
      </c>
    </row>
    <row r="326">
      <c r="H326" s="8" t="s">
        <v>364</v>
      </c>
    </row>
    <row r="327">
      <c r="H327" s="8" t="s">
        <v>364</v>
      </c>
    </row>
    <row r="328">
      <c r="H328" s="8" t="s">
        <v>364</v>
      </c>
    </row>
    <row r="329">
      <c r="H329" s="8" t="s">
        <v>364</v>
      </c>
    </row>
    <row r="330">
      <c r="H330" s="8" t="s">
        <v>364</v>
      </c>
    </row>
    <row r="331">
      <c r="H331" s="8" t="s">
        <v>364</v>
      </c>
    </row>
    <row r="332">
      <c r="H332" s="8" t="s">
        <v>364</v>
      </c>
    </row>
    <row r="333">
      <c r="H333" s="8" t="s">
        <v>364</v>
      </c>
    </row>
    <row r="334">
      <c r="H334" s="8" t="s">
        <v>364</v>
      </c>
    </row>
    <row r="335">
      <c r="H335" s="8" t="s">
        <v>364</v>
      </c>
    </row>
    <row r="336">
      <c r="H336" s="8" t="s">
        <v>364</v>
      </c>
    </row>
    <row r="337">
      <c r="H337" s="8" t="s">
        <v>364</v>
      </c>
    </row>
    <row r="338">
      <c r="H338" s="8" t="s">
        <v>364</v>
      </c>
    </row>
    <row r="339">
      <c r="H339" s="8" t="s">
        <v>364</v>
      </c>
    </row>
    <row r="340">
      <c r="H340" s="8" t="s">
        <v>364</v>
      </c>
    </row>
    <row r="341">
      <c r="H341" s="8" t="s">
        <v>364</v>
      </c>
    </row>
    <row r="342">
      <c r="H342" s="8" t="s">
        <v>364</v>
      </c>
    </row>
    <row r="343">
      <c r="H343" s="8" t="s">
        <v>364</v>
      </c>
    </row>
    <row r="344">
      <c r="H344" s="8" t="s">
        <v>364</v>
      </c>
    </row>
    <row r="345">
      <c r="H345" s="8" t="s">
        <v>364</v>
      </c>
    </row>
    <row r="346">
      <c r="H346" s="8" t="s">
        <v>364</v>
      </c>
    </row>
    <row r="347">
      <c r="H347" s="8" t="s">
        <v>364</v>
      </c>
    </row>
    <row r="348">
      <c r="H348" s="8" t="s">
        <v>364</v>
      </c>
    </row>
    <row r="349">
      <c r="H349" s="8" t="s">
        <v>364</v>
      </c>
    </row>
    <row r="350">
      <c r="H350" s="8" t="s">
        <v>364</v>
      </c>
    </row>
    <row r="351">
      <c r="H351" s="8" t="s">
        <v>364</v>
      </c>
    </row>
    <row r="352">
      <c r="H352" s="8" t="s">
        <v>364</v>
      </c>
    </row>
    <row r="353">
      <c r="H353" s="8" t="s">
        <v>364</v>
      </c>
    </row>
    <row r="354">
      <c r="H354" s="8" t="s">
        <v>364</v>
      </c>
    </row>
    <row r="355">
      <c r="H355" s="8" t="s">
        <v>364</v>
      </c>
    </row>
    <row r="356">
      <c r="H356" s="8" t="s">
        <v>364</v>
      </c>
    </row>
    <row r="357">
      <c r="H357" s="8" t="s">
        <v>364</v>
      </c>
    </row>
    <row r="358">
      <c r="H358" s="8" t="s">
        <v>364</v>
      </c>
    </row>
    <row r="359">
      <c r="H359" s="8" t="s">
        <v>364</v>
      </c>
    </row>
    <row r="360">
      <c r="H360" s="8" t="s">
        <v>364</v>
      </c>
    </row>
    <row r="361">
      <c r="H361" s="8" t="s">
        <v>364</v>
      </c>
    </row>
    <row r="362">
      <c r="H362" s="8" t="s">
        <v>364</v>
      </c>
    </row>
    <row r="363">
      <c r="H363" s="8" t="s">
        <v>364</v>
      </c>
    </row>
    <row r="364">
      <c r="H364" s="8" t="s">
        <v>364</v>
      </c>
    </row>
    <row r="365">
      <c r="H365" s="8" t="s">
        <v>364</v>
      </c>
    </row>
    <row r="366">
      <c r="H366" s="8" t="s">
        <v>364</v>
      </c>
    </row>
    <row r="367">
      <c r="H367" s="8" t="s">
        <v>364</v>
      </c>
    </row>
    <row r="368">
      <c r="H368" s="8" t="s">
        <v>364</v>
      </c>
    </row>
    <row r="369">
      <c r="H369" s="8" t="s">
        <v>364</v>
      </c>
    </row>
    <row r="370">
      <c r="H370" s="8" t="s">
        <v>364</v>
      </c>
    </row>
    <row r="371">
      <c r="H371" s="8" t="s">
        <v>364</v>
      </c>
    </row>
    <row r="372">
      <c r="H372" s="8" t="s">
        <v>364</v>
      </c>
    </row>
    <row r="373">
      <c r="H373" s="8" t="s">
        <v>364</v>
      </c>
    </row>
    <row r="374">
      <c r="H374" s="8" t="s">
        <v>364</v>
      </c>
    </row>
    <row r="375">
      <c r="H375" s="8" t="s">
        <v>364</v>
      </c>
    </row>
    <row r="376">
      <c r="H376" s="8" t="s">
        <v>364</v>
      </c>
    </row>
    <row r="377">
      <c r="H377" s="8" t="s">
        <v>364</v>
      </c>
    </row>
    <row r="378">
      <c r="H378" s="8" t="s">
        <v>364</v>
      </c>
    </row>
    <row r="379">
      <c r="H379" s="8" t="s">
        <v>364</v>
      </c>
    </row>
    <row r="380">
      <c r="H380" s="8" t="s">
        <v>364</v>
      </c>
    </row>
    <row r="381">
      <c r="H381" s="8" t="s">
        <v>364</v>
      </c>
    </row>
    <row r="382">
      <c r="H382" s="8" t="s">
        <v>364</v>
      </c>
    </row>
    <row r="383">
      <c r="H383" s="8" t="s">
        <v>364</v>
      </c>
    </row>
    <row r="384">
      <c r="H384" s="8" t="s">
        <v>364</v>
      </c>
    </row>
    <row r="385">
      <c r="H385" s="8" t="s">
        <v>364</v>
      </c>
    </row>
    <row r="386">
      <c r="H386" s="8" t="s">
        <v>364</v>
      </c>
    </row>
    <row r="387">
      <c r="H387" s="8" t="s">
        <v>364</v>
      </c>
    </row>
    <row r="388">
      <c r="H388" s="8" t="s">
        <v>364</v>
      </c>
    </row>
    <row r="389">
      <c r="H389" s="8" t="s">
        <v>364</v>
      </c>
    </row>
    <row r="390">
      <c r="H390" s="8" t="s">
        <v>364</v>
      </c>
    </row>
    <row r="391">
      <c r="H391" s="8" t="s">
        <v>364</v>
      </c>
    </row>
    <row r="392">
      <c r="H392" s="8" t="s">
        <v>364</v>
      </c>
    </row>
    <row r="393">
      <c r="H393" s="8" t="s">
        <v>364</v>
      </c>
    </row>
    <row r="394">
      <c r="H394" s="8" t="s">
        <v>364</v>
      </c>
    </row>
    <row r="395">
      <c r="H395" s="8" t="s">
        <v>364</v>
      </c>
    </row>
    <row r="396">
      <c r="H396" s="8" t="s">
        <v>364</v>
      </c>
    </row>
    <row r="397">
      <c r="H397" s="8" t="s">
        <v>364</v>
      </c>
    </row>
    <row r="398">
      <c r="H398" s="8" t="s">
        <v>364</v>
      </c>
    </row>
    <row r="399">
      <c r="H399" s="8" t="s">
        <v>364</v>
      </c>
    </row>
    <row r="400">
      <c r="H400" s="8" t="s">
        <v>364</v>
      </c>
    </row>
    <row r="401">
      <c r="H401" s="8" t="s">
        <v>364</v>
      </c>
    </row>
    <row r="402">
      <c r="H402" s="8" t="s">
        <v>364</v>
      </c>
    </row>
    <row r="403">
      <c r="H403" s="8" t="s">
        <v>364</v>
      </c>
    </row>
    <row r="404">
      <c r="H404" s="8" t="s">
        <v>364</v>
      </c>
    </row>
    <row r="405">
      <c r="H405" s="8" t="s">
        <v>364</v>
      </c>
    </row>
    <row r="406">
      <c r="H406" s="8" t="s">
        <v>364</v>
      </c>
    </row>
    <row r="407">
      <c r="H407" s="8" t="s">
        <v>364</v>
      </c>
    </row>
    <row r="408">
      <c r="H408" s="8" t="s">
        <v>364</v>
      </c>
    </row>
    <row r="409">
      <c r="H409" s="8" t="s">
        <v>364</v>
      </c>
    </row>
    <row r="410">
      <c r="H410" s="8" t="s">
        <v>364</v>
      </c>
    </row>
    <row r="411">
      <c r="H411" s="8" t="s">
        <v>364</v>
      </c>
    </row>
    <row r="412">
      <c r="H412" s="8" t="s">
        <v>364</v>
      </c>
    </row>
    <row r="413">
      <c r="H413" s="8" t="s">
        <v>364</v>
      </c>
    </row>
    <row r="414">
      <c r="H414" s="8" t="s">
        <v>364</v>
      </c>
    </row>
    <row r="415">
      <c r="H415" s="8" t="s">
        <v>364</v>
      </c>
    </row>
    <row r="416">
      <c r="H416" s="8" t="s">
        <v>364</v>
      </c>
    </row>
    <row r="417">
      <c r="H417" s="8" t="s">
        <v>364</v>
      </c>
    </row>
    <row r="418">
      <c r="H418" s="8" t="s">
        <v>364</v>
      </c>
    </row>
    <row r="419">
      <c r="H419" s="8" t="s">
        <v>364</v>
      </c>
    </row>
    <row r="420">
      <c r="H420" s="8" t="s">
        <v>364</v>
      </c>
    </row>
    <row r="421">
      <c r="H421" s="8" t="s">
        <v>364</v>
      </c>
    </row>
    <row r="422">
      <c r="H422" s="8" t="s">
        <v>364</v>
      </c>
    </row>
    <row r="423">
      <c r="H423" s="8" t="s">
        <v>364</v>
      </c>
    </row>
    <row r="424">
      <c r="H424" s="8" t="s">
        <v>364</v>
      </c>
    </row>
    <row r="425">
      <c r="H425" s="8" t="s">
        <v>364</v>
      </c>
    </row>
    <row r="426">
      <c r="H426" s="8" t="s">
        <v>364</v>
      </c>
    </row>
    <row r="427">
      <c r="H427" s="8" t="s">
        <v>364</v>
      </c>
    </row>
    <row r="428">
      <c r="H428" s="8" t="s">
        <v>364</v>
      </c>
    </row>
    <row r="429">
      <c r="H429" s="8" t="s">
        <v>364</v>
      </c>
    </row>
    <row r="430">
      <c r="H430" s="8" t="s">
        <v>364</v>
      </c>
    </row>
    <row r="431">
      <c r="H431" s="8" t="s">
        <v>364</v>
      </c>
    </row>
    <row r="432">
      <c r="H432" s="8" t="s">
        <v>364</v>
      </c>
    </row>
    <row r="433">
      <c r="H433" s="8" t="s">
        <v>364</v>
      </c>
    </row>
    <row r="434">
      <c r="H434" s="8" t="s">
        <v>364</v>
      </c>
    </row>
    <row r="435">
      <c r="H435" s="8" t="s">
        <v>364</v>
      </c>
    </row>
    <row r="436">
      <c r="H436" s="8" t="s">
        <v>364</v>
      </c>
    </row>
    <row r="437">
      <c r="H437" s="8" t="s">
        <v>364</v>
      </c>
    </row>
    <row r="438">
      <c r="H438" s="8" t="s">
        <v>364</v>
      </c>
    </row>
    <row r="439">
      <c r="H439" s="8" t="s">
        <v>364</v>
      </c>
    </row>
    <row r="440">
      <c r="H440" s="8" t="s">
        <v>364</v>
      </c>
    </row>
    <row r="441">
      <c r="H441" s="8" t="s">
        <v>364</v>
      </c>
    </row>
    <row r="442">
      <c r="H442" s="8" t="s">
        <v>364</v>
      </c>
    </row>
    <row r="443">
      <c r="H443" s="8" t="s">
        <v>364</v>
      </c>
    </row>
    <row r="444">
      <c r="H444" s="8" t="s">
        <v>364</v>
      </c>
    </row>
    <row r="445">
      <c r="H445" s="8" t="s">
        <v>364</v>
      </c>
    </row>
    <row r="446">
      <c r="H446" s="8" t="s">
        <v>364</v>
      </c>
    </row>
    <row r="447">
      <c r="H447" s="8" t="s">
        <v>364</v>
      </c>
    </row>
    <row r="448">
      <c r="H448" s="8" t="s">
        <v>364</v>
      </c>
    </row>
    <row r="449">
      <c r="H449" s="8" t="s">
        <v>364</v>
      </c>
    </row>
    <row r="450">
      <c r="H450" s="8" t="s">
        <v>364</v>
      </c>
    </row>
    <row r="451">
      <c r="H451" s="8" t="s">
        <v>364</v>
      </c>
    </row>
    <row r="452">
      <c r="H452" s="8" t="s">
        <v>364</v>
      </c>
    </row>
    <row r="453">
      <c r="H453" s="8" t="s">
        <v>364</v>
      </c>
    </row>
    <row r="454">
      <c r="H454" s="8" t="s">
        <v>364</v>
      </c>
    </row>
    <row r="455">
      <c r="H455" s="8" t="s">
        <v>364</v>
      </c>
    </row>
    <row r="456">
      <c r="H456" s="8" t="s">
        <v>364</v>
      </c>
    </row>
    <row r="457">
      <c r="H457" s="8" t="s">
        <v>364</v>
      </c>
    </row>
    <row r="458">
      <c r="H458" s="8" t="s">
        <v>364</v>
      </c>
    </row>
    <row r="459">
      <c r="H459" s="8" t="s">
        <v>364</v>
      </c>
    </row>
    <row r="460">
      <c r="H460" s="8" t="s">
        <v>364</v>
      </c>
    </row>
    <row r="461">
      <c r="H461" s="8" t="s">
        <v>364</v>
      </c>
    </row>
    <row r="462">
      <c r="H462" s="8" t="s">
        <v>364</v>
      </c>
    </row>
    <row r="463">
      <c r="H463" s="8" t="s">
        <v>364</v>
      </c>
    </row>
    <row r="464">
      <c r="H464" s="8" t="s">
        <v>364</v>
      </c>
    </row>
    <row r="465">
      <c r="H465" s="8" t="s">
        <v>364</v>
      </c>
    </row>
    <row r="466">
      <c r="H466" s="8" t="s">
        <v>364</v>
      </c>
    </row>
    <row r="467">
      <c r="H467" s="8" t="s">
        <v>364</v>
      </c>
    </row>
    <row r="468">
      <c r="H468" s="8" t="s">
        <v>364</v>
      </c>
    </row>
    <row r="469">
      <c r="H469" s="8" t="s">
        <v>364</v>
      </c>
    </row>
    <row r="470">
      <c r="H470" s="8" t="s">
        <v>364</v>
      </c>
    </row>
    <row r="471">
      <c r="H471" s="8" t="s">
        <v>364</v>
      </c>
    </row>
    <row r="472">
      <c r="H472" s="8" t="s">
        <v>364</v>
      </c>
    </row>
    <row r="473">
      <c r="H473" s="8" t="s">
        <v>364</v>
      </c>
    </row>
    <row r="474">
      <c r="H474" s="8" t="s">
        <v>364</v>
      </c>
    </row>
    <row r="475">
      <c r="H475" s="8" t="s">
        <v>364</v>
      </c>
    </row>
    <row r="476">
      <c r="H476" s="8" t="s">
        <v>364</v>
      </c>
    </row>
    <row r="477">
      <c r="H477" s="8" t="s">
        <v>364</v>
      </c>
    </row>
    <row r="478">
      <c r="H478" s="8" t="s">
        <v>364</v>
      </c>
    </row>
    <row r="479">
      <c r="H479" s="8" t="s">
        <v>364</v>
      </c>
    </row>
    <row r="480">
      <c r="H480" s="8" t="s">
        <v>364</v>
      </c>
    </row>
    <row r="481">
      <c r="H481" s="8" t="s">
        <v>364</v>
      </c>
    </row>
    <row r="482">
      <c r="H482" s="8" t="s">
        <v>364</v>
      </c>
    </row>
    <row r="483">
      <c r="H483" s="8" t="s">
        <v>364</v>
      </c>
    </row>
    <row r="484">
      <c r="H484" s="8" t="s">
        <v>364</v>
      </c>
    </row>
    <row r="485">
      <c r="H485" s="8" t="s">
        <v>364</v>
      </c>
    </row>
    <row r="486">
      <c r="H486" s="8" t="s">
        <v>364</v>
      </c>
    </row>
    <row r="487">
      <c r="H487" s="8" t="s">
        <v>364</v>
      </c>
    </row>
    <row r="488">
      <c r="H488" s="8" t="s">
        <v>364</v>
      </c>
    </row>
    <row r="489">
      <c r="H489" s="8" t="s">
        <v>364</v>
      </c>
    </row>
    <row r="490">
      <c r="H490" s="8" t="s">
        <v>364</v>
      </c>
    </row>
    <row r="491">
      <c r="H491" s="8" t="s">
        <v>364</v>
      </c>
    </row>
    <row r="492">
      <c r="H492" s="8" t="s">
        <v>364</v>
      </c>
    </row>
    <row r="493">
      <c r="H493" s="8" t="s">
        <v>364</v>
      </c>
    </row>
    <row r="494">
      <c r="H494" s="8" t="s">
        <v>364</v>
      </c>
    </row>
    <row r="495">
      <c r="H495" s="8" t="s">
        <v>364</v>
      </c>
    </row>
    <row r="496">
      <c r="H496" s="8" t="s">
        <v>364</v>
      </c>
    </row>
    <row r="497">
      <c r="H497" s="8" t="s">
        <v>364</v>
      </c>
    </row>
    <row r="498">
      <c r="H498" s="8" t="s">
        <v>364</v>
      </c>
    </row>
    <row r="499">
      <c r="H499" s="8" t="s">
        <v>364</v>
      </c>
    </row>
    <row r="500">
      <c r="H500" s="8" t="s">
        <v>364</v>
      </c>
    </row>
    <row r="501">
      <c r="H501" s="8" t="s">
        <v>364</v>
      </c>
    </row>
    <row r="502">
      <c r="H502" s="8" t="s">
        <v>364</v>
      </c>
    </row>
    <row r="503">
      <c r="H503" s="8" t="s">
        <v>364</v>
      </c>
    </row>
    <row r="504">
      <c r="H504" s="8" t="s">
        <v>364</v>
      </c>
    </row>
    <row r="505">
      <c r="H505" s="8" t="s">
        <v>364</v>
      </c>
    </row>
    <row r="506">
      <c r="H506" s="8" t="s">
        <v>364</v>
      </c>
    </row>
    <row r="507">
      <c r="H507" s="8" t="s">
        <v>364</v>
      </c>
    </row>
    <row r="508">
      <c r="H508" s="8" t="s">
        <v>364</v>
      </c>
    </row>
    <row r="509">
      <c r="H509" s="8" t="s">
        <v>364</v>
      </c>
    </row>
    <row r="510">
      <c r="H510" s="8" t="s">
        <v>364</v>
      </c>
    </row>
    <row r="511">
      <c r="H511" s="8" t="s">
        <v>364</v>
      </c>
    </row>
    <row r="512">
      <c r="H512" s="8" t="s">
        <v>364</v>
      </c>
    </row>
    <row r="513">
      <c r="H513" s="8" t="s">
        <v>364</v>
      </c>
    </row>
    <row r="514">
      <c r="H514" s="8" t="s">
        <v>364</v>
      </c>
    </row>
    <row r="515">
      <c r="H515" s="8" t="s">
        <v>364</v>
      </c>
    </row>
    <row r="516">
      <c r="H516" s="8" t="s">
        <v>364</v>
      </c>
    </row>
    <row r="517">
      <c r="H517" s="8" t="s">
        <v>364</v>
      </c>
    </row>
    <row r="518">
      <c r="H518" s="8" t="s">
        <v>364</v>
      </c>
    </row>
    <row r="519">
      <c r="H519" s="8" t="s">
        <v>364</v>
      </c>
    </row>
    <row r="520">
      <c r="H520" s="8" t="s">
        <v>364</v>
      </c>
    </row>
    <row r="521">
      <c r="H521" s="8" t="s">
        <v>364</v>
      </c>
    </row>
    <row r="522">
      <c r="H522" s="8" t="s">
        <v>364</v>
      </c>
    </row>
    <row r="523">
      <c r="H523" s="8" t="s">
        <v>364</v>
      </c>
    </row>
    <row r="524">
      <c r="H524" s="8" t="s">
        <v>364</v>
      </c>
    </row>
    <row r="525">
      <c r="H525" s="8" t="s">
        <v>364</v>
      </c>
    </row>
    <row r="526">
      <c r="H526" s="8" t="s">
        <v>364</v>
      </c>
    </row>
    <row r="527">
      <c r="H527" s="8" t="s">
        <v>364</v>
      </c>
    </row>
    <row r="528">
      <c r="H528" s="8" t="s">
        <v>364</v>
      </c>
    </row>
    <row r="529">
      <c r="H529" s="8" t="s">
        <v>364</v>
      </c>
    </row>
    <row r="530">
      <c r="H530" s="8" t="s">
        <v>364</v>
      </c>
    </row>
    <row r="531">
      <c r="H531" s="8" t="s">
        <v>364</v>
      </c>
    </row>
    <row r="532">
      <c r="H532" s="8" t="s">
        <v>364</v>
      </c>
    </row>
    <row r="533">
      <c r="H533" s="8" t="s">
        <v>364</v>
      </c>
    </row>
    <row r="534">
      <c r="H534" s="8" t="s">
        <v>364</v>
      </c>
    </row>
    <row r="535">
      <c r="H535" s="8" t="s">
        <v>364</v>
      </c>
    </row>
    <row r="536">
      <c r="H536" s="8" t="s">
        <v>364</v>
      </c>
    </row>
    <row r="537">
      <c r="H537" s="8" t="s">
        <v>364</v>
      </c>
    </row>
    <row r="538">
      <c r="H538" s="8" t="s">
        <v>364</v>
      </c>
    </row>
    <row r="539">
      <c r="H539" s="8" t="s">
        <v>364</v>
      </c>
    </row>
    <row r="540">
      <c r="H540" s="8" t="s">
        <v>364</v>
      </c>
    </row>
    <row r="541">
      <c r="H541" s="8" t="s">
        <v>364</v>
      </c>
    </row>
    <row r="542">
      <c r="H542" s="8" t="s">
        <v>364</v>
      </c>
    </row>
    <row r="543">
      <c r="H543" s="8" t="s">
        <v>364</v>
      </c>
    </row>
    <row r="544">
      <c r="H544" s="8" t="s">
        <v>364</v>
      </c>
    </row>
    <row r="545">
      <c r="H545" s="8" t="s">
        <v>364</v>
      </c>
    </row>
    <row r="546">
      <c r="H546" s="8" t="s">
        <v>364</v>
      </c>
    </row>
    <row r="547">
      <c r="H547" s="8" t="s">
        <v>364</v>
      </c>
    </row>
    <row r="548">
      <c r="H548" s="8" t="s">
        <v>364</v>
      </c>
    </row>
    <row r="549">
      <c r="H549" s="8" t="s">
        <v>364</v>
      </c>
    </row>
    <row r="550">
      <c r="H550" s="8" t="s">
        <v>364</v>
      </c>
    </row>
    <row r="551">
      <c r="H551" s="8" t="s">
        <v>364</v>
      </c>
    </row>
    <row r="552">
      <c r="H552" s="8" t="s">
        <v>364</v>
      </c>
    </row>
    <row r="553">
      <c r="H553" s="8" t="s">
        <v>364</v>
      </c>
    </row>
    <row r="554">
      <c r="H554" s="8" t="s">
        <v>364</v>
      </c>
    </row>
    <row r="555">
      <c r="H555" s="8" t="s">
        <v>364</v>
      </c>
    </row>
    <row r="556">
      <c r="H556" s="8" t="s">
        <v>364</v>
      </c>
    </row>
    <row r="557">
      <c r="H557" s="8" t="s">
        <v>364</v>
      </c>
    </row>
    <row r="558">
      <c r="H558" s="8" t="s">
        <v>364</v>
      </c>
    </row>
    <row r="559">
      <c r="H559" s="8" t="s">
        <v>364</v>
      </c>
    </row>
    <row r="560">
      <c r="H560" s="8" t="s">
        <v>364</v>
      </c>
    </row>
    <row r="561">
      <c r="H561" s="8" t="s">
        <v>364</v>
      </c>
    </row>
    <row r="562">
      <c r="H562" s="8" t="s">
        <v>364</v>
      </c>
    </row>
    <row r="563">
      <c r="H563" s="8" t="s">
        <v>364</v>
      </c>
    </row>
    <row r="564">
      <c r="H564" s="8" t="s">
        <v>364</v>
      </c>
    </row>
    <row r="565">
      <c r="H565" s="8" t="s">
        <v>364</v>
      </c>
    </row>
    <row r="566">
      <c r="H566" s="8" t="s">
        <v>364</v>
      </c>
    </row>
    <row r="567">
      <c r="H567" s="8" t="s">
        <v>364</v>
      </c>
    </row>
    <row r="568">
      <c r="H568" s="8" t="s">
        <v>364</v>
      </c>
    </row>
    <row r="569">
      <c r="H569" s="8" t="s">
        <v>364</v>
      </c>
    </row>
    <row r="570">
      <c r="H570" s="8" t="s">
        <v>364</v>
      </c>
    </row>
    <row r="571">
      <c r="H571" s="8" t="s">
        <v>364</v>
      </c>
    </row>
    <row r="572">
      <c r="H572" s="8" t="s">
        <v>364</v>
      </c>
    </row>
    <row r="573">
      <c r="H573" s="8" t="s">
        <v>364</v>
      </c>
    </row>
    <row r="574">
      <c r="H574" s="8" t="s">
        <v>364</v>
      </c>
    </row>
    <row r="575">
      <c r="H575" s="8" t="s">
        <v>364</v>
      </c>
    </row>
    <row r="576">
      <c r="H576" s="8" t="s">
        <v>364</v>
      </c>
    </row>
    <row r="577">
      <c r="H577" s="8" t="s">
        <v>364</v>
      </c>
    </row>
    <row r="578">
      <c r="H578" s="8" t="s">
        <v>364</v>
      </c>
    </row>
    <row r="579">
      <c r="H579" s="8" t="s">
        <v>364</v>
      </c>
    </row>
    <row r="580">
      <c r="H580" s="8" t="s">
        <v>364</v>
      </c>
    </row>
    <row r="581">
      <c r="H581" s="8" t="s">
        <v>364</v>
      </c>
    </row>
    <row r="582">
      <c r="H582" s="8" t="s">
        <v>364</v>
      </c>
    </row>
    <row r="583">
      <c r="H583" s="8" t="s">
        <v>364</v>
      </c>
    </row>
    <row r="584">
      <c r="H584" s="8" t="s">
        <v>364</v>
      </c>
    </row>
    <row r="585">
      <c r="H585" s="8" t="s">
        <v>364</v>
      </c>
    </row>
    <row r="586">
      <c r="H586" s="8" t="s">
        <v>364</v>
      </c>
    </row>
    <row r="587">
      <c r="H587" s="8" t="s">
        <v>364</v>
      </c>
    </row>
    <row r="588">
      <c r="H588" s="8" t="s">
        <v>364</v>
      </c>
    </row>
    <row r="589">
      <c r="H589" s="8" t="s">
        <v>364</v>
      </c>
    </row>
    <row r="590">
      <c r="H590" s="8" t="s">
        <v>364</v>
      </c>
    </row>
    <row r="591">
      <c r="H591" s="8" t="s">
        <v>364</v>
      </c>
    </row>
    <row r="592">
      <c r="H592" s="8" t="s">
        <v>364</v>
      </c>
    </row>
    <row r="593">
      <c r="H593" s="8" t="s">
        <v>364</v>
      </c>
    </row>
    <row r="594">
      <c r="H594" s="8" t="s">
        <v>364</v>
      </c>
    </row>
    <row r="595">
      <c r="H595" s="8" t="s">
        <v>364</v>
      </c>
    </row>
    <row r="596">
      <c r="H596" s="8" t="s">
        <v>364</v>
      </c>
    </row>
    <row r="597">
      <c r="H597" s="8" t="s">
        <v>364</v>
      </c>
    </row>
    <row r="598">
      <c r="H598" s="8" t="s">
        <v>364</v>
      </c>
    </row>
    <row r="599">
      <c r="H599" s="8" t="s">
        <v>364</v>
      </c>
    </row>
    <row r="600">
      <c r="H600" s="8" t="s">
        <v>364</v>
      </c>
    </row>
    <row r="601">
      <c r="H601" s="8" t="s">
        <v>364</v>
      </c>
    </row>
    <row r="602">
      <c r="H602" s="8" t="s">
        <v>364</v>
      </c>
    </row>
    <row r="603">
      <c r="H603" s="8" t="s">
        <v>364</v>
      </c>
    </row>
    <row r="604">
      <c r="H604" s="8" t="s">
        <v>364</v>
      </c>
    </row>
    <row r="605">
      <c r="H605" s="8" t="s">
        <v>364</v>
      </c>
    </row>
    <row r="606">
      <c r="H606" s="8" t="s">
        <v>364</v>
      </c>
    </row>
    <row r="607">
      <c r="H607" s="8" t="s">
        <v>364</v>
      </c>
    </row>
    <row r="608">
      <c r="H608" s="8" t="s">
        <v>364</v>
      </c>
    </row>
    <row r="609">
      <c r="H609" s="8" t="s">
        <v>364</v>
      </c>
    </row>
    <row r="610">
      <c r="H610" s="8" t="s">
        <v>364</v>
      </c>
    </row>
    <row r="611">
      <c r="H611" s="8" t="s">
        <v>364</v>
      </c>
    </row>
    <row r="612">
      <c r="H612" s="8" t="s">
        <v>364</v>
      </c>
    </row>
    <row r="613">
      <c r="H613" s="8" t="s">
        <v>364</v>
      </c>
    </row>
    <row r="614">
      <c r="H614" s="8" t="s">
        <v>364</v>
      </c>
    </row>
    <row r="615">
      <c r="H615" s="8" t="s">
        <v>364</v>
      </c>
    </row>
    <row r="616">
      <c r="H616" s="8" t="s">
        <v>364</v>
      </c>
    </row>
    <row r="617">
      <c r="H617" s="8" t="s">
        <v>364</v>
      </c>
    </row>
    <row r="618">
      <c r="H618" s="8" t="s">
        <v>364</v>
      </c>
    </row>
    <row r="619">
      <c r="H619" s="8" t="s">
        <v>364</v>
      </c>
    </row>
    <row r="620">
      <c r="H620" s="8" t="s">
        <v>364</v>
      </c>
    </row>
    <row r="621">
      <c r="H621" s="8" t="s">
        <v>364</v>
      </c>
    </row>
    <row r="622">
      <c r="H622" s="8" t="s">
        <v>364</v>
      </c>
    </row>
    <row r="623">
      <c r="H623" s="8" t="s">
        <v>364</v>
      </c>
    </row>
    <row r="624">
      <c r="H624" s="8" t="s">
        <v>364</v>
      </c>
    </row>
    <row r="625">
      <c r="H625" s="8" t="s">
        <v>364</v>
      </c>
    </row>
    <row r="626">
      <c r="H626" s="8" t="s">
        <v>364</v>
      </c>
    </row>
    <row r="627">
      <c r="H627" s="8" t="s">
        <v>364</v>
      </c>
    </row>
    <row r="628">
      <c r="H628" s="8" t="s">
        <v>364</v>
      </c>
    </row>
    <row r="629">
      <c r="H629" s="8" t="s">
        <v>364</v>
      </c>
    </row>
    <row r="630">
      <c r="H630" s="8" t="s">
        <v>364</v>
      </c>
    </row>
    <row r="631">
      <c r="H631" s="8" t="s">
        <v>364</v>
      </c>
    </row>
    <row r="632">
      <c r="H632" s="8" t="s">
        <v>364</v>
      </c>
    </row>
    <row r="633">
      <c r="H633" s="8" t="s">
        <v>364</v>
      </c>
    </row>
    <row r="634">
      <c r="H634" s="8" t="s">
        <v>364</v>
      </c>
    </row>
    <row r="635">
      <c r="H635" s="8" t="s">
        <v>364</v>
      </c>
    </row>
    <row r="636">
      <c r="H636" s="8" t="s">
        <v>364</v>
      </c>
    </row>
    <row r="637">
      <c r="H637" s="8" t="s">
        <v>364</v>
      </c>
    </row>
    <row r="638">
      <c r="H638" s="8" t="s">
        <v>364</v>
      </c>
    </row>
    <row r="639">
      <c r="H639" s="8" t="s">
        <v>364</v>
      </c>
    </row>
    <row r="640">
      <c r="H640" s="8" t="s">
        <v>364</v>
      </c>
    </row>
    <row r="641">
      <c r="H641" s="8" t="s">
        <v>364</v>
      </c>
    </row>
    <row r="642">
      <c r="H642" s="8" t="s">
        <v>364</v>
      </c>
    </row>
    <row r="643">
      <c r="H643" s="8" t="s">
        <v>364</v>
      </c>
    </row>
    <row r="644">
      <c r="H644" s="8" t="s">
        <v>364</v>
      </c>
    </row>
    <row r="645">
      <c r="H645" s="8" t="s">
        <v>364</v>
      </c>
    </row>
    <row r="646">
      <c r="H646" s="8" t="s">
        <v>364</v>
      </c>
    </row>
    <row r="647">
      <c r="H647" s="8" t="s">
        <v>364</v>
      </c>
    </row>
    <row r="648">
      <c r="H648" s="8" t="s">
        <v>364</v>
      </c>
    </row>
    <row r="649">
      <c r="H649" s="8" t="s">
        <v>364</v>
      </c>
    </row>
    <row r="650">
      <c r="H650" s="8" t="s">
        <v>364</v>
      </c>
    </row>
    <row r="651">
      <c r="H651" s="8" t="s">
        <v>364</v>
      </c>
    </row>
    <row r="652">
      <c r="H652" s="8" t="s">
        <v>364</v>
      </c>
    </row>
    <row r="653">
      <c r="H653" s="8" t="s">
        <v>364</v>
      </c>
    </row>
    <row r="654">
      <c r="H654" s="8" t="s">
        <v>364</v>
      </c>
    </row>
    <row r="655">
      <c r="H655" s="8" t="s">
        <v>364</v>
      </c>
    </row>
    <row r="656">
      <c r="H656" s="8" t="s">
        <v>364</v>
      </c>
    </row>
    <row r="657">
      <c r="H657" s="8" t="s">
        <v>364</v>
      </c>
    </row>
    <row r="658">
      <c r="H658" s="8" t="s">
        <v>364</v>
      </c>
    </row>
    <row r="659">
      <c r="H659" s="8" t="s">
        <v>364</v>
      </c>
    </row>
    <row r="660">
      <c r="H660" s="8" t="s">
        <v>364</v>
      </c>
    </row>
    <row r="661">
      <c r="H661" s="8" t="s">
        <v>364</v>
      </c>
    </row>
    <row r="662">
      <c r="H662" s="8" t="s">
        <v>364</v>
      </c>
    </row>
    <row r="663">
      <c r="H663" s="8" t="s">
        <v>364</v>
      </c>
    </row>
    <row r="664">
      <c r="H664" s="8" t="s">
        <v>364</v>
      </c>
    </row>
    <row r="665">
      <c r="H665" s="8" t="s">
        <v>364</v>
      </c>
    </row>
    <row r="666">
      <c r="H666" s="8" t="s">
        <v>364</v>
      </c>
    </row>
    <row r="667">
      <c r="H667" s="8" t="s">
        <v>364</v>
      </c>
    </row>
    <row r="668">
      <c r="H668" s="8" t="s">
        <v>364</v>
      </c>
    </row>
    <row r="669">
      <c r="H669" s="8" t="s">
        <v>364</v>
      </c>
    </row>
    <row r="670">
      <c r="H670" s="8" t="s">
        <v>364</v>
      </c>
    </row>
    <row r="671">
      <c r="H671" s="8" t="s">
        <v>364</v>
      </c>
    </row>
    <row r="672">
      <c r="H672" s="8" t="s">
        <v>364</v>
      </c>
    </row>
    <row r="673">
      <c r="H673" s="8" t="s">
        <v>364</v>
      </c>
    </row>
    <row r="674">
      <c r="H674" s="8" t="s">
        <v>364</v>
      </c>
    </row>
    <row r="675">
      <c r="H675" s="8" t="s">
        <v>364</v>
      </c>
    </row>
    <row r="676">
      <c r="H676" s="8" t="s">
        <v>364</v>
      </c>
    </row>
    <row r="677">
      <c r="H677" s="8" t="s">
        <v>364</v>
      </c>
    </row>
    <row r="678">
      <c r="H678" s="8" t="s">
        <v>364</v>
      </c>
    </row>
    <row r="679">
      <c r="H679" s="8" t="s">
        <v>364</v>
      </c>
    </row>
    <row r="680">
      <c r="H680" s="8" t="s">
        <v>364</v>
      </c>
    </row>
    <row r="681">
      <c r="H681" s="8" t="s">
        <v>364</v>
      </c>
    </row>
    <row r="682">
      <c r="H682" s="8" t="s">
        <v>364</v>
      </c>
    </row>
    <row r="683">
      <c r="H683" s="8" t="s">
        <v>364</v>
      </c>
    </row>
    <row r="684">
      <c r="H684" s="8" t="s">
        <v>364</v>
      </c>
    </row>
    <row r="685">
      <c r="H685" s="8" t="s">
        <v>364</v>
      </c>
    </row>
    <row r="686">
      <c r="H686" s="8" t="s">
        <v>364</v>
      </c>
    </row>
    <row r="687">
      <c r="H687" s="8" t="s">
        <v>364</v>
      </c>
    </row>
    <row r="688">
      <c r="H688" s="8" t="s">
        <v>364</v>
      </c>
    </row>
    <row r="689">
      <c r="H689" s="8" t="s">
        <v>364</v>
      </c>
    </row>
    <row r="690">
      <c r="H690" s="8" t="s">
        <v>364</v>
      </c>
    </row>
    <row r="691">
      <c r="H691" s="8" t="s">
        <v>364</v>
      </c>
    </row>
    <row r="692">
      <c r="H692" s="8" t="s">
        <v>364</v>
      </c>
    </row>
    <row r="693">
      <c r="H693" s="8" t="s">
        <v>364</v>
      </c>
    </row>
    <row r="694">
      <c r="H694" s="8" t="s">
        <v>364</v>
      </c>
    </row>
    <row r="695">
      <c r="H695" s="8" t="s">
        <v>364</v>
      </c>
    </row>
    <row r="696">
      <c r="H696" s="8" t="s">
        <v>364</v>
      </c>
    </row>
    <row r="697">
      <c r="H697" s="8" t="s">
        <v>364</v>
      </c>
    </row>
    <row r="698">
      <c r="H698" s="8" t="s">
        <v>364</v>
      </c>
    </row>
    <row r="699">
      <c r="H699" s="8" t="s">
        <v>364</v>
      </c>
    </row>
    <row r="700">
      <c r="H700" s="8" t="s">
        <v>364</v>
      </c>
    </row>
    <row r="701">
      <c r="H701" s="8" t="s">
        <v>364</v>
      </c>
    </row>
    <row r="702">
      <c r="H702" s="8" t="s">
        <v>364</v>
      </c>
    </row>
    <row r="703">
      <c r="H703" s="8" t="s">
        <v>364</v>
      </c>
    </row>
    <row r="704">
      <c r="H704" s="8" t="s">
        <v>364</v>
      </c>
    </row>
    <row r="705">
      <c r="H705" s="8" t="s">
        <v>364</v>
      </c>
    </row>
    <row r="706">
      <c r="H706" s="8" t="s">
        <v>364</v>
      </c>
    </row>
    <row r="707">
      <c r="H707" s="8" t="s">
        <v>364</v>
      </c>
    </row>
    <row r="708">
      <c r="H708" s="8" t="s">
        <v>364</v>
      </c>
    </row>
    <row r="709">
      <c r="H709" s="8" t="s">
        <v>364</v>
      </c>
    </row>
    <row r="710">
      <c r="H710" s="8" t="s">
        <v>364</v>
      </c>
    </row>
    <row r="711">
      <c r="H711" s="8" t="s">
        <v>364</v>
      </c>
    </row>
    <row r="712">
      <c r="H712" s="8" t="s">
        <v>364</v>
      </c>
    </row>
    <row r="713">
      <c r="H713" s="8" t="s">
        <v>364</v>
      </c>
    </row>
    <row r="714">
      <c r="H714" s="8" t="s">
        <v>364</v>
      </c>
    </row>
    <row r="715">
      <c r="H715" s="8" t="s">
        <v>364</v>
      </c>
    </row>
    <row r="716">
      <c r="H716" s="8" t="s">
        <v>364</v>
      </c>
    </row>
    <row r="717">
      <c r="H717" s="8" t="s">
        <v>364</v>
      </c>
    </row>
    <row r="718">
      <c r="H718" s="8" t="s">
        <v>364</v>
      </c>
    </row>
    <row r="719">
      <c r="H719" s="8" t="s">
        <v>364</v>
      </c>
    </row>
    <row r="720">
      <c r="H720" s="8" t="s">
        <v>364</v>
      </c>
    </row>
    <row r="721">
      <c r="H721" s="8" t="s">
        <v>364</v>
      </c>
    </row>
    <row r="722">
      <c r="H722" s="8" t="s">
        <v>364</v>
      </c>
    </row>
    <row r="723">
      <c r="H723" s="8" t="s">
        <v>364</v>
      </c>
    </row>
    <row r="724">
      <c r="H724" s="8" t="s">
        <v>364</v>
      </c>
    </row>
    <row r="725">
      <c r="H725" s="8" t="s">
        <v>364</v>
      </c>
    </row>
    <row r="726">
      <c r="H726" s="8" t="s">
        <v>364</v>
      </c>
    </row>
    <row r="727">
      <c r="H727" s="8" t="s">
        <v>364</v>
      </c>
    </row>
    <row r="728">
      <c r="H728" s="8" t="s">
        <v>364</v>
      </c>
    </row>
    <row r="729">
      <c r="H729" s="8" t="s">
        <v>364</v>
      </c>
    </row>
    <row r="730">
      <c r="H730" s="8" t="s">
        <v>364</v>
      </c>
    </row>
    <row r="731">
      <c r="H731" s="8" t="s">
        <v>364</v>
      </c>
    </row>
    <row r="732">
      <c r="H732" s="8" t="s">
        <v>364</v>
      </c>
    </row>
    <row r="733">
      <c r="H733" s="8" t="s">
        <v>364</v>
      </c>
    </row>
    <row r="734">
      <c r="H734" s="8" t="s">
        <v>364</v>
      </c>
    </row>
    <row r="735">
      <c r="H735" s="8" t="s">
        <v>364</v>
      </c>
    </row>
    <row r="736">
      <c r="H736" s="8" t="s">
        <v>364</v>
      </c>
    </row>
    <row r="737">
      <c r="H737" s="8" t="s">
        <v>364</v>
      </c>
    </row>
    <row r="738">
      <c r="H738" s="8" t="s">
        <v>364</v>
      </c>
    </row>
    <row r="739">
      <c r="H739" s="8" t="s">
        <v>364</v>
      </c>
    </row>
    <row r="740">
      <c r="H740" s="8" t="s">
        <v>364</v>
      </c>
    </row>
    <row r="741">
      <c r="H741" s="8" t="s">
        <v>364</v>
      </c>
    </row>
    <row r="742">
      <c r="H742" s="8" t="s">
        <v>364</v>
      </c>
    </row>
    <row r="743">
      <c r="H743" s="8" t="s">
        <v>364</v>
      </c>
    </row>
    <row r="744">
      <c r="H744" s="8" t="s">
        <v>364</v>
      </c>
    </row>
    <row r="745">
      <c r="H745" s="8" t="s">
        <v>364</v>
      </c>
    </row>
    <row r="746">
      <c r="H746" s="8" t="s">
        <v>364</v>
      </c>
    </row>
    <row r="747">
      <c r="H747" s="8" t="s">
        <v>364</v>
      </c>
    </row>
    <row r="748">
      <c r="H748" s="8" t="s">
        <v>364</v>
      </c>
    </row>
    <row r="749">
      <c r="H749" s="8" t="s">
        <v>364</v>
      </c>
    </row>
    <row r="750">
      <c r="H750" s="8" t="s">
        <v>364</v>
      </c>
    </row>
    <row r="751">
      <c r="H751" s="8" t="s">
        <v>364</v>
      </c>
    </row>
    <row r="752">
      <c r="H752" s="8" t="s">
        <v>364</v>
      </c>
    </row>
    <row r="753">
      <c r="H753" s="8" t="s">
        <v>364</v>
      </c>
    </row>
    <row r="754">
      <c r="H754" s="8" t="s">
        <v>364</v>
      </c>
    </row>
    <row r="755">
      <c r="H755" s="8" t="s">
        <v>364</v>
      </c>
    </row>
    <row r="756">
      <c r="H756" s="8" t="s">
        <v>364</v>
      </c>
    </row>
    <row r="757">
      <c r="H757" s="8" t="s">
        <v>364</v>
      </c>
    </row>
    <row r="758">
      <c r="H758" s="8" t="s">
        <v>364</v>
      </c>
    </row>
    <row r="759">
      <c r="H759" s="8" t="s">
        <v>364</v>
      </c>
    </row>
    <row r="760">
      <c r="H760" s="8" t="s">
        <v>364</v>
      </c>
    </row>
    <row r="761">
      <c r="H761" s="8" t="s">
        <v>364</v>
      </c>
    </row>
    <row r="762">
      <c r="H762" s="8" t="s">
        <v>364</v>
      </c>
    </row>
    <row r="763">
      <c r="H763" s="8" t="s">
        <v>364</v>
      </c>
    </row>
    <row r="764">
      <c r="H764" s="8" t="s">
        <v>364</v>
      </c>
    </row>
    <row r="765">
      <c r="H765" s="8" t="s">
        <v>364</v>
      </c>
    </row>
    <row r="766">
      <c r="H766" s="8" t="s">
        <v>364</v>
      </c>
    </row>
    <row r="767">
      <c r="H767" s="8" t="s">
        <v>364</v>
      </c>
    </row>
    <row r="768">
      <c r="H768" s="8" t="s">
        <v>364</v>
      </c>
    </row>
    <row r="769">
      <c r="H769" s="8" t="s">
        <v>364</v>
      </c>
    </row>
    <row r="770">
      <c r="H770" s="8" t="s">
        <v>364</v>
      </c>
    </row>
    <row r="771">
      <c r="H771" s="8" t="s">
        <v>364</v>
      </c>
    </row>
    <row r="772">
      <c r="H772" s="8" t="s">
        <v>364</v>
      </c>
    </row>
    <row r="773">
      <c r="H773" s="8" t="s">
        <v>364</v>
      </c>
    </row>
    <row r="774">
      <c r="H774" s="8" t="s">
        <v>364</v>
      </c>
    </row>
    <row r="775">
      <c r="H775" s="8" t="s">
        <v>364</v>
      </c>
    </row>
    <row r="776">
      <c r="H776" s="8" t="s">
        <v>364</v>
      </c>
    </row>
    <row r="777">
      <c r="H777" s="8" t="s">
        <v>364</v>
      </c>
    </row>
    <row r="778">
      <c r="H778" s="8" t="s">
        <v>364</v>
      </c>
    </row>
    <row r="779">
      <c r="H779" s="8" t="s">
        <v>364</v>
      </c>
    </row>
    <row r="780">
      <c r="H780" s="8" t="s">
        <v>364</v>
      </c>
    </row>
    <row r="781">
      <c r="H781" s="8" t="s">
        <v>364</v>
      </c>
    </row>
    <row r="782">
      <c r="H782" s="8" t="s">
        <v>364</v>
      </c>
    </row>
    <row r="783">
      <c r="H783" s="8" t="s">
        <v>364</v>
      </c>
    </row>
    <row r="784">
      <c r="H784" s="8" t="s">
        <v>364</v>
      </c>
    </row>
    <row r="785">
      <c r="H785" s="8" t="s">
        <v>364</v>
      </c>
    </row>
    <row r="786">
      <c r="H786" s="8" t="s">
        <v>364</v>
      </c>
    </row>
    <row r="787">
      <c r="H787" s="8" t="s">
        <v>364</v>
      </c>
    </row>
    <row r="788">
      <c r="H788" s="8" t="s">
        <v>364</v>
      </c>
    </row>
    <row r="789">
      <c r="H789" s="8" t="s">
        <v>364</v>
      </c>
    </row>
    <row r="790">
      <c r="H790" s="8" t="s">
        <v>364</v>
      </c>
    </row>
    <row r="791">
      <c r="H791" s="8" t="s">
        <v>364</v>
      </c>
    </row>
    <row r="792">
      <c r="H792" s="8" t="s">
        <v>364</v>
      </c>
    </row>
    <row r="793">
      <c r="H793" s="8" t="s">
        <v>364</v>
      </c>
    </row>
    <row r="794">
      <c r="H794" s="8" t="s">
        <v>364</v>
      </c>
    </row>
    <row r="795">
      <c r="H795" s="8" t="s">
        <v>364</v>
      </c>
    </row>
    <row r="796">
      <c r="H796" s="8" t="s">
        <v>364</v>
      </c>
    </row>
    <row r="797">
      <c r="H797" s="8" t="s">
        <v>364</v>
      </c>
    </row>
    <row r="798">
      <c r="H798" s="8" t="s">
        <v>364</v>
      </c>
    </row>
    <row r="799">
      <c r="H799" s="8" t="s">
        <v>364</v>
      </c>
    </row>
    <row r="800">
      <c r="H800" s="8" t="s">
        <v>364</v>
      </c>
    </row>
    <row r="801">
      <c r="H801" s="8" t="s">
        <v>364</v>
      </c>
    </row>
    <row r="802">
      <c r="H802" s="8" t="s">
        <v>364</v>
      </c>
    </row>
    <row r="803">
      <c r="H803" s="8" t="s">
        <v>364</v>
      </c>
    </row>
    <row r="804">
      <c r="H804" s="8" t="s">
        <v>364</v>
      </c>
    </row>
    <row r="805">
      <c r="H805" s="8" t="s">
        <v>364</v>
      </c>
    </row>
    <row r="806">
      <c r="H806" s="8" t="s">
        <v>364</v>
      </c>
    </row>
    <row r="807">
      <c r="H807" s="8" t="s">
        <v>364</v>
      </c>
    </row>
    <row r="808">
      <c r="H808" s="8" t="s">
        <v>364</v>
      </c>
    </row>
    <row r="809">
      <c r="H809" s="8" t="s">
        <v>364</v>
      </c>
    </row>
    <row r="810">
      <c r="H810" s="8" t="s">
        <v>364</v>
      </c>
    </row>
    <row r="811">
      <c r="H811" s="8" t="s">
        <v>364</v>
      </c>
    </row>
    <row r="812">
      <c r="H812" s="8" t="s">
        <v>364</v>
      </c>
    </row>
    <row r="813">
      <c r="H813" s="8" t="s">
        <v>364</v>
      </c>
    </row>
    <row r="814">
      <c r="H814" s="8" t="s">
        <v>364</v>
      </c>
    </row>
    <row r="815">
      <c r="H815" s="8" t="s">
        <v>364</v>
      </c>
    </row>
    <row r="816">
      <c r="H816" s="8" t="s">
        <v>364</v>
      </c>
    </row>
    <row r="817">
      <c r="H817" s="8" t="s">
        <v>364</v>
      </c>
    </row>
    <row r="818">
      <c r="H818" s="8" t="s">
        <v>364</v>
      </c>
    </row>
    <row r="819">
      <c r="H819" s="8" t="s">
        <v>364</v>
      </c>
    </row>
    <row r="820">
      <c r="H820" s="8" t="s">
        <v>364</v>
      </c>
    </row>
    <row r="821">
      <c r="H821" s="8" t="s">
        <v>364</v>
      </c>
    </row>
    <row r="822">
      <c r="H822" s="8" t="s">
        <v>364</v>
      </c>
    </row>
    <row r="823">
      <c r="H823" s="8" t="s">
        <v>364</v>
      </c>
    </row>
    <row r="824">
      <c r="H824" s="8" t="s">
        <v>364</v>
      </c>
    </row>
    <row r="825">
      <c r="H825" s="8" t="s">
        <v>364</v>
      </c>
    </row>
    <row r="826">
      <c r="H826" s="8" t="s">
        <v>364</v>
      </c>
    </row>
    <row r="827">
      <c r="H827" s="8" t="s">
        <v>364</v>
      </c>
    </row>
    <row r="828">
      <c r="H828" s="8" t="s">
        <v>364</v>
      </c>
    </row>
    <row r="829">
      <c r="H829" s="8" t="s">
        <v>364</v>
      </c>
    </row>
    <row r="830">
      <c r="H830" s="8" t="s">
        <v>364</v>
      </c>
    </row>
    <row r="831">
      <c r="H831" s="8" t="s">
        <v>364</v>
      </c>
    </row>
    <row r="832">
      <c r="H832" s="8" t="s">
        <v>364</v>
      </c>
    </row>
    <row r="833">
      <c r="H833" s="8" t="s">
        <v>364</v>
      </c>
    </row>
    <row r="834">
      <c r="H834" s="8" t="s">
        <v>364</v>
      </c>
    </row>
    <row r="835">
      <c r="H835" s="8" t="s">
        <v>364</v>
      </c>
    </row>
    <row r="836">
      <c r="H836" s="8" t="s">
        <v>364</v>
      </c>
    </row>
    <row r="837">
      <c r="H837" s="8" t="s">
        <v>364</v>
      </c>
    </row>
    <row r="838">
      <c r="H838" s="8" t="s">
        <v>364</v>
      </c>
    </row>
    <row r="839">
      <c r="H839" s="8" t="s">
        <v>364</v>
      </c>
    </row>
    <row r="840">
      <c r="H840" s="8" t="s">
        <v>364</v>
      </c>
    </row>
    <row r="841">
      <c r="H841" s="8" t="s">
        <v>364</v>
      </c>
    </row>
    <row r="842">
      <c r="H842" s="8" t="s">
        <v>364</v>
      </c>
    </row>
    <row r="843">
      <c r="H843" s="8" t="s">
        <v>364</v>
      </c>
    </row>
    <row r="844">
      <c r="H844" s="8" t="s">
        <v>364</v>
      </c>
    </row>
    <row r="845">
      <c r="H845" s="8" t="s">
        <v>364</v>
      </c>
    </row>
    <row r="846">
      <c r="H846" s="8" t="s">
        <v>364</v>
      </c>
    </row>
    <row r="847">
      <c r="H847" s="8" t="s">
        <v>364</v>
      </c>
    </row>
    <row r="848">
      <c r="H848" s="8" t="s">
        <v>364</v>
      </c>
    </row>
    <row r="849">
      <c r="H849" s="8" t="s">
        <v>364</v>
      </c>
    </row>
    <row r="850">
      <c r="H850" s="8" t="s">
        <v>364</v>
      </c>
    </row>
    <row r="851">
      <c r="H851" s="8" t="s">
        <v>364</v>
      </c>
    </row>
    <row r="852">
      <c r="H852" s="8" t="s">
        <v>364</v>
      </c>
    </row>
    <row r="853">
      <c r="H853" s="8" t="s">
        <v>364</v>
      </c>
    </row>
    <row r="854">
      <c r="H854" s="8" t="s">
        <v>364</v>
      </c>
    </row>
    <row r="855">
      <c r="H855" s="8" t="s">
        <v>364</v>
      </c>
    </row>
    <row r="856">
      <c r="H856" s="8" t="s">
        <v>364</v>
      </c>
    </row>
    <row r="857">
      <c r="H857" s="8" t="s">
        <v>364</v>
      </c>
    </row>
    <row r="858">
      <c r="H858" s="8" t="s">
        <v>364</v>
      </c>
    </row>
    <row r="859">
      <c r="H859" s="8" t="s">
        <v>364</v>
      </c>
    </row>
    <row r="860">
      <c r="H860" s="8" t="s">
        <v>364</v>
      </c>
    </row>
    <row r="861">
      <c r="H861" s="8" t="s">
        <v>364</v>
      </c>
    </row>
    <row r="862">
      <c r="H862" s="8" t="s">
        <v>364</v>
      </c>
    </row>
    <row r="863">
      <c r="H863" s="8" t="s">
        <v>364</v>
      </c>
    </row>
    <row r="864">
      <c r="H864" s="8" t="s">
        <v>364</v>
      </c>
    </row>
    <row r="865">
      <c r="H865" s="8" t="s">
        <v>364</v>
      </c>
    </row>
    <row r="866">
      <c r="H866" s="8" t="s">
        <v>364</v>
      </c>
    </row>
    <row r="867">
      <c r="H867" s="8" t="s">
        <v>364</v>
      </c>
    </row>
    <row r="868">
      <c r="H868" s="8" t="s">
        <v>364</v>
      </c>
    </row>
    <row r="869">
      <c r="H869" s="8" t="s">
        <v>364</v>
      </c>
    </row>
    <row r="870">
      <c r="H870" s="8" t="s">
        <v>364</v>
      </c>
    </row>
    <row r="871">
      <c r="H871" s="8" t="s">
        <v>364</v>
      </c>
    </row>
    <row r="872">
      <c r="H872" s="8" t="s">
        <v>364</v>
      </c>
    </row>
    <row r="873">
      <c r="H873" s="8" t="s">
        <v>364</v>
      </c>
    </row>
    <row r="874">
      <c r="H874" s="8" t="s">
        <v>364</v>
      </c>
    </row>
    <row r="875">
      <c r="H875" s="8" t="s">
        <v>364</v>
      </c>
    </row>
    <row r="876">
      <c r="H876" s="8" t="s">
        <v>364</v>
      </c>
    </row>
    <row r="877">
      <c r="H877" s="8" t="s">
        <v>364</v>
      </c>
    </row>
    <row r="878">
      <c r="H878" s="8" t="s">
        <v>364</v>
      </c>
    </row>
    <row r="879">
      <c r="H879" s="8" t="s">
        <v>364</v>
      </c>
    </row>
    <row r="880">
      <c r="H880" s="8" t="s">
        <v>364</v>
      </c>
    </row>
    <row r="881">
      <c r="H881" s="8" t="s">
        <v>364</v>
      </c>
    </row>
    <row r="882">
      <c r="H882" s="8" t="s">
        <v>364</v>
      </c>
    </row>
    <row r="883">
      <c r="H883" s="8" t="s">
        <v>364</v>
      </c>
    </row>
    <row r="884">
      <c r="H884" s="8" t="s">
        <v>364</v>
      </c>
    </row>
    <row r="885">
      <c r="H885" s="8" t="s">
        <v>364</v>
      </c>
    </row>
    <row r="886">
      <c r="H886" s="8" t="s">
        <v>364</v>
      </c>
    </row>
    <row r="887">
      <c r="H887" s="8" t="s">
        <v>364</v>
      </c>
    </row>
    <row r="888">
      <c r="H888" s="8" t="s">
        <v>364</v>
      </c>
    </row>
    <row r="889">
      <c r="H889" s="8" t="s">
        <v>364</v>
      </c>
    </row>
    <row r="890">
      <c r="H890" s="8" t="s">
        <v>364</v>
      </c>
    </row>
    <row r="891">
      <c r="H891" s="8" t="s">
        <v>364</v>
      </c>
    </row>
    <row r="892">
      <c r="H892" s="8" t="s">
        <v>364</v>
      </c>
    </row>
    <row r="893">
      <c r="H893" s="8" t="s">
        <v>364</v>
      </c>
    </row>
    <row r="894">
      <c r="H894" s="8" t="s">
        <v>364</v>
      </c>
    </row>
    <row r="895">
      <c r="H895" s="8" t="s">
        <v>364</v>
      </c>
    </row>
    <row r="896">
      <c r="H896" s="8" t="s">
        <v>364</v>
      </c>
    </row>
    <row r="897">
      <c r="H897" s="8" t="s">
        <v>364</v>
      </c>
    </row>
    <row r="898">
      <c r="H898" s="8" t="s">
        <v>364</v>
      </c>
    </row>
    <row r="899">
      <c r="H899" s="8" t="s">
        <v>364</v>
      </c>
    </row>
    <row r="900">
      <c r="H900" s="8" t="s">
        <v>364</v>
      </c>
    </row>
    <row r="901">
      <c r="H901" s="8" t="s">
        <v>364</v>
      </c>
    </row>
    <row r="902">
      <c r="H902" s="8" t="s">
        <v>364</v>
      </c>
    </row>
    <row r="903">
      <c r="H903" s="8" t="s">
        <v>364</v>
      </c>
    </row>
    <row r="904">
      <c r="H904" s="8" t="s">
        <v>364</v>
      </c>
    </row>
    <row r="905">
      <c r="H905" s="8" t="s">
        <v>364</v>
      </c>
    </row>
    <row r="906">
      <c r="H906" s="8" t="s">
        <v>364</v>
      </c>
    </row>
    <row r="907">
      <c r="H907" s="8" t="s">
        <v>364</v>
      </c>
    </row>
    <row r="908">
      <c r="H908" s="8" t="s">
        <v>364</v>
      </c>
    </row>
    <row r="909">
      <c r="H909" s="8" t="s">
        <v>364</v>
      </c>
    </row>
    <row r="910">
      <c r="H910" s="8" t="s">
        <v>364</v>
      </c>
    </row>
    <row r="911">
      <c r="H911" s="8" t="s">
        <v>364</v>
      </c>
    </row>
    <row r="912">
      <c r="H912" s="8" t="s">
        <v>364</v>
      </c>
    </row>
    <row r="913">
      <c r="H913" s="8" t="s">
        <v>364</v>
      </c>
    </row>
    <row r="914">
      <c r="H914" s="8" t="s">
        <v>364</v>
      </c>
    </row>
    <row r="915">
      <c r="H915" s="8" t="s">
        <v>364</v>
      </c>
    </row>
    <row r="916">
      <c r="H916" s="8" t="s">
        <v>364</v>
      </c>
    </row>
    <row r="917">
      <c r="H917" s="8" t="s">
        <v>364</v>
      </c>
    </row>
    <row r="918">
      <c r="H918" s="8" t="s">
        <v>364</v>
      </c>
    </row>
    <row r="919">
      <c r="H919" s="8" t="s">
        <v>364</v>
      </c>
    </row>
    <row r="920">
      <c r="H920" s="8" t="s">
        <v>364</v>
      </c>
    </row>
    <row r="921">
      <c r="H921" s="8" t="s">
        <v>364</v>
      </c>
    </row>
    <row r="922">
      <c r="H922" s="8" t="s">
        <v>364</v>
      </c>
    </row>
    <row r="923">
      <c r="H923" s="8" t="s">
        <v>364</v>
      </c>
    </row>
    <row r="924">
      <c r="H924" s="8" t="s">
        <v>364</v>
      </c>
    </row>
    <row r="925">
      <c r="H925" s="8" t="s">
        <v>364</v>
      </c>
    </row>
    <row r="926">
      <c r="H926" s="8" t="s">
        <v>364</v>
      </c>
    </row>
    <row r="927">
      <c r="H927" s="8" t="s">
        <v>364</v>
      </c>
    </row>
    <row r="928">
      <c r="H928" s="8" t="s">
        <v>364</v>
      </c>
    </row>
    <row r="929">
      <c r="H929" s="8" t="s">
        <v>364</v>
      </c>
    </row>
    <row r="930">
      <c r="H930" s="8" t="s">
        <v>364</v>
      </c>
    </row>
    <row r="931">
      <c r="H931" s="8" t="s">
        <v>364</v>
      </c>
    </row>
    <row r="932">
      <c r="H932" s="8" t="s">
        <v>364</v>
      </c>
    </row>
    <row r="933">
      <c r="H933" s="8" t="s">
        <v>364</v>
      </c>
    </row>
    <row r="934">
      <c r="H934" s="8" t="s">
        <v>364</v>
      </c>
    </row>
    <row r="935">
      <c r="H935" s="8" t="s">
        <v>364</v>
      </c>
    </row>
    <row r="936">
      <c r="H936" s="8" t="s">
        <v>364</v>
      </c>
    </row>
    <row r="937">
      <c r="H937" s="8" t="s">
        <v>364</v>
      </c>
    </row>
    <row r="938">
      <c r="H938" s="8" t="s">
        <v>364</v>
      </c>
    </row>
    <row r="939">
      <c r="H939" s="8" t="s">
        <v>364</v>
      </c>
    </row>
    <row r="940">
      <c r="H940" s="8" t="s">
        <v>364</v>
      </c>
    </row>
    <row r="941">
      <c r="H941" s="8" t="s">
        <v>364</v>
      </c>
    </row>
    <row r="942">
      <c r="H942" s="8" t="s">
        <v>364</v>
      </c>
    </row>
    <row r="943">
      <c r="H943" s="8" t="s">
        <v>364</v>
      </c>
    </row>
    <row r="944">
      <c r="H944" s="8" t="s">
        <v>364</v>
      </c>
    </row>
    <row r="945">
      <c r="H945" s="8" t="s">
        <v>364</v>
      </c>
    </row>
    <row r="946">
      <c r="H946" s="8" t="s">
        <v>364</v>
      </c>
    </row>
    <row r="947">
      <c r="H947" s="8" t="s">
        <v>364</v>
      </c>
    </row>
    <row r="948">
      <c r="H948" s="8" t="s">
        <v>364</v>
      </c>
    </row>
    <row r="949">
      <c r="H949" s="8" t="s">
        <v>364</v>
      </c>
    </row>
    <row r="950">
      <c r="H950" s="8" t="s">
        <v>364</v>
      </c>
    </row>
    <row r="951">
      <c r="H951" s="8" t="s">
        <v>364</v>
      </c>
    </row>
    <row r="952">
      <c r="H952" s="8" t="s">
        <v>364</v>
      </c>
    </row>
    <row r="953">
      <c r="H953" s="8" t="s">
        <v>364</v>
      </c>
    </row>
    <row r="954">
      <c r="H954" s="8" t="s">
        <v>364</v>
      </c>
    </row>
    <row r="955">
      <c r="H955" s="8" t="s">
        <v>364</v>
      </c>
    </row>
    <row r="956">
      <c r="H956" s="8" t="s">
        <v>364</v>
      </c>
    </row>
    <row r="957">
      <c r="H957" s="8" t="s">
        <v>364</v>
      </c>
    </row>
    <row r="958">
      <c r="H958" s="8" t="s">
        <v>364</v>
      </c>
    </row>
    <row r="959">
      <c r="H959" s="8" t="s">
        <v>364</v>
      </c>
    </row>
    <row r="960">
      <c r="H960" s="8" t="s">
        <v>364</v>
      </c>
    </row>
    <row r="961">
      <c r="H961" s="8" t="s">
        <v>364</v>
      </c>
    </row>
    <row r="962">
      <c r="H962" s="8" t="s">
        <v>364</v>
      </c>
    </row>
    <row r="963">
      <c r="H963" s="8" t="s">
        <v>364</v>
      </c>
    </row>
    <row r="964">
      <c r="H964" s="8" t="s">
        <v>364</v>
      </c>
    </row>
    <row r="965">
      <c r="H965" s="8" t="s">
        <v>364</v>
      </c>
    </row>
    <row r="966">
      <c r="H966" s="8" t="s">
        <v>364</v>
      </c>
    </row>
    <row r="967">
      <c r="H967" s="8" t="s">
        <v>364</v>
      </c>
    </row>
    <row r="968">
      <c r="H968" s="8" t="s">
        <v>364</v>
      </c>
    </row>
    <row r="969">
      <c r="H969" s="8" t="s">
        <v>364</v>
      </c>
    </row>
    <row r="970">
      <c r="H970" s="8" t="s">
        <v>364</v>
      </c>
    </row>
    <row r="971">
      <c r="H971" s="8" t="s">
        <v>364</v>
      </c>
    </row>
    <row r="972">
      <c r="H972" s="8" t="s">
        <v>364</v>
      </c>
    </row>
    <row r="973">
      <c r="H973" s="8" t="s">
        <v>364</v>
      </c>
    </row>
    <row r="974">
      <c r="H974" s="8" t="s">
        <v>364</v>
      </c>
    </row>
    <row r="975">
      <c r="H975" s="8" t="s">
        <v>364</v>
      </c>
    </row>
    <row r="976">
      <c r="H976" s="8" t="s">
        <v>364</v>
      </c>
    </row>
    <row r="977">
      <c r="H977" s="8" t="s">
        <v>364</v>
      </c>
    </row>
    <row r="978">
      <c r="H978" s="8" t="s">
        <v>364</v>
      </c>
    </row>
    <row r="979">
      <c r="H979" s="8" t="s">
        <v>364</v>
      </c>
    </row>
    <row r="980">
      <c r="H980" s="8" t="s">
        <v>364</v>
      </c>
    </row>
    <row r="981">
      <c r="H981" s="8" t="s">
        <v>364</v>
      </c>
    </row>
    <row r="982">
      <c r="H982" s="8" t="s">
        <v>364</v>
      </c>
    </row>
    <row r="983">
      <c r="H983" s="8" t="s">
        <v>364</v>
      </c>
    </row>
    <row r="984">
      <c r="H984" s="8" t="s">
        <v>364</v>
      </c>
    </row>
    <row r="985">
      <c r="H985" s="8" t="s">
        <v>364</v>
      </c>
    </row>
    <row r="986">
      <c r="H986" s="8" t="s">
        <v>364</v>
      </c>
    </row>
    <row r="987">
      <c r="H987" s="8" t="s">
        <v>364</v>
      </c>
    </row>
    <row r="988">
      <c r="H988" s="8" t="s">
        <v>364</v>
      </c>
    </row>
    <row r="989">
      <c r="H989" s="8" t="s">
        <v>364</v>
      </c>
    </row>
    <row r="990">
      <c r="H990" s="8" t="s">
        <v>364</v>
      </c>
    </row>
    <row r="991">
      <c r="H991" s="8" t="s">
        <v>364</v>
      </c>
    </row>
    <row r="992">
      <c r="H992" s="8" t="s">
        <v>364</v>
      </c>
    </row>
    <row r="993">
      <c r="H993" s="8" t="s">
        <v>364</v>
      </c>
    </row>
    <row r="994">
      <c r="H994" s="8" t="s">
        <v>364</v>
      </c>
    </row>
    <row r="995">
      <c r="H995" s="8" t="s">
        <v>364</v>
      </c>
    </row>
    <row r="996">
      <c r="H996" s="8" t="s">
        <v>364</v>
      </c>
    </row>
    <row r="997">
      <c r="H997" s="8" t="s">
        <v>364</v>
      </c>
    </row>
    <row r="998">
      <c r="H998" s="8" t="s">
        <v>364</v>
      </c>
    </row>
    <row r="999">
      <c r="H999" s="8" t="s">
        <v>364</v>
      </c>
    </row>
    <row r="1000">
      <c r="H1000" s="8" t="s">
        <v>364</v>
      </c>
    </row>
    <row r="1001">
      <c r="H1001" s="8" t="s">
        <v>364</v>
      </c>
    </row>
    <row r="1002">
      <c r="H1002" s="8" t="s">
        <v>364</v>
      </c>
    </row>
    <row r="1003">
      <c r="H1003" s="8" t="s">
        <v>364</v>
      </c>
    </row>
    <row r="1004">
      <c r="H1004" s="8" t="s">
        <v>364</v>
      </c>
    </row>
    <row r="1005">
      <c r="H1005" s="8" t="s">
        <v>364</v>
      </c>
    </row>
    <row r="1006">
      <c r="H1006" s="8" t="s">
        <v>364</v>
      </c>
    </row>
    <row r="1007">
      <c r="H1007" s="8" t="s">
        <v>364</v>
      </c>
    </row>
    <row r="1008">
      <c r="H1008" s="8" t="s">
        <v>364</v>
      </c>
    </row>
    <row r="1009">
      <c r="H1009" s="8" t="s">
        <v>364</v>
      </c>
    </row>
    <row r="1010">
      <c r="H1010" s="8" t="s">
        <v>364</v>
      </c>
    </row>
    <row r="1011">
      <c r="H1011" s="8" t="s">
        <v>364</v>
      </c>
    </row>
    <row r="1012">
      <c r="H1012" s="8" t="s">
        <v>364</v>
      </c>
    </row>
    <row r="1013">
      <c r="H1013" s="8" t="s">
        <v>364</v>
      </c>
    </row>
    <row r="1014">
      <c r="H1014" s="8" t="s">
        <v>364</v>
      </c>
    </row>
    <row r="1015">
      <c r="H1015" s="8" t="s">
        <v>364</v>
      </c>
    </row>
    <row r="1016">
      <c r="H1016" s="8" t="s">
        <v>364</v>
      </c>
    </row>
    <row r="1017">
      <c r="H1017" s="8" t="s">
        <v>364</v>
      </c>
    </row>
    <row r="1018">
      <c r="H1018" s="8" t="s">
        <v>364</v>
      </c>
    </row>
    <row r="1019">
      <c r="H1019" s="8" t="s">
        <v>364</v>
      </c>
    </row>
    <row r="1020">
      <c r="H1020" s="8" t="s">
        <v>364</v>
      </c>
    </row>
    <row r="1021">
      <c r="H1021" s="8" t="s">
        <v>364</v>
      </c>
    </row>
    <row r="1022">
      <c r="H1022" s="8" t="s">
        <v>364</v>
      </c>
    </row>
    <row r="1023">
      <c r="H1023" s="8" t="s">
        <v>364</v>
      </c>
    </row>
    <row r="1024">
      <c r="H1024" s="8" t="s">
        <v>364</v>
      </c>
    </row>
    <row r="1025">
      <c r="H1025" s="8" t="s">
        <v>364</v>
      </c>
    </row>
    <row r="1026">
      <c r="H1026" s="8" t="s">
        <v>364</v>
      </c>
    </row>
    <row r="1027">
      <c r="H1027" s="8" t="s">
        <v>364</v>
      </c>
    </row>
    <row r="1028">
      <c r="H1028" s="8" t="s">
        <v>364</v>
      </c>
    </row>
    <row r="1029">
      <c r="H1029" s="8" t="s">
        <v>364</v>
      </c>
    </row>
    <row r="1030">
      <c r="H1030" s="8" t="s">
        <v>364</v>
      </c>
    </row>
    <row r="1031">
      <c r="H1031" s="8" t="s">
        <v>364</v>
      </c>
    </row>
    <row r="1032">
      <c r="H1032" s="8" t="s">
        <v>364</v>
      </c>
    </row>
    <row r="1033">
      <c r="H1033" s="8" t="s">
        <v>364</v>
      </c>
    </row>
    <row r="1034">
      <c r="H1034" s="8" t="s">
        <v>364</v>
      </c>
    </row>
    <row r="1035">
      <c r="H1035" s="8" t="s">
        <v>364</v>
      </c>
    </row>
    <row r="1036">
      <c r="H1036" s="8" t="s">
        <v>364</v>
      </c>
    </row>
    <row r="1037">
      <c r="H1037" s="8" t="s">
        <v>364</v>
      </c>
    </row>
    <row r="1038">
      <c r="H1038" s="8" t="s">
        <v>364</v>
      </c>
    </row>
    <row r="1039">
      <c r="H1039" s="8" t="s">
        <v>364</v>
      </c>
    </row>
    <row r="1040">
      <c r="H1040" s="8" t="s">
        <v>364</v>
      </c>
    </row>
    <row r="1041">
      <c r="H1041" s="8" t="s">
        <v>364</v>
      </c>
    </row>
    <row r="1042">
      <c r="H1042" s="8" t="s">
        <v>364</v>
      </c>
    </row>
    <row r="1043">
      <c r="H1043" s="8" t="s">
        <v>364</v>
      </c>
    </row>
    <row r="1044">
      <c r="H1044" s="8" t="s">
        <v>364</v>
      </c>
    </row>
    <row r="1045">
      <c r="H1045" s="8" t="s">
        <v>364</v>
      </c>
    </row>
    <row r="1046">
      <c r="H1046" s="8" t="s">
        <v>364</v>
      </c>
    </row>
    <row r="1047">
      <c r="H1047" s="8" t="s">
        <v>364</v>
      </c>
    </row>
    <row r="1048">
      <c r="H1048" s="8" t="s">
        <v>364</v>
      </c>
    </row>
    <row r="1049">
      <c r="H1049" s="8" t="s">
        <v>364</v>
      </c>
    </row>
    <row r="1050">
      <c r="H1050" s="8" t="s">
        <v>364</v>
      </c>
    </row>
    <row r="1051">
      <c r="H1051" s="8" t="s">
        <v>364</v>
      </c>
    </row>
    <row r="1052">
      <c r="H1052" s="8" t="s">
        <v>364</v>
      </c>
    </row>
    <row r="1053">
      <c r="H1053" s="8" t="s">
        <v>364</v>
      </c>
    </row>
    <row r="1054">
      <c r="H1054" s="8" t="s">
        <v>364</v>
      </c>
    </row>
    <row r="1055">
      <c r="H1055" s="8" t="s">
        <v>364</v>
      </c>
    </row>
    <row r="1056">
      <c r="H1056" s="8" t="s">
        <v>364</v>
      </c>
    </row>
    <row r="1057">
      <c r="H1057" s="8" t="s">
        <v>364</v>
      </c>
    </row>
    <row r="1058">
      <c r="H1058" s="8" t="s">
        <v>364</v>
      </c>
    </row>
    <row r="1059">
      <c r="H1059" s="8" t="s">
        <v>364</v>
      </c>
    </row>
    <row r="1060">
      <c r="H1060" s="8" t="s">
        <v>364</v>
      </c>
    </row>
    <row r="1061">
      <c r="H1061" s="8" t="s">
        <v>364</v>
      </c>
    </row>
    <row r="1062">
      <c r="H1062" s="8" t="s">
        <v>364</v>
      </c>
    </row>
    <row r="1063">
      <c r="H1063" s="8" t="s">
        <v>364</v>
      </c>
    </row>
    <row r="1064">
      <c r="H1064" s="8" t="s">
        <v>364</v>
      </c>
    </row>
    <row r="1065">
      <c r="H1065" s="8" t="s">
        <v>364</v>
      </c>
    </row>
    <row r="1066">
      <c r="H1066" s="8" t="s">
        <v>364</v>
      </c>
    </row>
    <row r="1067">
      <c r="H1067" s="8" t="s">
        <v>364</v>
      </c>
    </row>
    <row r="1068">
      <c r="H1068" s="8" t="s">
        <v>364</v>
      </c>
    </row>
    <row r="1069">
      <c r="H1069" s="8" t="s">
        <v>364</v>
      </c>
    </row>
    <row r="1070">
      <c r="H1070" s="8" t="s">
        <v>364</v>
      </c>
    </row>
    <row r="1071">
      <c r="H1071" s="8" t="s">
        <v>364</v>
      </c>
    </row>
    <row r="1072">
      <c r="H1072" s="8" t="s">
        <v>364</v>
      </c>
    </row>
    <row r="1073">
      <c r="H1073" s="8" t="s">
        <v>364</v>
      </c>
    </row>
    <row r="1074">
      <c r="H1074" s="8" t="s">
        <v>364</v>
      </c>
    </row>
    <row r="1075">
      <c r="H1075" s="8" t="s">
        <v>364</v>
      </c>
    </row>
    <row r="1076">
      <c r="H1076" s="8" t="s">
        <v>364</v>
      </c>
    </row>
    <row r="1077">
      <c r="H1077" s="8" t="s">
        <v>364</v>
      </c>
    </row>
    <row r="1078">
      <c r="H1078" s="8" t="s">
        <v>364</v>
      </c>
    </row>
    <row r="1079">
      <c r="H1079" s="8" t="s">
        <v>364</v>
      </c>
    </row>
    <row r="1080">
      <c r="H1080" s="8" t="s">
        <v>364</v>
      </c>
    </row>
    <row r="1081">
      <c r="H1081" s="8" t="s">
        <v>364</v>
      </c>
    </row>
    <row r="1082">
      <c r="H1082" s="8" t="s">
        <v>364</v>
      </c>
    </row>
    <row r="1083">
      <c r="H1083" s="8" t="s">
        <v>364</v>
      </c>
    </row>
    <row r="1084">
      <c r="H1084" s="8" t="s">
        <v>364</v>
      </c>
    </row>
    <row r="1085">
      <c r="H1085" s="8" t="s">
        <v>364</v>
      </c>
    </row>
    <row r="1086">
      <c r="H1086" s="8" t="s">
        <v>364</v>
      </c>
    </row>
    <row r="1087">
      <c r="H1087" s="8" t="s">
        <v>364</v>
      </c>
    </row>
    <row r="1088">
      <c r="H1088" s="8" t="s">
        <v>364</v>
      </c>
    </row>
    <row r="1089">
      <c r="H1089" s="8" t="s">
        <v>364</v>
      </c>
    </row>
    <row r="1090">
      <c r="H1090" s="8" t="s">
        <v>364</v>
      </c>
    </row>
    <row r="1091">
      <c r="H1091" s="8" t="s">
        <v>364</v>
      </c>
    </row>
    <row r="1092">
      <c r="H1092" s="8" t="s">
        <v>364</v>
      </c>
    </row>
    <row r="1093">
      <c r="H1093" s="8" t="s">
        <v>364</v>
      </c>
    </row>
    <row r="1094">
      <c r="H1094" s="8" t="s">
        <v>364</v>
      </c>
    </row>
    <row r="1095">
      <c r="H1095" s="8" t="s">
        <v>364</v>
      </c>
    </row>
    <row r="1096">
      <c r="H1096" s="8" t="s">
        <v>364</v>
      </c>
    </row>
    <row r="1097">
      <c r="H1097" s="8" t="s">
        <v>364</v>
      </c>
    </row>
    <row r="1098">
      <c r="H1098" s="8" t="s">
        <v>364</v>
      </c>
    </row>
    <row r="1099">
      <c r="H1099" s="8" t="s">
        <v>364</v>
      </c>
    </row>
    <row r="1100">
      <c r="H1100" s="8" t="s">
        <v>364</v>
      </c>
    </row>
    <row r="1101">
      <c r="H1101" s="8" t="s">
        <v>364</v>
      </c>
    </row>
    <row r="1102">
      <c r="H1102" s="8" t="s">
        <v>364</v>
      </c>
    </row>
    <row r="1103">
      <c r="H1103" s="8" t="s">
        <v>364</v>
      </c>
    </row>
    <row r="1104">
      <c r="H1104" s="8" t="s">
        <v>364</v>
      </c>
    </row>
    <row r="1105">
      <c r="H1105" s="8" t="s">
        <v>364</v>
      </c>
    </row>
    <row r="1106">
      <c r="H1106" s="8" t="s">
        <v>364</v>
      </c>
    </row>
    <row r="1107">
      <c r="H1107" s="8" t="s">
        <v>364</v>
      </c>
    </row>
    <row r="1108">
      <c r="H1108" s="8" t="s">
        <v>364</v>
      </c>
    </row>
    <row r="1109">
      <c r="H1109" s="8" t="s">
        <v>364</v>
      </c>
    </row>
    <row r="1110">
      <c r="H1110" s="8" t="s">
        <v>364</v>
      </c>
    </row>
    <row r="1111">
      <c r="H1111" s="8" t="s">
        <v>364</v>
      </c>
    </row>
    <row r="1112">
      <c r="H1112" s="8" t="s">
        <v>364</v>
      </c>
    </row>
    <row r="1113">
      <c r="H1113" s="8" t="s">
        <v>364</v>
      </c>
    </row>
    <row r="1114">
      <c r="H1114" s="8" t="s">
        <v>364</v>
      </c>
    </row>
    <row r="1115">
      <c r="H1115" s="8" t="s">
        <v>364</v>
      </c>
    </row>
    <row r="1116">
      <c r="H1116" s="8" t="s">
        <v>364</v>
      </c>
    </row>
    <row r="1117">
      <c r="H1117" s="8" t="s">
        <v>364</v>
      </c>
    </row>
    <row r="1118">
      <c r="H1118" s="8" t="s">
        <v>364</v>
      </c>
    </row>
    <row r="1119">
      <c r="H1119" s="8" t="s">
        <v>364</v>
      </c>
    </row>
    <row r="1120">
      <c r="H1120" s="8" t="s">
        <v>364</v>
      </c>
    </row>
    <row r="1121">
      <c r="H1121" s="8" t="s">
        <v>364</v>
      </c>
    </row>
    <row r="1122">
      <c r="H1122" s="8" t="s">
        <v>364</v>
      </c>
    </row>
    <row r="1123">
      <c r="H1123" s="8" t="s">
        <v>364</v>
      </c>
    </row>
    <row r="1124">
      <c r="H1124" s="8" t="s">
        <v>364</v>
      </c>
    </row>
    <row r="1125">
      <c r="H1125" s="8" t="s">
        <v>364</v>
      </c>
    </row>
    <row r="1126">
      <c r="H1126" s="8" t="s">
        <v>364</v>
      </c>
    </row>
    <row r="1127">
      <c r="H1127" s="8" t="s">
        <v>364</v>
      </c>
    </row>
    <row r="1128">
      <c r="H1128" s="8" t="s">
        <v>364</v>
      </c>
    </row>
    <row r="1129">
      <c r="H1129" s="8" t="s">
        <v>364</v>
      </c>
    </row>
    <row r="1130">
      <c r="H1130" s="8" t="s">
        <v>364</v>
      </c>
    </row>
    <row r="1131">
      <c r="H1131" s="8" t="s">
        <v>364</v>
      </c>
    </row>
    <row r="1132">
      <c r="H1132" s="8" t="s">
        <v>364</v>
      </c>
    </row>
    <row r="1133">
      <c r="H1133" s="8" t="s">
        <v>364</v>
      </c>
    </row>
    <row r="1134">
      <c r="H1134" s="8" t="s">
        <v>364</v>
      </c>
    </row>
    <row r="1135">
      <c r="H1135" s="8" t="s">
        <v>364</v>
      </c>
    </row>
    <row r="1136">
      <c r="H1136" s="8" t="s">
        <v>364</v>
      </c>
    </row>
    <row r="1137">
      <c r="H1137" s="8" t="s">
        <v>364</v>
      </c>
    </row>
    <row r="1138">
      <c r="H1138" s="8" t="s">
        <v>364</v>
      </c>
    </row>
    <row r="1139">
      <c r="H1139" s="8" t="s">
        <v>364</v>
      </c>
    </row>
    <row r="1140">
      <c r="H1140" s="8" t="s">
        <v>364</v>
      </c>
    </row>
    <row r="1141">
      <c r="H1141" s="8" t="s">
        <v>364</v>
      </c>
    </row>
    <row r="1142">
      <c r="H1142" s="8" t="s">
        <v>364</v>
      </c>
    </row>
    <row r="1143">
      <c r="H1143" s="8" t="s">
        <v>364</v>
      </c>
    </row>
    <row r="1144">
      <c r="H1144" s="8" t="s">
        <v>364</v>
      </c>
    </row>
    <row r="1145">
      <c r="H1145" s="8" t="s">
        <v>364</v>
      </c>
    </row>
    <row r="1146">
      <c r="H1146" s="8" t="s">
        <v>364</v>
      </c>
    </row>
    <row r="1147">
      <c r="H1147" s="8" t="s">
        <v>364</v>
      </c>
    </row>
    <row r="1148">
      <c r="H1148" s="8" t="s">
        <v>364</v>
      </c>
    </row>
    <row r="1149">
      <c r="H1149" s="8" t="s">
        <v>364</v>
      </c>
    </row>
    <row r="1150">
      <c r="H1150" s="8" t="s">
        <v>364</v>
      </c>
    </row>
    <row r="1151">
      <c r="H1151" s="8" t="s">
        <v>364</v>
      </c>
    </row>
    <row r="1152">
      <c r="H1152" s="8" t="s">
        <v>364</v>
      </c>
    </row>
    <row r="1153">
      <c r="H1153" s="8" t="s">
        <v>364</v>
      </c>
    </row>
    <row r="1154">
      <c r="H1154" s="8" t="s">
        <v>364</v>
      </c>
    </row>
    <row r="1155">
      <c r="H1155" s="8" t="s">
        <v>364</v>
      </c>
    </row>
    <row r="1156">
      <c r="H1156" s="8" t="s">
        <v>364</v>
      </c>
    </row>
    <row r="1157">
      <c r="H1157" s="8" t="s">
        <v>364</v>
      </c>
    </row>
    <row r="1158">
      <c r="H1158" s="8" t="s">
        <v>364</v>
      </c>
    </row>
    <row r="1159">
      <c r="H1159" s="8" t="s">
        <v>364</v>
      </c>
    </row>
    <row r="1160">
      <c r="H1160" s="8" t="s">
        <v>364</v>
      </c>
    </row>
    <row r="1161">
      <c r="H1161" s="8" t="s">
        <v>364</v>
      </c>
    </row>
    <row r="1162">
      <c r="H1162" s="8" t="s">
        <v>364</v>
      </c>
    </row>
    <row r="1163">
      <c r="H1163" s="8" t="s">
        <v>364</v>
      </c>
    </row>
    <row r="1164">
      <c r="H1164" s="8" t="s">
        <v>364</v>
      </c>
    </row>
    <row r="1165">
      <c r="H1165" s="8" t="s">
        <v>364</v>
      </c>
    </row>
    <row r="1166">
      <c r="H1166" s="8" t="s">
        <v>364</v>
      </c>
    </row>
    <row r="1167">
      <c r="H1167" s="8" t="s">
        <v>364</v>
      </c>
    </row>
    <row r="1168">
      <c r="H1168" s="8" t="s">
        <v>364</v>
      </c>
    </row>
    <row r="1169">
      <c r="H1169" s="8" t="s">
        <v>364</v>
      </c>
    </row>
    <row r="1170">
      <c r="H1170" s="8" t="s">
        <v>364</v>
      </c>
    </row>
    <row r="1171">
      <c r="H1171" s="8" t="s">
        <v>364</v>
      </c>
    </row>
    <row r="1172">
      <c r="H1172" s="8" t="s">
        <v>364</v>
      </c>
    </row>
    <row r="1173">
      <c r="H1173" s="8" t="s">
        <v>364</v>
      </c>
    </row>
    <row r="1174">
      <c r="H1174" s="8" t="s">
        <v>364</v>
      </c>
    </row>
    <row r="1175">
      <c r="H1175" s="8" t="s">
        <v>364</v>
      </c>
    </row>
    <row r="1176">
      <c r="H1176" s="8" t="s">
        <v>364</v>
      </c>
    </row>
    <row r="1177">
      <c r="H1177" s="8" t="s">
        <v>364</v>
      </c>
    </row>
    <row r="1178">
      <c r="H1178" s="8" t="s">
        <v>364</v>
      </c>
    </row>
    <row r="1179">
      <c r="H1179" s="8" t="s">
        <v>364</v>
      </c>
    </row>
    <row r="1180">
      <c r="H1180" s="8" t="s">
        <v>364</v>
      </c>
    </row>
    <row r="1181">
      <c r="H1181" s="8" t="s">
        <v>364</v>
      </c>
    </row>
    <row r="1182">
      <c r="H1182" s="8" t="s">
        <v>364</v>
      </c>
    </row>
    <row r="1183">
      <c r="H1183" s="8" t="s">
        <v>364</v>
      </c>
    </row>
    <row r="1184">
      <c r="H1184" s="8" t="s">
        <v>364</v>
      </c>
    </row>
    <row r="1185">
      <c r="H1185" s="8" t="s">
        <v>364</v>
      </c>
    </row>
    <row r="1186">
      <c r="H1186" s="8" t="s">
        <v>364</v>
      </c>
    </row>
    <row r="1187">
      <c r="H1187" s="8" t="s">
        <v>364</v>
      </c>
    </row>
    <row r="1188">
      <c r="H1188" s="8" t="s">
        <v>364</v>
      </c>
    </row>
    <row r="1189">
      <c r="H1189" s="8" t="s">
        <v>364</v>
      </c>
    </row>
    <row r="1190">
      <c r="H1190" s="8" t="s">
        <v>364</v>
      </c>
    </row>
    <row r="1191">
      <c r="H1191" s="8" t="s">
        <v>364</v>
      </c>
    </row>
    <row r="1192">
      <c r="H1192" s="8" t="s">
        <v>364</v>
      </c>
    </row>
    <row r="1193">
      <c r="H1193" s="8" t="s">
        <v>364</v>
      </c>
    </row>
    <row r="1194">
      <c r="H1194" s="8" t="s">
        <v>364</v>
      </c>
    </row>
    <row r="1195">
      <c r="H1195" s="8" t="s">
        <v>364</v>
      </c>
    </row>
    <row r="1196">
      <c r="H1196" s="8" t="s">
        <v>364</v>
      </c>
    </row>
    <row r="1197">
      <c r="H1197" s="8" t="s">
        <v>364</v>
      </c>
    </row>
    <row r="1198">
      <c r="H1198" s="8" t="s">
        <v>364</v>
      </c>
    </row>
    <row r="1199">
      <c r="H1199" s="8" t="s">
        <v>364</v>
      </c>
    </row>
    <row r="1200">
      <c r="H1200" s="8" t="s">
        <v>364</v>
      </c>
    </row>
    <row r="1201">
      <c r="H1201" s="8" t="s">
        <v>364</v>
      </c>
    </row>
    <row r="1202">
      <c r="H1202" s="8" t="s">
        <v>364</v>
      </c>
    </row>
    <row r="1203">
      <c r="H1203" s="8" t="s">
        <v>364</v>
      </c>
    </row>
    <row r="1204">
      <c r="H1204" s="8" t="s">
        <v>364</v>
      </c>
    </row>
    <row r="1205">
      <c r="H1205" s="8" t="s">
        <v>364</v>
      </c>
    </row>
    <row r="1206">
      <c r="H1206" s="8" t="s">
        <v>364</v>
      </c>
    </row>
    <row r="1207">
      <c r="H1207" s="8" t="s">
        <v>364</v>
      </c>
    </row>
    <row r="1208">
      <c r="H1208" s="8" t="s">
        <v>364</v>
      </c>
    </row>
    <row r="1209">
      <c r="H1209" s="8" t="s">
        <v>364</v>
      </c>
    </row>
    <row r="1210">
      <c r="H1210" s="8" t="s">
        <v>364</v>
      </c>
    </row>
    <row r="1211">
      <c r="H1211" s="8" t="s">
        <v>364</v>
      </c>
    </row>
    <row r="1212">
      <c r="H1212" s="8" t="s">
        <v>364</v>
      </c>
    </row>
    <row r="1213">
      <c r="H1213" s="8" t="s">
        <v>364</v>
      </c>
    </row>
    <row r="1214">
      <c r="H1214" s="8" t="s">
        <v>364</v>
      </c>
    </row>
    <row r="1215">
      <c r="H1215" s="8" t="s">
        <v>364</v>
      </c>
    </row>
    <row r="1216">
      <c r="H1216" s="8" t="s">
        <v>364</v>
      </c>
    </row>
    <row r="1217">
      <c r="H1217" s="8" t="s">
        <v>364</v>
      </c>
    </row>
    <row r="1218">
      <c r="H1218" s="8" t="s">
        <v>364</v>
      </c>
    </row>
    <row r="1219">
      <c r="H1219" s="8" t="s">
        <v>364</v>
      </c>
    </row>
    <row r="1220">
      <c r="H1220" s="8" t="s">
        <v>364</v>
      </c>
    </row>
    <row r="1221">
      <c r="H1221" s="8" t="s">
        <v>364</v>
      </c>
    </row>
    <row r="1222">
      <c r="H1222" s="8" t="s">
        <v>364</v>
      </c>
    </row>
    <row r="1223">
      <c r="H1223" s="8" t="s">
        <v>364</v>
      </c>
    </row>
    <row r="1224">
      <c r="H1224" s="8" t="s">
        <v>364</v>
      </c>
    </row>
    <row r="1225">
      <c r="H1225" s="8" t="s">
        <v>364</v>
      </c>
    </row>
    <row r="1226">
      <c r="H1226" s="8" t="s">
        <v>364</v>
      </c>
    </row>
    <row r="1227">
      <c r="H1227" s="8" t="s">
        <v>364</v>
      </c>
    </row>
    <row r="1228">
      <c r="H1228" s="8" t="s">
        <v>364</v>
      </c>
    </row>
    <row r="1229">
      <c r="H1229" s="8" t="s">
        <v>364</v>
      </c>
    </row>
    <row r="1230">
      <c r="H1230" s="8" t="s">
        <v>364</v>
      </c>
    </row>
    <row r="1231">
      <c r="H1231" s="8" t="s">
        <v>364</v>
      </c>
    </row>
    <row r="1232">
      <c r="H1232" s="8" t="s">
        <v>364</v>
      </c>
    </row>
    <row r="1233">
      <c r="H1233" s="8" t="s">
        <v>364</v>
      </c>
    </row>
    <row r="1234">
      <c r="H1234" s="8" t="s">
        <v>364</v>
      </c>
    </row>
    <row r="1235">
      <c r="H1235" s="8" t="s">
        <v>364</v>
      </c>
    </row>
    <row r="1236">
      <c r="H1236" s="8" t="s">
        <v>364</v>
      </c>
    </row>
    <row r="1237">
      <c r="H1237" s="8" t="s">
        <v>364</v>
      </c>
    </row>
    <row r="1238">
      <c r="H1238" s="8" t="s">
        <v>364</v>
      </c>
    </row>
    <row r="1239">
      <c r="H1239" s="8" t="s">
        <v>364</v>
      </c>
    </row>
    <row r="1240">
      <c r="H1240" s="8" t="s">
        <v>364</v>
      </c>
    </row>
    <row r="1241">
      <c r="H1241" s="8" t="s">
        <v>364</v>
      </c>
    </row>
    <row r="1242">
      <c r="H1242" s="8" t="s">
        <v>364</v>
      </c>
    </row>
    <row r="1243">
      <c r="H1243" s="8" t="s">
        <v>364</v>
      </c>
    </row>
    <row r="1244">
      <c r="H1244" s="8" t="s">
        <v>364</v>
      </c>
    </row>
    <row r="1245">
      <c r="H1245" s="8" t="s">
        <v>364</v>
      </c>
    </row>
    <row r="1246">
      <c r="H1246" s="8" t="s">
        <v>364</v>
      </c>
    </row>
    <row r="1247">
      <c r="H1247" s="8" t="s">
        <v>364</v>
      </c>
    </row>
    <row r="1248">
      <c r="H1248" s="8" t="s">
        <v>364</v>
      </c>
    </row>
    <row r="1249">
      <c r="H1249" s="8" t="s">
        <v>364</v>
      </c>
    </row>
    <row r="1250">
      <c r="H1250" s="8" t="s">
        <v>364</v>
      </c>
    </row>
    <row r="1251">
      <c r="H1251" s="8" t="s">
        <v>364</v>
      </c>
    </row>
    <row r="1252">
      <c r="H1252" s="8" t="s">
        <v>364</v>
      </c>
    </row>
    <row r="1253">
      <c r="H1253" s="8" t="s">
        <v>364</v>
      </c>
    </row>
    <row r="1254">
      <c r="H1254" s="8" t="s">
        <v>364</v>
      </c>
    </row>
    <row r="1255">
      <c r="H1255" s="8" t="s">
        <v>364</v>
      </c>
    </row>
    <row r="1256">
      <c r="H1256" s="8" t="s">
        <v>364</v>
      </c>
    </row>
    <row r="1257">
      <c r="H1257" s="8" t="s">
        <v>364</v>
      </c>
    </row>
    <row r="1258">
      <c r="H1258" s="8" t="s">
        <v>364</v>
      </c>
    </row>
    <row r="1259">
      <c r="H1259" s="8" t="s">
        <v>364</v>
      </c>
    </row>
    <row r="1260">
      <c r="H1260" s="8" t="s">
        <v>364</v>
      </c>
    </row>
    <row r="1261">
      <c r="H1261" s="8" t="s">
        <v>364</v>
      </c>
    </row>
    <row r="1262">
      <c r="H1262" s="8" t="s">
        <v>364</v>
      </c>
    </row>
    <row r="1263">
      <c r="H1263" s="8" t="s">
        <v>364</v>
      </c>
    </row>
    <row r="1264">
      <c r="H1264" s="8" t="s">
        <v>364</v>
      </c>
    </row>
    <row r="1265">
      <c r="H1265" s="8" t="s">
        <v>364</v>
      </c>
    </row>
    <row r="1266">
      <c r="H1266" s="8" t="s">
        <v>364</v>
      </c>
    </row>
    <row r="1267">
      <c r="H1267" s="8" t="s">
        <v>364</v>
      </c>
    </row>
    <row r="1268">
      <c r="H1268" s="8" t="s">
        <v>364</v>
      </c>
    </row>
    <row r="1269">
      <c r="H1269" s="8" t="s">
        <v>364</v>
      </c>
    </row>
    <row r="1270">
      <c r="H1270" s="8" t="s">
        <v>364</v>
      </c>
    </row>
    <row r="1271">
      <c r="H1271" s="8" t="s">
        <v>364</v>
      </c>
    </row>
    <row r="1272">
      <c r="H1272" s="8" t="s">
        <v>364</v>
      </c>
    </row>
    <row r="1273">
      <c r="H1273" s="8" t="s">
        <v>364</v>
      </c>
    </row>
    <row r="1274">
      <c r="H1274" s="8" t="s">
        <v>364</v>
      </c>
    </row>
    <row r="1275">
      <c r="H1275" s="8" t="s">
        <v>364</v>
      </c>
    </row>
    <row r="1276">
      <c r="H1276" s="8" t="s">
        <v>364</v>
      </c>
    </row>
    <row r="1277">
      <c r="H1277" s="8" t="s">
        <v>364</v>
      </c>
    </row>
    <row r="1278">
      <c r="H1278" s="8" t="s">
        <v>364</v>
      </c>
    </row>
    <row r="1279">
      <c r="H1279" s="8" t="s">
        <v>364</v>
      </c>
    </row>
    <row r="1280">
      <c r="H1280" s="8" t="s">
        <v>364</v>
      </c>
    </row>
    <row r="1281">
      <c r="H1281" s="8" t="s">
        <v>364</v>
      </c>
    </row>
    <row r="1282">
      <c r="H1282" s="8" t="s">
        <v>364</v>
      </c>
    </row>
    <row r="1283">
      <c r="H1283" s="8" t="s">
        <v>364</v>
      </c>
    </row>
    <row r="1284">
      <c r="H1284" s="8" t="s">
        <v>364</v>
      </c>
    </row>
    <row r="1285">
      <c r="H1285" s="8" t="s">
        <v>364</v>
      </c>
    </row>
    <row r="1286">
      <c r="H1286" s="8" t="s">
        <v>364</v>
      </c>
    </row>
    <row r="1287">
      <c r="H1287" s="8" t="s">
        <v>364</v>
      </c>
    </row>
    <row r="1288">
      <c r="H1288" s="8" t="s">
        <v>364</v>
      </c>
    </row>
    <row r="1289">
      <c r="H1289" s="8" t="s">
        <v>364</v>
      </c>
    </row>
    <row r="1290">
      <c r="H1290" s="8" t="s">
        <v>364</v>
      </c>
    </row>
    <row r="1291">
      <c r="H1291" s="8" t="s">
        <v>364</v>
      </c>
    </row>
    <row r="1292">
      <c r="H1292" s="8" t="s">
        <v>364</v>
      </c>
    </row>
    <row r="1293">
      <c r="H1293" s="8" t="s">
        <v>364</v>
      </c>
    </row>
    <row r="1294">
      <c r="H1294" s="8" t="s">
        <v>364</v>
      </c>
    </row>
    <row r="1295">
      <c r="H1295" s="8" t="s">
        <v>364</v>
      </c>
    </row>
    <row r="1296">
      <c r="H1296" s="8" t="s">
        <v>364</v>
      </c>
    </row>
    <row r="1297">
      <c r="H1297" s="8" t="s">
        <v>364</v>
      </c>
    </row>
    <row r="1298">
      <c r="H1298" s="8" t="s">
        <v>364</v>
      </c>
    </row>
    <row r="1299">
      <c r="H1299" s="8" t="s">
        <v>364</v>
      </c>
    </row>
    <row r="1300">
      <c r="H1300" s="8" t="s">
        <v>364</v>
      </c>
    </row>
    <row r="1301">
      <c r="H1301" s="8" t="s">
        <v>364</v>
      </c>
    </row>
    <row r="1302">
      <c r="H1302" s="8" t="s">
        <v>364</v>
      </c>
    </row>
    <row r="1303">
      <c r="H1303" s="8" t="s">
        <v>364</v>
      </c>
    </row>
    <row r="1304">
      <c r="H1304" s="8" t="s">
        <v>364</v>
      </c>
    </row>
    <row r="1305">
      <c r="H1305" s="8" t="s">
        <v>364</v>
      </c>
    </row>
    <row r="1306">
      <c r="H1306" s="8" t="s">
        <v>364</v>
      </c>
    </row>
    <row r="1307">
      <c r="H1307" s="8" t="s">
        <v>364</v>
      </c>
    </row>
    <row r="1308">
      <c r="H1308" s="8" t="s">
        <v>364</v>
      </c>
    </row>
    <row r="1309">
      <c r="H1309" s="8" t="s">
        <v>364</v>
      </c>
    </row>
    <row r="1310">
      <c r="H1310" s="8" t="s">
        <v>364</v>
      </c>
    </row>
    <row r="1311">
      <c r="H1311" s="8" t="s">
        <v>364</v>
      </c>
    </row>
    <row r="1312">
      <c r="H1312" s="8" t="s">
        <v>364</v>
      </c>
    </row>
    <row r="1313">
      <c r="H1313" s="8" t="s">
        <v>364</v>
      </c>
    </row>
    <row r="1314">
      <c r="H1314" s="8" t="s">
        <v>364</v>
      </c>
    </row>
    <row r="1315">
      <c r="H1315" s="8" t="s">
        <v>364</v>
      </c>
    </row>
    <row r="1316">
      <c r="H1316" s="8" t="s">
        <v>364</v>
      </c>
    </row>
    <row r="1317">
      <c r="H1317" s="8" t="s">
        <v>364</v>
      </c>
    </row>
    <row r="1318">
      <c r="H1318" s="8" t="s">
        <v>364</v>
      </c>
    </row>
    <row r="1319">
      <c r="H1319" s="8" t="s">
        <v>364</v>
      </c>
    </row>
    <row r="1320">
      <c r="H1320" s="8" t="s">
        <v>364</v>
      </c>
    </row>
    <row r="1321">
      <c r="H1321" s="8" t="s">
        <v>364</v>
      </c>
    </row>
    <row r="1322">
      <c r="H1322" s="8" t="s">
        <v>364</v>
      </c>
    </row>
    <row r="1323">
      <c r="H1323" s="8" t="s">
        <v>364</v>
      </c>
    </row>
    <row r="1324">
      <c r="H1324" s="8" t="s">
        <v>364</v>
      </c>
    </row>
    <row r="1325">
      <c r="H1325" s="8" t="s">
        <v>364</v>
      </c>
    </row>
    <row r="1326">
      <c r="H1326" s="8" t="s">
        <v>364</v>
      </c>
    </row>
    <row r="1327">
      <c r="H1327" s="8" t="s">
        <v>364</v>
      </c>
    </row>
    <row r="1328">
      <c r="H1328" s="8" t="s">
        <v>364</v>
      </c>
    </row>
    <row r="1329">
      <c r="H1329" s="8" t="s">
        <v>364</v>
      </c>
    </row>
    <row r="1330">
      <c r="H1330" s="8" t="s">
        <v>364</v>
      </c>
    </row>
    <row r="1331">
      <c r="H1331" s="8" t="s">
        <v>364</v>
      </c>
    </row>
    <row r="1332">
      <c r="H1332" s="8" t="s">
        <v>364</v>
      </c>
    </row>
    <row r="1333">
      <c r="H1333" s="8" t="s">
        <v>364</v>
      </c>
    </row>
    <row r="1334">
      <c r="H1334" s="8" t="s">
        <v>364</v>
      </c>
    </row>
    <row r="1335">
      <c r="H1335" s="8" t="s">
        <v>364</v>
      </c>
    </row>
    <row r="1336">
      <c r="H1336" s="8" t="s">
        <v>364</v>
      </c>
    </row>
    <row r="1337">
      <c r="H1337" s="8" t="s">
        <v>364</v>
      </c>
    </row>
    <row r="1338">
      <c r="H1338" s="8" t="s">
        <v>364</v>
      </c>
    </row>
    <row r="1339">
      <c r="H1339" s="8" t="s">
        <v>364</v>
      </c>
    </row>
    <row r="1340">
      <c r="H1340" s="8" t="s">
        <v>364</v>
      </c>
    </row>
    <row r="1341">
      <c r="H1341" s="8" t="s">
        <v>364</v>
      </c>
    </row>
    <row r="1342">
      <c r="H1342" s="8" t="s">
        <v>364</v>
      </c>
    </row>
    <row r="1343">
      <c r="H1343" s="8" t="s">
        <v>364</v>
      </c>
    </row>
    <row r="1344">
      <c r="H1344" s="8" t="s">
        <v>364</v>
      </c>
    </row>
    <row r="1345">
      <c r="H1345" s="8" t="s">
        <v>364</v>
      </c>
    </row>
    <row r="1346">
      <c r="H1346" s="8" t="s">
        <v>364</v>
      </c>
    </row>
    <row r="1347">
      <c r="H1347" s="8" t="s">
        <v>364</v>
      </c>
    </row>
    <row r="1348">
      <c r="H1348" s="8" t="s">
        <v>364</v>
      </c>
    </row>
    <row r="1349">
      <c r="H1349" s="8" t="s">
        <v>364</v>
      </c>
    </row>
    <row r="1350">
      <c r="H1350" s="8" t="s">
        <v>364</v>
      </c>
    </row>
    <row r="1351">
      <c r="H1351" s="8" t="s">
        <v>364</v>
      </c>
    </row>
    <row r="1352">
      <c r="H1352" s="8" t="s">
        <v>364</v>
      </c>
    </row>
    <row r="1353">
      <c r="H1353" s="8" t="s">
        <v>364</v>
      </c>
    </row>
    <row r="1354">
      <c r="H1354" s="8" t="s">
        <v>364</v>
      </c>
    </row>
    <row r="1355">
      <c r="H1355" s="8" t="s">
        <v>364</v>
      </c>
    </row>
    <row r="1356">
      <c r="H1356" s="8" t="s">
        <v>364</v>
      </c>
    </row>
    <row r="1357">
      <c r="H1357" s="8" t="s">
        <v>364</v>
      </c>
    </row>
    <row r="1358">
      <c r="H1358" s="8" t="s">
        <v>364</v>
      </c>
    </row>
    <row r="1359">
      <c r="H1359" s="8" t="s">
        <v>364</v>
      </c>
    </row>
    <row r="1360">
      <c r="H1360" s="8" t="s">
        <v>364</v>
      </c>
    </row>
    <row r="1361">
      <c r="H1361" s="8" t="s">
        <v>364</v>
      </c>
    </row>
    <row r="1362">
      <c r="H1362" s="8" t="s">
        <v>364</v>
      </c>
    </row>
    <row r="1363">
      <c r="H1363" s="8" t="s">
        <v>364</v>
      </c>
    </row>
    <row r="1364">
      <c r="H1364" s="8" t="s">
        <v>364</v>
      </c>
    </row>
    <row r="1365">
      <c r="H1365" s="8" t="s">
        <v>364</v>
      </c>
    </row>
    <row r="1366">
      <c r="H1366" s="8" t="s">
        <v>364</v>
      </c>
    </row>
    <row r="1367">
      <c r="H1367" s="8" t="s">
        <v>364</v>
      </c>
    </row>
    <row r="1368">
      <c r="H1368" s="8" t="s">
        <v>364</v>
      </c>
    </row>
    <row r="1369">
      <c r="H1369" s="8" t="s">
        <v>364</v>
      </c>
    </row>
    <row r="1370">
      <c r="H1370" s="8" t="s">
        <v>364</v>
      </c>
    </row>
    <row r="1371">
      <c r="H1371" s="8" t="s">
        <v>364</v>
      </c>
    </row>
    <row r="1372">
      <c r="H1372" s="8" t="s">
        <v>364</v>
      </c>
    </row>
    <row r="1373">
      <c r="H1373" s="8" t="s">
        <v>364</v>
      </c>
    </row>
    <row r="1374">
      <c r="H1374" s="8" t="s">
        <v>364</v>
      </c>
    </row>
    <row r="1375">
      <c r="H1375" s="8" t="s">
        <v>364</v>
      </c>
    </row>
    <row r="1376">
      <c r="H1376" s="8" t="s">
        <v>364</v>
      </c>
    </row>
    <row r="1377">
      <c r="H1377" s="8" t="s">
        <v>364</v>
      </c>
    </row>
    <row r="1378">
      <c r="H1378" s="8" t="s">
        <v>364</v>
      </c>
    </row>
    <row r="1379">
      <c r="H1379" s="8" t="s">
        <v>364</v>
      </c>
    </row>
    <row r="1380">
      <c r="H1380" s="8" t="s">
        <v>364</v>
      </c>
    </row>
    <row r="1381">
      <c r="H1381" s="8" t="s">
        <v>364</v>
      </c>
    </row>
    <row r="1382">
      <c r="H1382" s="8" t="s">
        <v>364</v>
      </c>
    </row>
    <row r="1383">
      <c r="H1383" s="8" t="s">
        <v>364</v>
      </c>
    </row>
    <row r="1384">
      <c r="H1384" s="8" t="s">
        <v>364</v>
      </c>
    </row>
    <row r="1385">
      <c r="H1385" s="8" t="s">
        <v>364</v>
      </c>
    </row>
    <row r="1386">
      <c r="H1386" s="8" t="s">
        <v>364</v>
      </c>
    </row>
    <row r="1387">
      <c r="H1387" s="8" t="s">
        <v>364</v>
      </c>
    </row>
    <row r="1388">
      <c r="H1388" s="8" t="s">
        <v>364</v>
      </c>
    </row>
    <row r="1389">
      <c r="H1389" s="8" t="s">
        <v>364</v>
      </c>
    </row>
    <row r="1390">
      <c r="H1390" s="8" t="s">
        <v>364</v>
      </c>
    </row>
    <row r="1391">
      <c r="H1391" s="8" t="s">
        <v>364</v>
      </c>
    </row>
    <row r="1392">
      <c r="H1392" s="8" t="s">
        <v>364</v>
      </c>
    </row>
    <row r="1393">
      <c r="H1393" s="8" t="s">
        <v>364</v>
      </c>
    </row>
    <row r="1394">
      <c r="H1394" s="8" t="s">
        <v>364</v>
      </c>
    </row>
    <row r="1395">
      <c r="H1395" s="8" t="s">
        <v>364</v>
      </c>
    </row>
    <row r="1396">
      <c r="H1396" s="8" t="s">
        <v>364</v>
      </c>
    </row>
    <row r="1397">
      <c r="H1397" s="8" t="s">
        <v>364</v>
      </c>
    </row>
    <row r="1398">
      <c r="H1398" s="8" t="s">
        <v>364</v>
      </c>
    </row>
    <row r="1399">
      <c r="H1399" s="8" t="s">
        <v>364</v>
      </c>
    </row>
    <row r="1400">
      <c r="H1400" s="8" t="s">
        <v>364</v>
      </c>
    </row>
    <row r="1401">
      <c r="H1401" s="8" t="s">
        <v>364</v>
      </c>
    </row>
    <row r="1402">
      <c r="H1402" s="8" t="s">
        <v>364</v>
      </c>
    </row>
    <row r="1403">
      <c r="H1403" s="8" t="s">
        <v>364</v>
      </c>
    </row>
    <row r="1404">
      <c r="H1404" s="8" t="s">
        <v>364</v>
      </c>
    </row>
    <row r="1405">
      <c r="H1405" s="8" t="s">
        <v>364</v>
      </c>
    </row>
    <row r="1406">
      <c r="H1406" s="8" t="s">
        <v>364</v>
      </c>
    </row>
    <row r="1407">
      <c r="H1407" s="8" t="s">
        <v>364</v>
      </c>
    </row>
    <row r="1408">
      <c r="H1408" s="8" t="s">
        <v>364</v>
      </c>
    </row>
    <row r="1409">
      <c r="H1409" s="8" t="s">
        <v>364</v>
      </c>
    </row>
    <row r="1410">
      <c r="H1410" s="8" t="s">
        <v>364</v>
      </c>
    </row>
    <row r="1411">
      <c r="H1411" s="8" t="s">
        <v>364</v>
      </c>
    </row>
    <row r="1412">
      <c r="H1412" s="8" t="s">
        <v>364</v>
      </c>
    </row>
    <row r="1413">
      <c r="H1413" s="8" t="s">
        <v>364</v>
      </c>
    </row>
    <row r="1414">
      <c r="H1414" s="8" t="s">
        <v>364</v>
      </c>
    </row>
    <row r="1415">
      <c r="H1415" s="8" t="s">
        <v>364</v>
      </c>
    </row>
    <row r="1416">
      <c r="H1416" s="8" t="s">
        <v>364</v>
      </c>
    </row>
    <row r="1417">
      <c r="H1417" s="8" t="s">
        <v>364</v>
      </c>
    </row>
    <row r="1418">
      <c r="H1418" s="8" t="s">
        <v>364</v>
      </c>
    </row>
    <row r="1419">
      <c r="H1419" s="8" t="s">
        <v>364</v>
      </c>
    </row>
    <row r="1420">
      <c r="H1420" s="8" t="s">
        <v>364</v>
      </c>
    </row>
    <row r="1421">
      <c r="H1421" s="8" t="s">
        <v>364</v>
      </c>
    </row>
    <row r="1422">
      <c r="H1422" s="8" t="s">
        <v>364</v>
      </c>
    </row>
    <row r="1423">
      <c r="H1423" s="8" t="s">
        <v>364</v>
      </c>
    </row>
    <row r="1424">
      <c r="H1424" s="8" t="s">
        <v>364</v>
      </c>
    </row>
    <row r="1425">
      <c r="H1425" s="8" t="s">
        <v>364</v>
      </c>
    </row>
    <row r="1426">
      <c r="H1426" s="8" t="s">
        <v>364</v>
      </c>
    </row>
    <row r="1427">
      <c r="H1427" s="8" t="s">
        <v>364</v>
      </c>
    </row>
    <row r="1428">
      <c r="H1428" s="8" t="s">
        <v>364</v>
      </c>
    </row>
    <row r="1429">
      <c r="H1429" s="8" t="s">
        <v>364</v>
      </c>
    </row>
    <row r="1430">
      <c r="H1430" s="8" t="s">
        <v>364</v>
      </c>
    </row>
    <row r="1431">
      <c r="H1431" s="8" t="s">
        <v>364</v>
      </c>
    </row>
    <row r="1432">
      <c r="H1432" s="8" t="s">
        <v>364</v>
      </c>
    </row>
    <row r="1433">
      <c r="H1433" s="8" t="s">
        <v>364</v>
      </c>
    </row>
    <row r="1434">
      <c r="H1434" s="8" t="s">
        <v>364</v>
      </c>
    </row>
    <row r="1435">
      <c r="H1435" s="8" t="s">
        <v>364</v>
      </c>
    </row>
    <row r="1436">
      <c r="H1436" s="8" t="s">
        <v>364</v>
      </c>
    </row>
    <row r="1437">
      <c r="H1437" s="8" t="s">
        <v>364</v>
      </c>
    </row>
    <row r="1438">
      <c r="H1438" s="8" t="s">
        <v>364</v>
      </c>
    </row>
    <row r="1439">
      <c r="H1439" s="8" t="s">
        <v>364</v>
      </c>
    </row>
    <row r="1440">
      <c r="H1440" s="8" t="s">
        <v>364</v>
      </c>
    </row>
    <row r="1441">
      <c r="H1441" s="8" t="s">
        <v>364</v>
      </c>
    </row>
    <row r="1442">
      <c r="H1442" s="8" t="s">
        <v>364</v>
      </c>
    </row>
    <row r="1443">
      <c r="H1443" s="8" t="s">
        <v>364</v>
      </c>
    </row>
    <row r="1444">
      <c r="H1444" s="8" t="s">
        <v>364</v>
      </c>
    </row>
    <row r="1445">
      <c r="H1445" s="8" t="s">
        <v>364</v>
      </c>
    </row>
    <row r="1446">
      <c r="H1446" s="8" t="s">
        <v>364</v>
      </c>
    </row>
    <row r="1447">
      <c r="H1447" s="8" t="s">
        <v>364</v>
      </c>
    </row>
    <row r="1448">
      <c r="H1448" s="8" t="s">
        <v>364</v>
      </c>
    </row>
    <row r="1449">
      <c r="H1449" s="8" t="s">
        <v>364</v>
      </c>
    </row>
    <row r="1450">
      <c r="H1450" s="8" t="s">
        <v>364</v>
      </c>
    </row>
    <row r="1451">
      <c r="H1451" s="8" t="s">
        <v>364</v>
      </c>
    </row>
    <row r="1452">
      <c r="H1452" s="8" t="s">
        <v>364</v>
      </c>
    </row>
    <row r="1453">
      <c r="H1453" s="8" t="s">
        <v>364</v>
      </c>
    </row>
    <row r="1454">
      <c r="H1454" s="8" t="s">
        <v>364</v>
      </c>
    </row>
    <row r="1455">
      <c r="H1455" s="8" t="s">
        <v>364</v>
      </c>
    </row>
    <row r="1456">
      <c r="H1456" s="8" t="s">
        <v>364</v>
      </c>
    </row>
    <row r="1457">
      <c r="H1457" s="8" t="s">
        <v>364</v>
      </c>
    </row>
    <row r="1458">
      <c r="H1458" s="8" t="s">
        <v>364</v>
      </c>
    </row>
    <row r="1459">
      <c r="H1459" s="8" t="s">
        <v>364</v>
      </c>
    </row>
    <row r="1460">
      <c r="H1460" s="8" t="s">
        <v>364</v>
      </c>
    </row>
    <row r="1461">
      <c r="H1461" s="8" t="s">
        <v>364</v>
      </c>
    </row>
    <row r="1462">
      <c r="H1462" s="8" t="s">
        <v>364</v>
      </c>
    </row>
    <row r="1463">
      <c r="H1463" s="8" t="s">
        <v>364</v>
      </c>
    </row>
    <row r="1464">
      <c r="H1464" s="8" t="s">
        <v>364</v>
      </c>
    </row>
    <row r="1465">
      <c r="H1465" s="8" t="s">
        <v>364</v>
      </c>
    </row>
    <row r="1466">
      <c r="H1466" s="8" t="s">
        <v>364</v>
      </c>
    </row>
    <row r="1467">
      <c r="H1467" s="8" t="s">
        <v>364</v>
      </c>
    </row>
    <row r="1468">
      <c r="H1468" s="8" t="s">
        <v>364</v>
      </c>
    </row>
    <row r="1469">
      <c r="H1469" s="8" t="s">
        <v>364</v>
      </c>
    </row>
    <row r="1470">
      <c r="H1470" s="8" t="s">
        <v>364</v>
      </c>
    </row>
    <row r="1471">
      <c r="H1471" s="8" t="s">
        <v>364</v>
      </c>
    </row>
    <row r="1472">
      <c r="H1472" s="8" t="s">
        <v>364</v>
      </c>
    </row>
    <row r="1473">
      <c r="H1473" s="8" t="s">
        <v>364</v>
      </c>
    </row>
    <row r="1474">
      <c r="H1474" s="8" t="s">
        <v>364</v>
      </c>
    </row>
    <row r="1475">
      <c r="H1475" s="8" t="s">
        <v>364</v>
      </c>
    </row>
    <row r="1476">
      <c r="H1476" s="8" t="s">
        <v>364</v>
      </c>
    </row>
    <row r="1477">
      <c r="H1477" s="8" t="s">
        <v>364</v>
      </c>
    </row>
    <row r="1478">
      <c r="H1478" s="8" t="s">
        <v>364</v>
      </c>
    </row>
    <row r="1479">
      <c r="H1479" s="8" t="s">
        <v>364</v>
      </c>
    </row>
    <row r="1480">
      <c r="H1480" s="8" t="s">
        <v>364</v>
      </c>
    </row>
    <row r="1481">
      <c r="H1481" s="8" t="s">
        <v>364</v>
      </c>
    </row>
    <row r="1482">
      <c r="H1482" s="8" t="s">
        <v>364</v>
      </c>
    </row>
    <row r="1483">
      <c r="H1483" s="8" t="s">
        <v>364</v>
      </c>
    </row>
    <row r="1484">
      <c r="H1484" s="8" t="s">
        <v>364</v>
      </c>
    </row>
    <row r="1485">
      <c r="H1485" s="8" t="s">
        <v>364</v>
      </c>
    </row>
    <row r="1486">
      <c r="H1486" s="8" t="s">
        <v>364</v>
      </c>
    </row>
    <row r="1487">
      <c r="H1487" s="8" t="s">
        <v>364</v>
      </c>
    </row>
    <row r="1488">
      <c r="H1488" s="8" t="s">
        <v>364</v>
      </c>
    </row>
    <row r="1489">
      <c r="H1489" s="8" t="s">
        <v>364</v>
      </c>
    </row>
    <row r="1490">
      <c r="H1490" s="8" t="s">
        <v>364</v>
      </c>
    </row>
    <row r="1491">
      <c r="H1491" s="8" t="s">
        <v>364</v>
      </c>
    </row>
    <row r="1492">
      <c r="H1492" s="8" t="s">
        <v>364</v>
      </c>
    </row>
    <row r="1493">
      <c r="H1493" s="8" t="s">
        <v>364</v>
      </c>
    </row>
    <row r="1494">
      <c r="H1494" s="8" t="s">
        <v>364</v>
      </c>
    </row>
    <row r="1495">
      <c r="H1495" s="8" t="s">
        <v>364</v>
      </c>
    </row>
    <row r="1496">
      <c r="H1496" s="8" t="s">
        <v>364</v>
      </c>
    </row>
    <row r="1497">
      <c r="H1497" s="8" t="s">
        <v>364</v>
      </c>
    </row>
    <row r="1498">
      <c r="H1498" s="8" t="s">
        <v>364</v>
      </c>
    </row>
    <row r="1499">
      <c r="H1499" s="8" t="s">
        <v>364</v>
      </c>
    </row>
    <row r="1500">
      <c r="H1500" s="8" t="s">
        <v>364</v>
      </c>
    </row>
    <row r="1501">
      <c r="H1501" s="8" t="s">
        <v>364</v>
      </c>
    </row>
    <row r="1502">
      <c r="H1502" s="8" t="s">
        <v>364</v>
      </c>
    </row>
    <row r="1503">
      <c r="H1503" s="8" t="s">
        <v>364</v>
      </c>
    </row>
    <row r="1504">
      <c r="H1504" s="8" t="s">
        <v>364</v>
      </c>
    </row>
    <row r="1505">
      <c r="H1505" s="8" t="s">
        <v>364</v>
      </c>
    </row>
    <row r="1506">
      <c r="H1506" s="8" t="s">
        <v>364</v>
      </c>
    </row>
    <row r="1507">
      <c r="H1507" s="8" t="s">
        <v>364</v>
      </c>
    </row>
    <row r="1508">
      <c r="H1508" s="8" t="s">
        <v>364</v>
      </c>
    </row>
    <row r="1509">
      <c r="H1509" s="8" t="s">
        <v>364</v>
      </c>
    </row>
    <row r="1510">
      <c r="H1510" s="8" t="s">
        <v>364</v>
      </c>
    </row>
    <row r="1511">
      <c r="H1511" s="8" t="s">
        <v>364</v>
      </c>
    </row>
    <row r="1512">
      <c r="H1512" s="8" t="s">
        <v>364</v>
      </c>
    </row>
    <row r="1513">
      <c r="H1513" s="8" t="s">
        <v>364</v>
      </c>
    </row>
    <row r="1514">
      <c r="H1514" s="8" t="s">
        <v>364</v>
      </c>
    </row>
    <row r="1515">
      <c r="H1515" s="8" t="s">
        <v>364</v>
      </c>
    </row>
    <row r="1516">
      <c r="H1516" s="8" t="s">
        <v>364</v>
      </c>
    </row>
    <row r="1517">
      <c r="H1517" s="8" t="s">
        <v>364</v>
      </c>
    </row>
    <row r="1518">
      <c r="H1518" s="8" t="s">
        <v>364</v>
      </c>
    </row>
    <row r="1519">
      <c r="H1519" s="8" t="s">
        <v>364</v>
      </c>
    </row>
    <row r="1520">
      <c r="H1520" s="8" t="s">
        <v>364</v>
      </c>
    </row>
    <row r="1521">
      <c r="H1521" s="8" t="s">
        <v>364</v>
      </c>
    </row>
    <row r="1522">
      <c r="H1522" s="8" t="s">
        <v>364</v>
      </c>
    </row>
    <row r="1523">
      <c r="H1523" s="8" t="s">
        <v>364</v>
      </c>
    </row>
    <row r="1524">
      <c r="H1524" s="8" t="s">
        <v>364</v>
      </c>
    </row>
    <row r="1525">
      <c r="H1525" s="8" t="s">
        <v>364</v>
      </c>
    </row>
    <row r="1526">
      <c r="H1526" s="8" t="s">
        <v>364</v>
      </c>
    </row>
    <row r="1527">
      <c r="H1527" s="8" t="s">
        <v>364</v>
      </c>
    </row>
    <row r="1528">
      <c r="H1528" s="8" t="s">
        <v>364</v>
      </c>
    </row>
    <row r="1529">
      <c r="H1529" s="8" t="s">
        <v>364</v>
      </c>
    </row>
    <row r="1530">
      <c r="H1530" s="8" t="s">
        <v>364</v>
      </c>
    </row>
    <row r="1531">
      <c r="H1531" s="8" t="s">
        <v>364</v>
      </c>
    </row>
    <row r="1532">
      <c r="H1532" s="8" t="s">
        <v>364</v>
      </c>
    </row>
    <row r="1533">
      <c r="H1533" s="8" t="s">
        <v>364</v>
      </c>
    </row>
    <row r="1534">
      <c r="H1534" s="8" t="s">
        <v>364</v>
      </c>
    </row>
    <row r="1535">
      <c r="H1535" s="8" t="s">
        <v>364</v>
      </c>
    </row>
    <row r="1536">
      <c r="H1536" s="8" t="s">
        <v>364</v>
      </c>
    </row>
    <row r="1537">
      <c r="H1537" s="8" t="s">
        <v>364</v>
      </c>
    </row>
    <row r="1538">
      <c r="H1538" s="8" t="s">
        <v>364</v>
      </c>
    </row>
    <row r="1539">
      <c r="H1539" s="8" t="s">
        <v>364</v>
      </c>
    </row>
    <row r="1540">
      <c r="H1540" s="8" t="s">
        <v>364</v>
      </c>
    </row>
    <row r="1541">
      <c r="H1541" s="8" t="s">
        <v>364</v>
      </c>
    </row>
    <row r="1542">
      <c r="H1542" s="8" t="s">
        <v>364</v>
      </c>
    </row>
    <row r="1543">
      <c r="H1543" s="8" t="s">
        <v>364</v>
      </c>
    </row>
    <row r="1544">
      <c r="H1544" s="8" t="s">
        <v>364</v>
      </c>
    </row>
    <row r="1545">
      <c r="H1545" s="8" t="s">
        <v>364</v>
      </c>
    </row>
    <row r="1546">
      <c r="H1546" s="8" t="s">
        <v>364</v>
      </c>
    </row>
    <row r="1547">
      <c r="H1547" s="8" t="s">
        <v>364</v>
      </c>
    </row>
    <row r="1548">
      <c r="H1548" s="8" t="s">
        <v>364</v>
      </c>
    </row>
    <row r="1549">
      <c r="H1549" s="8" t="s">
        <v>364</v>
      </c>
    </row>
    <row r="1550">
      <c r="H1550" s="8" t="s">
        <v>364</v>
      </c>
    </row>
    <row r="1551">
      <c r="H1551" s="8" t="s">
        <v>364</v>
      </c>
    </row>
    <row r="1552">
      <c r="H1552" s="8" t="s">
        <v>364</v>
      </c>
    </row>
    <row r="1553">
      <c r="H1553" s="8" t="s">
        <v>364</v>
      </c>
    </row>
    <row r="1554">
      <c r="H1554" s="8" t="s">
        <v>364</v>
      </c>
    </row>
    <row r="1555">
      <c r="H1555" s="8" t="s">
        <v>364</v>
      </c>
    </row>
    <row r="1556">
      <c r="H1556" s="8" t="s">
        <v>364</v>
      </c>
    </row>
    <row r="1557">
      <c r="H1557" s="8" t="s">
        <v>364</v>
      </c>
    </row>
    <row r="1558">
      <c r="H1558" s="8" t="s">
        <v>364</v>
      </c>
    </row>
    <row r="1559">
      <c r="H1559" s="8" t="s">
        <v>364</v>
      </c>
    </row>
    <row r="1560">
      <c r="H1560" s="8" t="s">
        <v>364</v>
      </c>
    </row>
    <row r="1561">
      <c r="H1561" s="8" t="s">
        <v>364</v>
      </c>
    </row>
    <row r="1562">
      <c r="H1562" s="8" t="s">
        <v>364</v>
      </c>
    </row>
    <row r="1563">
      <c r="H1563" s="8" t="s">
        <v>364</v>
      </c>
    </row>
    <row r="1564">
      <c r="H1564" s="8" t="s">
        <v>364</v>
      </c>
    </row>
    <row r="1565">
      <c r="H1565" s="8" t="s">
        <v>364</v>
      </c>
    </row>
    <row r="1566">
      <c r="H1566" s="8" t="s">
        <v>364</v>
      </c>
    </row>
    <row r="1567">
      <c r="H1567" s="8" t="s">
        <v>364</v>
      </c>
    </row>
    <row r="1568">
      <c r="H1568" s="8" t="s">
        <v>364</v>
      </c>
    </row>
    <row r="1569">
      <c r="H1569" s="8" t="s">
        <v>364</v>
      </c>
    </row>
    <row r="1570">
      <c r="H1570" s="8" t="s">
        <v>364</v>
      </c>
    </row>
    <row r="1571">
      <c r="H1571" s="8" t="s">
        <v>364</v>
      </c>
    </row>
    <row r="1572">
      <c r="H1572" s="8" t="s">
        <v>364</v>
      </c>
    </row>
    <row r="1573">
      <c r="H1573" s="8" t="s">
        <v>364</v>
      </c>
    </row>
    <row r="1574">
      <c r="H1574" s="8" t="s">
        <v>364</v>
      </c>
    </row>
    <row r="1575">
      <c r="H1575" s="8" t="s">
        <v>364</v>
      </c>
    </row>
    <row r="1576">
      <c r="H1576" s="8" t="s">
        <v>364</v>
      </c>
    </row>
    <row r="1577">
      <c r="H1577" s="8" t="s">
        <v>364</v>
      </c>
    </row>
    <row r="1578">
      <c r="H1578" s="8" t="s">
        <v>364</v>
      </c>
    </row>
    <row r="1579">
      <c r="H1579" s="8" t="s">
        <v>364</v>
      </c>
    </row>
    <row r="1580">
      <c r="H1580" s="8" t="s">
        <v>364</v>
      </c>
    </row>
    <row r="1581">
      <c r="H1581" s="8" t="s">
        <v>364</v>
      </c>
    </row>
    <row r="1582">
      <c r="H1582" s="8" t="s">
        <v>364</v>
      </c>
    </row>
    <row r="1583">
      <c r="H1583" s="8" t="s">
        <v>364</v>
      </c>
    </row>
    <row r="1584">
      <c r="H1584" s="8" t="s">
        <v>364</v>
      </c>
    </row>
    <row r="1585">
      <c r="H1585" s="8" t="s">
        <v>364</v>
      </c>
    </row>
    <row r="1586">
      <c r="H1586" s="8" t="s">
        <v>364</v>
      </c>
    </row>
    <row r="1587">
      <c r="H1587" s="8" t="s">
        <v>364</v>
      </c>
    </row>
    <row r="1588">
      <c r="H1588" s="8" t="s">
        <v>364</v>
      </c>
    </row>
    <row r="1589">
      <c r="H1589" s="8" t="s">
        <v>364</v>
      </c>
    </row>
    <row r="1590">
      <c r="H1590" s="8" t="s">
        <v>364</v>
      </c>
    </row>
    <row r="1591">
      <c r="H1591" s="8" t="s">
        <v>364</v>
      </c>
    </row>
    <row r="1592">
      <c r="H1592" s="8" t="s">
        <v>364</v>
      </c>
    </row>
    <row r="1593">
      <c r="H1593" s="8" t="s">
        <v>364</v>
      </c>
    </row>
    <row r="1594">
      <c r="H1594" s="8" t="s">
        <v>364</v>
      </c>
    </row>
    <row r="1595">
      <c r="H1595" s="8" t="s">
        <v>364</v>
      </c>
    </row>
    <row r="1596">
      <c r="H1596" s="8" t="s">
        <v>364</v>
      </c>
    </row>
    <row r="1597">
      <c r="H1597" s="8" t="s">
        <v>364</v>
      </c>
    </row>
    <row r="1598">
      <c r="H1598" s="8" t="s">
        <v>364</v>
      </c>
    </row>
    <row r="1599">
      <c r="H1599" s="8" t="s">
        <v>364</v>
      </c>
    </row>
    <row r="1600">
      <c r="H1600" s="8" t="s">
        <v>364</v>
      </c>
    </row>
    <row r="1601">
      <c r="H1601" s="8" t="s">
        <v>364</v>
      </c>
    </row>
    <row r="1602">
      <c r="H1602" s="8" t="s">
        <v>364</v>
      </c>
    </row>
    <row r="1603">
      <c r="H1603" s="8" t="s">
        <v>364</v>
      </c>
    </row>
    <row r="1604">
      <c r="H1604" s="8" t="s">
        <v>364</v>
      </c>
    </row>
    <row r="1605">
      <c r="H1605" s="8" t="s">
        <v>364</v>
      </c>
    </row>
    <row r="1606">
      <c r="H1606" s="8" t="s">
        <v>364</v>
      </c>
    </row>
    <row r="1607">
      <c r="H1607" s="8" t="s">
        <v>364</v>
      </c>
    </row>
    <row r="1608">
      <c r="H1608" s="8" t="s">
        <v>364</v>
      </c>
    </row>
    <row r="1609">
      <c r="H1609" s="8" t="s">
        <v>364</v>
      </c>
    </row>
    <row r="1610">
      <c r="H1610" s="8" t="s">
        <v>364</v>
      </c>
    </row>
    <row r="1611">
      <c r="H1611" s="8" t="s">
        <v>364</v>
      </c>
    </row>
    <row r="1612">
      <c r="H1612" s="8" t="s">
        <v>364</v>
      </c>
    </row>
    <row r="1613">
      <c r="H1613" s="8" t="s">
        <v>364</v>
      </c>
    </row>
    <row r="1614">
      <c r="H1614" s="8" t="s">
        <v>364</v>
      </c>
    </row>
    <row r="1615">
      <c r="H1615" s="8" t="s">
        <v>364</v>
      </c>
    </row>
    <row r="1616">
      <c r="H1616" s="8" t="s">
        <v>364</v>
      </c>
    </row>
    <row r="1617">
      <c r="H1617" s="8" t="s">
        <v>364</v>
      </c>
    </row>
    <row r="1618">
      <c r="H1618" s="8" t="s">
        <v>364</v>
      </c>
    </row>
    <row r="1619">
      <c r="H1619" s="8" t="s">
        <v>364</v>
      </c>
    </row>
    <row r="1620">
      <c r="H1620" s="8" t="s">
        <v>364</v>
      </c>
    </row>
    <row r="1621">
      <c r="H1621" s="8" t="s">
        <v>364</v>
      </c>
    </row>
    <row r="1622">
      <c r="H1622" s="8" t="s">
        <v>364</v>
      </c>
    </row>
    <row r="1623">
      <c r="H1623" s="8" t="s">
        <v>364</v>
      </c>
    </row>
    <row r="1624">
      <c r="H1624" s="8" t="s">
        <v>364</v>
      </c>
    </row>
    <row r="1625">
      <c r="H1625" s="8" t="s">
        <v>364</v>
      </c>
    </row>
    <row r="1626">
      <c r="H1626" s="8" t="s">
        <v>364</v>
      </c>
    </row>
    <row r="1627">
      <c r="H1627" s="8" t="s">
        <v>364</v>
      </c>
    </row>
    <row r="1628">
      <c r="H1628" s="8" t="s">
        <v>364</v>
      </c>
    </row>
    <row r="1629">
      <c r="H1629" s="8" t="s">
        <v>364</v>
      </c>
    </row>
    <row r="1630">
      <c r="H1630" s="8" t="s">
        <v>364</v>
      </c>
    </row>
    <row r="1631">
      <c r="H1631" s="8" t="s">
        <v>364</v>
      </c>
    </row>
    <row r="1632">
      <c r="H1632" s="8" t="s">
        <v>364</v>
      </c>
    </row>
    <row r="1633">
      <c r="H1633" s="8" t="s">
        <v>364</v>
      </c>
    </row>
    <row r="1634">
      <c r="H1634" s="8" t="s">
        <v>364</v>
      </c>
    </row>
    <row r="1635">
      <c r="H1635" s="8" t="s">
        <v>364</v>
      </c>
    </row>
    <row r="1636">
      <c r="H1636" s="8" t="s">
        <v>364</v>
      </c>
    </row>
    <row r="1637">
      <c r="H1637" s="8" t="s">
        <v>364</v>
      </c>
    </row>
    <row r="1638">
      <c r="H1638" s="8" t="s">
        <v>364</v>
      </c>
    </row>
    <row r="1639">
      <c r="H1639" s="8" t="s">
        <v>364</v>
      </c>
    </row>
    <row r="1640">
      <c r="H1640" s="8" t="s">
        <v>364</v>
      </c>
    </row>
    <row r="1641">
      <c r="H1641" s="8" t="s">
        <v>364</v>
      </c>
    </row>
    <row r="1642">
      <c r="H1642" s="8" t="s">
        <v>364</v>
      </c>
    </row>
    <row r="1643">
      <c r="H1643" s="8" t="s">
        <v>364</v>
      </c>
    </row>
    <row r="1644">
      <c r="H1644" s="8" t="s">
        <v>364</v>
      </c>
    </row>
    <row r="1645">
      <c r="H1645" s="8" t="s">
        <v>364</v>
      </c>
    </row>
    <row r="1646">
      <c r="H1646" s="8" t="s">
        <v>364</v>
      </c>
    </row>
    <row r="1647">
      <c r="H1647" s="8" t="s">
        <v>364</v>
      </c>
    </row>
    <row r="1648">
      <c r="H1648" s="8" t="s">
        <v>364</v>
      </c>
    </row>
    <row r="1649">
      <c r="H1649" s="8" t="s">
        <v>364</v>
      </c>
    </row>
    <row r="1650">
      <c r="H1650" s="8" t="s">
        <v>364</v>
      </c>
    </row>
    <row r="1651">
      <c r="H1651" s="8" t="s">
        <v>364</v>
      </c>
    </row>
    <row r="1652">
      <c r="H1652" s="8" t="s">
        <v>364</v>
      </c>
    </row>
    <row r="1653">
      <c r="H1653" s="8" t="s">
        <v>364</v>
      </c>
    </row>
    <row r="1654">
      <c r="H1654" s="8" t="s">
        <v>364</v>
      </c>
    </row>
    <row r="1655">
      <c r="H1655" s="8" t="s">
        <v>364</v>
      </c>
    </row>
    <row r="1656">
      <c r="H1656" s="8" t="s">
        <v>364</v>
      </c>
    </row>
    <row r="1657">
      <c r="H1657" s="8" t="s">
        <v>364</v>
      </c>
    </row>
    <row r="1658">
      <c r="H1658" s="8" t="s">
        <v>364</v>
      </c>
    </row>
    <row r="1659">
      <c r="H1659" s="8" t="s">
        <v>364</v>
      </c>
    </row>
    <row r="1660">
      <c r="H1660" s="8" t="s">
        <v>364</v>
      </c>
    </row>
    <row r="1661">
      <c r="H1661" s="8" t="s">
        <v>364</v>
      </c>
    </row>
    <row r="1662">
      <c r="H1662" s="8" t="s">
        <v>364</v>
      </c>
    </row>
    <row r="1663">
      <c r="H1663" s="8" t="s">
        <v>364</v>
      </c>
    </row>
    <row r="1664">
      <c r="H1664" s="8" t="s">
        <v>364</v>
      </c>
    </row>
    <row r="1665">
      <c r="H1665" s="8" t="s">
        <v>364</v>
      </c>
    </row>
    <row r="1666">
      <c r="H1666" s="8" t="s">
        <v>364</v>
      </c>
    </row>
    <row r="1667">
      <c r="H1667" s="8" t="s">
        <v>364</v>
      </c>
    </row>
    <row r="1668">
      <c r="H1668" s="8" t="s">
        <v>364</v>
      </c>
    </row>
    <row r="1669">
      <c r="H1669" s="8" t="s">
        <v>364</v>
      </c>
    </row>
    <row r="1670">
      <c r="H1670" s="8" t="s">
        <v>364</v>
      </c>
    </row>
    <row r="1671">
      <c r="H1671" s="8" t="s">
        <v>364</v>
      </c>
    </row>
    <row r="1672">
      <c r="H1672" s="8" t="s">
        <v>364</v>
      </c>
    </row>
    <row r="1673">
      <c r="H1673" s="8" t="s">
        <v>364</v>
      </c>
    </row>
    <row r="1674">
      <c r="H1674" s="8" t="s">
        <v>364</v>
      </c>
    </row>
    <row r="1675">
      <c r="H1675" s="8" t="s">
        <v>364</v>
      </c>
    </row>
    <row r="1676">
      <c r="H1676" s="8" t="s">
        <v>364</v>
      </c>
    </row>
    <row r="1677">
      <c r="H1677" s="8" t="s">
        <v>364</v>
      </c>
    </row>
    <row r="1678">
      <c r="H1678" s="8" t="s">
        <v>364</v>
      </c>
    </row>
    <row r="1679">
      <c r="H1679" s="8" t="s">
        <v>364</v>
      </c>
    </row>
    <row r="1680">
      <c r="H1680" s="8" t="s">
        <v>364</v>
      </c>
    </row>
    <row r="1681">
      <c r="H1681" s="8" t="s">
        <v>364</v>
      </c>
    </row>
    <row r="1682">
      <c r="H1682" s="8" t="s">
        <v>364</v>
      </c>
    </row>
    <row r="1683">
      <c r="H1683" s="8" t="s">
        <v>364</v>
      </c>
    </row>
    <row r="1684">
      <c r="H1684" s="8" t="s">
        <v>364</v>
      </c>
    </row>
    <row r="1685">
      <c r="H1685" s="8" t="s">
        <v>364</v>
      </c>
    </row>
    <row r="1686">
      <c r="H1686" s="8" t="s">
        <v>364</v>
      </c>
    </row>
    <row r="1687">
      <c r="H1687" s="8" t="s">
        <v>364</v>
      </c>
    </row>
    <row r="1688">
      <c r="H1688" s="8" t="s">
        <v>364</v>
      </c>
    </row>
    <row r="1689">
      <c r="H1689" s="8" t="s">
        <v>364</v>
      </c>
    </row>
    <row r="1690">
      <c r="H1690" s="8" t="s">
        <v>364</v>
      </c>
    </row>
    <row r="1691">
      <c r="H1691" s="8" t="s">
        <v>364</v>
      </c>
    </row>
    <row r="1692">
      <c r="H1692" s="8" t="s">
        <v>364</v>
      </c>
    </row>
    <row r="1693">
      <c r="H1693" s="8" t="s">
        <v>364</v>
      </c>
    </row>
    <row r="1694">
      <c r="H1694" s="8" t="s">
        <v>364</v>
      </c>
    </row>
    <row r="1695">
      <c r="H1695" s="8" t="s">
        <v>364</v>
      </c>
    </row>
    <row r="1696">
      <c r="H1696" s="8" t="s">
        <v>364</v>
      </c>
    </row>
    <row r="1697">
      <c r="H1697" s="8" t="s">
        <v>364</v>
      </c>
    </row>
    <row r="1698">
      <c r="H1698" s="8" t="s">
        <v>364</v>
      </c>
    </row>
    <row r="1699">
      <c r="H1699" s="8" t="s">
        <v>364</v>
      </c>
    </row>
    <row r="1700">
      <c r="H1700" s="8" t="s">
        <v>364</v>
      </c>
    </row>
    <row r="1701">
      <c r="H1701" s="8" t="s">
        <v>364</v>
      </c>
    </row>
    <row r="1702">
      <c r="H1702" s="8" t="s">
        <v>364</v>
      </c>
    </row>
    <row r="1703">
      <c r="H1703" s="8" t="s">
        <v>364</v>
      </c>
    </row>
    <row r="1704">
      <c r="H1704" s="8" t="s">
        <v>364</v>
      </c>
    </row>
    <row r="1705">
      <c r="H1705" s="8" t="s">
        <v>364</v>
      </c>
    </row>
    <row r="1706">
      <c r="H1706" s="8" t="s">
        <v>364</v>
      </c>
    </row>
    <row r="1707">
      <c r="H1707" s="8" t="s">
        <v>364</v>
      </c>
    </row>
    <row r="1708">
      <c r="H1708" s="8" t="s">
        <v>364</v>
      </c>
    </row>
    <row r="1709">
      <c r="H1709" s="8" t="s">
        <v>364</v>
      </c>
    </row>
    <row r="1710">
      <c r="H1710" s="8" t="s">
        <v>364</v>
      </c>
    </row>
    <row r="1711">
      <c r="H1711" s="8" t="s">
        <v>364</v>
      </c>
    </row>
    <row r="1712">
      <c r="H1712" s="8" t="s">
        <v>364</v>
      </c>
    </row>
    <row r="1713">
      <c r="H1713" s="8" t="s">
        <v>364</v>
      </c>
    </row>
    <row r="1714">
      <c r="H1714" s="8" t="s">
        <v>364</v>
      </c>
    </row>
    <row r="1715">
      <c r="H1715" s="8" t="s">
        <v>364</v>
      </c>
    </row>
    <row r="1716">
      <c r="H1716" s="8" t="s">
        <v>364</v>
      </c>
    </row>
    <row r="1717">
      <c r="H1717" s="8" t="s">
        <v>364</v>
      </c>
    </row>
    <row r="1718">
      <c r="H1718" s="8" t="s">
        <v>364</v>
      </c>
    </row>
    <row r="1719">
      <c r="H1719" s="8" t="s">
        <v>364</v>
      </c>
    </row>
    <row r="1720">
      <c r="H1720" s="8" t="s">
        <v>364</v>
      </c>
    </row>
    <row r="1721">
      <c r="H1721" s="8" t="s">
        <v>364</v>
      </c>
    </row>
    <row r="1722">
      <c r="H1722" s="8" t="s">
        <v>364</v>
      </c>
    </row>
    <row r="1723">
      <c r="H1723" s="8" t="s">
        <v>364</v>
      </c>
    </row>
    <row r="1724">
      <c r="H1724" s="8" t="s">
        <v>364</v>
      </c>
    </row>
    <row r="1725">
      <c r="H1725" s="8" t="s">
        <v>364</v>
      </c>
    </row>
    <row r="1726">
      <c r="H1726" s="8" t="s">
        <v>364</v>
      </c>
    </row>
    <row r="1727">
      <c r="H1727" s="8" t="s">
        <v>364</v>
      </c>
    </row>
    <row r="1728">
      <c r="H1728" s="8" t="s">
        <v>364</v>
      </c>
    </row>
    <row r="1729">
      <c r="H1729" s="8" t="s">
        <v>364</v>
      </c>
    </row>
    <row r="1730">
      <c r="H1730" s="8" t="s">
        <v>364</v>
      </c>
    </row>
    <row r="1731">
      <c r="H1731" s="8" t="s">
        <v>364</v>
      </c>
    </row>
    <row r="1732">
      <c r="H1732" s="8" t="s">
        <v>364</v>
      </c>
    </row>
    <row r="1733">
      <c r="H1733" s="8" t="s">
        <v>364</v>
      </c>
    </row>
    <row r="1734">
      <c r="H1734" s="8" t="s">
        <v>364</v>
      </c>
    </row>
    <row r="1735">
      <c r="H1735" s="8" t="s">
        <v>364</v>
      </c>
    </row>
    <row r="1736">
      <c r="H1736" s="8" t="s">
        <v>364</v>
      </c>
    </row>
    <row r="1737">
      <c r="H1737" s="8" t="s">
        <v>364</v>
      </c>
    </row>
    <row r="1738">
      <c r="H1738" s="8" t="s">
        <v>364</v>
      </c>
    </row>
    <row r="1739">
      <c r="H1739" s="8" t="s">
        <v>364</v>
      </c>
    </row>
    <row r="1740">
      <c r="H1740" s="8" t="s">
        <v>364</v>
      </c>
    </row>
    <row r="1741">
      <c r="H1741" s="8" t="s">
        <v>364</v>
      </c>
    </row>
    <row r="1742">
      <c r="H1742" s="8" t="s">
        <v>364</v>
      </c>
    </row>
    <row r="1743">
      <c r="H1743" s="8" t="s">
        <v>364</v>
      </c>
    </row>
    <row r="1744">
      <c r="H1744" s="8" t="s">
        <v>364</v>
      </c>
    </row>
    <row r="1745">
      <c r="H1745" s="8" t="s">
        <v>364</v>
      </c>
    </row>
    <row r="1746">
      <c r="H1746" s="8" t="s">
        <v>364</v>
      </c>
    </row>
    <row r="1747">
      <c r="H1747" s="8" t="s">
        <v>364</v>
      </c>
    </row>
    <row r="1748">
      <c r="H1748" s="8" t="s">
        <v>364</v>
      </c>
    </row>
    <row r="1749">
      <c r="H1749" s="8" t="s">
        <v>364</v>
      </c>
    </row>
    <row r="1750">
      <c r="H1750" s="8" t="s">
        <v>364</v>
      </c>
    </row>
    <row r="1751">
      <c r="H1751" s="8" t="s">
        <v>364</v>
      </c>
    </row>
    <row r="1752">
      <c r="H1752" s="8" t="s">
        <v>364</v>
      </c>
    </row>
    <row r="1753">
      <c r="H1753" s="8" t="s">
        <v>364</v>
      </c>
    </row>
    <row r="1754">
      <c r="H1754" s="8" t="s">
        <v>364</v>
      </c>
    </row>
    <row r="1755">
      <c r="H1755" s="8" t="s">
        <v>364</v>
      </c>
    </row>
    <row r="1756">
      <c r="H1756" s="8" t="s">
        <v>364</v>
      </c>
    </row>
    <row r="1757">
      <c r="H1757" s="8" t="s">
        <v>364</v>
      </c>
    </row>
    <row r="1758">
      <c r="H1758" s="8" t="s">
        <v>364</v>
      </c>
    </row>
    <row r="1759">
      <c r="H1759" s="8" t="s">
        <v>364</v>
      </c>
    </row>
    <row r="1760">
      <c r="H1760" s="8" t="s">
        <v>364</v>
      </c>
    </row>
    <row r="1761">
      <c r="H1761" s="8" t="s">
        <v>364</v>
      </c>
    </row>
    <row r="1762">
      <c r="H1762" s="8" t="s">
        <v>364</v>
      </c>
    </row>
    <row r="1763">
      <c r="H1763" s="8" t="s">
        <v>364</v>
      </c>
    </row>
    <row r="1764">
      <c r="H1764" s="8" t="s">
        <v>364</v>
      </c>
    </row>
    <row r="1765">
      <c r="H1765" s="8" t="s">
        <v>364</v>
      </c>
    </row>
    <row r="1766">
      <c r="H1766" s="8" t="s">
        <v>364</v>
      </c>
    </row>
    <row r="1767">
      <c r="H1767" s="8" t="s">
        <v>364</v>
      </c>
    </row>
    <row r="1768">
      <c r="H1768" s="8" t="s">
        <v>364</v>
      </c>
    </row>
    <row r="1769">
      <c r="H1769" s="8" t="s">
        <v>364</v>
      </c>
    </row>
    <row r="1770">
      <c r="H1770" s="8" t="s">
        <v>364</v>
      </c>
    </row>
    <row r="1771">
      <c r="H1771" s="8" t="s">
        <v>364</v>
      </c>
    </row>
    <row r="1772">
      <c r="H1772" s="8" t="s">
        <v>364</v>
      </c>
    </row>
    <row r="1773">
      <c r="H1773" s="8" t="s">
        <v>364</v>
      </c>
    </row>
    <row r="1774">
      <c r="H1774" s="8" t="s">
        <v>364</v>
      </c>
    </row>
    <row r="1775">
      <c r="H1775" s="8" t="s">
        <v>364</v>
      </c>
    </row>
    <row r="1776">
      <c r="H1776" s="8" t="s">
        <v>364</v>
      </c>
    </row>
    <row r="1777">
      <c r="H1777" s="8" t="s">
        <v>364</v>
      </c>
    </row>
    <row r="1778">
      <c r="H1778" s="8" t="s">
        <v>364</v>
      </c>
    </row>
    <row r="1779">
      <c r="H1779" s="8" t="s">
        <v>364</v>
      </c>
    </row>
    <row r="1780">
      <c r="H1780" s="8" t="s">
        <v>364</v>
      </c>
    </row>
    <row r="1781">
      <c r="H1781" s="8" t="s">
        <v>364</v>
      </c>
    </row>
    <row r="1782">
      <c r="H1782" s="8" t="s">
        <v>364</v>
      </c>
    </row>
    <row r="1783">
      <c r="H1783" s="8" t="s">
        <v>364</v>
      </c>
    </row>
    <row r="1784">
      <c r="H1784" s="8" t="s">
        <v>364</v>
      </c>
    </row>
    <row r="1785">
      <c r="H1785" s="8" t="s">
        <v>364</v>
      </c>
    </row>
    <row r="1786">
      <c r="H1786" s="8" t="s">
        <v>364</v>
      </c>
    </row>
    <row r="1787">
      <c r="H1787" s="8" t="s">
        <v>364</v>
      </c>
    </row>
    <row r="1788">
      <c r="H1788" s="8" t="s">
        <v>364</v>
      </c>
    </row>
    <row r="1789">
      <c r="H1789" s="8" t="s">
        <v>364</v>
      </c>
    </row>
    <row r="1790">
      <c r="H1790" s="8" t="s">
        <v>364</v>
      </c>
    </row>
    <row r="1791">
      <c r="H1791" s="8" t="s">
        <v>364</v>
      </c>
    </row>
    <row r="1792">
      <c r="H1792" s="8" t="s">
        <v>364</v>
      </c>
    </row>
    <row r="1793">
      <c r="H1793" s="8" t="s">
        <v>364</v>
      </c>
    </row>
    <row r="1794">
      <c r="H1794" s="8" t="s">
        <v>364</v>
      </c>
    </row>
    <row r="1795">
      <c r="H1795" s="8" t="s">
        <v>364</v>
      </c>
    </row>
    <row r="1796">
      <c r="H1796" s="8" t="s">
        <v>364</v>
      </c>
    </row>
    <row r="1797">
      <c r="H1797" s="8" t="s">
        <v>364</v>
      </c>
    </row>
    <row r="1798">
      <c r="H1798" s="8" t="s">
        <v>364</v>
      </c>
    </row>
    <row r="1799">
      <c r="H1799" s="8" t="s">
        <v>364</v>
      </c>
    </row>
    <row r="1800">
      <c r="H1800" s="8" t="s">
        <v>364</v>
      </c>
    </row>
    <row r="1801">
      <c r="H1801" s="8" t="s">
        <v>364</v>
      </c>
    </row>
    <row r="1802">
      <c r="H1802" s="8" t="s">
        <v>364</v>
      </c>
    </row>
    <row r="1803">
      <c r="H1803" s="8" t="s">
        <v>364</v>
      </c>
    </row>
    <row r="1804">
      <c r="H1804" s="8" t="s">
        <v>364</v>
      </c>
    </row>
    <row r="1805">
      <c r="H1805" s="8" t="s">
        <v>364</v>
      </c>
    </row>
    <row r="1806">
      <c r="H1806" s="8" t="s">
        <v>364</v>
      </c>
    </row>
    <row r="1807">
      <c r="H1807" s="8" t="s">
        <v>364</v>
      </c>
    </row>
    <row r="1808">
      <c r="H1808" s="8" t="s">
        <v>364</v>
      </c>
    </row>
    <row r="1809">
      <c r="H1809" s="8" t="s">
        <v>364</v>
      </c>
    </row>
    <row r="1810">
      <c r="H1810" s="8" t="s">
        <v>364</v>
      </c>
    </row>
    <row r="1811">
      <c r="H1811" s="8" t="s">
        <v>364</v>
      </c>
    </row>
    <row r="1812">
      <c r="H1812" s="8" t="s">
        <v>364</v>
      </c>
    </row>
    <row r="1813">
      <c r="H1813" s="8" t="s">
        <v>364</v>
      </c>
    </row>
    <row r="1814">
      <c r="H1814" s="8" t="s">
        <v>364</v>
      </c>
    </row>
    <row r="1815">
      <c r="H1815" s="8" t="s">
        <v>364</v>
      </c>
    </row>
    <row r="1816">
      <c r="H1816" s="8" t="s">
        <v>364</v>
      </c>
    </row>
    <row r="1817">
      <c r="H1817" s="8" t="s">
        <v>364</v>
      </c>
    </row>
    <row r="1818">
      <c r="H1818" s="8" t="s">
        <v>364</v>
      </c>
    </row>
    <row r="1819">
      <c r="H1819" s="8" t="s">
        <v>364</v>
      </c>
    </row>
    <row r="1820">
      <c r="H1820" s="8" t="s">
        <v>364</v>
      </c>
    </row>
    <row r="1821">
      <c r="H1821" s="8" t="s">
        <v>364</v>
      </c>
    </row>
    <row r="1822">
      <c r="H1822" s="8" t="s">
        <v>364</v>
      </c>
    </row>
    <row r="1823">
      <c r="H1823" s="8" t="s">
        <v>364</v>
      </c>
    </row>
    <row r="1824">
      <c r="H1824" s="8" t="s">
        <v>364</v>
      </c>
    </row>
    <row r="1825">
      <c r="H1825" s="8" t="s">
        <v>364</v>
      </c>
    </row>
    <row r="1826">
      <c r="H1826" s="8" t="s">
        <v>364</v>
      </c>
    </row>
    <row r="1827">
      <c r="H1827" s="8" t="s">
        <v>364</v>
      </c>
    </row>
    <row r="1828">
      <c r="H1828" s="8" t="s">
        <v>364</v>
      </c>
    </row>
    <row r="1829">
      <c r="H1829" s="8" t="s">
        <v>364</v>
      </c>
    </row>
    <row r="1830">
      <c r="H1830" s="8" t="s">
        <v>364</v>
      </c>
    </row>
    <row r="1831">
      <c r="H1831" s="8" t="s">
        <v>364</v>
      </c>
    </row>
    <row r="1832">
      <c r="H1832" s="8" t="s">
        <v>364</v>
      </c>
    </row>
    <row r="1833">
      <c r="H1833" s="8" t="s">
        <v>364</v>
      </c>
    </row>
    <row r="1834">
      <c r="H1834" s="8" t="s">
        <v>364</v>
      </c>
    </row>
    <row r="1835">
      <c r="H1835" s="8" t="s">
        <v>364</v>
      </c>
    </row>
    <row r="1836">
      <c r="H1836" s="8" t="s">
        <v>364</v>
      </c>
    </row>
    <row r="1837">
      <c r="H1837" s="8" t="s">
        <v>364</v>
      </c>
    </row>
    <row r="1838">
      <c r="H1838" s="8" t="s">
        <v>364</v>
      </c>
    </row>
    <row r="1839">
      <c r="H1839" s="8" t="s">
        <v>364</v>
      </c>
    </row>
    <row r="1840">
      <c r="H1840" s="8" t="s">
        <v>364</v>
      </c>
    </row>
    <row r="1841">
      <c r="H1841" s="8" t="s">
        <v>364</v>
      </c>
    </row>
    <row r="1842">
      <c r="H1842" s="8" t="s">
        <v>364</v>
      </c>
    </row>
    <row r="1843">
      <c r="H1843" s="8" t="s">
        <v>364</v>
      </c>
    </row>
    <row r="1844">
      <c r="H1844" s="8" t="s">
        <v>364</v>
      </c>
    </row>
    <row r="1845">
      <c r="H1845" s="8" t="s">
        <v>364</v>
      </c>
    </row>
    <row r="1846">
      <c r="H1846" s="8" t="s">
        <v>364</v>
      </c>
    </row>
    <row r="1847">
      <c r="H1847" s="8" t="s">
        <v>364</v>
      </c>
    </row>
    <row r="1848">
      <c r="H1848" s="8" t="s">
        <v>364</v>
      </c>
    </row>
    <row r="1849">
      <c r="H1849" s="8" t="s">
        <v>364</v>
      </c>
    </row>
    <row r="1850">
      <c r="H1850" s="8" t="s">
        <v>364</v>
      </c>
    </row>
    <row r="1851">
      <c r="H1851" s="8" t="s">
        <v>364</v>
      </c>
    </row>
    <row r="1852">
      <c r="H1852" s="8" t="s">
        <v>364</v>
      </c>
    </row>
    <row r="1853">
      <c r="H1853" s="8" t="s">
        <v>364</v>
      </c>
    </row>
    <row r="1854">
      <c r="H1854" s="8" t="s">
        <v>364</v>
      </c>
    </row>
    <row r="1855">
      <c r="H1855" s="8" t="s">
        <v>364</v>
      </c>
    </row>
    <row r="1856">
      <c r="H1856" s="8" t="s">
        <v>364</v>
      </c>
    </row>
    <row r="1857">
      <c r="H1857" s="8" t="s">
        <v>364</v>
      </c>
    </row>
    <row r="1858">
      <c r="H1858" s="8" t="s">
        <v>364</v>
      </c>
    </row>
    <row r="1859">
      <c r="H1859" s="8" t="s">
        <v>364</v>
      </c>
    </row>
    <row r="1860">
      <c r="H1860" s="8" t="s">
        <v>364</v>
      </c>
    </row>
    <row r="1861">
      <c r="H1861" s="8" t="s">
        <v>364</v>
      </c>
    </row>
    <row r="1862">
      <c r="H1862" s="8" t="s">
        <v>364</v>
      </c>
    </row>
    <row r="1863">
      <c r="H1863" s="8" t="s">
        <v>364</v>
      </c>
    </row>
    <row r="1864">
      <c r="H1864" s="8" t="s">
        <v>364</v>
      </c>
    </row>
    <row r="1865">
      <c r="H1865" s="8" t="s">
        <v>364</v>
      </c>
    </row>
    <row r="1866">
      <c r="H1866" s="8" t="s">
        <v>364</v>
      </c>
    </row>
    <row r="1867">
      <c r="H1867" s="8" t="s">
        <v>364</v>
      </c>
    </row>
    <row r="1868">
      <c r="H1868" s="8" t="s">
        <v>364</v>
      </c>
    </row>
    <row r="1869">
      <c r="H1869" s="8" t="s">
        <v>364</v>
      </c>
    </row>
    <row r="1870">
      <c r="H1870" s="8" t="s">
        <v>364</v>
      </c>
    </row>
    <row r="1871">
      <c r="H1871" s="8" t="s">
        <v>364</v>
      </c>
    </row>
    <row r="1872">
      <c r="H1872" s="8" t="s">
        <v>364</v>
      </c>
    </row>
    <row r="1873">
      <c r="H1873" s="8" t="s">
        <v>364</v>
      </c>
    </row>
    <row r="1874">
      <c r="H1874" s="8" t="s">
        <v>364</v>
      </c>
    </row>
    <row r="1875">
      <c r="H1875" s="8" t="s">
        <v>364</v>
      </c>
    </row>
    <row r="1876">
      <c r="H1876" s="8" t="s">
        <v>364</v>
      </c>
    </row>
    <row r="1877">
      <c r="H1877" s="8" t="s">
        <v>364</v>
      </c>
    </row>
    <row r="1878">
      <c r="H1878" s="8" t="s">
        <v>364</v>
      </c>
    </row>
    <row r="1879">
      <c r="H1879" s="8" t="s">
        <v>364</v>
      </c>
    </row>
    <row r="1880">
      <c r="H1880" s="8" t="s">
        <v>364</v>
      </c>
    </row>
    <row r="1881">
      <c r="H1881" s="8" t="s">
        <v>364</v>
      </c>
    </row>
    <row r="1882">
      <c r="H1882" s="8" t="s">
        <v>364</v>
      </c>
    </row>
    <row r="1883">
      <c r="H1883" s="8" t="s">
        <v>364</v>
      </c>
    </row>
    <row r="1884">
      <c r="H1884" s="8" t="s">
        <v>364</v>
      </c>
    </row>
    <row r="1885">
      <c r="H1885" s="8" t="s">
        <v>364</v>
      </c>
    </row>
    <row r="1886">
      <c r="H1886" s="8" t="s">
        <v>364</v>
      </c>
    </row>
    <row r="1887">
      <c r="H1887" s="8" t="s">
        <v>364</v>
      </c>
    </row>
    <row r="1888">
      <c r="H1888" s="8" t="s">
        <v>364</v>
      </c>
    </row>
    <row r="1889">
      <c r="H1889" s="8" t="s">
        <v>364</v>
      </c>
    </row>
    <row r="1890">
      <c r="H1890" s="8" t="s">
        <v>364</v>
      </c>
    </row>
    <row r="1891">
      <c r="H1891" s="8" t="s">
        <v>364</v>
      </c>
    </row>
    <row r="1892">
      <c r="H1892" s="8" t="s">
        <v>364</v>
      </c>
    </row>
    <row r="1893">
      <c r="H1893" s="8" t="s">
        <v>364</v>
      </c>
    </row>
    <row r="1894">
      <c r="H1894" s="8" t="s">
        <v>364</v>
      </c>
    </row>
    <row r="1895">
      <c r="H1895" s="8" t="s">
        <v>364</v>
      </c>
    </row>
    <row r="1896">
      <c r="H1896" s="8" t="s">
        <v>364</v>
      </c>
    </row>
    <row r="1897">
      <c r="H1897" s="8" t="s">
        <v>364</v>
      </c>
    </row>
    <row r="1898">
      <c r="H1898" s="8" t="s">
        <v>364</v>
      </c>
    </row>
    <row r="1899">
      <c r="H1899" s="8" t="s">
        <v>364</v>
      </c>
    </row>
    <row r="1900">
      <c r="H1900" s="8" t="s">
        <v>364</v>
      </c>
    </row>
    <row r="1901">
      <c r="H1901" s="8" t="s">
        <v>364</v>
      </c>
    </row>
    <row r="1902">
      <c r="H1902" s="8" t="s">
        <v>364</v>
      </c>
    </row>
    <row r="1903">
      <c r="H1903" s="8" t="s">
        <v>364</v>
      </c>
    </row>
    <row r="1904">
      <c r="H1904" s="8" t="s">
        <v>364</v>
      </c>
    </row>
    <row r="1905">
      <c r="H1905" s="8" t="s">
        <v>364</v>
      </c>
    </row>
    <row r="1906">
      <c r="H1906" s="8" t="s">
        <v>364</v>
      </c>
    </row>
    <row r="1907">
      <c r="H1907" s="8" t="s">
        <v>364</v>
      </c>
    </row>
    <row r="1908">
      <c r="H1908" s="8" t="s">
        <v>364</v>
      </c>
    </row>
    <row r="1909">
      <c r="H1909" s="8" t="s">
        <v>364</v>
      </c>
    </row>
    <row r="1910">
      <c r="H1910" s="8" t="s">
        <v>364</v>
      </c>
    </row>
    <row r="1911">
      <c r="H1911" s="8" t="s">
        <v>364</v>
      </c>
    </row>
    <row r="1912">
      <c r="H1912" s="8" t="s">
        <v>364</v>
      </c>
    </row>
    <row r="1913">
      <c r="H1913" s="8" t="s">
        <v>364</v>
      </c>
    </row>
    <row r="1914">
      <c r="H1914" s="8" t="s">
        <v>364</v>
      </c>
    </row>
    <row r="1915">
      <c r="H1915" s="8" t="s">
        <v>364</v>
      </c>
    </row>
    <row r="1916">
      <c r="H1916" s="8" t="s">
        <v>364</v>
      </c>
    </row>
    <row r="1917">
      <c r="H1917" s="8" t="s">
        <v>364</v>
      </c>
    </row>
    <row r="1918">
      <c r="H1918" s="8" t="s">
        <v>364</v>
      </c>
    </row>
    <row r="1919">
      <c r="H1919" s="8" t="s">
        <v>364</v>
      </c>
    </row>
    <row r="1920">
      <c r="H1920" s="8" t="s">
        <v>364</v>
      </c>
    </row>
    <row r="1921">
      <c r="H1921" s="8" t="s">
        <v>364</v>
      </c>
    </row>
    <row r="1922">
      <c r="H1922" s="8" t="s">
        <v>364</v>
      </c>
    </row>
    <row r="1923">
      <c r="H1923" s="8" t="s">
        <v>364</v>
      </c>
    </row>
    <row r="1924">
      <c r="H1924" s="8" t="s">
        <v>364</v>
      </c>
    </row>
    <row r="1925">
      <c r="H1925" s="8" t="s">
        <v>364</v>
      </c>
    </row>
    <row r="1926">
      <c r="H1926" s="8" t="s">
        <v>364</v>
      </c>
    </row>
    <row r="1927">
      <c r="H1927" s="8" t="s">
        <v>364</v>
      </c>
    </row>
    <row r="1928">
      <c r="H1928" s="8" t="s">
        <v>364</v>
      </c>
    </row>
    <row r="1929">
      <c r="H1929" s="8" t="s">
        <v>364</v>
      </c>
    </row>
    <row r="1930">
      <c r="H1930" s="8" t="s">
        <v>364</v>
      </c>
    </row>
    <row r="1931">
      <c r="H1931" s="8" t="s">
        <v>364</v>
      </c>
    </row>
    <row r="1932">
      <c r="H1932" s="8" t="s">
        <v>364</v>
      </c>
    </row>
    <row r="1933">
      <c r="H1933" s="8" t="s">
        <v>364</v>
      </c>
    </row>
    <row r="1934">
      <c r="H1934" s="8" t="s">
        <v>364</v>
      </c>
    </row>
    <row r="1935">
      <c r="H1935" s="8" t="s">
        <v>364</v>
      </c>
    </row>
    <row r="1936">
      <c r="H1936" s="8" t="s">
        <v>364</v>
      </c>
    </row>
    <row r="1937">
      <c r="H1937" s="8" t="s">
        <v>364</v>
      </c>
    </row>
    <row r="1938">
      <c r="H1938" s="8" t="s">
        <v>364</v>
      </c>
    </row>
    <row r="1939">
      <c r="H1939" s="8" t="s">
        <v>364</v>
      </c>
    </row>
    <row r="1940">
      <c r="H1940" s="8" t="s">
        <v>364</v>
      </c>
    </row>
    <row r="1941">
      <c r="H1941" s="8" t="s">
        <v>364</v>
      </c>
    </row>
    <row r="1942">
      <c r="H1942" s="8" t="s">
        <v>364</v>
      </c>
    </row>
    <row r="1943">
      <c r="H1943" s="8" t="s">
        <v>364</v>
      </c>
    </row>
    <row r="1944">
      <c r="H1944" s="8" t="s">
        <v>364</v>
      </c>
    </row>
    <row r="1945">
      <c r="H1945" s="8" t="s">
        <v>364</v>
      </c>
    </row>
    <row r="1946">
      <c r="H1946" s="8" t="s">
        <v>364</v>
      </c>
    </row>
    <row r="1947">
      <c r="H1947" s="8" t="s">
        <v>364</v>
      </c>
    </row>
    <row r="1948">
      <c r="H1948" s="8" t="s">
        <v>364</v>
      </c>
    </row>
    <row r="1949">
      <c r="H1949" s="8" t="s">
        <v>364</v>
      </c>
    </row>
    <row r="1950">
      <c r="H1950" s="8" t="s">
        <v>364</v>
      </c>
    </row>
    <row r="1951">
      <c r="H1951" s="8" t="s">
        <v>364</v>
      </c>
    </row>
    <row r="1952">
      <c r="H1952" s="8" t="s">
        <v>364</v>
      </c>
    </row>
    <row r="1953">
      <c r="H1953" s="8" t="s">
        <v>364</v>
      </c>
    </row>
    <row r="1954">
      <c r="H1954" s="8" t="s">
        <v>364</v>
      </c>
    </row>
    <row r="1955">
      <c r="H1955" s="8" t="s">
        <v>364</v>
      </c>
    </row>
    <row r="1956">
      <c r="H1956" s="8" t="s">
        <v>364</v>
      </c>
    </row>
    <row r="1957">
      <c r="H1957" s="8" t="s">
        <v>364</v>
      </c>
    </row>
    <row r="1958">
      <c r="H1958" s="8" t="s">
        <v>364</v>
      </c>
    </row>
    <row r="1959">
      <c r="H1959" s="8" t="s">
        <v>364</v>
      </c>
    </row>
    <row r="1960">
      <c r="H1960" s="8" t="s">
        <v>364</v>
      </c>
    </row>
    <row r="1961">
      <c r="H1961" s="8" t="s">
        <v>364</v>
      </c>
    </row>
    <row r="1962">
      <c r="H1962" s="8" t="s">
        <v>364</v>
      </c>
    </row>
    <row r="1963">
      <c r="H1963" s="8" t="s">
        <v>364</v>
      </c>
    </row>
    <row r="1964">
      <c r="H1964" s="8" t="s">
        <v>364</v>
      </c>
    </row>
    <row r="1965">
      <c r="H1965" s="8" t="s">
        <v>364</v>
      </c>
    </row>
    <row r="1966">
      <c r="H1966" s="8" t="s">
        <v>364</v>
      </c>
    </row>
    <row r="1967">
      <c r="H1967" s="8" t="s">
        <v>364</v>
      </c>
    </row>
    <row r="1968">
      <c r="H1968" s="8" t="s">
        <v>364</v>
      </c>
    </row>
    <row r="1969">
      <c r="H1969" s="8" t="s">
        <v>364</v>
      </c>
    </row>
    <row r="1970">
      <c r="H1970" s="8" t="s">
        <v>364</v>
      </c>
    </row>
    <row r="1971">
      <c r="H1971" s="8" t="s">
        <v>364</v>
      </c>
    </row>
    <row r="1972">
      <c r="H1972" s="8" t="s">
        <v>364</v>
      </c>
    </row>
    <row r="1973">
      <c r="H1973" s="8" t="s">
        <v>364</v>
      </c>
    </row>
    <row r="1974">
      <c r="H1974" s="8" t="s">
        <v>364</v>
      </c>
    </row>
    <row r="1975">
      <c r="H1975" s="8" t="s">
        <v>364</v>
      </c>
    </row>
    <row r="1976">
      <c r="H1976" s="8" t="s">
        <v>364</v>
      </c>
    </row>
    <row r="1977">
      <c r="H1977" s="8" t="s">
        <v>364</v>
      </c>
    </row>
    <row r="1978">
      <c r="H1978" s="8" t="s">
        <v>364</v>
      </c>
    </row>
    <row r="1979">
      <c r="H1979" s="8" t="s">
        <v>364</v>
      </c>
    </row>
    <row r="1980">
      <c r="H1980" s="8" t="s">
        <v>364</v>
      </c>
    </row>
    <row r="1981">
      <c r="H1981" s="8" t="s">
        <v>364</v>
      </c>
    </row>
    <row r="1982">
      <c r="H1982" s="8" t="s">
        <v>364</v>
      </c>
    </row>
    <row r="1983">
      <c r="H1983" s="8" t="s">
        <v>364</v>
      </c>
    </row>
    <row r="1984">
      <c r="H1984" s="8" t="s">
        <v>364</v>
      </c>
    </row>
    <row r="1985">
      <c r="H1985" s="8" t="s">
        <v>364</v>
      </c>
    </row>
    <row r="1986">
      <c r="H1986" s="8" t="s">
        <v>364</v>
      </c>
    </row>
    <row r="1987">
      <c r="H1987" s="8" t="s">
        <v>364</v>
      </c>
    </row>
    <row r="1988">
      <c r="H1988" s="8" t="s">
        <v>364</v>
      </c>
    </row>
    <row r="1989">
      <c r="H1989" s="8" t="s">
        <v>364</v>
      </c>
    </row>
    <row r="1990">
      <c r="H1990" s="8" t="s">
        <v>364</v>
      </c>
    </row>
    <row r="1991">
      <c r="H1991" s="8" t="s">
        <v>364</v>
      </c>
    </row>
    <row r="1992">
      <c r="H1992" s="8" t="s">
        <v>364</v>
      </c>
    </row>
    <row r="1993">
      <c r="H1993" s="8" t="s">
        <v>364</v>
      </c>
    </row>
    <row r="1994">
      <c r="H1994" s="8" t="s">
        <v>364</v>
      </c>
    </row>
    <row r="1995">
      <c r="H1995" s="8" t="s">
        <v>364</v>
      </c>
    </row>
    <row r="1996">
      <c r="H1996" s="8" t="s">
        <v>364</v>
      </c>
    </row>
    <row r="1997">
      <c r="H1997" s="8" t="s">
        <v>364</v>
      </c>
    </row>
    <row r="1998">
      <c r="H1998" s="8" t="s">
        <v>364</v>
      </c>
    </row>
    <row r="1999">
      <c r="H1999" s="8" t="s">
        <v>364</v>
      </c>
    </row>
    <row r="2000">
      <c r="H2000" s="8" t="s">
        <v>364</v>
      </c>
    </row>
    <row r="2001">
      <c r="H2001" s="8" t="s">
        <v>364</v>
      </c>
    </row>
    <row r="2002">
      <c r="H2002" s="8" t="s">
        <v>364</v>
      </c>
    </row>
    <row r="2003">
      <c r="H2003" s="8" t="s">
        <v>364</v>
      </c>
    </row>
    <row r="2004">
      <c r="H2004" s="8" t="s">
        <v>364</v>
      </c>
    </row>
    <row r="2005">
      <c r="H2005" s="8" t="s">
        <v>364</v>
      </c>
    </row>
    <row r="2006">
      <c r="H2006" s="8" t="s">
        <v>364</v>
      </c>
    </row>
    <row r="2007">
      <c r="H2007" s="8" t="s">
        <v>364</v>
      </c>
    </row>
    <row r="2008">
      <c r="H2008" s="8" t="s">
        <v>364</v>
      </c>
    </row>
    <row r="2009">
      <c r="H2009" s="8" t="s">
        <v>364</v>
      </c>
    </row>
    <row r="2010">
      <c r="H2010" s="8" t="s">
        <v>364</v>
      </c>
    </row>
    <row r="2011">
      <c r="H2011" s="8" t="s">
        <v>364</v>
      </c>
    </row>
    <row r="2012">
      <c r="H2012" s="8" t="s">
        <v>364</v>
      </c>
    </row>
    <row r="2013">
      <c r="H2013" s="8" t="s">
        <v>364</v>
      </c>
    </row>
    <row r="2014">
      <c r="H2014" s="8" t="s">
        <v>364</v>
      </c>
    </row>
    <row r="2015">
      <c r="H2015" s="8" t="s">
        <v>364</v>
      </c>
    </row>
    <row r="2016">
      <c r="H2016" s="8" t="s">
        <v>364</v>
      </c>
    </row>
    <row r="2017">
      <c r="H2017" s="8" t="s">
        <v>364</v>
      </c>
    </row>
    <row r="2018">
      <c r="H2018" s="8" t="s">
        <v>364</v>
      </c>
    </row>
    <row r="2019">
      <c r="H2019" s="8" t="s">
        <v>364</v>
      </c>
    </row>
    <row r="2020">
      <c r="H2020" s="8" t="s">
        <v>364</v>
      </c>
    </row>
    <row r="2021">
      <c r="H2021" s="8" t="s">
        <v>364</v>
      </c>
    </row>
    <row r="2022">
      <c r="H2022" s="8" t="s">
        <v>364</v>
      </c>
    </row>
    <row r="2023">
      <c r="H2023" s="8" t="s">
        <v>364</v>
      </c>
    </row>
    <row r="2024">
      <c r="H2024" s="8" t="s">
        <v>364</v>
      </c>
    </row>
    <row r="2025">
      <c r="H2025" s="8" t="s">
        <v>364</v>
      </c>
    </row>
    <row r="2026">
      <c r="H2026" s="8" t="s">
        <v>364</v>
      </c>
    </row>
    <row r="2027">
      <c r="H2027" s="8" t="s">
        <v>364</v>
      </c>
    </row>
    <row r="2028">
      <c r="H2028" s="8" t="s">
        <v>364</v>
      </c>
    </row>
    <row r="2029">
      <c r="H2029" s="8" t="s">
        <v>364</v>
      </c>
    </row>
    <row r="2030">
      <c r="H2030" s="8" t="s">
        <v>364</v>
      </c>
    </row>
    <row r="2031">
      <c r="H2031" s="8" t="s">
        <v>364</v>
      </c>
    </row>
    <row r="2032">
      <c r="H2032" s="8" t="s">
        <v>364</v>
      </c>
    </row>
    <row r="2033">
      <c r="H2033" s="8" t="s">
        <v>364</v>
      </c>
    </row>
    <row r="2034">
      <c r="H2034" s="8" t="s">
        <v>364</v>
      </c>
    </row>
    <row r="2035">
      <c r="H2035" s="8" t="s">
        <v>364</v>
      </c>
    </row>
    <row r="2036">
      <c r="H2036" s="8" t="s">
        <v>364</v>
      </c>
    </row>
    <row r="2037">
      <c r="H2037" s="8" t="s">
        <v>364</v>
      </c>
    </row>
    <row r="2038">
      <c r="H2038" s="8" t="s">
        <v>364</v>
      </c>
    </row>
    <row r="2039">
      <c r="H2039" s="8" t="s">
        <v>364</v>
      </c>
    </row>
    <row r="2040">
      <c r="H2040" s="8" t="s">
        <v>364</v>
      </c>
    </row>
    <row r="2041">
      <c r="H2041" s="8" t="s">
        <v>364</v>
      </c>
    </row>
    <row r="2042">
      <c r="H2042" s="8" t="s">
        <v>364</v>
      </c>
    </row>
    <row r="2043">
      <c r="H2043" s="8" t="s">
        <v>364</v>
      </c>
    </row>
    <row r="2044">
      <c r="H2044" s="8" t="s">
        <v>364</v>
      </c>
    </row>
    <row r="2045">
      <c r="H2045" s="8" t="s">
        <v>364</v>
      </c>
    </row>
    <row r="2046">
      <c r="H2046" s="8" t="s">
        <v>364</v>
      </c>
    </row>
    <row r="2047">
      <c r="H2047" s="8" t="s">
        <v>364</v>
      </c>
    </row>
    <row r="2048">
      <c r="H2048" s="8" t="s">
        <v>364</v>
      </c>
    </row>
    <row r="2049">
      <c r="H2049" s="8" t="s">
        <v>364</v>
      </c>
    </row>
    <row r="2050">
      <c r="H2050" s="8" t="s">
        <v>364</v>
      </c>
    </row>
    <row r="2051">
      <c r="H2051" s="8" t="s">
        <v>364</v>
      </c>
    </row>
    <row r="2052">
      <c r="H2052" s="8" t="s">
        <v>364</v>
      </c>
    </row>
    <row r="2053">
      <c r="H2053" s="8" t="s">
        <v>364</v>
      </c>
    </row>
    <row r="2054">
      <c r="H2054" s="8" t="s">
        <v>364</v>
      </c>
    </row>
    <row r="2055">
      <c r="H2055" s="8" t="s">
        <v>364</v>
      </c>
    </row>
    <row r="2056">
      <c r="H2056" s="8" t="s">
        <v>364</v>
      </c>
    </row>
    <row r="2057">
      <c r="H2057" s="8" t="s">
        <v>364</v>
      </c>
    </row>
    <row r="2058">
      <c r="H2058" s="8" t="s">
        <v>364</v>
      </c>
    </row>
    <row r="2059">
      <c r="H2059" s="8" t="s">
        <v>364</v>
      </c>
    </row>
    <row r="2060">
      <c r="H2060" s="8" t="s">
        <v>364</v>
      </c>
    </row>
    <row r="2061">
      <c r="H2061" s="8" t="s">
        <v>364</v>
      </c>
    </row>
    <row r="2062">
      <c r="H2062" s="8" t="s">
        <v>364</v>
      </c>
    </row>
    <row r="2063">
      <c r="H2063" s="8" t="s">
        <v>364</v>
      </c>
    </row>
    <row r="2064">
      <c r="H2064" s="8" t="s">
        <v>364</v>
      </c>
    </row>
    <row r="2065">
      <c r="H2065" s="8" t="s">
        <v>364</v>
      </c>
    </row>
    <row r="2066">
      <c r="H2066" s="8" t="s">
        <v>364</v>
      </c>
    </row>
    <row r="2067">
      <c r="H2067" s="8" t="s">
        <v>364</v>
      </c>
    </row>
    <row r="2068">
      <c r="H2068" s="8" t="s">
        <v>364</v>
      </c>
    </row>
    <row r="2069">
      <c r="H2069" s="8" t="s">
        <v>364</v>
      </c>
    </row>
    <row r="2070">
      <c r="H2070" s="8" t="s">
        <v>364</v>
      </c>
    </row>
    <row r="2071">
      <c r="H2071" s="8" t="s">
        <v>364</v>
      </c>
    </row>
    <row r="2072">
      <c r="H2072" s="8" t="s">
        <v>364</v>
      </c>
    </row>
    <row r="2073">
      <c r="H2073" s="8" t="s">
        <v>364</v>
      </c>
    </row>
    <row r="2074">
      <c r="H2074" s="8" t="s">
        <v>364</v>
      </c>
    </row>
    <row r="2075">
      <c r="H2075" s="8" t="s">
        <v>364</v>
      </c>
    </row>
    <row r="2076">
      <c r="H2076" s="8" t="s">
        <v>364</v>
      </c>
    </row>
    <row r="2077">
      <c r="H2077" s="8" t="s">
        <v>364</v>
      </c>
    </row>
    <row r="2078">
      <c r="H2078" s="8" t="s">
        <v>364</v>
      </c>
    </row>
    <row r="2079">
      <c r="H2079" s="8" t="s">
        <v>364</v>
      </c>
    </row>
    <row r="2080">
      <c r="H2080" s="8" t="s">
        <v>364</v>
      </c>
    </row>
    <row r="2081">
      <c r="H2081" s="8" t="s">
        <v>364</v>
      </c>
    </row>
    <row r="2082">
      <c r="H2082" s="8" t="s">
        <v>364</v>
      </c>
    </row>
    <row r="2083">
      <c r="H2083" s="8" t="s">
        <v>364</v>
      </c>
    </row>
    <row r="2084">
      <c r="H2084" s="8" t="s">
        <v>364</v>
      </c>
    </row>
    <row r="2085">
      <c r="H2085" s="8" t="s">
        <v>364</v>
      </c>
    </row>
    <row r="2086">
      <c r="H2086" s="8" t="s">
        <v>364</v>
      </c>
    </row>
    <row r="2087">
      <c r="H2087" s="8" t="s">
        <v>364</v>
      </c>
    </row>
    <row r="2088">
      <c r="H2088" s="8" t="s">
        <v>364</v>
      </c>
    </row>
    <row r="2089">
      <c r="H2089" s="8" t="s">
        <v>364</v>
      </c>
    </row>
    <row r="2090">
      <c r="H2090" s="8" t="s">
        <v>364</v>
      </c>
    </row>
    <row r="2091">
      <c r="H2091" s="8" t="s">
        <v>364</v>
      </c>
    </row>
    <row r="2092">
      <c r="H2092" s="8" t="s">
        <v>364</v>
      </c>
    </row>
    <row r="2093">
      <c r="H2093" s="8" t="s">
        <v>364</v>
      </c>
    </row>
    <row r="2094">
      <c r="H2094" s="8" t="s">
        <v>364</v>
      </c>
    </row>
    <row r="2095">
      <c r="H2095" s="8" t="s">
        <v>364</v>
      </c>
    </row>
    <row r="2096">
      <c r="H2096" s="8" t="s">
        <v>364</v>
      </c>
    </row>
    <row r="2097">
      <c r="H2097" s="8" t="s">
        <v>364</v>
      </c>
    </row>
    <row r="2098">
      <c r="H2098" s="8" t="s">
        <v>364</v>
      </c>
    </row>
    <row r="2099">
      <c r="H2099" s="8" t="s">
        <v>364</v>
      </c>
    </row>
    <row r="2100">
      <c r="H2100" s="8" t="s">
        <v>364</v>
      </c>
    </row>
    <row r="2101">
      <c r="H2101" s="8" t="s">
        <v>364</v>
      </c>
    </row>
    <row r="2102">
      <c r="H2102" s="8" t="s">
        <v>364</v>
      </c>
    </row>
    <row r="2103">
      <c r="H2103" s="8" t="s">
        <v>364</v>
      </c>
    </row>
    <row r="2104">
      <c r="H2104" s="8" t="s">
        <v>364</v>
      </c>
    </row>
    <row r="2105">
      <c r="H2105" s="8" t="s">
        <v>364</v>
      </c>
    </row>
    <row r="2106">
      <c r="H2106" s="8" t="s">
        <v>364</v>
      </c>
    </row>
    <row r="2107">
      <c r="H2107" s="8" t="s">
        <v>364</v>
      </c>
    </row>
    <row r="2108">
      <c r="H2108" s="8" t="s">
        <v>364</v>
      </c>
    </row>
    <row r="2109">
      <c r="H2109" s="8" t="s">
        <v>364</v>
      </c>
    </row>
    <row r="2110">
      <c r="H2110" s="8" t="s">
        <v>364</v>
      </c>
    </row>
    <row r="2111">
      <c r="H2111" s="8" t="s">
        <v>364</v>
      </c>
    </row>
    <row r="2112">
      <c r="H2112" s="8" t="s">
        <v>364</v>
      </c>
    </row>
    <row r="2113">
      <c r="H2113" s="8" t="s">
        <v>364</v>
      </c>
    </row>
    <row r="2114">
      <c r="H2114" s="8" t="s">
        <v>364</v>
      </c>
    </row>
    <row r="2115">
      <c r="H2115" s="8" t="s">
        <v>364</v>
      </c>
    </row>
    <row r="2116">
      <c r="H2116" s="8" t="s">
        <v>364</v>
      </c>
    </row>
    <row r="2117">
      <c r="H2117" s="8" t="s">
        <v>364</v>
      </c>
    </row>
    <row r="2118">
      <c r="H2118" s="8" t="s">
        <v>364</v>
      </c>
    </row>
    <row r="2119">
      <c r="H2119" s="8" t="s">
        <v>364</v>
      </c>
    </row>
    <row r="2120">
      <c r="H2120" s="8" t="s">
        <v>364</v>
      </c>
    </row>
    <row r="2121">
      <c r="H2121" s="8" t="s">
        <v>364</v>
      </c>
    </row>
    <row r="2122">
      <c r="H2122" s="8" t="s">
        <v>364</v>
      </c>
    </row>
    <row r="2123">
      <c r="H2123" s="8" t="s">
        <v>364</v>
      </c>
    </row>
    <row r="2124">
      <c r="H2124" s="8" t="s">
        <v>364</v>
      </c>
    </row>
    <row r="2125">
      <c r="H2125" s="8" t="s">
        <v>364</v>
      </c>
    </row>
    <row r="2126">
      <c r="H2126" s="8" t="s">
        <v>364</v>
      </c>
    </row>
    <row r="2127">
      <c r="H2127" s="8" t="s">
        <v>364</v>
      </c>
    </row>
    <row r="2128">
      <c r="H2128" s="8" t="s">
        <v>364</v>
      </c>
    </row>
    <row r="2129">
      <c r="H2129" s="8" t="s">
        <v>364</v>
      </c>
    </row>
    <row r="2130">
      <c r="H2130" s="8" t="s">
        <v>364</v>
      </c>
    </row>
    <row r="2131">
      <c r="H2131" s="8" t="s">
        <v>364</v>
      </c>
    </row>
    <row r="2132">
      <c r="H2132" s="8" t="s">
        <v>364</v>
      </c>
    </row>
    <row r="2133">
      <c r="H2133" s="8" t="s">
        <v>364</v>
      </c>
    </row>
    <row r="2134">
      <c r="H2134" s="8" t="s">
        <v>364</v>
      </c>
    </row>
    <row r="2135">
      <c r="H2135" s="8" t="s">
        <v>364</v>
      </c>
    </row>
    <row r="2136">
      <c r="H2136" s="8" t="s">
        <v>364</v>
      </c>
    </row>
    <row r="2137">
      <c r="H2137" s="8" t="s">
        <v>364</v>
      </c>
    </row>
    <row r="2138">
      <c r="H2138" s="8" t="s">
        <v>364</v>
      </c>
    </row>
    <row r="2139">
      <c r="H2139" s="8" t="s">
        <v>364</v>
      </c>
    </row>
    <row r="2140">
      <c r="H2140" s="8" t="s">
        <v>364</v>
      </c>
    </row>
    <row r="2141">
      <c r="H2141" s="8" t="s">
        <v>364</v>
      </c>
    </row>
    <row r="2142">
      <c r="H2142" s="8" t="s">
        <v>364</v>
      </c>
    </row>
    <row r="2143">
      <c r="H2143" s="8" t="s">
        <v>364</v>
      </c>
    </row>
    <row r="2144">
      <c r="H2144" s="8" t="s">
        <v>364</v>
      </c>
    </row>
    <row r="2145">
      <c r="H2145" s="8" t="s">
        <v>364</v>
      </c>
    </row>
    <row r="2146">
      <c r="H2146" s="8" t="s">
        <v>364</v>
      </c>
    </row>
    <row r="2147">
      <c r="H2147" s="8" t="s">
        <v>364</v>
      </c>
    </row>
    <row r="2148">
      <c r="H2148" s="8" t="s">
        <v>364</v>
      </c>
    </row>
    <row r="2149">
      <c r="H2149" s="8" t="s">
        <v>364</v>
      </c>
    </row>
    <row r="2150">
      <c r="H2150" s="8" t="s">
        <v>364</v>
      </c>
    </row>
    <row r="2151">
      <c r="H2151" s="8" t="s">
        <v>364</v>
      </c>
    </row>
    <row r="2152">
      <c r="H2152" s="8" t="s">
        <v>364</v>
      </c>
    </row>
    <row r="2153">
      <c r="H2153" s="8" t="s">
        <v>364</v>
      </c>
    </row>
    <row r="2154">
      <c r="H2154" s="8" t="s">
        <v>364</v>
      </c>
    </row>
    <row r="2155">
      <c r="H2155" s="8" t="s">
        <v>364</v>
      </c>
    </row>
    <row r="2156">
      <c r="H2156" s="8" t="s">
        <v>364</v>
      </c>
    </row>
    <row r="2157">
      <c r="H2157" s="8" t="s">
        <v>364</v>
      </c>
    </row>
    <row r="2158">
      <c r="H2158" s="8" t="s">
        <v>364</v>
      </c>
    </row>
    <row r="2159">
      <c r="H2159" s="8" t="s">
        <v>364</v>
      </c>
    </row>
    <row r="2160">
      <c r="H2160" s="8" t="s">
        <v>364</v>
      </c>
    </row>
    <row r="2161">
      <c r="H2161" s="8" t="s">
        <v>364</v>
      </c>
    </row>
    <row r="2162">
      <c r="H2162" s="8" t="s">
        <v>364</v>
      </c>
    </row>
    <row r="2163">
      <c r="H2163" s="8" t="s">
        <v>364</v>
      </c>
    </row>
    <row r="2164">
      <c r="H2164" s="8" t="s">
        <v>364</v>
      </c>
    </row>
    <row r="2165">
      <c r="H2165" s="8" t="s">
        <v>364</v>
      </c>
    </row>
    <row r="2166">
      <c r="H2166" s="8" t="s">
        <v>364</v>
      </c>
    </row>
    <row r="2167">
      <c r="H2167" s="8" t="s">
        <v>364</v>
      </c>
    </row>
    <row r="2168">
      <c r="H2168" s="8" t="s">
        <v>364</v>
      </c>
    </row>
    <row r="2169">
      <c r="H2169" s="8" t="s">
        <v>364</v>
      </c>
    </row>
    <row r="2170">
      <c r="H2170" s="8" t="s">
        <v>364</v>
      </c>
    </row>
    <row r="2171">
      <c r="H2171" s="8" t="s">
        <v>364</v>
      </c>
    </row>
    <row r="2172">
      <c r="H2172" s="8" t="s">
        <v>364</v>
      </c>
    </row>
    <row r="2173">
      <c r="H2173" s="8" t="s">
        <v>364</v>
      </c>
    </row>
    <row r="2174">
      <c r="H2174" s="8" t="s">
        <v>364</v>
      </c>
    </row>
    <row r="2175">
      <c r="H2175" s="8" t="s">
        <v>364</v>
      </c>
    </row>
    <row r="2176">
      <c r="H2176" s="8" t="s">
        <v>364</v>
      </c>
    </row>
    <row r="2177">
      <c r="H2177" s="8" t="s">
        <v>364</v>
      </c>
    </row>
    <row r="2178">
      <c r="H2178" s="8" t="s">
        <v>364</v>
      </c>
    </row>
    <row r="2179">
      <c r="H2179" s="8" t="s">
        <v>364</v>
      </c>
    </row>
    <row r="2180">
      <c r="H2180" s="8" t="s">
        <v>364</v>
      </c>
    </row>
    <row r="2181">
      <c r="H2181" s="8" t="s">
        <v>364</v>
      </c>
    </row>
    <row r="2182">
      <c r="H2182" s="8" t="s">
        <v>364</v>
      </c>
    </row>
    <row r="2183">
      <c r="H2183" s="8" t="s">
        <v>364</v>
      </c>
    </row>
    <row r="2184">
      <c r="H2184" s="8" t="s">
        <v>364</v>
      </c>
    </row>
    <row r="2185">
      <c r="H2185" s="8" t="s">
        <v>364</v>
      </c>
    </row>
    <row r="2186">
      <c r="H2186" s="8" t="s">
        <v>364</v>
      </c>
    </row>
    <row r="2187">
      <c r="H2187" s="8" t="s">
        <v>364</v>
      </c>
    </row>
    <row r="2188">
      <c r="H2188" s="8" t="s">
        <v>364</v>
      </c>
    </row>
    <row r="2189">
      <c r="H2189" s="8" t="s">
        <v>364</v>
      </c>
    </row>
    <row r="2190">
      <c r="H2190" s="8" t="s">
        <v>364</v>
      </c>
    </row>
    <row r="2191">
      <c r="H2191" s="8" t="s">
        <v>364</v>
      </c>
    </row>
    <row r="2192">
      <c r="H2192" s="8" t="s">
        <v>364</v>
      </c>
    </row>
    <row r="2193">
      <c r="H2193" s="8" t="s">
        <v>364</v>
      </c>
    </row>
    <row r="2194">
      <c r="H2194" s="8" t="s">
        <v>364</v>
      </c>
    </row>
    <row r="2195">
      <c r="H2195" s="8" t="s">
        <v>364</v>
      </c>
    </row>
    <row r="2196">
      <c r="H2196" s="8" t="s">
        <v>364</v>
      </c>
    </row>
    <row r="2197">
      <c r="H2197" s="8" t="s">
        <v>364</v>
      </c>
    </row>
    <row r="2198">
      <c r="H2198" s="8" t="s">
        <v>364</v>
      </c>
    </row>
    <row r="2199">
      <c r="H2199" s="8" t="s">
        <v>364</v>
      </c>
    </row>
    <row r="2200">
      <c r="H2200" s="8" t="s">
        <v>364</v>
      </c>
    </row>
    <row r="2201">
      <c r="H2201" s="8" t="s">
        <v>364</v>
      </c>
    </row>
    <row r="2202">
      <c r="H2202" s="8" t="s">
        <v>364</v>
      </c>
    </row>
    <row r="2203">
      <c r="H2203" s="8" t="s">
        <v>364</v>
      </c>
    </row>
    <row r="2204">
      <c r="H2204" s="8" t="s">
        <v>364</v>
      </c>
    </row>
    <row r="2205">
      <c r="H2205" s="8" t="s">
        <v>364</v>
      </c>
    </row>
    <row r="2206">
      <c r="H2206" s="8" t="s">
        <v>364</v>
      </c>
    </row>
    <row r="2207">
      <c r="H2207" s="8" t="s">
        <v>364</v>
      </c>
    </row>
    <row r="2208">
      <c r="H2208" s="8" t="s">
        <v>364</v>
      </c>
    </row>
    <row r="2209">
      <c r="H2209" s="8" t="s">
        <v>364</v>
      </c>
    </row>
    <row r="2210">
      <c r="H2210" s="8" t="s">
        <v>364</v>
      </c>
    </row>
    <row r="2211">
      <c r="H2211" s="8" t="s">
        <v>364</v>
      </c>
    </row>
    <row r="2212">
      <c r="H2212" s="8" t="s">
        <v>364</v>
      </c>
    </row>
    <row r="2213">
      <c r="H2213" s="8" t="s">
        <v>364</v>
      </c>
    </row>
    <row r="2214">
      <c r="H2214" s="8" t="s">
        <v>364</v>
      </c>
    </row>
    <row r="2215">
      <c r="H2215" s="8" t="s">
        <v>364</v>
      </c>
    </row>
    <row r="2216">
      <c r="H2216" s="8" t="s">
        <v>364</v>
      </c>
    </row>
    <row r="2217">
      <c r="H2217" s="8" t="s">
        <v>364</v>
      </c>
    </row>
    <row r="2218">
      <c r="H2218" s="8" t="s">
        <v>364</v>
      </c>
    </row>
    <row r="2219">
      <c r="H2219" s="8" t="s">
        <v>364</v>
      </c>
    </row>
    <row r="2220">
      <c r="H2220" s="8" t="s">
        <v>364</v>
      </c>
    </row>
    <row r="2221">
      <c r="H2221" s="8" t="s">
        <v>364</v>
      </c>
    </row>
    <row r="2222">
      <c r="H2222" s="8" t="s">
        <v>364</v>
      </c>
    </row>
    <row r="2223">
      <c r="H2223" s="8" t="s">
        <v>364</v>
      </c>
    </row>
    <row r="2224">
      <c r="H2224" s="8" t="s">
        <v>364</v>
      </c>
    </row>
    <row r="2225">
      <c r="H2225" s="8" t="s">
        <v>364</v>
      </c>
    </row>
    <row r="2226">
      <c r="H2226" s="8" t="s">
        <v>364</v>
      </c>
    </row>
    <row r="2227">
      <c r="H2227" s="8" t="s">
        <v>364</v>
      </c>
    </row>
    <row r="2228">
      <c r="H2228" s="8" t="s">
        <v>364</v>
      </c>
    </row>
    <row r="2229">
      <c r="H2229" s="8" t="s">
        <v>364</v>
      </c>
    </row>
    <row r="2230">
      <c r="H2230" s="8" t="s">
        <v>364</v>
      </c>
    </row>
    <row r="2231">
      <c r="H2231" s="8" t="s">
        <v>364</v>
      </c>
    </row>
    <row r="2232">
      <c r="H2232" s="8" t="s">
        <v>364</v>
      </c>
    </row>
    <row r="2233">
      <c r="H2233" s="8" t="s">
        <v>364</v>
      </c>
    </row>
    <row r="2234">
      <c r="H2234" s="8" t="s">
        <v>364</v>
      </c>
    </row>
    <row r="2235">
      <c r="H2235" s="8" t="s">
        <v>364</v>
      </c>
    </row>
    <row r="2236">
      <c r="H2236" s="8" t="s">
        <v>364</v>
      </c>
    </row>
    <row r="2237">
      <c r="H2237" s="8" t="s">
        <v>364</v>
      </c>
    </row>
    <row r="2238">
      <c r="H2238" s="8" t="s">
        <v>364</v>
      </c>
    </row>
    <row r="2239">
      <c r="H2239" s="8" t="s">
        <v>364</v>
      </c>
    </row>
    <row r="2240">
      <c r="H2240" s="8" t="s">
        <v>364</v>
      </c>
    </row>
    <row r="2241">
      <c r="H2241" s="8" t="s">
        <v>364</v>
      </c>
    </row>
    <row r="2242">
      <c r="H2242" s="8" t="s">
        <v>364</v>
      </c>
    </row>
    <row r="2243">
      <c r="H2243" s="8" t="s">
        <v>364</v>
      </c>
    </row>
    <row r="2244">
      <c r="H2244" s="8" t="s">
        <v>364</v>
      </c>
    </row>
    <row r="2245">
      <c r="H2245" s="8" t="s">
        <v>364</v>
      </c>
    </row>
    <row r="2246">
      <c r="H2246" s="8" t="s">
        <v>364</v>
      </c>
    </row>
    <row r="2247">
      <c r="H2247" s="8" t="s">
        <v>364</v>
      </c>
    </row>
    <row r="2248">
      <c r="H2248" s="8" t="s">
        <v>364</v>
      </c>
    </row>
    <row r="2249">
      <c r="H2249" s="8" t="s">
        <v>364</v>
      </c>
    </row>
    <row r="2250">
      <c r="H2250" s="8" t="s">
        <v>364</v>
      </c>
    </row>
    <row r="2251">
      <c r="H2251" s="8" t="s">
        <v>364</v>
      </c>
    </row>
    <row r="2252">
      <c r="H2252" s="8" t="s">
        <v>364</v>
      </c>
    </row>
    <row r="2253">
      <c r="H2253" s="8" t="s">
        <v>364</v>
      </c>
    </row>
    <row r="2254">
      <c r="H2254" s="8" t="s">
        <v>364</v>
      </c>
    </row>
    <row r="2255">
      <c r="H2255" s="8" t="s">
        <v>364</v>
      </c>
    </row>
    <row r="2256">
      <c r="H2256" s="8" t="s">
        <v>364</v>
      </c>
    </row>
    <row r="2257">
      <c r="H2257" s="8" t="s">
        <v>364</v>
      </c>
    </row>
    <row r="2258">
      <c r="H2258" s="8" t="s">
        <v>364</v>
      </c>
    </row>
    <row r="2259">
      <c r="H2259" s="8" t="s">
        <v>364</v>
      </c>
    </row>
    <row r="2260">
      <c r="H2260" s="8" t="s">
        <v>364</v>
      </c>
    </row>
    <row r="2261">
      <c r="H2261" s="8" t="s">
        <v>364</v>
      </c>
    </row>
    <row r="2262">
      <c r="H2262" s="8" t="s">
        <v>364</v>
      </c>
    </row>
    <row r="2263">
      <c r="H2263" s="8" t="s">
        <v>364</v>
      </c>
    </row>
    <row r="2264">
      <c r="H2264" s="8" t="s">
        <v>364</v>
      </c>
    </row>
    <row r="2265">
      <c r="H2265" s="8" t="s">
        <v>364</v>
      </c>
    </row>
    <row r="2266">
      <c r="H2266" s="8" t="s">
        <v>364</v>
      </c>
    </row>
    <row r="2267">
      <c r="H2267" s="8" t="s">
        <v>364</v>
      </c>
    </row>
    <row r="2268">
      <c r="H2268" s="8" t="s">
        <v>364</v>
      </c>
    </row>
    <row r="2269">
      <c r="H2269" s="8" t="s">
        <v>364</v>
      </c>
    </row>
    <row r="2270">
      <c r="H2270" s="8" t="s">
        <v>364</v>
      </c>
    </row>
    <row r="2271">
      <c r="H2271" s="8" t="s">
        <v>364</v>
      </c>
    </row>
    <row r="2272">
      <c r="H2272" s="8" t="s">
        <v>364</v>
      </c>
    </row>
    <row r="2273">
      <c r="H2273" s="8" t="s">
        <v>364</v>
      </c>
    </row>
    <row r="2274">
      <c r="H2274" s="8" t="s">
        <v>364</v>
      </c>
    </row>
    <row r="2275">
      <c r="H2275" s="8" t="s">
        <v>364</v>
      </c>
    </row>
    <row r="2276">
      <c r="H2276" s="8" t="s">
        <v>364</v>
      </c>
    </row>
    <row r="2277">
      <c r="H2277" s="8" t="s">
        <v>364</v>
      </c>
    </row>
    <row r="2278">
      <c r="H2278" s="8" t="s">
        <v>364</v>
      </c>
    </row>
    <row r="2279">
      <c r="H2279" s="8" t="s">
        <v>364</v>
      </c>
    </row>
    <row r="2280">
      <c r="H2280" s="8" t="s">
        <v>364</v>
      </c>
    </row>
    <row r="2281">
      <c r="H2281" s="8" t="s">
        <v>364</v>
      </c>
    </row>
    <row r="2282">
      <c r="H2282" s="8" t="s">
        <v>364</v>
      </c>
    </row>
    <row r="2283">
      <c r="H2283" s="8" t="s">
        <v>364</v>
      </c>
    </row>
    <row r="2284">
      <c r="H2284" s="8" t="s">
        <v>364</v>
      </c>
    </row>
    <row r="2285">
      <c r="H2285" s="8" t="s">
        <v>364</v>
      </c>
    </row>
    <row r="2286">
      <c r="H2286" s="8" t="s">
        <v>364</v>
      </c>
    </row>
    <row r="2287">
      <c r="H2287" s="8" t="s">
        <v>364</v>
      </c>
    </row>
    <row r="2288">
      <c r="H2288" s="8" t="s">
        <v>364</v>
      </c>
    </row>
    <row r="2289">
      <c r="H2289" s="8" t="s">
        <v>364</v>
      </c>
    </row>
    <row r="2290">
      <c r="H2290" s="8" t="s">
        <v>364</v>
      </c>
    </row>
    <row r="2291">
      <c r="H2291" s="8" t="s">
        <v>364</v>
      </c>
    </row>
    <row r="2292">
      <c r="H2292" s="8" t="s">
        <v>364</v>
      </c>
    </row>
    <row r="2293">
      <c r="H2293" s="8" t="s">
        <v>364</v>
      </c>
    </row>
    <row r="2294">
      <c r="H2294" s="8" t="s">
        <v>364</v>
      </c>
    </row>
    <row r="2295">
      <c r="H2295" s="8" t="s">
        <v>364</v>
      </c>
    </row>
    <row r="2296">
      <c r="H2296" s="8" t="s">
        <v>364</v>
      </c>
    </row>
    <row r="2297">
      <c r="H2297" s="8" t="s">
        <v>364</v>
      </c>
    </row>
    <row r="2298">
      <c r="H2298" s="8" t="s">
        <v>364</v>
      </c>
    </row>
    <row r="2299">
      <c r="H2299" s="8" t="s">
        <v>364</v>
      </c>
    </row>
    <row r="2300">
      <c r="H2300" s="8" t="s">
        <v>364</v>
      </c>
    </row>
    <row r="2301">
      <c r="H2301" s="8" t="s">
        <v>364</v>
      </c>
    </row>
    <row r="2302">
      <c r="H2302" s="8" t="s">
        <v>364</v>
      </c>
    </row>
    <row r="2303">
      <c r="H2303" s="8" t="s">
        <v>364</v>
      </c>
    </row>
    <row r="2304">
      <c r="H2304" s="8" t="s">
        <v>364</v>
      </c>
    </row>
    <row r="2305">
      <c r="H2305" s="8" t="s">
        <v>364</v>
      </c>
    </row>
    <row r="2306">
      <c r="H2306" s="8" t="s">
        <v>364</v>
      </c>
    </row>
    <row r="2307">
      <c r="H2307" s="8" t="s">
        <v>364</v>
      </c>
    </row>
    <row r="2308">
      <c r="H2308" s="8" t="s">
        <v>364</v>
      </c>
    </row>
    <row r="2309">
      <c r="H2309" s="8" t="s">
        <v>364</v>
      </c>
    </row>
    <row r="2310">
      <c r="H2310" s="8" t="s">
        <v>364</v>
      </c>
    </row>
    <row r="2311">
      <c r="H2311" s="8" t="s">
        <v>364</v>
      </c>
    </row>
    <row r="2312">
      <c r="H2312" s="8" t="s">
        <v>364</v>
      </c>
    </row>
    <row r="2313">
      <c r="H2313" s="8" t="s">
        <v>364</v>
      </c>
    </row>
    <row r="2314">
      <c r="H2314" s="8" t="s">
        <v>364</v>
      </c>
    </row>
    <row r="2315">
      <c r="H2315" s="8" t="s">
        <v>364</v>
      </c>
    </row>
    <row r="2316">
      <c r="H2316" s="8" t="s">
        <v>364</v>
      </c>
    </row>
    <row r="2317">
      <c r="H2317" s="8" t="s">
        <v>364</v>
      </c>
    </row>
    <row r="2318">
      <c r="H2318" s="8" t="s">
        <v>364</v>
      </c>
    </row>
    <row r="2319">
      <c r="H2319" s="8" t="s">
        <v>364</v>
      </c>
    </row>
    <row r="2320">
      <c r="H2320" s="8" t="s">
        <v>364</v>
      </c>
    </row>
    <row r="2321">
      <c r="H2321" s="8" t="s">
        <v>364</v>
      </c>
    </row>
    <row r="2322">
      <c r="H2322" s="8" t="s">
        <v>364</v>
      </c>
    </row>
    <row r="2323">
      <c r="H2323" s="8" t="s">
        <v>364</v>
      </c>
    </row>
    <row r="2324">
      <c r="H2324" s="8" t="s">
        <v>364</v>
      </c>
    </row>
    <row r="2325">
      <c r="H2325" s="8" t="s">
        <v>364</v>
      </c>
    </row>
    <row r="2326">
      <c r="H2326" s="8" t="s">
        <v>364</v>
      </c>
    </row>
    <row r="2327">
      <c r="H2327" s="8" t="s">
        <v>364</v>
      </c>
    </row>
    <row r="2328">
      <c r="H2328" s="8" t="s">
        <v>364</v>
      </c>
    </row>
    <row r="2329">
      <c r="H2329" s="8" t="s">
        <v>364</v>
      </c>
    </row>
    <row r="2330">
      <c r="H2330" s="8" t="s">
        <v>364</v>
      </c>
    </row>
    <row r="2331">
      <c r="H2331" s="8" t="s">
        <v>364</v>
      </c>
    </row>
    <row r="2332">
      <c r="H2332" s="8" t="s">
        <v>364</v>
      </c>
    </row>
    <row r="2333">
      <c r="H2333" s="8" t="s">
        <v>364</v>
      </c>
    </row>
    <row r="2334">
      <c r="H2334" s="8" t="s">
        <v>364</v>
      </c>
    </row>
    <row r="2335">
      <c r="H2335" s="8" t="s">
        <v>364</v>
      </c>
    </row>
    <row r="2336">
      <c r="H2336" s="8" t="s">
        <v>364</v>
      </c>
    </row>
    <row r="2337">
      <c r="H2337" s="8" t="s">
        <v>364</v>
      </c>
    </row>
    <row r="2338">
      <c r="H2338" s="8" t="s">
        <v>364</v>
      </c>
    </row>
    <row r="2339">
      <c r="H2339" s="8" t="s">
        <v>364</v>
      </c>
    </row>
    <row r="2340">
      <c r="H2340" s="8" t="s">
        <v>364</v>
      </c>
    </row>
    <row r="2341">
      <c r="H2341" s="8" t="s">
        <v>364</v>
      </c>
    </row>
    <row r="2342">
      <c r="H2342" s="8" t="s">
        <v>364</v>
      </c>
    </row>
    <row r="2343">
      <c r="H2343" s="8" t="s">
        <v>364</v>
      </c>
    </row>
    <row r="2344">
      <c r="H2344" s="8" t="s">
        <v>364</v>
      </c>
    </row>
    <row r="2345">
      <c r="H2345" s="8" t="s">
        <v>364</v>
      </c>
    </row>
    <row r="2346">
      <c r="H2346" s="8" t="s">
        <v>364</v>
      </c>
    </row>
    <row r="2347">
      <c r="H2347" s="8" t="s">
        <v>364</v>
      </c>
    </row>
    <row r="2348">
      <c r="H2348" s="8" t="s">
        <v>364</v>
      </c>
    </row>
    <row r="2349">
      <c r="H2349" s="8" t="s">
        <v>364</v>
      </c>
    </row>
    <row r="2350">
      <c r="H2350" s="8" t="s">
        <v>364</v>
      </c>
    </row>
    <row r="2351">
      <c r="H2351" s="8" t="s">
        <v>364</v>
      </c>
    </row>
    <row r="2352">
      <c r="H2352" s="8" t="s">
        <v>364</v>
      </c>
    </row>
    <row r="2353">
      <c r="H2353" s="8" t="s">
        <v>364</v>
      </c>
    </row>
    <row r="2354">
      <c r="H2354" s="8" t="s">
        <v>364</v>
      </c>
    </row>
    <row r="2355">
      <c r="H2355" s="8" t="s">
        <v>364</v>
      </c>
    </row>
    <row r="2356">
      <c r="H2356" s="8" t="s">
        <v>364</v>
      </c>
    </row>
    <row r="2357">
      <c r="H2357" s="8" t="s">
        <v>364</v>
      </c>
    </row>
    <row r="2358">
      <c r="H2358" s="8" t="s">
        <v>364</v>
      </c>
    </row>
    <row r="2359">
      <c r="H2359" s="8" t="s">
        <v>364</v>
      </c>
    </row>
    <row r="2360">
      <c r="H2360" s="8" t="s">
        <v>364</v>
      </c>
    </row>
    <row r="2361">
      <c r="H2361" s="8" t="s">
        <v>364</v>
      </c>
    </row>
    <row r="2362">
      <c r="H2362" s="8" t="s">
        <v>364</v>
      </c>
    </row>
    <row r="2363">
      <c r="H2363" s="8" t="s">
        <v>364</v>
      </c>
    </row>
    <row r="2364">
      <c r="H2364" s="8" t="s">
        <v>364</v>
      </c>
    </row>
    <row r="2365">
      <c r="H2365" s="8" t="s">
        <v>364</v>
      </c>
    </row>
    <row r="2366">
      <c r="H2366" s="8" t="s">
        <v>364</v>
      </c>
    </row>
    <row r="2367">
      <c r="H2367" s="8" t="s">
        <v>364</v>
      </c>
    </row>
    <row r="2368">
      <c r="H2368" s="8" t="s">
        <v>364</v>
      </c>
    </row>
    <row r="2369">
      <c r="H2369" s="8" t="s">
        <v>364</v>
      </c>
    </row>
    <row r="2370">
      <c r="H2370" s="8" t="s">
        <v>364</v>
      </c>
    </row>
    <row r="2371">
      <c r="H2371" s="8" t="s">
        <v>364</v>
      </c>
    </row>
    <row r="2372">
      <c r="H2372" s="8" t="s">
        <v>364</v>
      </c>
    </row>
    <row r="2373">
      <c r="H2373" s="8" t="s">
        <v>364</v>
      </c>
    </row>
    <row r="2374">
      <c r="H2374" s="8" t="s">
        <v>364</v>
      </c>
    </row>
    <row r="2375">
      <c r="H2375" s="8" t="s">
        <v>364</v>
      </c>
    </row>
    <row r="2376">
      <c r="H2376" s="8" t="s">
        <v>364</v>
      </c>
    </row>
    <row r="2377">
      <c r="H2377" s="8" t="s">
        <v>364</v>
      </c>
    </row>
    <row r="2378">
      <c r="H2378" s="8" t="s">
        <v>364</v>
      </c>
    </row>
    <row r="2379">
      <c r="H2379" s="8" t="s">
        <v>364</v>
      </c>
    </row>
    <row r="2380">
      <c r="H2380" s="8" t="s">
        <v>364</v>
      </c>
    </row>
    <row r="2381">
      <c r="H2381" s="8" t="s">
        <v>364</v>
      </c>
    </row>
    <row r="2382">
      <c r="H2382" s="8" t="s">
        <v>364</v>
      </c>
    </row>
    <row r="2383">
      <c r="H2383" s="8" t="s">
        <v>364</v>
      </c>
    </row>
    <row r="2384">
      <c r="H2384" s="8" t="s">
        <v>364</v>
      </c>
    </row>
    <row r="2385">
      <c r="H2385" s="8" t="s">
        <v>364</v>
      </c>
    </row>
    <row r="2386">
      <c r="H2386" s="8" t="s">
        <v>364</v>
      </c>
    </row>
    <row r="2387">
      <c r="H2387" s="8" t="s">
        <v>364</v>
      </c>
    </row>
    <row r="2388">
      <c r="H2388" s="8" t="s">
        <v>364</v>
      </c>
    </row>
    <row r="2389">
      <c r="H2389" s="8" t="s">
        <v>364</v>
      </c>
    </row>
    <row r="2390">
      <c r="H2390" s="8" t="s">
        <v>364</v>
      </c>
    </row>
    <row r="2391">
      <c r="H2391" s="8" t="s">
        <v>364</v>
      </c>
    </row>
    <row r="2392">
      <c r="H2392" s="8" t="s">
        <v>364</v>
      </c>
    </row>
    <row r="2393">
      <c r="H2393" s="8" t="s">
        <v>364</v>
      </c>
    </row>
    <row r="2394">
      <c r="H2394" s="8" t="s">
        <v>364</v>
      </c>
    </row>
    <row r="2395">
      <c r="H2395" s="8" t="s">
        <v>364</v>
      </c>
    </row>
    <row r="2396">
      <c r="H2396" s="8" t="s">
        <v>364</v>
      </c>
    </row>
    <row r="2397">
      <c r="H2397" s="8" t="s">
        <v>364</v>
      </c>
    </row>
    <row r="2398">
      <c r="H2398" s="8" t="s">
        <v>364</v>
      </c>
    </row>
    <row r="2399">
      <c r="H2399" s="8" t="s">
        <v>364</v>
      </c>
    </row>
    <row r="2400">
      <c r="H2400" s="8" t="s">
        <v>364</v>
      </c>
    </row>
    <row r="2401">
      <c r="H2401" s="8" t="s">
        <v>364</v>
      </c>
    </row>
    <row r="2402">
      <c r="H2402" s="8" t="s">
        <v>364</v>
      </c>
    </row>
    <row r="2403">
      <c r="H2403" s="8" t="s">
        <v>364</v>
      </c>
    </row>
    <row r="2404">
      <c r="H2404" s="8" t="s">
        <v>364</v>
      </c>
    </row>
    <row r="2405">
      <c r="H2405" s="8" t="s">
        <v>364</v>
      </c>
    </row>
    <row r="2406">
      <c r="H2406" s="8" t="s">
        <v>364</v>
      </c>
    </row>
    <row r="2407">
      <c r="H2407" s="8" t="s">
        <v>364</v>
      </c>
    </row>
    <row r="2408">
      <c r="H2408" s="8" t="s">
        <v>364</v>
      </c>
    </row>
    <row r="2409">
      <c r="H2409" s="8" t="s">
        <v>364</v>
      </c>
    </row>
    <row r="2410">
      <c r="H2410" s="8" t="s">
        <v>364</v>
      </c>
    </row>
    <row r="2411">
      <c r="H2411" s="8" t="s">
        <v>364</v>
      </c>
    </row>
    <row r="2412">
      <c r="H2412" s="8" t="s">
        <v>364</v>
      </c>
    </row>
    <row r="2413">
      <c r="H2413" s="8" t="s">
        <v>364</v>
      </c>
    </row>
    <row r="2414">
      <c r="H2414" s="8" t="s">
        <v>364</v>
      </c>
    </row>
    <row r="2415">
      <c r="H2415" s="8" t="s">
        <v>364</v>
      </c>
    </row>
    <row r="2416">
      <c r="H2416" s="8" t="s">
        <v>364</v>
      </c>
    </row>
    <row r="2417">
      <c r="H2417" s="8" t="s">
        <v>364</v>
      </c>
    </row>
    <row r="2418">
      <c r="H2418" s="8" t="s">
        <v>364</v>
      </c>
    </row>
    <row r="2419">
      <c r="H2419" s="8" t="s">
        <v>364</v>
      </c>
    </row>
    <row r="2420">
      <c r="H2420" s="8" t="s">
        <v>364</v>
      </c>
    </row>
    <row r="2421">
      <c r="H2421" s="8" t="s">
        <v>364</v>
      </c>
    </row>
    <row r="2422">
      <c r="H2422" s="8" t="s">
        <v>364</v>
      </c>
    </row>
    <row r="2423">
      <c r="H2423" s="8" t="s">
        <v>364</v>
      </c>
    </row>
    <row r="2424">
      <c r="H2424" s="8" t="s">
        <v>364</v>
      </c>
    </row>
    <row r="2425">
      <c r="H2425" s="8" t="s">
        <v>364</v>
      </c>
    </row>
    <row r="2426">
      <c r="H2426" s="8" t="s">
        <v>364</v>
      </c>
    </row>
    <row r="2427">
      <c r="H2427" s="8" t="s">
        <v>364</v>
      </c>
    </row>
    <row r="2428">
      <c r="H2428" s="8" t="s">
        <v>364</v>
      </c>
    </row>
    <row r="2429">
      <c r="H2429" s="8" t="s">
        <v>364</v>
      </c>
    </row>
    <row r="2430">
      <c r="H2430" s="8" t="s">
        <v>364</v>
      </c>
    </row>
    <row r="2431">
      <c r="H2431" s="8" t="s">
        <v>364</v>
      </c>
    </row>
    <row r="2432">
      <c r="H2432" s="8" t="s">
        <v>364</v>
      </c>
    </row>
    <row r="2433">
      <c r="H2433" s="8" t="s">
        <v>364</v>
      </c>
    </row>
    <row r="2434">
      <c r="H2434" s="8" t="s">
        <v>364</v>
      </c>
    </row>
    <row r="2435">
      <c r="H2435" s="8" t="s">
        <v>364</v>
      </c>
    </row>
    <row r="2436">
      <c r="H2436" s="8" t="s">
        <v>364</v>
      </c>
    </row>
    <row r="2437">
      <c r="H2437" s="8" t="s">
        <v>364</v>
      </c>
    </row>
    <row r="2438">
      <c r="H2438" s="8" t="s">
        <v>364</v>
      </c>
    </row>
    <row r="2439">
      <c r="H2439" s="8" t="s">
        <v>364</v>
      </c>
    </row>
    <row r="2440">
      <c r="H2440" s="8" t="s">
        <v>364</v>
      </c>
    </row>
    <row r="2441">
      <c r="H2441" s="8" t="s">
        <v>364</v>
      </c>
    </row>
    <row r="2442">
      <c r="H2442" s="8" t="s">
        <v>364</v>
      </c>
    </row>
    <row r="2443">
      <c r="H2443" s="8" t="s">
        <v>364</v>
      </c>
    </row>
    <row r="2444">
      <c r="H2444" s="8" t="s">
        <v>364</v>
      </c>
    </row>
    <row r="2445">
      <c r="H2445" s="8" t="s">
        <v>364</v>
      </c>
    </row>
    <row r="2446">
      <c r="H2446" s="8" t="s">
        <v>364</v>
      </c>
    </row>
    <row r="2447">
      <c r="H2447" s="8" t="s">
        <v>364</v>
      </c>
    </row>
    <row r="2448">
      <c r="H2448" s="8" t="s">
        <v>364</v>
      </c>
    </row>
    <row r="2449">
      <c r="H2449" s="8" t="s">
        <v>364</v>
      </c>
    </row>
    <row r="2450">
      <c r="H2450" s="8" t="s">
        <v>364</v>
      </c>
    </row>
    <row r="2451">
      <c r="H2451" s="8" t="s">
        <v>364</v>
      </c>
    </row>
    <row r="2452">
      <c r="H2452" s="8" t="s">
        <v>364</v>
      </c>
    </row>
    <row r="2453">
      <c r="H2453" s="8" t="s">
        <v>364</v>
      </c>
    </row>
    <row r="2454">
      <c r="H2454" s="8" t="s">
        <v>364</v>
      </c>
    </row>
    <row r="2455">
      <c r="H2455" s="8" t="s">
        <v>364</v>
      </c>
    </row>
    <row r="2456">
      <c r="H2456" s="8" t="s">
        <v>364</v>
      </c>
    </row>
    <row r="2457">
      <c r="H2457" s="8" t="s">
        <v>364</v>
      </c>
    </row>
    <row r="2458">
      <c r="H2458" s="8" t="s">
        <v>364</v>
      </c>
    </row>
    <row r="2459">
      <c r="H2459" s="8" t="s">
        <v>364</v>
      </c>
    </row>
    <row r="2460">
      <c r="H2460" s="8" t="s">
        <v>364</v>
      </c>
    </row>
    <row r="2461">
      <c r="H2461" s="8" t="s">
        <v>364</v>
      </c>
    </row>
    <row r="2462">
      <c r="H2462" s="8" t="s">
        <v>364</v>
      </c>
    </row>
    <row r="2463">
      <c r="H2463" s="8" t="s">
        <v>364</v>
      </c>
    </row>
    <row r="2464">
      <c r="H2464" s="8" t="s">
        <v>364</v>
      </c>
    </row>
    <row r="2465">
      <c r="H2465" s="8" t="s">
        <v>364</v>
      </c>
    </row>
    <row r="2466">
      <c r="H2466" s="8" t="s">
        <v>364</v>
      </c>
    </row>
    <row r="2467">
      <c r="H2467" s="8" t="s">
        <v>364</v>
      </c>
    </row>
    <row r="2468">
      <c r="H2468" s="8" t="s">
        <v>364</v>
      </c>
    </row>
    <row r="2469">
      <c r="H2469" s="8" t="s">
        <v>364</v>
      </c>
    </row>
    <row r="2470">
      <c r="H2470" s="8" t="s">
        <v>364</v>
      </c>
    </row>
    <row r="2471">
      <c r="H2471" s="8" t="s">
        <v>364</v>
      </c>
    </row>
    <row r="2472">
      <c r="H2472" s="8" t="s">
        <v>364</v>
      </c>
    </row>
    <row r="2473">
      <c r="H2473" s="8" t="s">
        <v>364</v>
      </c>
    </row>
    <row r="2474">
      <c r="H2474" s="8" t="s">
        <v>364</v>
      </c>
    </row>
    <row r="2475">
      <c r="H2475" s="8" t="s">
        <v>364</v>
      </c>
    </row>
    <row r="2476">
      <c r="H2476" s="8" t="s">
        <v>364</v>
      </c>
    </row>
    <row r="2477">
      <c r="H2477" s="8" t="s">
        <v>364</v>
      </c>
    </row>
    <row r="2478">
      <c r="H2478" s="8" t="s">
        <v>364</v>
      </c>
    </row>
    <row r="2479">
      <c r="H2479" s="8" t="s">
        <v>364</v>
      </c>
    </row>
    <row r="2480">
      <c r="H2480" s="8" t="s">
        <v>364</v>
      </c>
    </row>
    <row r="2481">
      <c r="H2481" s="8" t="s">
        <v>364</v>
      </c>
    </row>
    <row r="2482">
      <c r="H2482" s="8" t="s">
        <v>364</v>
      </c>
    </row>
    <row r="2483">
      <c r="H2483" s="8" t="s">
        <v>364</v>
      </c>
    </row>
    <row r="2484">
      <c r="H2484" s="8" t="s">
        <v>364</v>
      </c>
    </row>
    <row r="2485">
      <c r="H2485" s="8" t="s">
        <v>364</v>
      </c>
    </row>
    <row r="2486">
      <c r="H2486" s="8" t="s">
        <v>364</v>
      </c>
    </row>
    <row r="2487">
      <c r="H2487" s="8" t="s">
        <v>364</v>
      </c>
    </row>
    <row r="2488">
      <c r="H2488" s="8" t="s">
        <v>364</v>
      </c>
    </row>
    <row r="2489">
      <c r="H2489" s="8" t="s">
        <v>364</v>
      </c>
    </row>
    <row r="2490">
      <c r="H2490" s="8" t="s">
        <v>364</v>
      </c>
    </row>
    <row r="2491">
      <c r="H2491" s="8" t="s">
        <v>364</v>
      </c>
    </row>
    <row r="2492">
      <c r="H2492" s="8" t="s">
        <v>364</v>
      </c>
    </row>
    <row r="2493">
      <c r="H2493" s="8" t="s">
        <v>364</v>
      </c>
    </row>
    <row r="2494">
      <c r="H2494" s="8" t="s">
        <v>364</v>
      </c>
    </row>
    <row r="2495">
      <c r="H2495" s="8" t="s">
        <v>364</v>
      </c>
    </row>
    <row r="2496">
      <c r="H2496" s="8" t="s">
        <v>364</v>
      </c>
    </row>
    <row r="2497">
      <c r="H2497" s="8" t="s">
        <v>364</v>
      </c>
    </row>
    <row r="2498">
      <c r="H2498" s="8" t="s">
        <v>364</v>
      </c>
    </row>
    <row r="2499">
      <c r="H2499" s="8" t="s">
        <v>364</v>
      </c>
    </row>
    <row r="2500">
      <c r="H2500" s="8" t="s">
        <v>364</v>
      </c>
    </row>
    <row r="2501">
      <c r="H2501" s="8" t="s">
        <v>364</v>
      </c>
    </row>
    <row r="2502">
      <c r="H2502" s="8" t="s">
        <v>364</v>
      </c>
    </row>
    <row r="2503">
      <c r="H2503" s="8" t="s">
        <v>364</v>
      </c>
    </row>
    <row r="2504">
      <c r="H2504" s="8" t="s">
        <v>364</v>
      </c>
    </row>
    <row r="2505">
      <c r="H2505" s="8" t="s">
        <v>364</v>
      </c>
    </row>
    <row r="2506">
      <c r="H2506" s="8" t="s">
        <v>364</v>
      </c>
    </row>
    <row r="2507">
      <c r="H2507" s="8" t="s">
        <v>364</v>
      </c>
    </row>
    <row r="2508">
      <c r="H2508" s="8" t="s">
        <v>364</v>
      </c>
    </row>
    <row r="2509">
      <c r="H2509" s="8" t="s">
        <v>364</v>
      </c>
    </row>
    <row r="2510">
      <c r="H2510" s="8" t="s">
        <v>364</v>
      </c>
    </row>
    <row r="2511">
      <c r="H2511" s="8" t="s">
        <v>364</v>
      </c>
    </row>
    <row r="2512">
      <c r="H2512" s="8" t="s">
        <v>364</v>
      </c>
    </row>
    <row r="2513">
      <c r="H2513" s="8" t="s">
        <v>364</v>
      </c>
    </row>
    <row r="2514">
      <c r="H2514" s="8" t="s">
        <v>364</v>
      </c>
    </row>
    <row r="2515">
      <c r="H2515" s="8" t="s">
        <v>364</v>
      </c>
    </row>
    <row r="2516">
      <c r="H2516" s="8" t="s">
        <v>364</v>
      </c>
    </row>
    <row r="2517">
      <c r="H2517" s="8" t="s">
        <v>364</v>
      </c>
    </row>
    <row r="2518">
      <c r="H2518" s="8" t="s">
        <v>364</v>
      </c>
    </row>
    <row r="2519">
      <c r="H2519" s="8" t="s">
        <v>364</v>
      </c>
    </row>
    <row r="2520">
      <c r="H2520" s="8" t="s">
        <v>364</v>
      </c>
    </row>
    <row r="2521">
      <c r="H2521" s="8" t="s">
        <v>364</v>
      </c>
    </row>
    <row r="2522">
      <c r="H2522" s="8" t="s">
        <v>364</v>
      </c>
    </row>
    <row r="2523">
      <c r="H2523" s="8" t="s">
        <v>364</v>
      </c>
    </row>
    <row r="2524">
      <c r="H2524" s="8" t="s">
        <v>364</v>
      </c>
    </row>
    <row r="2525">
      <c r="H2525" s="8" t="s">
        <v>364</v>
      </c>
    </row>
    <row r="2526">
      <c r="H2526" s="8" t="s">
        <v>364</v>
      </c>
    </row>
    <row r="2527">
      <c r="H2527" s="8" t="s">
        <v>364</v>
      </c>
    </row>
    <row r="2528">
      <c r="H2528" s="8" t="s">
        <v>364</v>
      </c>
    </row>
    <row r="2529">
      <c r="H2529" s="8" t="s">
        <v>364</v>
      </c>
    </row>
    <row r="2530">
      <c r="H2530" s="8" t="s">
        <v>364</v>
      </c>
    </row>
    <row r="2531">
      <c r="H2531" s="8" t="s">
        <v>364</v>
      </c>
    </row>
    <row r="2532">
      <c r="H2532" s="8" t="s">
        <v>364</v>
      </c>
    </row>
    <row r="2533">
      <c r="H2533" s="8" t="s">
        <v>364</v>
      </c>
    </row>
    <row r="2534">
      <c r="H2534" s="8" t="s">
        <v>364</v>
      </c>
    </row>
    <row r="2535">
      <c r="H2535" s="8" t="s">
        <v>364</v>
      </c>
    </row>
    <row r="2536">
      <c r="H2536" s="8" t="s">
        <v>364</v>
      </c>
    </row>
    <row r="2537">
      <c r="H2537" s="8" t="s">
        <v>364</v>
      </c>
    </row>
    <row r="2538">
      <c r="H2538" s="8" t="s">
        <v>364</v>
      </c>
    </row>
    <row r="2539">
      <c r="H2539" s="8" t="s">
        <v>364</v>
      </c>
    </row>
    <row r="2540">
      <c r="H2540" s="8" t="s">
        <v>364</v>
      </c>
    </row>
    <row r="2541">
      <c r="H2541" s="8" t="s">
        <v>364</v>
      </c>
    </row>
    <row r="2542">
      <c r="H2542" s="8" t="s">
        <v>364</v>
      </c>
    </row>
    <row r="2543">
      <c r="H2543" s="8" t="s">
        <v>364</v>
      </c>
    </row>
    <row r="2544">
      <c r="H2544" s="8" t="s">
        <v>364</v>
      </c>
    </row>
    <row r="2545">
      <c r="H2545" s="8" t="s">
        <v>364</v>
      </c>
    </row>
    <row r="2546">
      <c r="H2546" s="8" t="s">
        <v>364</v>
      </c>
    </row>
    <row r="2547">
      <c r="H2547" s="8" t="s">
        <v>364</v>
      </c>
    </row>
    <row r="2548">
      <c r="H2548" s="8" t="s">
        <v>364</v>
      </c>
    </row>
    <row r="2549">
      <c r="H2549" s="8" t="s">
        <v>364</v>
      </c>
    </row>
    <row r="2550">
      <c r="H2550" s="8" t="s">
        <v>364</v>
      </c>
    </row>
    <row r="2551">
      <c r="H2551" s="8" t="s">
        <v>364</v>
      </c>
    </row>
    <row r="2552">
      <c r="H2552" s="8" t="s">
        <v>364</v>
      </c>
    </row>
    <row r="2553">
      <c r="H2553" s="8" t="s">
        <v>364</v>
      </c>
    </row>
    <row r="2554">
      <c r="H2554" s="8" t="s">
        <v>364</v>
      </c>
    </row>
    <row r="2555">
      <c r="H2555" s="8" t="s">
        <v>364</v>
      </c>
    </row>
    <row r="2556">
      <c r="H2556" s="8" t="s">
        <v>364</v>
      </c>
    </row>
    <row r="2557">
      <c r="H2557" s="8" t="s">
        <v>364</v>
      </c>
    </row>
    <row r="2558">
      <c r="H2558" s="8" t="s">
        <v>364</v>
      </c>
    </row>
    <row r="2559">
      <c r="H2559" s="8" t="s">
        <v>364</v>
      </c>
    </row>
    <row r="2560">
      <c r="H2560" s="8" t="s">
        <v>364</v>
      </c>
    </row>
    <row r="2561">
      <c r="H2561" s="8" t="s">
        <v>364</v>
      </c>
    </row>
    <row r="2562">
      <c r="H2562" s="8" t="s">
        <v>364</v>
      </c>
    </row>
    <row r="2563">
      <c r="H2563" s="8" t="s">
        <v>364</v>
      </c>
    </row>
    <row r="2564">
      <c r="H2564" s="8" t="s">
        <v>364</v>
      </c>
    </row>
    <row r="2565">
      <c r="H2565" s="8" t="s">
        <v>364</v>
      </c>
    </row>
    <row r="2566">
      <c r="H2566" s="8" t="s">
        <v>364</v>
      </c>
    </row>
    <row r="2567">
      <c r="H2567" s="8" t="s">
        <v>364</v>
      </c>
    </row>
    <row r="2568">
      <c r="H2568" s="8" t="s">
        <v>364</v>
      </c>
    </row>
    <row r="2569">
      <c r="H2569" s="8" t="s">
        <v>364</v>
      </c>
    </row>
    <row r="2570">
      <c r="H2570" s="8" t="s">
        <v>364</v>
      </c>
    </row>
    <row r="2571">
      <c r="H2571" s="8" t="s">
        <v>364</v>
      </c>
    </row>
    <row r="2572">
      <c r="H2572" s="8" t="s">
        <v>364</v>
      </c>
    </row>
    <row r="2573">
      <c r="H2573" s="8" t="s">
        <v>364</v>
      </c>
    </row>
    <row r="2574">
      <c r="H2574" s="8" t="s">
        <v>364</v>
      </c>
    </row>
    <row r="2575">
      <c r="H2575" s="8" t="s">
        <v>364</v>
      </c>
    </row>
    <row r="2576">
      <c r="H2576" s="8" t="s">
        <v>364</v>
      </c>
    </row>
    <row r="2577">
      <c r="H2577" s="8" t="s">
        <v>364</v>
      </c>
    </row>
    <row r="2578">
      <c r="H2578" s="8" t="s">
        <v>364</v>
      </c>
    </row>
    <row r="2579">
      <c r="H2579" s="8" t="s">
        <v>364</v>
      </c>
    </row>
    <row r="2580">
      <c r="H2580" s="8" t="s">
        <v>364</v>
      </c>
    </row>
    <row r="2581">
      <c r="H2581" s="8" t="s">
        <v>364</v>
      </c>
    </row>
    <row r="2582">
      <c r="H2582" s="8" t="s">
        <v>364</v>
      </c>
    </row>
    <row r="2583">
      <c r="H2583" s="8" t="s">
        <v>364</v>
      </c>
    </row>
    <row r="2584">
      <c r="H2584" s="8" t="s">
        <v>364</v>
      </c>
    </row>
    <row r="2585">
      <c r="H2585" s="8" t="s">
        <v>364</v>
      </c>
    </row>
    <row r="2586">
      <c r="H2586" s="8" t="s">
        <v>364</v>
      </c>
    </row>
    <row r="2587">
      <c r="H2587" s="8" t="s">
        <v>364</v>
      </c>
    </row>
    <row r="2588">
      <c r="H2588" s="8" t="s">
        <v>364</v>
      </c>
    </row>
    <row r="2589">
      <c r="H2589" s="8" t="s">
        <v>364</v>
      </c>
    </row>
    <row r="2590">
      <c r="H2590" s="8" t="s">
        <v>364</v>
      </c>
    </row>
    <row r="2591">
      <c r="H2591" s="8" t="s">
        <v>364</v>
      </c>
    </row>
    <row r="2592">
      <c r="H2592" s="8" t="s">
        <v>364</v>
      </c>
    </row>
    <row r="2593">
      <c r="H2593" s="8" t="s">
        <v>364</v>
      </c>
    </row>
    <row r="2594">
      <c r="H2594" s="8" t="s">
        <v>364</v>
      </c>
    </row>
    <row r="2595">
      <c r="H2595" s="8" t="s">
        <v>364</v>
      </c>
    </row>
    <row r="2596">
      <c r="H2596" s="8" t="s">
        <v>364</v>
      </c>
    </row>
    <row r="2597">
      <c r="H2597" s="8" t="s">
        <v>364</v>
      </c>
    </row>
    <row r="2598">
      <c r="H2598" s="8" t="s">
        <v>364</v>
      </c>
    </row>
    <row r="2599">
      <c r="H2599" s="8" t="s">
        <v>364</v>
      </c>
    </row>
    <row r="2600">
      <c r="H2600" s="8" t="s">
        <v>364</v>
      </c>
    </row>
    <row r="2601">
      <c r="H2601" s="8" t="s">
        <v>364</v>
      </c>
    </row>
    <row r="2602">
      <c r="H2602" s="8" t="s">
        <v>364</v>
      </c>
    </row>
    <row r="2603">
      <c r="H2603" s="8" t="s">
        <v>364</v>
      </c>
    </row>
    <row r="2604">
      <c r="H2604" s="8" t="s">
        <v>364</v>
      </c>
    </row>
    <row r="2605">
      <c r="H2605" s="8" t="s">
        <v>364</v>
      </c>
    </row>
    <row r="2606">
      <c r="H2606" s="8" t="s">
        <v>364</v>
      </c>
    </row>
    <row r="2607">
      <c r="H2607" s="8" t="s">
        <v>364</v>
      </c>
    </row>
    <row r="2608">
      <c r="H2608" s="8" t="s">
        <v>364</v>
      </c>
    </row>
    <row r="2609">
      <c r="H2609" s="8" t="s">
        <v>364</v>
      </c>
    </row>
    <row r="2610">
      <c r="H2610" s="8" t="s">
        <v>364</v>
      </c>
    </row>
    <row r="2611">
      <c r="H2611" s="8" t="s">
        <v>364</v>
      </c>
    </row>
    <row r="2612">
      <c r="H2612" s="8" t="s">
        <v>364</v>
      </c>
    </row>
    <row r="2613">
      <c r="H2613" s="8" t="s">
        <v>364</v>
      </c>
    </row>
    <row r="2614">
      <c r="H2614" s="8" t="s">
        <v>364</v>
      </c>
    </row>
    <row r="2615">
      <c r="H2615" s="8" t="s">
        <v>364</v>
      </c>
    </row>
    <row r="2616">
      <c r="H2616" s="8" t="s">
        <v>364</v>
      </c>
    </row>
    <row r="2617">
      <c r="H2617" s="8" t="s">
        <v>364</v>
      </c>
    </row>
    <row r="2618">
      <c r="H2618" s="8" t="s">
        <v>364</v>
      </c>
    </row>
    <row r="2619">
      <c r="H2619" s="8" t="s">
        <v>364</v>
      </c>
    </row>
    <row r="2620">
      <c r="H2620" s="8" t="s">
        <v>364</v>
      </c>
    </row>
    <row r="2621">
      <c r="H2621" s="8" t="s">
        <v>364</v>
      </c>
    </row>
    <row r="2622">
      <c r="H2622" s="8" t="s">
        <v>364</v>
      </c>
    </row>
    <row r="2623">
      <c r="H2623" s="8" t="s">
        <v>364</v>
      </c>
    </row>
    <row r="2624">
      <c r="H2624" s="8" t="s">
        <v>364</v>
      </c>
    </row>
    <row r="2625">
      <c r="H2625" s="8" t="s">
        <v>364</v>
      </c>
    </row>
    <row r="2626">
      <c r="H2626" s="8" t="s">
        <v>364</v>
      </c>
    </row>
    <row r="2627">
      <c r="H2627" s="8" t="s">
        <v>364</v>
      </c>
    </row>
    <row r="2628">
      <c r="H2628" s="8" t="s">
        <v>364</v>
      </c>
    </row>
    <row r="2629">
      <c r="H2629" s="8" t="s">
        <v>364</v>
      </c>
    </row>
    <row r="2630">
      <c r="H2630" s="8" t="s">
        <v>364</v>
      </c>
    </row>
    <row r="2631">
      <c r="H2631" s="8" t="s">
        <v>364</v>
      </c>
    </row>
    <row r="2632">
      <c r="H2632" s="8" t="s">
        <v>364</v>
      </c>
    </row>
    <row r="2633">
      <c r="H2633" s="8" t="s">
        <v>364</v>
      </c>
    </row>
    <row r="2634">
      <c r="H2634" s="8" t="s">
        <v>364</v>
      </c>
    </row>
    <row r="2635">
      <c r="H2635" s="8" t="s">
        <v>364</v>
      </c>
    </row>
    <row r="2636">
      <c r="H2636" s="8" t="s">
        <v>364</v>
      </c>
    </row>
    <row r="2637">
      <c r="H2637" s="8" t="s">
        <v>364</v>
      </c>
    </row>
    <row r="2638">
      <c r="H2638" s="8" t="s">
        <v>364</v>
      </c>
    </row>
    <row r="2639">
      <c r="H2639" s="8" t="s">
        <v>364</v>
      </c>
    </row>
    <row r="2640">
      <c r="H2640" s="8" t="s">
        <v>364</v>
      </c>
    </row>
    <row r="2641">
      <c r="H2641" s="8" t="s">
        <v>364</v>
      </c>
    </row>
    <row r="2642">
      <c r="H2642" s="8" t="s">
        <v>364</v>
      </c>
    </row>
    <row r="2643">
      <c r="H2643" s="8" t="s">
        <v>364</v>
      </c>
    </row>
    <row r="2644">
      <c r="H2644" s="8" t="s">
        <v>364</v>
      </c>
    </row>
    <row r="2645">
      <c r="H2645" s="8" t="s">
        <v>364</v>
      </c>
    </row>
    <row r="2646">
      <c r="H2646" s="8" t="s">
        <v>364</v>
      </c>
    </row>
    <row r="2647">
      <c r="H2647" s="8" t="s">
        <v>364</v>
      </c>
    </row>
    <row r="2648">
      <c r="H2648" s="8" t="s">
        <v>364</v>
      </c>
    </row>
    <row r="2649">
      <c r="H2649" s="8" t="s">
        <v>364</v>
      </c>
    </row>
    <row r="2650">
      <c r="H2650" s="8" t="s">
        <v>364</v>
      </c>
    </row>
    <row r="2651">
      <c r="H2651" s="8" t="s">
        <v>364</v>
      </c>
    </row>
    <row r="2652">
      <c r="H2652" s="8" t="s">
        <v>364</v>
      </c>
    </row>
    <row r="2653">
      <c r="H2653" s="8" t="s">
        <v>364</v>
      </c>
    </row>
    <row r="2654">
      <c r="H2654" s="8" t="s">
        <v>364</v>
      </c>
    </row>
    <row r="2655">
      <c r="H2655" s="8" t="s">
        <v>364</v>
      </c>
    </row>
    <row r="2656">
      <c r="H2656" s="8" t="s">
        <v>364</v>
      </c>
    </row>
    <row r="2657">
      <c r="H2657" s="8" t="s">
        <v>364</v>
      </c>
    </row>
    <row r="2658">
      <c r="H2658" s="8" t="s">
        <v>364</v>
      </c>
    </row>
    <row r="2659">
      <c r="H2659" s="8" t="s">
        <v>364</v>
      </c>
    </row>
    <row r="2660">
      <c r="H2660" s="8" t="s">
        <v>364</v>
      </c>
    </row>
    <row r="2661">
      <c r="H2661" s="8" t="s">
        <v>364</v>
      </c>
    </row>
    <row r="2662">
      <c r="H2662" s="8" t="s">
        <v>364</v>
      </c>
    </row>
    <row r="2663">
      <c r="H2663" s="8" t="s">
        <v>364</v>
      </c>
    </row>
    <row r="2664">
      <c r="H2664" s="8" t="s">
        <v>364</v>
      </c>
    </row>
    <row r="2665">
      <c r="H2665" s="8" t="s">
        <v>364</v>
      </c>
    </row>
    <row r="2666">
      <c r="H2666" s="8" t="s">
        <v>364</v>
      </c>
    </row>
    <row r="2667">
      <c r="H2667" s="8" t="s">
        <v>364</v>
      </c>
    </row>
    <row r="2668">
      <c r="H2668" s="8" t="s">
        <v>364</v>
      </c>
    </row>
    <row r="2669">
      <c r="H2669" s="8" t="s">
        <v>364</v>
      </c>
    </row>
    <row r="2670">
      <c r="H2670" s="8" t="s">
        <v>364</v>
      </c>
    </row>
    <row r="2671">
      <c r="H2671" s="8" t="s">
        <v>364</v>
      </c>
    </row>
    <row r="2672">
      <c r="H2672" s="8" t="s">
        <v>364</v>
      </c>
    </row>
    <row r="2673">
      <c r="H2673" s="8" t="s">
        <v>364</v>
      </c>
    </row>
    <row r="2674">
      <c r="H2674" s="8" t="s">
        <v>364</v>
      </c>
    </row>
    <row r="2675">
      <c r="H2675" s="8" t="s">
        <v>364</v>
      </c>
    </row>
    <row r="2676">
      <c r="H2676" s="8" t="s">
        <v>364</v>
      </c>
    </row>
    <row r="2677">
      <c r="H2677" s="8" t="s">
        <v>364</v>
      </c>
    </row>
    <row r="2678">
      <c r="H2678" s="8" t="s">
        <v>364</v>
      </c>
    </row>
    <row r="2679">
      <c r="H2679" s="8" t="s">
        <v>364</v>
      </c>
    </row>
    <row r="2680">
      <c r="H2680" s="8" t="s">
        <v>364</v>
      </c>
    </row>
    <row r="2681">
      <c r="H2681" s="8" t="s">
        <v>364</v>
      </c>
    </row>
    <row r="2682">
      <c r="H2682" s="8" t="s">
        <v>364</v>
      </c>
    </row>
    <row r="2683">
      <c r="H2683" s="8" t="s">
        <v>364</v>
      </c>
    </row>
    <row r="2684">
      <c r="H2684" s="8" t="s">
        <v>364</v>
      </c>
    </row>
    <row r="2685">
      <c r="H2685" s="8" t="s">
        <v>364</v>
      </c>
    </row>
    <row r="2686">
      <c r="H2686" s="8" t="s">
        <v>364</v>
      </c>
    </row>
    <row r="2687">
      <c r="H2687" s="8" t="s">
        <v>364</v>
      </c>
    </row>
    <row r="2688">
      <c r="H2688" s="8" t="s">
        <v>364</v>
      </c>
    </row>
    <row r="2689">
      <c r="H2689" s="8" t="s">
        <v>364</v>
      </c>
    </row>
    <row r="2690">
      <c r="H2690" s="8" t="s">
        <v>364</v>
      </c>
    </row>
    <row r="2691">
      <c r="H2691" s="8" t="s">
        <v>364</v>
      </c>
    </row>
    <row r="2692">
      <c r="H2692" s="8" t="s">
        <v>364</v>
      </c>
    </row>
    <row r="2693">
      <c r="H2693" s="8" t="s">
        <v>364</v>
      </c>
    </row>
    <row r="2694">
      <c r="H2694" s="8" t="s">
        <v>364</v>
      </c>
    </row>
    <row r="2695">
      <c r="H2695" s="8" t="s">
        <v>364</v>
      </c>
    </row>
    <row r="2696">
      <c r="H2696" s="8" t="s">
        <v>364</v>
      </c>
    </row>
    <row r="2697">
      <c r="H2697" s="8" t="s">
        <v>364</v>
      </c>
    </row>
    <row r="2698">
      <c r="H2698" s="8" t="s">
        <v>364</v>
      </c>
    </row>
    <row r="2699">
      <c r="H2699" s="8" t="s">
        <v>364</v>
      </c>
    </row>
    <row r="2700">
      <c r="H2700" s="8" t="s">
        <v>364</v>
      </c>
    </row>
    <row r="2701">
      <c r="H2701" s="8" t="s">
        <v>364</v>
      </c>
    </row>
    <row r="2702">
      <c r="H2702" s="8" t="s">
        <v>364</v>
      </c>
    </row>
    <row r="2703">
      <c r="H2703" s="8" t="s">
        <v>364</v>
      </c>
    </row>
    <row r="2704">
      <c r="H2704" s="8" t="s">
        <v>364</v>
      </c>
    </row>
    <row r="2705">
      <c r="H2705" s="8" t="s">
        <v>364</v>
      </c>
    </row>
    <row r="2706">
      <c r="H2706" s="8" t="s">
        <v>364</v>
      </c>
    </row>
    <row r="2707">
      <c r="H2707" s="8" t="s">
        <v>364</v>
      </c>
    </row>
    <row r="2708">
      <c r="H2708" s="8" t="s">
        <v>364</v>
      </c>
    </row>
    <row r="2709">
      <c r="H2709" s="8" t="s">
        <v>364</v>
      </c>
    </row>
    <row r="2710">
      <c r="H2710" s="8" t="s">
        <v>364</v>
      </c>
    </row>
    <row r="2711">
      <c r="H2711" s="8" t="s">
        <v>364</v>
      </c>
    </row>
    <row r="2712">
      <c r="H2712" s="8" t="s">
        <v>364</v>
      </c>
    </row>
    <row r="2713">
      <c r="H2713" s="8" t="s">
        <v>364</v>
      </c>
    </row>
    <row r="2714">
      <c r="H2714" s="8" t="s">
        <v>364</v>
      </c>
    </row>
    <row r="2715">
      <c r="H2715" s="8" t="s">
        <v>364</v>
      </c>
    </row>
    <row r="2716">
      <c r="H2716" s="8" t="s">
        <v>364</v>
      </c>
    </row>
    <row r="2717">
      <c r="H2717" s="8" t="s">
        <v>364</v>
      </c>
    </row>
    <row r="2718">
      <c r="H2718" s="8" t="s">
        <v>364</v>
      </c>
    </row>
    <row r="2719">
      <c r="H2719" s="8" t="s">
        <v>364</v>
      </c>
    </row>
    <row r="2720">
      <c r="H2720" s="8" t="s">
        <v>364</v>
      </c>
    </row>
    <row r="2721">
      <c r="H2721" s="8" t="s">
        <v>364</v>
      </c>
    </row>
    <row r="2722">
      <c r="H2722" s="8" t="s">
        <v>364</v>
      </c>
    </row>
    <row r="2723">
      <c r="H2723" s="8" t="s">
        <v>364</v>
      </c>
    </row>
    <row r="2724">
      <c r="H2724" s="8" t="s">
        <v>364</v>
      </c>
    </row>
    <row r="2725">
      <c r="H2725" s="8" t="s">
        <v>364</v>
      </c>
    </row>
    <row r="2726">
      <c r="H2726" s="8" t="s">
        <v>364</v>
      </c>
    </row>
    <row r="2727">
      <c r="H2727" s="8" t="s">
        <v>364</v>
      </c>
    </row>
    <row r="2728">
      <c r="H2728" s="8" t="s">
        <v>364</v>
      </c>
    </row>
    <row r="2729">
      <c r="H2729" s="8" t="s">
        <v>364</v>
      </c>
    </row>
    <row r="2730">
      <c r="H2730" s="8" t="s">
        <v>364</v>
      </c>
    </row>
    <row r="2731">
      <c r="H2731" s="8" t="s">
        <v>364</v>
      </c>
    </row>
    <row r="2732">
      <c r="H2732" s="8" t="s">
        <v>364</v>
      </c>
    </row>
    <row r="2733">
      <c r="H2733" s="8" t="s">
        <v>364</v>
      </c>
    </row>
    <row r="2734">
      <c r="H2734" s="8" t="s">
        <v>364</v>
      </c>
    </row>
    <row r="2735">
      <c r="H2735" s="8" t="s">
        <v>364</v>
      </c>
    </row>
    <row r="2736">
      <c r="H2736" s="8" t="s">
        <v>364</v>
      </c>
    </row>
    <row r="2737">
      <c r="H2737" s="8" t="s">
        <v>364</v>
      </c>
    </row>
    <row r="2738">
      <c r="H2738" s="8" t="s">
        <v>364</v>
      </c>
    </row>
    <row r="2739">
      <c r="H2739" s="8" t="s">
        <v>364</v>
      </c>
    </row>
    <row r="2740">
      <c r="H2740" s="8" t="s">
        <v>364</v>
      </c>
    </row>
    <row r="2741">
      <c r="H2741" s="8" t="s">
        <v>364</v>
      </c>
    </row>
    <row r="2742">
      <c r="H2742" s="8" t="s">
        <v>364</v>
      </c>
    </row>
    <row r="2743">
      <c r="H2743" s="8" t="s">
        <v>364</v>
      </c>
    </row>
    <row r="2744">
      <c r="H2744" s="8" t="s">
        <v>364</v>
      </c>
    </row>
    <row r="2745">
      <c r="H2745" s="8" t="s">
        <v>364</v>
      </c>
    </row>
    <row r="2746">
      <c r="H2746" s="8" t="s">
        <v>364</v>
      </c>
    </row>
    <row r="2747">
      <c r="H2747" s="8" t="s">
        <v>364</v>
      </c>
    </row>
    <row r="2748">
      <c r="H2748" s="8" t="s">
        <v>364</v>
      </c>
    </row>
    <row r="2749">
      <c r="H2749" s="8" t="s">
        <v>364</v>
      </c>
    </row>
    <row r="2750">
      <c r="H2750" s="8" t="s">
        <v>364</v>
      </c>
    </row>
    <row r="2751">
      <c r="H2751" s="8" t="s">
        <v>364</v>
      </c>
    </row>
    <row r="2752">
      <c r="H2752" s="8" t="s">
        <v>364</v>
      </c>
    </row>
    <row r="2753">
      <c r="H2753" s="8" t="s">
        <v>364</v>
      </c>
    </row>
    <row r="2754">
      <c r="H2754" s="8" t="s">
        <v>364</v>
      </c>
    </row>
    <row r="2755">
      <c r="H2755" s="8" t="s">
        <v>364</v>
      </c>
    </row>
    <row r="2756">
      <c r="H2756" s="8" t="s">
        <v>364</v>
      </c>
    </row>
    <row r="2757">
      <c r="H2757" s="8" t="s">
        <v>364</v>
      </c>
    </row>
    <row r="2758">
      <c r="H2758" s="8" t="s">
        <v>364</v>
      </c>
    </row>
    <row r="2759">
      <c r="H2759" s="8" t="s">
        <v>364</v>
      </c>
    </row>
    <row r="2760">
      <c r="H2760" s="8" t="s">
        <v>364</v>
      </c>
    </row>
    <row r="2761">
      <c r="H2761" s="8" t="s">
        <v>364</v>
      </c>
    </row>
    <row r="2762">
      <c r="H2762" s="8" t="s">
        <v>364</v>
      </c>
    </row>
    <row r="2763">
      <c r="H2763" s="8" t="s">
        <v>364</v>
      </c>
    </row>
    <row r="2764">
      <c r="H2764" s="8" t="s">
        <v>364</v>
      </c>
    </row>
    <row r="2765">
      <c r="H2765" s="8" t="s">
        <v>364</v>
      </c>
    </row>
    <row r="2766">
      <c r="H2766" s="8" t="s">
        <v>364</v>
      </c>
    </row>
    <row r="2767">
      <c r="H2767" s="8" t="s">
        <v>364</v>
      </c>
    </row>
    <row r="2768">
      <c r="H2768" s="8" t="s">
        <v>364</v>
      </c>
    </row>
    <row r="2769">
      <c r="H2769" s="8" t="s">
        <v>364</v>
      </c>
    </row>
    <row r="2770">
      <c r="H2770" s="8" t="s">
        <v>364</v>
      </c>
    </row>
    <row r="2771">
      <c r="H2771" s="8" t="s">
        <v>364</v>
      </c>
    </row>
    <row r="2772">
      <c r="H2772" s="8" t="s">
        <v>364</v>
      </c>
    </row>
    <row r="2773">
      <c r="H2773" s="8" t="s">
        <v>364</v>
      </c>
    </row>
    <row r="2774">
      <c r="H2774" s="8" t="s">
        <v>364</v>
      </c>
    </row>
    <row r="2775">
      <c r="H2775" s="8" t="s">
        <v>364</v>
      </c>
    </row>
    <row r="2776">
      <c r="H2776" s="8" t="s">
        <v>364</v>
      </c>
    </row>
    <row r="2777">
      <c r="H2777" s="8" t="s">
        <v>364</v>
      </c>
    </row>
    <row r="2778">
      <c r="H2778" s="8" t="s">
        <v>364</v>
      </c>
    </row>
    <row r="2779">
      <c r="H2779" s="8" t="s">
        <v>364</v>
      </c>
    </row>
    <row r="2780">
      <c r="H2780" s="8" t="s">
        <v>364</v>
      </c>
    </row>
    <row r="2781">
      <c r="H2781" s="8" t="s">
        <v>364</v>
      </c>
    </row>
    <row r="2782">
      <c r="H2782" s="8" t="s">
        <v>364</v>
      </c>
    </row>
    <row r="2783">
      <c r="H2783" s="8" t="s">
        <v>364</v>
      </c>
    </row>
    <row r="2784">
      <c r="H2784" s="8" t="s">
        <v>364</v>
      </c>
    </row>
    <row r="2785">
      <c r="H2785" s="8" t="s">
        <v>364</v>
      </c>
    </row>
    <row r="2786">
      <c r="H2786" s="8" t="s">
        <v>364</v>
      </c>
    </row>
    <row r="2787">
      <c r="H2787" s="8" t="s">
        <v>364</v>
      </c>
    </row>
    <row r="2788">
      <c r="H2788" s="8" t="s">
        <v>364</v>
      </c>
    </row>
    <row r="2789">
      <c r="H2789" s="8" t="s">
        <v>364</v>
      </c>
    </row>
    <row r="2790">
      <c r="H2790" s="8" t="s">
        <v>364</v>
      </c>
    </row>
    <row r="2791">
      <c r="H2791" s="8" t="s">
        <v>364</v>
      </c>
    </row>
    <row r="2792">
      <c r="H2792" s="8" t="s">
        <v>364</v>
      </c>
    </row>
    <row r="2793">
      <c r="H2793" s="8" t="s">
        <v>364</v>
      </c>
    </row>
    <row r="2794">
      <c r="H2794" s="8" t="s">
        <v>364</v>
      </c>
    </row>
    <row r="2795">
      <c r="H2795" s="8" t="s">
        <v>364</v>
      </c>
    </row>
    <row r="2796">
      <c r="H2796" s="8" t="s">
        <v>364</v>
      </c>
    </row>
    <row r="2797">
      <c r="H2797" s="8" t="s">
        <v>364</v>
      </c>
    </row>
    <row r="2798">
      <c r="H2798" s="8" t="s">
        <v>364</v>
      </c>
    </row>
    <row r="2799">
      <c r="H2799" s="8" t="s">
        <v>364</v>
      </c>
    </row>
    <row r="2800">
      <c r="H2800" s="8" t="s">
        <v>364</v>
      </c>
    </row>
    <row r="2801">
      <c r="H2801" s="8" t="s">
        <v>364</v>
      </c>
    </row>
    <row r="2802">
      <c r="H2802" s="8" t="s">
        <v>364</v>
      </c>
    </row>
    <row r="2803">
      <c r="H2803" s="8" t="s">
        <v>364</v>
      </c>
    </row>
    <row r="2804">
      <c r="H2804" s="8" t="s">
        <v>364</v>
      </c>
    </row>
    <row r="2805">
      <c r="H2805" s="8" t="s">
        <v>364</v>
      </c>
    </row>
    <row r="2806">
      <c r="H2806" s="8" t="s">
        <v>364</v>
      </c>
    </row>
    <row r="2807">
      <c r="H2807" s="8" t="s">
        <v>364</v>
      </c>
    </row>
    <row r="2808">
      <c r="H2808" s="8" t="s">
        <v>364</v>
      </c>
    </row>
    <row r="2809">
      <c r="H2809" s="8" t="s">
        <v>364</v>
      </c>
    </row>
    <row r="2810">
      <c r="H2810" s="8" t="s">
        <v>364</v>
      </c>
    </row>
    <row r="2811">
      <c r="H2811" s="8" t="s">
        <v>364</v>
      </c>
    </row>
    <row r="2812">
      <c r="H2812" s="8" t="s">
        <v>364</v>
      </c>
    </row>
    <row r="2813">
      <c r="H2813" s="8" t="s">
        <v>364</v>
      </c>
    </row>
    <row r="2814">
      <c r="H2814" s="8" t="s">
        <v>364</v>
      </c>
    </row>
    <row r="2815">
      <c r="H2815" s="8" t="s">
        <v>364</v>
      </c>
    </row>
    <row r="2816">
      <c r="H2816" s="8" t="s">
        <v>364</v>
      </c>
    </row>
    <row r="2817">
      <c r="H2817" s="8" t="s">
        <v>364</v>
      </c>
    </row>
    <row r="2818">
      <c r="H2818" s="8" t="s">
        <v>364</v>
      </c>
    </row>
    <row r="2819">
      <c r="H2819" s="8" t="s">
        <v>364</v>
      </c>
    </row>
    <row r="2820">
      <c r="H2820" s="8" t="s">
        <v>364</v>
      </c>
    </row>
    <row r="2821">
      <c r="H2821" s="8" t="s">
        <v>364</v>
      </c>
    </row>
    <row r="2822">
      <c r="H2822" s="8" t="s">
        <v>364</v>
      </c>
    </row>
    <row r="2823">
      <c r="H2823" s="8" t="s">
        <v>364</v>
      </c>
    </row>
    <row r="2824">
      <c r="H2824" s="8" t="s">
        <v>364</v>
      </c>
    </row>
    <row r="2825">
      <c r="H2825" s="8" t="s">
        <v>364</v>
      </c>
    </row>
    <row r="2826">
      <c r="H2826" s="8" t="s">
        <v>364</v>
      </c>
    </row>
    <row r="2827">
      <c r="H2827" s="8" t="s">
        <v>364</v>
      </c>
    </row>
    <row r="2828">
      <c r="H2828" s="8" t="s">
        <v>364</v>
      </c>
    </row>
    <row r="2829">
      <c r="H2829" s="8" t="s">
        <v>364</v>
      </c>
    </row>
    <row r="2830">
      <c r="H2830" s="8" t="s">
        <v>364</v>
      </c>
    </row>
    <row r="2831">
      <c r="H2831" s="8" t="s">
        <v>364</v>
      </c>
    </row>
    <row r="2832">
      <c r="H2832" s="8" t="s">
        <v>364</v>
      </c>
    </row>
    <row r="2833">
      <c r="H2833" s="8" t="s">
        <v>364</v>
      </c>
    </row>
    <row r="2834">
      <c r="H2834" s="8" t="s">
        <v>364</v>
      </c>
    </row>
    <row r="2835">
      <c r="H2835" s="8" t="s">
        <v>364</v>
      </c>
    </row>
    <row r="2836">
      <c r="H2836" s="8" t="s">
        <v>364</v>
      </c>
    </row>
    <row r="2837">
      <c r="H2837" s="8" t="s">
        <v>364</v>
      </c>
    </row>
    <row r="2838">
      <c r="H2838" s="8" t="s">
        <v>364</v>
      </c>
    </row>
    <row r="2839">
      <c r="H2839" s="8" t="s">
        <v>364</v>
      </c>
    </row>
    <row r="2840">
      <c r="H2840" s="8" t="s">
        <v>364</v>
      </c>
    </row>
    <row r="2841">
      <c r="H2841" s="8" t="s">
        <v>364</v>
      </c>
    </row>
    <row r="2842">
      <c r="H2842" s="8" t="s">
        <v>364</v>
      </c>
    </row>
    <row r="2843">
      <c r="H2843" s="8" t="s">
        <v>364</v>
      </c>
    </row>
    <row r="2844">
      <c r="H2844" s="8" t="s">
        <v>364</v>
      </c>
    </row>
    <row r="2845">
      <c r="H2845" s="8" t="s">
        <v>364</v>
      </c>
    </row>
    <row r="2846">
      <c r="H2846" s="8" t="s">
        <v>364</v>
      </c>
    </row>
    <row r="2847">
      <c r="H2847" s="8" t="s">
        <v>364</v>
      </c>
    </row>
    <row r="2848">
      <c r="H2848" s="8" t="s">
        <v>364</v>
      </c>
    </row>
    <row r="2849">
      <c r="H2849" s="8" t="s">
        <v>364</v>
      </c>
    </row>
    <row r="2850">
      <c r="H2850" s="8" t="s">
        <v>364</v>
      </c>
    </row>
    <row r="2851">
      <c r="H2851" s="8" t="s">
        <v>364</v>
      </c>
    </row>
    <row r="2852">
      <c r="H2852" s="8" t="s">
        <v>364</v>
      </c>
    </row>
    <row r="2853">
      <c r="H2853" s="8" t="s">
        <v>364</v>
      </c>
    </row>
    <row r="2854">
      <c r="H2854" s="8" t="s">
        <v>364</v>
      </c>
    </row>
    <row r="2855">
      <c r="H2855" s="8" t="s">
        <v>364</v>
      </c>
    </row>
    <row r="2856">
      <c r="H2856" s="8" t="s">
        <v>364</v>
      </c>
    </row>
    <row r="2857">
      <c r="H2857" s="8" t="s">
        <v>364</v>
      </c>
    </row>
    <row r="2858">
      <c r="H2858" s="8" t="s">
        <v>364</v>
      </c>
    </row>
    <row r="2859">
      <c r="H2859" s="8" t="s">
        <v>364</v>
      </c>
    </row>
    <row r="2860">
      <c r="H2860" s="8" t="s">
        <v>364</v>
      </c>
    </row>
    <row r="2861">
      <c r="H2861" s="8" t="s">
        <v>364</v>
      </c>
    </row>
    <row r="2862">
      <c r="H2862" s="8" t="s">
        <v>364</v>
      </c>
    </row>
    <row r="2863">
      <c r="H2863" s="8" t="s">
        <v>364</v>
      </c>
    </row>
    <row r="2864">
      <c r="H2864" s="8" t="s">
        <v>364</v>
      </c>
    </row>
    <row r="2865">
      <c r="H2865" s="8" t="s">
        <v>364</v>
      </c>
    </row>
    <row r="2866">
      <c r="H2866" s="8" t="s">
        <v>364</v>
      </c>
    </row>
    <row r="2867">
      <c r="H2867" s="8" t="s">
        <v>364</v>
      </c>
    </row>
    <row r="2868">
      <c r="H2868" s="8" t="s">
        <v>364</v>
      </c>
    </row>
    <row r="2869">
      <c r="H2869" s="8" t="s">
        <v>364</v>
      </c>
    </row>
    <row r="2870">
      <c r="H2870" s="8" t="s">
        <v>364</v>
      </c>
    </row>
    <row r="2871">
      <c r="H2871" s="8" t="s">
        <v>364</v>
      </c>
    </row>
    <row r="2872">
      <c r="H2872" s="8" t="s">
        <v>364</v>
      </c>
    </row>
    <row r="2873">
      <c r="H2873" s="8" t="s">
        <v>364</v>
      </c>
    </row>
    <row r="2874">
      <c r="H2874" s="8" t="s">
        <v>364</v>
      </c>
    </row>
    <row r="2875">
      <c r="H2875" s="8" t="s">
        <v>364</v>
      </c>
    </row>
    <row r="2876">
      <c r="H2876" s="8" t="s">
        <v>364</v>
      </c>
    </row>
    <row r="2877">
      <c r="H2877" s="8" t="s">
        <v>364</v>
      </c>
    </row>
    <row r="2878">
      <c r="H2878" s="8" t="s">
        <v>364</v>
      </c>
    </row>
    <row r="2879">
      <c r="H2879" s="8" t="s">
        <v>364</v>
      </c>
    </row>
    <row r="2880">
      <c r="H2880" s="8" t="s">
        <v>364</v>
      </c>
    </row>
    <row r="2881">
      <c r="H2881" s="8" t="s">
        <v>364</v>
      </c>
    </row>
    <row r="2882">
      <c r="H2882" s="8" t="s">
        <v>364</v>
      </c>
    </row>
    <row r="2883">
      <c r="H2883" s="8" t="s">
        <v>364</v>
      </c>
    </row>
    <row r="2884">
      <c r="H2884" s="8" t="s">
        <v>364</v>
      </c>
    </row>
    <row r="2885">
      <c r="H2885" s="8" t="s">
        <v>364</v>
      </c>
    </row>
    <row r="2886">
      <c r="H2886" s="8" t="s">
        <v>364</v>
      </c>
    </row>
    <row r="2887">
      <c r="H2887" s="8" t="s">
        <v>364</v>
      </c>
    </row>
    <row r="2888">
      <c r="H2888" s="8" t="s">
        <v>364</v>
      </c>
    </row>
    <row r="2889">
      <c r="H2889" s="8" t="s">
        <v>364</v>
      </c>
    </row>
    <row r="2890">
      <c r="H2890" s="8" t="s">
        <v>364</v>
      </c>
    </row>
    <row r="2891">
      <c r="H2891" s="8" t="s">
        <v>364</v>
      </c>
    </row>
    <row r="2892">
      <c r="H2892" s="8" t="s">
        <v>364</v>
      </c>
    </row>
    <row r="2893">
      <c r="H2893" s="8" t="s">
        <v>364</v>
      </c>
    </row>
    <row r="2894">
      <c r="H2894" s="8" t="s">
        <v>364</v>
      </c>
    </row>
    <row r="2895">
      <c r="H2895" s="8" t="s">
        <v>364</v>
      </c>
    </row>
    <row r="2896">
      <c r="H2896" s="8" t="s">
        <v>364</v>
      </c>
    </row>
    <row r="2897">
      <c r="H2897" s="8" t="s">
        <v>364</v>
      </c>
    </row>
    <row r="2898">
      <c r="H2898" s="8" t="s">
        <v>364</v>
      </c>
    </row>
    <row r="2899">
      <c r="H2899" s="8" t="s">
        <v>364</v>
      </c>
    </row>
    <row r="2900">
      <c r="H2900" s="8" t="s">
        <v>364</v>
      </c>
    </row>
    <row r="2901">
      <c r="H2901" s="8" t="s">
        <v>364</v>
      </c>
    </row>
    <row r="2902">
      <c r="H2902" s="8" t="s">
        <v>364</v>
      </c>
    </row>
    <row r="2903">
      <c r="H2903" s="8" t="s">
        <v>364</v>
      </c>
    </row>
    <row r="2904">
      <c r="H2904" s="8" t="s">
        <v>364</v>
      </c>
    </row>
    <row r="2905">
      <c r="H2905" s="8" t="s">
        <v>364</v>
      </c>
    </row>
    <row r="2906">
      <c r="H2906" s="8" t="s">
        <v>364</v>
      </c>
    </row>
    <row r="2907">
      <c r="H2907" s="8" t="s">
        <v>364</v>
      </c>
    </row>
    <row r="2908">
      <c r="H2908" s="8" t="s">
        <v>364</v>
      </c>
    </row>
    <row r="2909">
      <c r="H2909" s="8" t="s">
        <v>364</v>
      </c>
    </row>
    <row r="2910">
      <c r="H2910" s="8" t="s">
        <v>364</v>
      </c>
    </row>
    <row r="2911">
      <c r="H2911" s="8" t="s">
        <v>364</v>
      </c>
    </row>
    <row r="2912">
      <c r="H2912" s="8" t="s">
        <v>364</v>
      </c>
    </row>
    <row r="2913">
      <c r="H2913" s="8" t="s">
        <v>364</v>
      </c>
    </row>
    <row r="2914">
      <c r="H2914" s="8" t="s">
        <v>364</v>
      </c>
    </row>
    <row r="2915">
      <c r="H2915" s="8" t="s">
        <v>364</v>
      </c>
    </row>
    <row r="2916">
      <c r="H2916" s="8" t="s">
        <v>364</v>
      </c>
    </row>
    <row r="2917">
      <c r="H2917" s="8" t="s">
        <v>364</v>
      </c>
    </row>
    <row r="2918">
      <c r="H2918" s="8" t="s">
        <v>364</v>
      </c>
    </row>
    <row r="2919">
      <c r="H2919" s="8" t="s">
        <v>364</v>
      </c>
    </row>
    <row r="2920">
      <c r="H2920" s="8" t="s">
        <v>364</v>
      </c>
    </row>
    <row r="2921">
      <c r="H2921" s="8" t="s">
        <v>364</v>
      </c>
    </row>
    <row r="2922">
      <c r="H2922" s="8" t="s">
        <v>364</v>
      </c>
    </row>
    <row r="2923">
      <c r="H2923" s="8" t="s">
        <v>364</v>
      </c>
    </row>
    <row r="2924">
      <c r="H2924" s="8" t="s">
        <v>364</v>
      </c>
    </row>
    <row r="2925">
      <c r="H2925" s="8" t="s">
        <v>364</v>
      </c>
    </row>
    <row r="2926">
      <c r="H2926" s="8" t="s">
        <v>364</v>
      </c>
    </row>
    <row r="2927">
      <c r="H2927" s="8" t="s">
        <v>364</v>
      </c>
    </row>
    <row r="2928">
      <c r="H2928" s="8" t="s">
        <v>364</v>
      </c>
    </row>
    <row r="2929">
      <c r="H2929" s="8" t="s">
        <v>364</v>
      </c>
    </row>
    <row r="2930">
      <c r="H2930" s="8" t="s">
        <v>364</v>
      </c>
    </row>
    <row r="2931">
      <c r="H2931" s="8" t="s">
        <v>364</v>
      </c>
    </row>
    <row r="2932">
      <c r="H2932" s="8" t="s">
        <v>364</v>
      </c>
    </row>
    <row r="2933">
      <c r="H2933" s="8" t="s">
        <v>364</v>
      </c>
    </row>
    <row r="2934">
      <c r="H2934" s="8" t="s">
        <v>364</v>
      </c>
    </row>
    <row r="2935">
      <c r="H2935" s="8" t="s">
        <v>364</v>
      </c>
    </row>
    <row r="2936">
      <c r="H2936" s="8" t="s">
        <v>364</v>
      </c>
    </row>
    <row r="2937">
      <c r="H2937" s="8" t="s">
        <v>364</v>
      </c>
    </row>
    <row r="2938">
      <c r="H2938" s="8" t="s">
        <v>364</v>
      </c>
    </row>
    <row r="2939">
      <c r="H2939" s="8" t="s">
        <v>364</v>
      </c>
    </row>
    <row r="2940">
      <c r="H2940" s="8" t="s">
        <v>364</v>
      </c>
    </row>
    <row r="2941">
      <c r="H2941" s="8" t="s">
        <v>364</v>
      </c>
    </row>
    <row r="2942">
      <c r="H2942" s="8" t="s">
        <v>364</v>
      </c>
    </row>
    <row r="2943">
      <c r="H2943" s="8" t="s">
        <v>364</v>
      </c>
    </row>
    <row r="2944">
      <c r="H2944" s="8" t="s">
        <v>364</v>
      </c>
    </row>
    <row r="2945">
      <c r="H2945" s="8" t="s">
        <v>364</v>
      </c>
    </row>
    <row r="2946">
      <c r="H2946" s="8" t="s">
        <v>364</v>
      </c>
    </row>
    <row r="2947">
      <c r="H2947" s="8" t="s">
        <v>364</v>
      </c>
    </row>
    <row r="2948">
      <c r="H2948" s="8" t="s">
        <v>364</v>
      </c>
    </row>
    <row r="2949">
      <c r="H2949" s="8" t="s">
        <v>364</v>
      </c>
    </row>
    <row r="2950">
      <c r="H2950" s="8" t="s">
        <v>364</v>
      </c>
    </row>
    <row r="2951">
      <c r="H2951" s="8" t="s">
        <v>364</v>
      </c>
    </row>
    <row r="2952">
      <c r="H2952" s="8" t="s">
        <v>364</v>
      </c>
    </row>
    <row r="2953">
      <c r="H2953" s="8" t="s">
        <v>364</v>
      </c>
    </row>
    <row r="2954">
      <c r="H2954" s="8" t="s">
        <v>364</v>
      </c>
    </row>
    <row r="2955">
      <c r="H2955" s="8" t="s">
        <v>364</v>
      </c>
    </row>
    <row r="2956">
      <c r="H2956" s="8" t="s">
        <v>364</v>
      </c>
    </row>
    <row r="2957">
      <c r="H2957" s="8" t="s">
        <v>364</v>
      </c>
    </row>
    <row r="2958">
      <c r="H2958" s="8" t="s">
        <v>364</v>
      </c>
    </row>
    <row r="2959">
      <c r="H2959" s="8" t="s">
        <v>364</v>
      </c>
    </row>
    <row r="2960">
      <c r="H2960" s="8" t="s">
        <v>364</v>
      </c>
    </row>
    <row r="2961">
      <c r="H2961" s="8" t="s">
        <v>364</v>
      </c>
    </row>
    <row r="2962">
      <c r="H2962" s="8" t="s">
        <v>364</v>
      </c>
    </row>
    <row r="2963">
      <c r="H2963" s="8" t="s">
        <v>364</v>
      </c>
    </row>
    <row r="2964">
      <c r="H2964" s="8" t="s">
        <v>364</v>
      </c>
    </row>
    <row r="2965">
      <c r="H2965" s="8" t="s">
        <v>364</v>
      </c>
    </row>
    <row r="2966">
      <c r="H2966" s="8" t="s">
        <v>364</v>
      </c>
    </row>
    <row r="2967">
      <c r="H2967" s="8" t="s">
        <v>364</v>
      </c>
    </row>
    <row r="2968">
      <c r="H2968" s="8" t="s">
        <v>364</v>
      </c>
    </row>
    <row r="2969">
      <c r="H2969" s="8" t="s">
        <v>364</v>
      </c>
    </row>
    <row r="2970">
      <c r="H2970" s="8" t="s">
        <v>364</v>
      </c>
    </row>
    <row r="2971">
      <c r="H2971" s="8" t="s">
        <v>364</v>
      </c>
    </row>
    <row r="2972">
      <c r="H2972" s="8" t="s">
        <v>364</v>
      </c>
    </row>
    <row r="2973">
      <c r="H2973" s="8" t="s">
        <v>364</v>
      </c>
    </row>
    <row r="2974">
      <c r="H2974" s="8" t="s">
        <v>364</v>
      </c>
    </row>
    <row r="2975">
      <c r="H2975" s="8" t="s">
        <v>364</v>
      </c>
    </row>
    <row r="2976">
      <c r="H2976" s="8" t="s">
        <v>364</v>
      </c>
    </row>
    <row r="2977">
      <c r="H2977" s="8" t="s">
        <v>364</v>
      </c>
    </row>
    <row r="2978">
      <c r="H2978" s="8" t="s">
        <v>364</v>
      </c>
    </row>
    <row r="2979">
      <c r="H2979" s="8" t="s">
        <v>364</v>
      </c>
    </row>
    <row r="2980">
      <c r="H2980" s="8" t="s">
        <v>364</v>
      </c>
    </row>
    <row r="2981">
      <c r="H2981" s="8" t="s">
        <v>364</v>
      </c>
    </row>
    <row r="2982">
      <c r="H2982" s="8" t="s">
        <v>364</v>
      </c>
    </row>
    <row r="2983">
      <c r="H2983" s="8" t="s">
        <v>364</v>
      </c>
    </row>
    <row r="2984">
      <c r="H2984" s="8" t="s">
        <v>364</v>
      </c>
    </row>
    <row r="2985">
      <c r="H2985" s="8" t="s">
        <v>364</v>
      </c>
    </row>
    <row r="2986">
      <c r="H2986" s="8" t="s">
        <v>364</v>
      </c>
    </row>
    <row r="2987">
      <c r="H2987" s="8" t="s">
        <v>364</v>
      </c>
    </row>
    <row r="2988">
      <c r="H2988" s="8" t="s">
        <v>364</v>
      </c>
    </row>
    <row r="2989">
      <c r="H2989" s="8" t="s">
        <v>364</v>
      </c>
    </row>
    <row r="2990">
      <c r="H2990" s="8" t="s">
        <v>364</v>
      </c>
    </row>
    <row r="2991">
      <c r="H2991" s="8" t="s">
        <v>364</v>
      </c>
    </row>
    <row r="2992">
      <c r="H2992" s="8" t="s">
        <v>364</v>
      </c>
    </row>
    <row r="2993">
      <c r="H2993" s="8" t="s">
        <v>364</v>
      </c>
    </row>
    <row r="2994">
      <c r="H2994" s="8" t="s">
        <v>364</v>
      </c>
    </row>
    <row r="2995">
      <c r="H2995" s="8" t="s">
        <v>364</v>
      </c>
    </row>
    <row r="2996">
      <c r="H2996" s="8" t="s">
        <v>364</v>
      </c>
    </row>
    <row r="2997">
      <c r="H2997" s="8" t="s">
        <v>364</v>
      </c>
    </row>
    <row r="2998">
      <c r="H2998" s="8" t="s">
        <v>364</v>
      </c>
    </row>
    <row r="2999">
      <c r="H2999" s="8" t="s">
        <v>364</v>
      </c>
    </row>
    <row r="3000">
      <c r="H3000" s="8" t="s">
        <v>364</v>
      </c>
    </row>
    <row r="3001">
      <c r="H3001" s="8" t="s">
        <v>364</v>
      </c>
    </row>
    <row r="3002">
      <c r="H3002" s="8" t="s">
        <v>364</v>
      </c>
    </row>
    <row r="3003">
      <c r="H3003" s="8" t="s">
        <v>364</v>
      </c>
    </row>
    <row r="3004">
      <c r="H3004" s="8" t="s">
        <v>364</v>
      </c>
    </row>
    <row r="3005">
      <c r="H3005" s="8" t="s">
        <v>364</v>
      </c>
    </row>
    <row r="3006">
      <c r="H3006" s="8" t="s">
        <v>364</v>
      </c>
    </row>
    <row r="3007">
      <c r="H3007" s="8" t="s">
        <v>364</v>
      </c>
    </row>
    <row r="3008">
      <c r="H3008" s="8" t="s">
        <v>364</v>
      </c>
    </row>
    <row r="3009">
      <c r="H3009" s="8" t="s">
        <v>364</v>
      </c>
    </row>
    <row r="3010">
      <c r="H3010" s="8" t="s">
        <v>364</v>
      </c>
    </row>
    <row r="3011">
      <c r="H3011" s="8" t="s">
        <v>364</v>
      </c>
    </row>
    <row r="3012">
      <c r="H3012" s="8" t="s">
        <v>364</v>
      </c>
    </row>
    <row r="3013">
      <c r="H3013" s="8" t="s">
        <v>364</v>
      </c>
    </row>
    <row r="3014">
      <c r="H3014" s="8" t="s">
        <v>364</v>
      </c>
    </row>
    <row r="3015">
      <c r="H3015" s="8" t="s">
        <v>364</v>
      </c>
    </row>
    <row r="3016">
      <c r="H3016" s="8" t="s">
        <v>364</v>
      </c>
    </row>
    <row r="3017">
      <c r="H3017" s="8" t="s">
        <v>364</v>
      </c>
    </row>
    <row r="3018">
      <c r="H3018" s="8" t="s">
        <v>364</v>
      </c>
    </row>
    <row r="3019">
      <c r="H3019" s="8" t="s">
        <v>364</v>
      </c>
    </row>
    <row r="3020">
      <c r="H3020" s="8" t="s">
        <v>364</v>
      </c>
    </row>
    <row r="3021">
      <c r="H3021" s="8" t="s">
        <v>364</v>
      </c>
    </row>
    <row r="3022">
      <c r="H3022" s="8" t="s">
        <v>364</v>
      </c>
    </row>
    <row r="3023">
      <c r="H3023" s="8" t="s">
        <v>364</v>
      </c>
    </row>
    <row r="3024">
      <c r="H3024" s="8" t="s">
        <v>364</v>
      </c>
    </row>
    <row r="3025">
      <c r="H3025" s="8" t="s">
        <v>364</v>
      </c>
    </row>
    <row r="3026">
      <c r="H3026" s="8" t="s">
        <v>364</v>
      </c>
    </row>
    <row r="3027">
      <c r="H3027" s="8" t="s">
        <v>364</v>
      </c>
    </row>
    <row r="3028">
      <c r="H3028" s="8" t="s">
        <v>364</v>
      </c>
    </row>
    <row r="3029">
      <c r="H3029" s="8" t="s">
        <v>364</v>
      </c>
    </row>
    <row r="3030">
      <c r="H3030" s="8" t="s">
        <v>364</v>
      </c>
    </row>
    <row r="3031">
      <c r="H3031" s="8" t="s">
        <v>364</v>
      </c>
    </row>
    <row r="3032">
      <c r="H3032" s="8" t="s">
        <v>364</v>
      </c>
    </row>
    <row r="3033">
      <c r="H3033" s="8" t="s">
        <v>364</v>
      </c>
    </row>
    <row r="3034">
      <c r="H3034" s="8" t="s">
        <v>364</v>
      </c>
    </row>
    <row r="3035">
      <c r="H3035" s="8" t="s">
        <v>364</v>
      </c>
    </row>
    <row r="3036">
      <c r="H3036" s="8" t="s">
        <v>364</v>
      </c>
    </row>
    <row r="3037">
      <c r="H3037" s="8" t="s">
        <v>364</v>
      </c>
    </row>
    <row r="3038">
      <c r="H3038" s="8" t="s">
        <v>364</v>
      </c>
    </row>
    <row r="3039">
      <c r="H3039" s="8" t="s">
        <v>364</v>
      </c>
    </row>
    <row r="3040">
      <c r="H3040" s="8" t="s">
        <v>364</v>
      </c>
    </row>
    <row r="3041">
      <c r="H3041" s="8" t="s">
        <v>364</v>
      </c>
    </row>
    <row r="3042">
      <c r="H3042" s="8" t="s">
        <v>364</v>
      </c>
    </row>
    <row r="3043">
      <c r="H3043" s="8" t="s">
        <v>364</v>
      </c>
    </row>
    <row r="3044">
      <c r="H3044" s="8" t="s">
        <v>364</v>
      </c>
    </row>
    <row r="3045">
      <c r="H3045" s="8" t="s">
        <v>364</v>
      </c>
    </row>
    <row r="3046">
      <c r="H3046" s="8" t="s">
        <v>364</v>
      </c>
    </row>
    <row r="3047">
      <c r="H3047" s="8" t="s">
        <v>364</v>
      </c>
    </row>
    <row r="3048">
      <c r="H3048" s="8" t="s">
        <v>364</v>
      </c>
    </row>
    <row r="3049">
      <c r="H3049" s="8" t="s">
        <v>364</v>
      </c>
    </row>
    <row r="3050">
      <c r="H3050" s="8" t="s">
        <v>364</v>
      </c>
    </row>
    <row r="3051">
      <c r="H3051" s="8" t="s">
        <v>364</v>
      </c>
    </row>
    <row r="3052">
      <c r="H3052" s="8" t="s">
        <v>364</v>
      </c>
    </row>
    <row r="3053">
      <c r="H3053" s="8" t="s">
        <v>364</v>
      </c>
    </row>
    <row r="3054">
      <c r="H3054" s="8" t="s">
        <v>364</v>
      </c>
    </row>
    <row r="3055">
      <c r="H3055" s="8" t="s">
        <v>364</v>
      </c>
    </row>
    <row r="3056">
      <c r="H3056" s="8" t="s">
        <v>364</v>
      </c>
    </row>
    <row r="3057">
      <c r="H3057" s="8" t="s">
        <v>364</v>
      </c>
    </row>
    <row r="3058">
      <c r="H3058" s="8" t="s">
        <v>364</v>
      </c>
    </row>
    <row r="3059">
      <c r="H3059" s="8" t="s">
        <v>364</v>
      </c>
    </row>
    <row r="3060">
      <c r="H3060" s="8" t="s">
        <v>364</v>
      </c>
    </row>
    <row r="3061">
      <c r="H3061" s="8" t="s">
        <v>364</v>
      </c>
    </row>
    <row r="3062">
      <c r="H3062" s="8" t="s">
        <v>364</v>
      </c>
    </row>
    <row r="3063">
      <c r="H3063" s="8" t="s">
        <v>364</v>
      </c>
    </row>
    <row r="3064">
      <c r="H3064" s="8" t="s">
        <v>364</v>
      </c>
    </row>
    <row r="3065">
      <c r="H3065" s="8" t="s">
        <v>364</v>
      </c>
    </row>
    <row r="3066">
      <c r="H3066" s="8" t="s">
        <v>364</v>
      </c>
    </row>
    <row r="3067">
      <c r="H3067" s="8" t="s">
        <v>364</v>
      </c>
    </row>
    <row r="3068">
      <c r="H3068" s="8" t="s">
        <v>364</v>
      </c>
    </row>
    <row r="3069">
      <c r="H3069" s="8" t="s">
        <v>364</v>
      </c>
    </row>
    <row r="3070">
      <c r="H3070" s="8" t="s">
        <v>364</v>
      </c>
    </row>
    <row r="3071">
      <c r="H3071" s="8" t="s">
        <v>364</v>
      </c>
    </row>
    <row r="3072">
      <c r="H3072" s="8" t="s">
        <v>364</v>
      </c>
    </row>
    <row r="3073">
      <c r="H3073" s="8" t="s">
        <v>364</v>
      </c>
    </row>
    <row r="3074">
      <c r="H3074" s="8" t="s">
        <v>364</v>
      </c>
    </row>
    <row r="3075">
      <c r="H3075" s="8" t="s">
        <v>364</v>
      </c>
    </row>
    <row r="3076">
      <c r="H3076" s="8" t="s">
        <v>364</v>
      </c>
    </row>
    <row r="3077">
      <c r="H3077" s="8" t="s">
        <v>364</v>
      </c>
    </row>
    <row r="3078">
      <c r="H3078" s="8" t="s">
        <v>364</v>
      </c>
    </row>
    <row r="3079">
      <c r="H3079" s="8" t="s">
        <v>364</v>
      </c>
    </row>
    <row r="3080">
      <c r="H3080" s="8" t="s">
        <v>364</v>
      </c>
    </row>
    <row r="3081">
      <c r="H3081" s="8" t="s">
        <v>364</v>
      </c>
    </row>
    <row r="3082">
      <c r="H3082" s="8" t="s">
        <v>364</v>
      </c>
    </row>
    <row r="3083">
      <c r="H3083" s="8" t="s">
        <v>364</v>
      </c>
    </row>
    <row r="3084">
      <c r="H3084" s="8" t="s">
        <v>364</v>
      </c>
    </row>
    <row r="3085">
      <c r="H3085" s="8" t="s">
        <v>364</v>
      </c>
    </row>
    <row r="3086">
      <c r="H3086" s="8" t="s">
        <v>364</v>
      </c>
    </row>
    <row r="3087">
      <c r="H3087" s="8" t="s">
        <v>364</v>
      </c>
    </row>
    <row r="3088">
      <c r="H3088" s="8" t="s">
        <v>364</v>
      </c>
    </row>
    <row r="3089">
      <c r="H3089" s="8" t="s">
        <v>364</v>
      </c>
    </row>
    <row r="3090">
      <c r="H3090" s="8" t="s">
        <v>364</v>
      </c>
    </row>
    <row r="3091">
      <c r="H3091" s="8" t="s">
        <v>364</v>
      </c>
    </row>
    <row r="3092">
      <c r="H3092" s="8" t="s">
        <v>364</v>
      </c>
    </row>
    <row r="3093">
      <c r="H3093" s="8" t="s">
        <v>364</v>
      </c>
    </row>
    <row r="3094">
      <c r="H3094" s="8" t="s">
        <v>364</v>
      </c>
    </row>
    <row r="3095">
      <c r="H3095" s="8" t="s">
        <v>364</v>
      </c>
    </row>
    <row r="3096">
      <c r="H3096" s="8" t="s">
        <v>364</v>
      </c>
    </row>
    <row r="3097">
      <c r="H3097" s="8" t="s">
        <v>364</v>
      </c>
    </row>
    <row r="3098">
      <c r="H3098" s="8" t="s">
        <v>364</v>
      </c>
    </row>
    <row r="3099">
      <c r="H3099" s="8" t="s">
        <v>364</v>
      </c>
    </row>
    <row r="3100">
      <c r="H3100" s="8" t="s">
        <v>364</v>
      </c>
    </row>
    <row r="3101">
      <c r="H3101" s="8" t="s">
        <v>364</v>
      </c>
    </row>
    <row r="3102">
      <c r="H3102" s="8" t="s">
        <v>364</v>
      </c>
    </row>
    <row r="3103">
      <c r="H3103" s="8" t="s">
        <v>364</v>
      </c>
    </row>
    <row r="3104">
      <c r="H3104" s="8" t="s">
        <v>364</v>
      </c>
    </row>
    <row r="3105">
      <c r="H3105" s="8" t="s">
        <v>364</v>
      </c>
    </row>
    <row r="3106">
      <c r="H3106" s="8" t="s">
        <v>364</v>
      </c>
    </row>
    <row r="3107">
      <c r="H3107" s="8" t="s">
        <v>364</v>
      </c>
    </row>
    <row r="3108">
      <c r="H3108" s="8" t="s">
        <v>364</v>
      </c>
    </row>
    <row r="3109">
      <c r="H3109" s="8" t="s">
        <v>364</v>
      </c>
    </row>
    <row r="3110">
      <c r="H3110" s="8" t="s">
        <v>364</v>
      </c>
    </row>
    <row r="3111">
      <c r="H3111" s="8" t="s">
        <v>364</v>
      </c>
    </row>
    <row r="3112">
      <c r="H3112" s="8" t="s">
        <v>364</v>
      </c>
    </row>
    <row r="3113">
      <c r="H3113" s="8" t="s">
        <v>364</v>
      </c>
    </row>
    <row r="3114">
      <c r="H3114" s="8" t="s">
        <v>364</v>
      </c>
    </row>
    <row r="3115">
      <c r="H3115" s="8" t="s">
        <v>364</v>
      </c>
    </row>
    <row r="3116">
      <c r="H3116" s="8" t="s">
        <v>364</v>
      </c>
    </row>
    <row r="3117">
      <c r="H3117" s="8" t="s">
        <v>364</v>
      </c>
    </row>
    <row r="3118">
      <c r="H3118" s="8" t="s">
        <v>364</v>
      </c>
    </row>
    <row r="3119">
      <c r="H3119" s="8" t="s">
        <v>364</v>
      </c>
    </row>
    <row r="3120">
      <c r="H3120" s="8" t="s">
        <v>364</v>
      </c>
    </row>
    <row r="3121">
      <c r="H3121" s="8" t="s">
        <v>364</v>
      </c>
    </row>
    <row r="3122">
      <c r="H3122" s="8" t="s">
        <v>364</v>
      </c>
    </row>
    <row r="3123">
      <c r="H3123" s="8" t="s">
        <v>364</v>
      </c>
    </row>
    <row r="3124">
      <c r="H3124" s="8" t="s">
        <v>364</v>
      </c>
    </row>
    <row r="3125">
      <c r="H3125" s="8" t="s">
        <v>364</v>
      </c>
    </row>
    <row r="3126">
      <c r="H3126" s="8" t="s">
        <v>364</v>
      </c>
    </row>
    <row r="3127">
      <c r="H3127" s="8" t="s">
        <v>364</v>
      </c>
    </row>
    <row r="3128">
      <c r="H3128" s="8" t="s">
        <v>364</v>
      </c>
    </row>
    <row r="3129">
      <c r="H3129" s="8" t="s">
        <v>364</v>
      </c>
    </row>
    <row r="3130">
      <c r="H3130" s="8" t="s">
        <v>364</v>
      </c>
    </row>
    <row r="3131">
      <c r="H3131" s="8" t="s">
        <v>364</v>
      </c>
    </row>
    <row r="3132">
      <c r="H3132" s="8" t="s">
        <v>364</v>
      </c>
    </row>
    <row r="3133">
      <c r="H3133" s="8" t="s">
        <v>364</v>
      </c>
    </row>
    <row r="3134">
      <c r="H3134" s="8" t="s">
        <v>364</v>
      </c>
    </row>
    <row r="3135">
      <c r="H3135" s="8" t="s">
        <v>364</v>
      </c>
    </row>
    <row r="3136">
      <c r="H3136" s="8" t="s">
        <v>364</v>
      </c>
    </row>
    <row r="3137">
      <c r="H3137" s="8" t="s">
        <v>364</v>
      </c>
    </row>
    <row r="3138">
      <c r="H3138" s="8" t="s">
        <v>364</v>
      </c>
    </row>
    <row r="3139">
      <c r="H3139" s="8" t="s">
        <v>364</v>
      </c>
    </row>
    <row r="3140">
      <c r="H3140" s="8" t="s">
        <v>364</v>
      </c>
    </row>
    <row r="3141">
      <c r="H3141" s="8" t="s">
        <v>364</v>
      </c>
    </row>
    <row r="3142">
      <c r="H3142" s="8" t="s">
        <v>364</v>
      </c>
    </row>
    <row r="3143">
      <c r="H3143" s="8" t="s">
        <v>364</v>
      </c>
    </row>
    <row r="3144">
      <c r="H3144" s="8" t="s">
        <v>364</v>
      </c>
    </row>
    <row r="3145">
      <c r="H3145" s="8" t="s">
        <v>364</v>
      </c>
    </row>
    <row r="3146">
      <c r="H3146" s="8" t="s">
        <v>364</v>
      </c>
    </row>
    <row r="3147">
      <c r="H3147" s="8" t="s">
        <v>364</v>
      </c>
    </row>
    <row r="3148">
      <c r="H3148" s="8" t="s">
        <v>364</v>
      </c>
    </row>
    <row r="3149">
      <c r="H3149" s="8" t="s">
        <v>364</v>
      </c>
    </row>
    <row r="3150">
      <c r="H3150" s="8" t="s">
        <v>364</v>
      </c>
    </row>
    <row r="3151">
      <c r="H3151" s="8" t="s">
        <v>364</v>
      </c>
    </row>
    <row r="3152">
      <c r="H3152" s="8" t="s">
        <v>364</v>
      </c>
    </row>
    <row r="3153">
      <c r="H3153" s="8" t="s">
        <v>364</v>
      </c>
    </row>
    <row r="3154">
      <c r="H3154" s="8" t="s">
        <v>364</v>
      </c>
    </row>
    <row r="3155">
      <c r="H3155" s="8" t="s">
        <v>364</v>
      </c>
    </row>
    <row r="3156">
      <c r="H3156" s="8" t="s">
        <v>364</v>
      </c>
    </row>
    <row r="3157">
      <c r="H3157" s="8" t="s">
        <v>364</v>
      </c>
    </row>
    <row r="3158">
      <c r="H3158" s="8" t="s">
        <v>364</v>
      </c>
    </row>
    <row r="3159">
      <c r="H3159" s="8" t="s">
        <v>364</v>
      </c>
    </row>
    <row r="3160">
      <c r="H3160" s="8" t="s">
        <v>364</v>
      </c>
    </row>
    <row r="3161">
      <c r="H3161" s="8" t="s">
        <v>364</v>
      </c>
    </row>
    <row r="3162">
      <c r="H3162" s="8" t="s">
        <v>364</v>
      </c>
    </row>
    <row r="3163">
      <c r="H3163" s="8" t="s">
        <v>364</v>
      </c>
    </row>
    <row r="3164">
      <c r="H3164" s="8" t="s">
        <v>364</v>
      </c>
    </row>
    <row r="3165">
      <c r="H3165" s="8" t="s">
        <v>364</v>
      </c>
    </row>
    <row r="3166">
      <c r="H3166" s="8" t="s">
        <v>364</v>
      </c>
    </row>
    <row r="3167">
      <c r="H3167" s="8" t="s">
        <v>364</v>
      </c>
    </row>
    <row r="3168">
      <c r="H3168" s="8" t="s">
        <v>364</v>
      </c>
    </row>
    <row r="3169">
      <c r="H3169" s="8" t="s">
        <v>364</v>
      </c>
    </row>
    <row r="3170">
      <c r="H3170" s="8" t="s">
        <v>364</v>
      </c>
    </row>
    <row r="3171">
      <c r="H3171" s="8" t="s">
        <v>364</v>
      </c>
    </row>
    <row r="3172">
      <c r="H3172" s="8" t="s">
        <v>364</v>
      </c>
    </row>
    <row r="3173">
      <c r="H3173" s="8" t="s">
        <v>364</v>
      </c>
    </row>
    <row r="3174">
      <c r="H3174" s="8" t="s">
        <v>364</v>
      </c>
    </row>
    <row r="3175">
      <c r="H3175" s="8" t="s">
        <v>364</v>
      </c>
    </row>
    <row r="3176">
      <c r="H3176" s="8" t="s">
        <v>364</v>
      </c>
    </row>
    <row r="3177">
      <c r="H3177" s="8" t="s">
        <v>364</v>
      </c>
    </row>
    <row r="3178">
      <c r="H3178" s="8" t="s">
        <v>364</v>
      </c>
    </row>
    <row r="3179">
      <c r="H3179" s="8" t="s">
        <v>364</v>
      </c>
    </row>
    <row r="3180">
      <c r="H3180" s="8" t="s">
        <v>364</v>
      </c>
    </row>
    <row r="3181">
      <c r="H3181" s="8" t="s">
        <v>364</v>
      </c>
    </row>
    <row r="3182">
      <c r="H3182" s="8" t="s">
        <v>364</v>
      </c>
    </row>
    <row r="3183">
      <c r="H3183" s="8" t="s">
        <v>364</v>
      </c>
    </row>
    <row r="3184">
      <c r="H3184" s="8" t="s">
        <v>364</v>
      </c>
    </row>
    <row r="3185">
      <c r="H3185" s="8" t="s">
        <v>364</v>
      </c>
    </row>
    <row r="3186">
      <c r="H3186" s="8" t="s">
        <v>364</v>
      </c>
    </row>
    <row r="3187">
      <c r="H3187" s="8" t="s">
        <v>364</v>
      </c>
    </row>
    <row r="3188">
      <c r="H3188" s="8" t="s">
        <v>364</v>
      </c>
    </row>
    <row r="3189">
      <c r="H3189" s="8" t="s">
        <v>364</v>
      </c>
    </row>
    <row r="3190">
      <c r="H3190" s="8" t="s">
        <v>364</v>
      </c>
    </row>
    <row r="3191">
      <c r="H3191" s="8" t="s">
        <v>364</v>
      </c>
    </row>
    <row r="3192">
      <c r="H3192" s="8" t="s">
        <v>364</v>
      </c>
    </row>
    <row r="3193">
      <c r="H3193" s="8" t="s">
        <v>364</v>
      </c>
    </row>
    <row r="3194">
      <c r="H3194" s="8" t="s">
        <v>364</v>
      </c>
    </row>
    <row r="3195">
      <c r="H3195" s="8" t="s">
        <v>364</v>
      </c>
    </row>
    <row r="3196">
      <c r="H3196" s="8" t="s">
        <v>364</v>
      </c>
    </row>
    <row r="3197">
      <c r="H3197" s="8" t="s">
        <v>364</v>
      </c>
    </row>
    <row r="3198">
      <c r="H3198" s="8" t="s">
        <v>364</v>
      </c>
    </row>
    <row r="3199">
      <c r="H3199" s="8" t="s">
        <v>364</v>
      </c>
    </row>
    <row r="3200">
      <c r="H3200" s="8" t="s">
        <v>364</v>
      </c>
    </row>
    <row r="3201">
      <c r="H3201" s="8" t="s">
        <v>364</v>
      </c>
    </row>
    <row r="3202">
      <c r="H3202" s="8" t="s">
        <v>364</v>
      </c>
    </row>
    <row r="3203">
      <c r="H3203" s="8" t="s">
        <v>364</v>
      </c>
    </row>
    <row r="3204">
      <c r="H3204" s="8" t="s">
        <v>364</v>
      </c>
    </row>
    <row r="3205">
      <c r="H3205" s="8" t="s">
        <v>364</v>
      </c>
    </row>
    <row r="3206">
      <c r="H3206" s="8" t="s">
        <v>364</v>
      </c>
    </row>
    <row r="3207">
      <c r="H3207" s="8" t="s">
        <v>364</v>
      </c>
    </row>
    <row r="3208">
      <c r="H3208" s="8" t="s">
        <v>364</v>
      </c>
    </row>
    <row r="3209">
      <c r="H3209" s="8" t="s">
        <v>364</v>
      </c>
    </row>
    <row r="3210">
      <c r="H3210" s="8" t="s">
        <v>364</v>
      </c>
    </row>
    <row r="3211">
      <c r="H3211" s="8" t="s">
        <v>364</v>
      </c>
    </row>
    <row r="3212">
      <c r="H3212" s="8" t="s">
        <v>364</v>
      </c>
    </row>
    <row r="3213">
      <c r="H3213" s="8" t="s">
        <v>364</v>
      </c>
    </row>
    <row r="3214">
      <c r="H3214" s="8" t="s">
        <v>364</v>
      </c>
    </row>
    <row r="3215">
      <c r="H3215" s="8" t="s">
        <v>364</v>
      </c>
    </row>
    <row r="3216">
      <c r="H3216" s="8" t="s">
        <v>364</v>
      </c>
    </row>
    <row r="3217">
      <c r="H3217" s="8" t="s">
        <v>364</v>
      </c>
    </row>
    <row r="3218">
      <c r="H3218" s="8" t="s">
        <v>364</v>
      </c>
    </row>
    <row r="3219">
      <c r="H3219" s="8" t="s">
        <v>364</v>
      </c>
    </row>
    <row r="3220">
      <c r="H3220" s="8" t="s">
        <v>364</v>
      </c>
    </row>
    <row r="3221">
      <c r="H3221" s="8" t="s">
        <v>364</v>
      </c>
    </row>
    <row r="3222">
      <c r="H3222" s="8" t="s">
        <v>364</v>
      </c>
    </row>
    <row r="3223">
      <c r="H3223" s="8" t="s">
        <v>364</v>
      </c>
    </row>
    <row r="3224">
      <c r="H3224" s="8" t="s">
        <v>364</v>
      </c>
    </row>
    <row r="3225">
      <c r="H3225" s="8" t="s">
        <v>364</v>
      </c>
    </row>
    <row r="3226">
      <c r="H3226" s="8" t="s">
        <v>364</v>
      </c>
    </row>
    <row r="3227">
      <c r="H3227" s="8" t="s">
        <v>364</v>
      </c>
    </row>
    <row r="3228">
      <c r="H3228" s="8" t="s">
        <v>364</v>
      </c>
    </row>
    <row r="3229">
      <c r="H3229" s="8" t="s">
        <v>364</v>
      </c>
    </row>
    <row r="3230">
      <c r="H3230" s="8" t="s">
        <v>364</v>
      </c>
    </row>
    <row r="3231">
      <c r="H3231" s="8" t="s">
        <v>364</v>
      </c>
    </row>
    <row r="3232">
      <c r="H3232" s="8" t="s">
        <v>364</v>
      </c>
    </row>
    <row r="3233">
      <c r="H3233" s="8" t="s">
        <v>364</v>
      </c>
    </row>
    <row r="3234">
      <c r="H3234" s="8" t="s">
        <v>364</v>
      </c>
    </row>
    <row r="3235">
      <c r="H3235" s="8" t="s">
        <v>364</v>
      </c>
    </row>
    <row r="3236">
      <c r="H3236" s="8" t="s">
        <v>364</v>
      </c>
    </row>
    <row r="3237">
      <c r="H3237" s="8" t="s">
        <v>364</v>
      </c>
    </row>
    <row r="3238">
      <c r="H3238" s="8" t="s">
        <v>364</v>
      </c>
    </row>
    <row r="3239">
      <c r="H3239" s="8" t="s">
        <v>364</v>
      </c>
    </row>
    <row r="3240">
      <c r="H3240" s="8" t="s">
        <v>364</v>
      </c>
    </row>
    <row r="3241">
      <c r="H3241" s="8" t="s">
        <v>364</v>
      </c>
    </row>
    <row r="3242">
      <c r="H3242" s="8" t="s">
        <v>364</v>
      </c>
    </row>
    <row r="3243">
      <c r="H3243" s="8" t="s">
        <v>364</v>
      </c>
    </row>
    <row r="3244">
      <c r="H3244" s="8" t="s">
        <v>364</v>
      </c>
    </row>
    <row r="3245">
      <c r="H3245" s="8" t="s">
        <v>364</v>
      </c>
    </row>
    <row r="3246">
      <c r="H3246" s="8" t="s">
        <v>364</v>
      </c>
    </row>
    <row r="3247">
      <c r="H3247" s="8" t="s">
        <v>364</v>
      </c>
    </row>
    <row r="3248">
      <c r="H3248" s="8" t="s">
        <v>364</v>
      </c>
    </row>
    <row r="3249">
      <c r="H3249" s="8" t="s">
        <v>364</v>
      </c>
    </row>
    <row r="3250">
      <c r="H3250" s="8" t="s">
        <v>364</v>
      </c>
    </row>
    <row r="3251">
      <c r="H3251" s="8" t="s">
        <v>364</v>
      </c>
    </row>
    <row r="3252">
      <c r="H3252" s="8" t="s">
        <v>364</v>
      </c>
    </row>
    <row r="3253">
      <c r="H3253" s="8" t="s">
        <v>364</v>
      </c>
    </row>
    <row r="3254">
      <c r="H3254" s="8" t="s">
        <v>364</v>
      </c>
    </row>
    <row r="3255">
      <c r="H3255" s="8" t="s">
        <v>364</v>
      </c>
    </row>
    <row r="3256">
      <c r="H3256" s="8" t="s">
        <v>364</v>
      </c>
    </row>
    <row r="3257">
      <c r="H3257" s="8" t="s">
        <v>364</v>
      </c>
    </row>
    <row r="3258">
      <c r="H3258" s="8" t="s">
        <v>364</v>
      </c>
    </row>
    <row r="3259">
      <c r="H3259" s="8" t="s">
        <v>364</v>
      </c>
    </row>
    <row r="3260">
      <c r="H3260" s="8" t="s">
        <v>364</v>
      </c>
    </row>
    <row r="3261">
      <c r="H3261" s="8" t="s">
        <v>364</v>
      </c>
    </row>
    <row r="3262">
      <c r="H3262" s="8" t="s">
        <v>364</v>
      </c>
    </row>
    <row r="3263">
      <c r="H3263" s="8" t="s">
        <v>364</v>
      </c>
    </row>
    <row r="3264">
      <c r="H3264" s="8" t="s">
        <v>364</v>
      </c>
    </row>
    <row r="3265">
      <c r="H3265" s="8" t="s">
        <v>364</v>
      </c>
    </row>
    <row r="3266">
      <c r="H3266" s="8" t="s">
        <v>364</v>
      </c>
    </row>
    <row r="3267">
      <c r="H3267" s="8" t="s">
        <v>364</v>
      </c>
    </row>
    <row r="3268">
      <c r="H3268" s="8" t="s">
        <v>364</v>
      </c>
    </row>
    <row r="3269">
      <c r="H3269" s="8" t="s">
        <v>364</v>
      </c>
    </row>
    <row r="3270">
      <c r="H3270" s="8" t="s">
        <v>364</v>
      </c>
    </row>
    <row r="3271">
      <c r="H3271" s="8" t="s">
        <v>364</v>
      </c>
    </row>
    <row r="3272">
      <c r="H3272" s="8" t="s">
        <v>364</v>
      </c>
    </row>
    <row r="3273">
      <c r="H3273" s="8" t="s">
        <v>364</v>
      </c>
    </row>
    <row r="3274">
      <c r="H3274" s="8" t="s">
        <v>364</v>
      </c>
    </row>
    <row r="3275">
      <c r="H3275" s="8" t="s">
        <v>364</v>
      </c>
    </row>
    <row r="3276">
      <c r="H3276" s="8" t="s">
        <v>364</v>
      </c>
    </row>
    <row r="3277">
      <c r="H3277" s="8" t="s">
        <v>364</v>
      </c>
    </row>
    <row r="3278">
      <c r="H3278" s="8" t="s">
        <v>364</v>
      </c>
    </row>
    <row r="3279">
      <c r="H3279" s="8" t="s">
        <v>364</v>
      </c>
    </row>
    <row r="3280">
      <c r="H3280" s="8" t="s">
        <v>364</v>
      </c>
    </row>
    <row r="3281">
      <c r="H3281" s="8" t="s">
        <v>364</v>
      </c>
    </row>
    <row r="3282">
      <c r="H3282" s="8" t="s">
        <v>364</v>
      </c>
    </row>
    <row r="3283">
      <c r="H3283" s="8" t="s">
        <v>364</v>
      </c>
    </row>
    <row r="3284">
      <c r="H3284" s="8" t="s">
        <v>364</v>
      </c>
    </row>
    <row r="3285">
      <c r="H3285" s="8" t="s">
        <v>364</v>
      </c>
    </row>
    <row r="3286">
      <c r="H3286" s="8" t="s">
        <v>364</v>
      </c>
    </row>
    <row r="3287">
      <c r="H3287" s="8" t="s">
        <v>364</v>
      </c>
    </row>
    <row r="3288">
      <c r="H3288" s="8" t="s">
        <v>364</v>
      </c>
    </row>
    <row r="3289">
      <c r="H3289" s="8" t="s">
        <v>364</v>
      </c>
    </row>
    <row r="3290">
      <c r="H3290" s="8" t="s">
        <v>364</v>
      </c>
    </row>
    <row r="3291">
      <c r="H3291" s="8" t="s">
        <v>364</v>
      </c>
    </row>
    <row r="3292">
      <c r="H3292" s="8" t="s">
        <v>364</v>
      </c>
    </row>
    <row r="3293">
      <c r="H3293" s="8" t="s">
        <v>364</v>
      </c>
    </row>
    <row r="3294">
      <c r="H3294" s="8" t="s">
        <v>364</v>
      </c>
    </row>
    <row r="3295">
      <c r="H3295" s="8" t="s">
        <v>364</v>
      </c>
    </row>
    <row r="3296">
      <c r="H3296" s="8" t="s">
        <v>364</v>
      </c>
    </row>
    <row r="3297">
      <c r="H3297" s="8" t="s">
        <v>364</v>
      </c>
    </row>
    <row r="3298">
      <c r="H3298" s="8" t="s">
        <v>364</v>
      </c>
    </row>
    <row r="3299">
      <c r="H3299" s="8" t="s">
        <v>364</v>
      </c>
    </row>
    <row r="3300">
      <c r="H3300" s="8" t="s">
        <v>364</v>
      </c>
    </row>
    <row r="3301">
      <c r="H3301" s="8" t="s">
        <v>364</v>
      </c>
    </row>
    <row r="3302">
      <c r="H3302" s="8" t="s">
        <v>364</v>
      </c>
    </row>
    <row r="3303">
      <c r="H3303" s="8" t="s">
        <v>364</v>
      </c>
    </row>
    <row r="3304">
      <c r="H3304" s="8" t="s">
        <v>364</v>
      </c>
    </row>
    <row r="3305">
      <c r="H3305" s="8" t="s">
        <v>364</v>
      </c>
    </row>
    <row r="3306">
      <c r="H3306" s="8" t="s">
        <v>364</v>
      </c>
    </row>
    <row r="3307">
      <c r="H3307" s="8" t="s">
        <v>364</v>
      </c>
    </row>
    <row r="3308">
      <c r="H3308" s="8" t="s">
        <v>364</v>
      </c>
    </row>
    <row r="3309">
      <c r="H3309" s="8" t="s">
        <v>364</v>
      </c>
    </row>
    <row r="3310">
      <c r="H3310" s="8" t="s">
        <v>364</v>
      </c>
    </row>
    <row r="3311">
      <c r="H3311" s="8" t="s">
        <v>364</v>
      </c>
    </row>
    <row r="3312">
      <c r="H3312" s="8" t="s">
        <v>364</v>
      </c>
    </row>
    <row r="3313">
      <c r="H3313" s="8" t="s">
        <v>364</v>
      </c>
    </row>
    <row r="3314">
      <c r="H3314" s="8" t="s">
        <v>364</v>
      </c>
    </row>
    <row r="3315">
      <c r="H3315" s="8" t="s">
        <v>364</v>
      </c>
    </row>
    <row r="3316">
      <c r="H3316" s="8" t="s">
        <v>364</v>
      </c>
    </row>
    <row r="3317">
      <c r="H3317" s="8" t="s">
        <v>364</v>
      </c>
    </row>
    <row r="3318">
      <c r="H3318" s="8" t="s">
        <v>364</v>
      </c>
    </row>
    <row r="3319">
      <c r="H3319" s="8" t="s">
        <v>364</v>
      </c>
    </row>
    <row r="3320">
      <c r="H3320" s="8" t="s">
        <v>364</v>
      </c>
    </row>
    <row r="3321">
      <c r="H3321" s="8" t="s">
        <v>364</v>
      </c>
    </row>
    <row r="3322">
      <c r="H3322" s="8" t="s">
        <v>364</v>
      </c>
    </row>
    <row r="3323">
      <c r="H3323" s="8" t="s">
        <v>364</v>
      </c>
    </row>
    <row r="3324">
      <c r="H3324" s="8" t="s">
        <v>364</v>
      </c>
    </row>
    <row r="3325">
      <c r="H3325" s="8" t="s">
        <v>364</v>
      </c>
    </row>
    <row r="3326">
      <c r="H3326" s="8" t="s">
        <v>364</v>
      </c>
    </row>
    <row r="3327">
      <c r="H3327" s="8" t="s">
        <v>364</v>
      </c>
    </row>
    <row r="3328">
      <c r="H3328" s="8" t="s">
        <v>364</v>
      </c>
    </row>
    <row r="3329">
      <c r="H3329" s="8" t="s">
        <v>364</v>
      </c>
    </row>
    <row r="3330">
      <c r="H3330" s="8" t="s">
        <v>364</v>
      </c>
    </row>
    <row r="3331">
      <c r="H3331" s="8" t="s">
        <v>364</v>
      </c>
    </row>
    <row r="3332">
      <c r="H3332" s="8" t="s">
        <v>364</v>
      </c>
    </row>
    <row r="3333">
      <c r="H3333" s="8" t="s">
        <v>364</v>
      </c>
    </row>
    <row r="3334">
      <c r="H3334" s="8" t="s">
        <v>364</v>
      </c>
    </row>
    <row r="3335">
      <c r="H3335" s="8" t="s">
        <v>364</v>
      </c>
    </row>
    <row r="3336">
      <c r="H3336" s="8" t="s">
        <v>364</v>
      </c>
    </row>
    <row r="3337">
      <c r="H3337" s="8" t="s">
        <v>364</v>
      </c>
    </row>
    <row r="3338">
      <c r="H3338" s="8" t="s">
        <v>364</v>
      </c>
    </row>
    <row r="3339">
      <c r="H3339" s="8" t="s">
        <v>364</v>
      </c>
    </row>
    <row r="3340">
      <c r="H3340" s="8" t="s">
        <v>364</v>
      </c>
    </row>
    <row r="3341">
      <c r="H3341" s="8" t="s">
        <v>364</v>
      </c>
    </row>
    <row r="3342">
      <c r="H3342" s="8" t="s">
        <v>364</v>
      </c>
    </row>
    <row r="3343">
      <c r="H3343" s="8" t="s">
        <v>364</v>
      </c>
    </row>
    <row r="3344">
      <c r="H3344" s="8" t="s">
        <v>364</v>
      </c>
    </row>
    <row r="3345">
      <c r="H3345" s="8" t="s">
        <v>364</v>
      </c>
    </row>
    <row r="3346">
      <c r="H3346" s="8" t="s">
        <v>364</v>
      </c>
    </row>
    <row r="3347">
      <c r="H3347" s="8" t="s">
        <v>364</v>
      </c>
    </row>
    <row r="3348">
      <c r="H3348" s="8" t="s">
        <v>364</v>
      </c>
    </row>
    <row r="3349">
      <c r="H3349" s="8" t="s">
        <v>364</v>
      </c>
    </row>
    <row r="3350">
      <c r="H3350" s="8" t="s">
        <v>364</v>
      </c>
    </row>
    <row r="3351">
      <c r="H3351" s="8" t="s">
        <v>364</v>
      </c>
    </row>
    <row r="3352">
      <c r="H3352" s="8" t="s">
        <v>364</v>
      </c>
    </row>
    <row r="3353">
      <c r="H3353" s="8" t="s">
        <v>364</v>
      </c>
    </row>
    <row r="3354">
      <c r="H3354" s="8" t="s">
        <v>364</v>
      </c>
    </row>
    <row r="3355">
      <c r="H3355" s="8" t="s">
        <v>364</v>
      </c>
    </row>
    <row r="3356">
      <c r="H3356" s="8" t="s">
        <v>364</v>
      </c>
    </row>
    <row r="3357">
      <c r="H3357" s="8" t="s">
        <v>364</v>
      </c>
    </row>
    <row r="3358">
      <c r="H3358" s="8" t="s">
        <v>364</v>
      </c>
    </row>
    <row r="3359">
      <c r="H3359" s="8" t="s">
        <v>364</v>
      </c>
    </row>
    <row r="3360">
      <c r="H3360" s="8" t="s">
        <v>364</v>
      </c>
    </row>
    <row r="3361">
      <c r="H3361" s="8" t="s">
        <v>364</v>
      </c>
    </row>
    <row r="3362">
      <c r="H3362" s="8" t="s">
        <v>364</v>
      </c>
    </row>
    <row r="3363">
      <c r="H3363" s="8" t="s">
        <v>364</v>
      </c>
    </row>
    <row r="3364">
      <c r="H3364" s="8" t="s">
        <v>364</v>
      </c>
    </row>
    <row r="3365">
      <c r="H3365" s="8" t="s">
        <v>364</v>
      </c>
    </row>
    <row r="3366">
      <c r="H3366" s="8" t="s">
        <v>364</v>
      </c>
    </row>
    <row r="3367">
      <c r="H3367" s="8" t="s">
        <v>364</v>
      </c>
    </row>
    <row r="3368">
      <c r="H3368" s="8" t="s">
        <v>364</v>
      </c>
    </row>
    <row r="3369">
      <c r="H3369" s="8" t="s">
        <v>364</v>
      </c>
    </row>
    <row r="3370">
      <c r="H3370" s="8" t="s">
        <v>364</v>
      </c>
    </row>
    <row r="3371">
      <c r="H3371" s="8" t="s">
        <v>364</v>
      </c>
    </row>
    <row r="3372">
      <c r="H3372" s="8" t="s">
        <v>364</v>
      </c>
    </row>
    <row r="3373">
      <c r="H3373" s="8" t="s">
        <v>364</v>
      </c>
    </row>
    <row r="3374">
      <c r="H3374" s="8" t="s">
        <v>364</v>
      </c>
    </row>
    <row r="3375">
      <c r="H3375" s="8" t="s">
        <v>364</v>
      </c>
    </row>
    <row r="3376">
      <c r="H3376" s="8" t="s">
        <v>364</v>
      </c>
    </row>
    <row r="3377">
      <c r="H3377" s="8" t="s">
        <v>364</v>
      </c>
    </row>
    <row r="3378">
      <c r="H3378" s="8" t="s">
        <v>364</v>
      </c>
    </row>
    <row r="3379">
      <c r="H3379" s="8" t="s">
        <v>364</v>
      </c>
    </row>
    <row r="3380">
      <c r="H3380" s="8" t="s">
        <v>364</v>
      </c>
    </row>
    <row r="3381">
      <c r="H3381" s="8" t="s">
        <v>364</v>
      </c>
    </row>
    <row r="3382">
      <c r="H3382" s="8" t="s">
        <v>364</v>
      </c>
    </row>
    <row r="3383">
      <c r="H3383" s="8" t="s">
        <v>364</v>
      </c>
    </row>
    <row r="3384">
      <c r="H3384" s="8" t="s">
        <v>364</v>
      </c>
    </row>
    <row r="3385">
      <c r="H3385" s="8" t="s">
        <v>364</v>
      </c>
    </row>
    <row r="3386">
      <c r="H3386" s="8" t="s">
        <v>364</v>
      </c>
    </row>
    <row r="3387">
      <c r="H3387" s="8" t="s">
        <v>364</v>
      </c>
    </row>
    <row r="3388">
      <c r="H3388" s="8" t="s">
        <v>364</v>
      </c>
    </row>
    <row r="3389">
      <c r="H3389" s="8" t="s">
        <v>364</v>
      </c>
    </row>
    <row r="3390">
      <c r="H3390" s="8" t="s">
        <v>364</v>
      </c>
    </row>
    <row r="3391">
      <c r="H3391" s="8" t="s">
        <v>364</v>
      </c>
    </row>
    <row r="3392">
      <c r="H3392" s="8" t="s">
        <v>364</v>
      </c>
    </row>
    <row r="3393">
      <c r="H3393" s="8" t="s">
        <v>364</v>
      </c>
    </row>
    <row r="3394">
      <c r="H3394" s="8" t="s">
        <v>364</v>
      </c>
    </row>
    <row r="3395">
      <c r="H3395" s="8" t="s">
        <v>364</v>
      </c>
    </row>
    <row r="3396">
      <c r="H3396" s="8" t="s">
        <v>364</v>
      </c>
    </row>
    <row r="3397">
      <c r="H3397" s="8" t="s">
        <v>364</v>
      </c>
    </row>
    <row r="3398">
      <c r="H3398" s="8" t="s">
        <v>364</v>
      </c>
    </row>
    <row r="3399">
      <c r="H3399" s="8" t="s">
        <v>364</v>
      </c>
    </row>
    <row r="3400">
      <c r="H3400" s="8" t="s">
        <v>364</v>
      </c>
    </row>
    <row r="3401">
      <c r="H3401" s="8" t="s">
        <v>364</v>
      </c>
    </row>
    <row r="3402">
      <c r="H3402" s="8" t="s">
        <v>364</v>
      </c>
    </row>
    <row r="3403">
      <c r="H3403" s="8" t="s">
        <v>364</v>
      </c>
    </row>
    <row r="3404">
      <c r="H3404" s="8" t="s">
        <v>364</v>
      </c>
    </row>
    <row r="3405">
      <c r="H3405" s="8" t="s">
        <v>364</v>
      </c>
    </row>
    <row r="3406">
      <c r="H3406" s="8" t="s">
        <v>364</v>
      </c>
    </row>
    <row r="3407">
      <c r="H3407" s="8" t="s">
        <v>364</v>
      </c>
    </row>
    <row r="3408">
      <c r="H3408" s="8" t="s">
        <v>364</v>
      </c>
    </row>
    <row r="3409">
      <c r="H3409" s="8" t="s">
        <v>364</v>
      </c>
    </row>
    <row r="3410">
      <c r="H3410" s="8" t="s">
        <v>364</v>
      </c>
    </row>
    <row r="3411">
      <c r="H3411" s="8" t="s">
        <v>364</v>
      </c>
    </row>
    <row r="3412">
      <c r="H3412" s="8" t="s">
        <v>364</v>
      </c>
    </row>
    <row r="3413">
      <c r="H3413" s="8" t="s">
        <v>364</v>
      </c>
    </row>
    <row r="3414">
      <c r="H3414" s="8" t="s">
        <v>364</v>
      </c>
    </row>
    <row r="3415">
      <c r="H3415" s="8" t="s">
        <v>364</v>
      </c>
    </row>
    <row r="3416">
      <c r="H3416" s="8" t="s">
        <v>364</v>
      </c>
    </row>
    <row r="3417">
      <c r="H3417" s="8" t="s">
        <v>364</v>
      </c>
    </row>
    <row r="3418">
      <c r="H3418" s="8" t="s">
        <v>364</v>
      </c>
    </row>
    <row r="3419">
      <c r="H3419" s="8" t="s">
        <v>364</v>
      </c>
    </row>
    <row r="3420">
      <c r="H3420" s="8" t="s">
        <v>364</v>
      </c>
    </row>
    <row r="3421">
      <c r="H3421" s="8" t="s">
        <v>364</v>
      </c>
    </row>
    <row r="3422">
      <c r="H3422" s="8" t="s">
        <v>364</v>
      </c>
    </row>
    <row r="3423">
      <c r="H3423" s="8" t="s">
        <v>364</v>
      </c>
    </row>
    <row r="3424">
      <c r="H3424" s="8" t="s">
        <v>364</v>
      </c>
    </row>
    <row r="3425">
      <c r="H3425" s="8" t="s">
        <v>364</v>
      </c>
    </row>
    <row r="3426">
      <c r="H3426" s="8" t="s">
        <v>364</v>
      </c>
    </row>
    <row r="3427">
      <c r="H3427" s="8" t="s">
        <v>364</v>
      </c>
    </row>
    <row r="3428">
      <c r="H3428" s="8" t="s">
        <v>364</v>
      </c>
    </row>
    <row r="3429">
      <c r="H3429" s="8" t="s">
        <v>364</v>
      </c>
    </row>
    <row r="3430">
      <c r="H3430" s="8" t="s">
        <v>364</v>
      </c>
    </row>
    <row r="3431">
      <c r="H3431" s="8" t="s">
        <v>364</v>
      </c>
    </row>
    <row r="3432">
      <c r="H3432" s="8" t="s">
        <v>364</v>
      </c>
    </row>
    <row r="3433">
      <c r="H3433" s="8" t="s">
        <v>364</v>
      </c>
    </row>
    <row r="3434">
      <c r="H3434" s="8" t="s">
        <v>364</v>
      </c>
    </row>
    <row r="3435">
      <c r="H3435" s="8" t="s">
        <v>364</v>
      </c>
    </row>
    <row r="3436">
      <c r="H3436" s="8" t="s">
        <v>364</v>
      </c>
    </row>
    <row r="3437">
      <c r="H3437" s="8" t="s">
        <v>364</v>
      </c>
    </row>
    <row r="3438">
      <c r="H3438" s="8" t="s">
        <v>364</v>
      </c>
    </row>
    <row r="3439">
      <c r="H3439" s="8" t="s">
        <v>364</v>
      </c>
    </row>
    <row r="3440">
      <c r="H3440" s="8" t="s">
        <v>364</v>
      </c>
    </row>
    <row r="3441">
      <c r="H3441" s="8" t="s">
        <v>364</v>
      </c>
    </row>
    <row r="3442">
      <c r="H3442" s="8" t="s">
        <v>364</v>
      </c>
    </row>
    <row r="3443">
      <c r="H3443" s="8" t="s">
        <v>364</v>
      </c>
    </row>
    <row r="3444">
      <c r="H3444" s="8" t="s">
        <v>364</v>
      </c>
    </row>
    <row r="3445">
      <c r="H3445" s="8" t="s">
        <v>364</v>
      </c>
    </row>
    <row r="3446">
      <c r="H3446" s="8" t="s">
        <v>364</v>
      </c>
    </row>
    <row r="3447">
      <c r="H3447" s="8" t="s">
        <v>364</v>
      </c>
    </row>
    <row r="3448">
      <c r="H3448" s="8" t="s">
        <v>364</v>
      </c>
    </row>
    <row r="3449">
      <c r="H3449" s="8" t="s">
        <v>364</v>
      </c>
    </row>
    <row r="3450">
      <c r="H3450" s="8" t="s">
        <v>364</v>
      </c>
    </row>
    <row r="3451">
      <c r="H3451" s="8" t="s">
        <v>364</v>
      </c>
    </row>
    <row r="3452">
      <c r="H3452" s="8" t="s">
        <v>364</v>
      </c>
    </row>
    <row r="3453">
      <c r="H3453" s="8" t="s">
        <v>364</v>
      </c>
    </row>
    <row r="3454">
      <c r="H3454" s="8" t="s">
        <v>364</v>
      </c>
    </row>
    <row r="3455">
      <c r="H3455" s="8" t="s">
        <v>364</v>
      </c>
    </row>
    <row r="3456">
      <c r="H3456" s="8" t="s">
        <v>364</v>
      </c>
    </row>
    <row r="3457">
      <c r="H3457" s="8" t="s">
        <v>364</v>
      </c>
    </row>
    <row r="3458">
      <c r="H3458" s="8" t="s">
        <v>364</v>
      </c>
    </row>
    <row r="3459">
      <c r="H3459" s="8" t="s">
        <v>364</v>
      </c>
    </row>
    <row r="3460">
      <c r="H3460" s="8" t="s">
        <v>364</v>
      </c>
    </row>
    <row r="3461">
      <c r="H3461" s="8" t="s">
        <v>364</v>
      </c>
    </row>
    <row r="3462">
      <c r="H3462" s="8" t="s">
        <v>364</v>
      </c>
    </row>
    <row r="3463">
      <c r="H3463" s="8" t="s">
        <v>364</v>
      </c>
    </row>
    <row r="3464">
      <c r="H3464" s="8" t="s">
        <v>364</v>
      </c>
    </row>
    <row r="3465">
      <c r="H3465" s="8" t="s">
        <v>364</v>
      </c>
    </row>
    <row r="3466">
      <c r="H3466" s="8" t="s">
        <v>364</v>
      </c>
    </row>
    <row r="3467">
      <c r="H3467" s="8" t="s">
        <v>364</v>
      </c>
    </row>
    <row r="3468">
      <c r="H3468" s="8" t="s">
        <v>364</v>
      </c>
    </row>
    <row r="3469">
      <c r="H3469" s="8" t="s">
        <v>364</v>
      </c>
    </row>
    <row r="3470">
      <c r="H3470" s="8" t="s">
        <v>364</v>
      </c>
    </row>
    <row r="3471">
      <c r="H3471" s="8" t="s">
        <v>364</v>
      </c>
    </row>
    <row r="3472">
      <c r="H3472" s="8" t="s">
        <v>364</v>
      </c>
    </row>
    <row r="3473">
      <c r="H3473" s="8" t="s">
        <v>364</v>
      </c>
    </row>
    <row r="3474">
      <c r="H3474" s="8" t="s">
        <v>364</v>
      </c>
    </row>
    <row r="3475">
      <c r="H3475" s="8" t="s">
        <v>364</v>
      </c>
    </row>
    <row r="3476">
      <c r="H3476" s="8" t="s">
        <v>364</v>
      </c>
    </row>
    <row r="3477">
      <c r="H3477" s="8" t="s">
        <v>364</v>
      </c>
    </row>
    <row r="3478">
      <c r="H3478" s="8" t="s">
        <v>364</v>
      </c>
    </row>
    <row r="3479">
      <c r="H3479" s="8" t="s">
        <v>364</v>
      </c>
    </row>
    <row r="3480">
      <c r="H3480" s="8" t="s">
        <v>364</v>
      </c>
    </row>
    <row r="3481">
      <c r="H3481" s="8" t="s">
        <v>364</v>
      </c>
    </row>
    <row r="3482">
      <c r="H3482" s="8" t="s">
        <v>364</v>
      </c>
    </row>
    <row r="3483">
      <c r="H3483" s="8" t="s">
        <v>364</v>
      </c>
    </row>
    <row r="3484">
      <c r="H3484" s="8" t="s">
        <v>364</v>
      </c>
    </row>
    <row r="3485">
      <c r="H3485" s="8" t="s">
        <v>364</v>
      </c>
    </row>
    <row r="3486">
      <c r="H3486" s="8" t="s">
        <v>364</v>
      </c>
    </row>
    <row r="3487">
      <c r="H3487" s="8" t="s">
        <v>364</v>
      </c>
    </row>
    <row r="3488">
      <c r="H3488" s="8" t="s">
        <v>364</v>
      </c>
    </row>
    <row r="3489">
      <c r="H3489" s="8" t="s">
        <v>364</v>
      </c>
    </row>
    <row r="3490">
      <c r="H3490" s="8" t="s">
        <v>364</v>
      </c>
    </row>
    <row r="3491">
      <c r="H3491" s="8" t="s">
        <v>364</v>
      </c>
    </row>
    <row r="3492">
      <c r="H3492" s="8" t="s">
        <v>364</v>
      </c>
    </row>
    <row r="3493">
      <c r="H3493" s="8" t="s">
        <v>364</v>
      </c>
    </row>
    <row r="3494">
      <c r="H3494" s="8" t="s">
        <v>364</v>
      </c>
    </row>
    <row r="3495">
      <c r="H3495" s="8" t="s">
        <v>364</v>
      </c>
    </row>
    <row r="3496">
      <c r="H3496" s="8" t="s">
        <v>364</v>
      </c>
    </row>
    <row r="3497">
      <c r="H3497" s="8" t="s">
        <v>364</v>
      </c>
    </row>
    <row r="3498">
      <c r="H3498" s="8" t="s">
        <v>364</v>
      </c>
    </row>
    <row r="3499">
      <c r="H3499" s="8" t="s">
        <v>364</v>
      </c>
    </row>
    <row r="3500">
      <c r="H3500" s="8" t="s">
        <v>364</v>
      </c>
    </row>
    <row r="3501">
      <c r="H3501" s="8" t="s">
        <v>364</v>
      </c>
    </row>
    <row r="3502">
      <c r="H3502" s="8" t="s">
        <v>364</v>
      </c>
    </row>
    <row r="3503">
      <c r="H3503" s="8" t="s">
        <v>364</v>
      </c>
    </row>
    <row r="3504">
      <c r="H3504" s="8" t="s">
        <v>364</v>
      </c>
    </row>
    <row r="3505">
      <c r="H3505" s="8" t="s">
        <v>364</v>
      </c>
    </row>
    <row r="3506">
      <c r="H3506" s="8" t="s">
        <v>364</v>
      </c>
    </row>
    <row r="3507">
      <c r="H3507" s="8" t="s">
        <v>364</v>
      </c>
    </row>
    <row r="3508">
      <c r="H3508" s="8" t="s">
        <v>364</v>
      </c>
    </row>
    <row r="3509">
      <c r="H3509" s="8" t="s">
        <v>364</v>
      </c>
    </row>
    <row r="3510">
      <c r="H3510" s="8" t="s">
        <v>364</v>
      </c>
    </row>
    <row r="3511">
      <c r="H3511" s="8" t="s">
        <v>364</v>
      </c>
    </row>
    <row r="3512">
      <c r="H3512" s="8" t="s">
        <v>364</v>
      </c>
    </row>
    <row r="3513">
      <c r="H3513" s="8" t="s">
        <v>364</v>
      </c>
    </row>
    <row r="3514">
      <c r="H3514" s="8" t="s">
        <v>364</v>
      </c>
    </row>
    <row r="3515">
      <c r="H3515" s="8" t="s">
        <v>364</v>
      </c>
    </row>
    <row r="3516">
      <c r="H3516" s="8" t="s">
        <v>364</v>
      </c>
    </row>
    <row r="3517">
      <c r="H3517" s="8" t="s">
        <v>364</v>
      </c>
    </row>
    <row r="3518">
      <c r="H3518" s="8" t="s">
        <v>364</v>
      </c>
    </row>
    <row r="3519">
      <c r="H3519" s="8" t="s">
        <v>364</v>
      </c>
    </row>
    <row r="3520">
      <c r="H3520" s="8" t="s">
        <v>364</v>
      </c>
    </row>
    <row r="3521">
      <c r="H3521" s="8" t="s">
        <v>364</v>
      </c>
    </row>
    <row r="3522">
      <c r="H3522" s="8" t="s">
        <v>364</v>
      </c>
    </row>
    <row r="3523">
      <c r="H3523" s="8" t="s">
        <v>364</v>
      </c>
    </row>
    <row r="3524">
      <c r="H3524" s="8" t="s">
        <v>364</v>
      </c>
    </row>
    <row r="3525">
      <c r="H3525" s="8" t="s">
        <v>364</v>
      </c>
    </row>
    <row r="3526">
      <c r="H3526" s="8" t="s">
        <v>364</v>
      </c>
    </row>
    <row r="3527">
      <c r="H3527" s="8" t="s">
        <v>364</v>
      </c>
    </row>
    <row r="3528">
      <c r="H3528" s="8" t="s">
        <v>364</v>
      </c>
    </row>
    <row r="3529">
      <c r="H3529" s="8" t="s">
        <v>364</v>
      </c>
    </row>
    <row r="3530">
      <c r="H3530" s="8" t="s">
        <v>364</v>
      </c>
    </row>
    <row r="3531">
      <c r="H3531" s="8" t="s">
        <v>364</v>
      </c>
    </row>
    <row r="3532">
      <c r="H3532" s="8" t="s">
        <v>364</v>
      </c>
    </row>
    <row r="3533">
      <c r="H3533" s="8" t="s">
        <v>364</v>
      </c>
    </row>
    <row r="3534">
      <c r="H3534" s="8" t="s">
        <v>364</v>
      </c>
    </row>
    <row r="3535">
      <c r="H3535" s="8" t="s">
        <v>364</v>
      </c>
    </row>
    <row r="3536">
      <c r="H3536" s="8" t="s">
        <v>364</v>
      </c>
    </row>
    <row r="3537">
      <c r="H3537" s="8" t="s">
        <v>364</v>
      </c>
    </row>
    <row r="3538">
      <c r="H3538" s="8" t="s">
        <v>364</v>
      </c>
    </row>
    <row r="3539">
      <c r="H3539" s="8" t="s">
        <v>364</v>
      </c>
    </row>
    <row r="3540">
      <c r="H3540" s="8" t="s">
        <v>364</v>
      </c>
    </row>
    <row r="3541">
      <c r="H3541" s="8" t="s">
        <v>364</v>
      </c>
    </row>
    <row r="3542">
      <c r="H3542" s="8" t="s">
        <v>364</v>
      </c>
    </row>
    <row r="3543">
      <c r="H3543" s="8" t="s">
        <v>364</v>
      </c>
    </row>
    <row r="3544">
      <c r="H3544" s="8" t="s">
        <v>364</v>
      </c>
    </row>
    <row r="3545">
      <c r="H3545" s="8" t="s">
        <v>364</v>
      </c>
    </row>
    <row r="3546">
      <c r="H3546" s="8" t="s">
        <v>364</v>
      </c>
    </row>
    <row r="3547">
      <c r="H3547" s="8" t="s">
        <v>364</v>
      </c>
    </row>
    <row r="3548">
      <c r="H3548" s="8" t="s">
        <v>364</v>
      </c>
    </row>
    <row r="3549">
      <c r="H3549" s="8" t="s">
        <v>364</v>
      </c>
    </row>
    <row r="3550">
      <c r="H3550" s="8" t="s">
        <v>364</v>
      </c>
    </row>
    <row r="3551">
      <c r="H3551" s="8" t="s">
        <v>364</v>
      </c>
    </row>
    <row r="3552">
      <c r="H3552" s="8" t="s">
        <v>364</v>
      </c>
    </row>
    <row r="3553">
      <c r="H3553" s="8" t="s">
        <v>364</v>
      </c>
    </row>
    <row r="3554">
      <c r="H3554" s="8" t="s">
        <v>364</v>
      </c>
    </row>
    <row r="3555">
      <c r="H3555" s="8" t="s">
        <v>364</v>
      </c>
    </row>
    <row r="3556">
      <c r="H3556" s="8" t="s">
        <v>364</v>
      </c>
    </row>
    <row r="3557">
      <c r="H3557" s="8" t="s">
        <v>364</v>
      </c>
    </row>
    <row r="3558">
      <c r="H3558" s="8" t="s">
        <v>364</v>
      </c>
    </row>
    <row r="3559">
      <c r="H3559" s="8" t="s">
        <v>364</v>
      </c>
    </row>
    <row r="3560">
      <c r="H3560" s="8" t="s">
        <v>364</v>
      </c>
    </row>
    <row r="3561">
      <c r="H3561" s="8" t="s">
        <v>364</v>
      </c>
    </row>
    <row r="3562">
      <c r="H3562" s="8" t="s">
        <v>364</v>
      </c>
    </row>
    <row r="3563">
      <c r="H3563" s="8" t="s">
        <v>364</v>
      </c>
    </row>
    <row r="3564">
      <c r="H3564" s="8" t="s">
        <v>364</v>
      </c>
    </row>
    <row r="3565">
      <c r="H3565" s="8" t="s">
        <v>364</v>
      </c>
    </row>
    <row r="3566">
      <c r="H3566" s="8" t="s">
        <v>364</v>
      </c>
    </row>
    <row r="3567">
      <c r="H3567" s="8" t="s">
        <v>364</v>
      </c>
    </row>
    <row r="3568">
      <c r="H3568" s="8" t="s">
        <v>364</v>
      </c>
    </row>
    <row r="3569">
      <c r="H3569" s="8" t="s">
        <v>364</v>
      </c>
    </row>
    <row r="3570">
      <c r="H3570" s="8" t="s">
        <v>364</v>
      </c>
    </row>
    <row r="3571">
      <c r="H3571" s="8" t="s">
        <v>364</v>
      </c>
    </row>
    <row r="3572">
      <c r="H3572" s="8" t="s">
        <v>364</v>
      </c>
    </row>
    <row r="3573">
      <c r="H3573" s="8" t="s">
        <v>364</v>
      </c>
    </row>
    <row r="3574">
      <c r="H3574" s="8" t="s">
        <v>364</v>
      </c>
    </row>
    <row r="3575">
      <c r="H3575" s="8" t="s">
        <v>364</v>
      </c>
    </row>
    <row r="3576">
      <c r="H3576" s="8" t="s">
        <v>364</v>
      </c>
    </row>
    <row r="3577">
      <c r="H3577" s="8" t="s">
        <v>364</v>
      </c>
    </row>
    <row r="3578">
      <c r="H3578" s="8" t="s">
        <v>364</v>
      </c>
    </row>
    <row r="3579">
      <c r="H3579" s="8" t="s">
        <v>364</v>
      </c>
    </row>
    <row r="3580">
      <c r="H3580" s="8" t="s">
        <v>364</v>
      </c>
    </row>
    <row r="3581">
      <c r="H3581" s="8" t="s">
        <v>364</v>
      </c>
    </row>
    <row r="3582">
      <c r="H3582" s="8" t="s">
        <v>364</v>
      </c>
    </row>
    <row r="3583">
      <c r="H3583" s="8" t="s">
        <v>364</v>
      </c>
    </row>
    <row r="3584">
      <c r="H3584" s="8" t="s">
        <v>364</v>
      </c>
    </row>
    <row r="3585">
      <c r="H3585" s="8" t="s">
        <v>364</v>
      </c>
    </row>
    <row r="3586">
      <c r="H3586" s="8" t="s">
        <v>364</v>
      </c>
    </row>
    <row r="3587">
      <c r="H3587" s="8" t="s">
        <v>364</v>
      </c>
    </row>
    <row r="3588">
      <c r="H3588" s="8" t="s">
        <v>364</v>
      </c>
    </row>
    <row r="3589">
      <c r="H3589" s="8" t="s">
        <v>364</v>
      </c>
    </row>
    <row r="3590">
      <c r="H3590" s="8" t="s">
        <v>364</v>
      </c>
    </row>
    <row r="3591">
      <c r="H3591" s="8" t="s">
        <v>364</v>
      </c>
    </row>
    <row r="3592">
      <c r="H3592" s="8" t="s">
        <v>364</v>
      </c>
    </row>
    <row r="3593">
      <c r="H3593" s="8" t="s">
        <v>364</v>
      </c>
    </row>
    <row r="3594">
      <c r="H3594" s="8" t="s">
        <v>364</v>
      </c>
    </row>
    <row r="3595">
      <c r="H3595" s="8" t="s">
        <v>364</v>
      </c>
    </row>
    <row r="3596">
      <c r="H3596" s="8" t="s">
        <v>364</v>
      </c>
    </row>
    <row r="3597">
      <c r="H3597" s="8" t="s">
        <v>364</v>
      </c>
    </row>
    <row r="3598">
      <c r="H3598" s="8" t="s">
        <v>364</v>
      </c>
    </row>
    <row r="3599">
      <c r="H3599" s="8" t="s">
        <v>364</v>
      </c>
    </row>
    <row r="3600">
      <c r="H3600" s="8" t="s">
        <v>364</v>
      </c>
    </row>
    <row r="3601">
      <c r="H3601" s="8" t="s">
        <v>364</v>
      </c>
    </row>
    <row r="3602">
      <c r="H3602" s="8" t="s">
        <v>364</v>
      </c>
    </row>
    <row r="3603">
      <c r="H3603" s="8" t="s">
        <v>364</v>
      </c>
    </row>
    <row r="3604">
      <c r="H3604" s="8" t="s">
        <v>364</v>
      </c>
    </row>
    <row r="3605">
      <c r="H3605" s="8" t="s">
        <v>364</v>
      </c>
    </row>
    <row r="3606">
      <c r="H3606" s="8" t="s">
        <v>364</v>
      </c>
    </row>
    <row r="3607">
      <c r="H3607" s="8" t="s">
        <v>364</v>
      </c>
    </row>
    <row r="3608">
      <c r="H3608" s="8" t="s">
        <v>364</v>
      </c>
    </row>
    <row r="3609">
      <c r="H3609" s="8" t="s">
        <v>364</v>
      </c>
    </row>
    <row r="3610">
      <c r="H3610" s="8" t="s">
        <v>364</v>
      </c>
    </row>
    <row r="3611">
      <c r="H3611" s="8" t="s">
        <v>364</v>
      </c>
    </row>
    <row r="3612">
      <c r="H3612" s="8" t="s">
        <v>364</v>
      </c>
    </row>
    <row r="3613">
      <c r="H3613" s="8" t="s">
        <v>364</v>
      </c>
    </row>
    <row r="3614">
      <c r="H3614" s="8" t="s">
        <v>364</v>
      </c>
    </row>
    <row r="3615">
      <c r="H3615" s="8" t="s">
        <v>364</v>
      </c>
    </row>
    <row r="3616">
      <c r="H3616" s="8" t="s">
        <v>364</v>
      </c>
    </row>
    <row r="3617">
      <c r="H3617" s="8" t="s">
        <v>364</v>
      </c>
    </row>
    <row r="3618">
      <c r="H3618" s="8" t="s">
        <v>364</v>
      </c>
    </row>
    <row r="3619">
      <c r="H3619" s="8" t="s">
        <v>364</v>
      </c>
    </row>
    <row r="3620">
      <c r="H3620" s="8" t="s">
        <v>364</v>
      </c>
    </row>
    <row r="3621">
      <c r="H3621" s="8" t="s">
        <v>364</v>
      </c>
    </row>
    <row r="3622">
      <c r="H3622" s="8" t="s">
        <v>364</v>
      </c>
    </row>
    <row r="3623">
      <c r="H3623" s="8" t="s">
        <v>364</v>
      </c>
    </row>
    <row r="3624">
      <c r="H3624" s="8" t="s">
        <v>364</v>
      </c>
    </row>
    <row r="3625">
      <c r="H3625" s="8" t="s">
        <v>364</v>
      </c>
    </row>
    <row r="3626">
      <c r="H3626" s="8" t="s">
        <v>364</v>
      </c>
    </row>
    <row r="3627">
      <c r="H3627" s="8" t="s">
        <v>364</v>
      </c>
    </row>
    <row r="3628">
      <c r="H3628" s="8" t="s">
        <v>364</v>
      </c>
    </row>
    <row r="3629">
      <c r="H3629" s="8" t="s">
        <v>364</v>
      </c>
    </row>
    <row r="3630">
      <c r="H3630" s="8" t="s">
        <v>364</v>
      </c>
    </row>
    <row r="3631">
      <c r="H3631" s="8" t="s">
        <v>364</v>
      </c>
    </row>
    <row r="3632">
      <c r="H3632" s="8" t="s">
        <v>364</v>
      </c>
    </row>
    <row r="3633">
      <c r="H3633" s="8" t="s">
        <v>364</v>
      </c>
    </row>
    <row r="3634">
      <c r="H3634" s="8" t="s">
        <v>364</v>
      </c>
    </row>
    <row r="3635">
      <c r="H3635" s="8" t="s">
        <v>364</v>
      </c>
    </row>
    <row r="3636">
      <c r="H3636" s="8" t="s">
        <v>364</v>
      </c>
    </row>
    <row r="3637">
      <c r="H3637" s="8" t="s">
        <v>364</v>
      </c>
    </row>
    <row r="3638">
      <c r="H3638" s="8" t="s">
        <v>364</v>
      </c>
    </row>
    <row r="3639">
      <c r="H3639" s="8" t="s">
        <v>364</v>
      </c>
    </row>
    <row r="3640">
      <c r="H3640" s="8" t="s">
        <v>364</v>
      </c>
    </row>
    <row r="3641">
      <c r="H3641" s="8" t="s">
        <v>364</v>
      </c>
    </row>
    <row r="3642">
      <c r="H3642" s="8" t="s">
        <v>364</v>
      </c>
    </row>
    <row r="3643">
      <c r="H3643" s="8" t="s">
        <v>364</v>
      </c>
    </row>
    <row r="3644">
      <c r="H3644" s="8" t="s">
        <v>364</v>
      </c>
    </row>
    <row r="3645">
      <c r="H3645" s="8" t="s">
        <v>364</v>
      </c>
    </row>
    <row r="3646">
      <c r="H3646" s="8" t="s">
        <v>364</v>
      </c>
    </row>
    <row r="3647">
      <c r="H3647" s="8" t="s">
        <v>364</v>
      </c>
    </row>
    <row r="3648">
      <c r="H3648" s="8" t="s">
        <v>364</v>
      </c>
    </row>
    <row r="3649">
      <c r="H3649" s="8" t="s">
        <v>364</v>
      </c>
    </row>
    <row r="3650">
      <c r="H3650" s="8" t="s">
        <v>364</v>
      </c>
    </row>
    <row r="3651">
      <c r="H3651" s="8" t="s">
        <v>364</v>
      </c>
    </row>
    <row r="3652">
      <c r="H3652" s="8" t="s">
        <v>364</v>
      </c>
    </row>
    <row r="3653">
      <c r="H3653" s="8" t="s">
        <v>364</v>
      </c>
    </row>
    <row r="3654">
      <c r="H3654" s="8" t="s">
        <v>364</v>
      </c>
    </row>
    <row r="3655">
      <c r="H3655" s="8" t="s">
        <v>364</v>
      </c>
    </row>
    <row r="3656">
      <c r="H3656" s="8" t="s">
        <v>364</v>
      </c>
    </row>
    <row r="3657">
      <c r="H3657" s="8" t="s">
        <v>364</v>
      </c>
    </row>
    <row r="3658">
      <c r="H3658" s="8" t="s">
        <v>364</v>
      </c>
    </row>
    <row r="3659">
      <c r="H3659" s="8" t="s">
        <v>364</v>
      </c>
    </row>
    <row r="3660">
      <c r="H3660" s="8" t="s">
        <v>364</v>
      </c>
    </row>
    <row r="3661">
      <c r="H3661" s="8" t="s">
        <v>364</v>
      </c>
    </row>
    <row r="3662">
      <c r="H3662" s="8" t="s">
        <v>364</v>
      </c>
    </row>
    <row r="3663">
      <c r="H3663" s="8" t="s">
        <v>364</v>
      </c>
    </row>
    <row r="3664">
      <c r="H3664" s="8" t="s">
        <v>364</v>
      </c>
    </row>
    <row r="3665">
      <c r="H3665" s="8" t="s">
        <v>364</v>
      </c>
    </row>
    <row r="3666">
      <c r="H3666" s="8" t="s">
        <v>364</v>
      </c>
    </row>
    <row r="3667">
      <c r="H3667" s="8" t="s">
        <v>364</v>
      </c>
    </row>
    <row r="3668">
      <c r="H3668" s="8" t="s">
        <v>364</v>
      </c>
    </row>
    <row r="3669">
      <c r="H3669" s="8" t="s">
        <v>364</v>
      </c>
    </row>
    <row r="3670">
      <c r="H3670" s="8" t="s">
        <v>364</v>
      </c>
    </row>
    <row r="3671">
      <c r="H3671" s="8" t="s">
        <v>364</v>
      </c>
    </row>
    <row r="3672">
      <c r="H3672" s="8" t="s">
        <v>364</v>
      </c>
    </row>
    <row r="3673">
      <c r="H3673" s="8" t="s">
        <v>364</v>
      </c>
    </row>
    <row r="3674">
      <c r="H3674" s="8" t="s">
        <v>364</v>
      </c>
    </row>
    <row r="3675">
      <c r="H3675" s="8" t="s">
        <v>364</v>
      </c>
    </row>
    <row r="3676">
      <c r="H3676" s="8" t="s">
        <v>364</v>
      </c>
    </row>
    <row r="3677">
      <c r="H3677" s="8" t="s">
        <v>364</v>
      </c>
    </row>
    <row r="3678">
      <c r="H3678" s="8" t="s">
        <v>364</v>
      </c>
    </row>
    <row r="3679">
      <c r="H3679" s="8" t="s">
        <v>364</v>
      </c>
    </row>
    <row r="3680">
      <c r="H3680" s="8" t="s">
        <v>364</v>
      </c>
    </row>
    <row r="3681">
      <c r="H3681" s="8" t="s">
        <v>364</v>
      </c>
    </row>
    <row r="3682">
      <c r="H3682" s="8" t="s">
        <v>364</v>
      </c>
    </row>
    <row r="3683">
      <c r="H3683" s="8" t="s">
        <v>364</v>
      </c>
    </row>
    <row r="3684">
      <c r="H3684" s="8" t="s">
        <v>364</v>
      </c>
    </row>
    <row r="3685">
      <c r="H3685" s="8" t="s">
        <v>364</v>
      </c>
    </row>
    <row r="3686">
      <c r="H3686" s="8" t="s">
        <v>364</v>
      </c>
    </row>
    <row r="3687">
      <c r="H3687" s="8" t="s">
        <v>364</v>
      </c>
    </row>
    <row r="3688">
      <c r="H3688" s="8" t="s">
        <v>364</v>
      </c>
    </row>
    <row r="3689">
      <c r="H3689" s="8" t="s">
        <v>364</v>
      </c>
    </row>
    <row r="3690">
      <c r="H3690" s="8" t="s">
        <v>364</v>
      </c>
    </row>
    <row r="3691">
      <c r="H3691" s="8" t="s">
        <v>364</v>
      </c>
    </row>
    <row r="3692">
      <c r="H3692" s="8" t="s">
        <v>364</v>
      </c>
    </row>
    <row r="3693">
      <c r="H3693" s="8" t="s">
        <v>364</v>
      </c>
    </row>
    <row r="3694">
      <c r="H3694" s="8" t="s">
        <v>364</v>
      </c>
    </row>
    <row r="3695">
      <c r="H3695" s="8" t="s">
        <v>364</v>
      </c>
    </row>
    <row r="3696">
      <c r="H3696" s="8" t="s">
        <v>364</v>
      </c>
    </row>
    <row r="3697">
      <c r="H3697" s="8" t="s">
        <v>364</v>
      </c>
    </row>
    <row r="3698">
      <c r="H3698" s="8" t="s">
        <v>364</v>
      </c>
    </row>
    <row r="3699">
      <c r="H3699" s="8" t="s">
        <v>364</v>
      </c>
    </row>
    <row r="3700">
      <c r="H3700" s="8" t="s">
        <v>364</v>
      </c>
    </row>
    <row r="3701">
      <c r="H3701" s="8" t="s">
        <v>364</v>
      </c>
    </row>
    <row r="3702">
      <c r="H3702" s="8" t="s">
        <v>364</v>
      </c>
    </row>
    <row r="3703">
      <c r="H3703" s="8" t="s">
        <v>364</v>
      </c>
    </row>
    <row r="3704">
      <c r="H3704" s="8" t="s">
        <v>364</v>
      </c>
    </row>
    <row r="3705">
      <c r="H3705" s="8" t="s">
        <v>364</v>
      </c>
    </row>
    <row r="3706">
      <c r="H3706" s="8" t="s">
        <v>364</v>
      </c>
    </row>
    <row r="3707">
      <c r="H3707" s="8" t="s">
        <v>364</v>
      </c>
    </row>
    <row r="3708">
      <c r="H3708" s="8" t="s">
        <v>364</v>
      </c>
    </row>
    <row r="3709">
      <c r="H3709" s="8" t="s">
        <v>364</v>
      </c>
    </row>
    <row r="3710">
      <c r="H3710" s="8" t="s">
        <v>364</v>
      </c>
    </row>
    <row r="3711">
      <c r="H3711" s="8" t="s">
        <v>364</v>
      </c>
    </row>
    <row r="3712">
      <c r="H3712" s="8" t="s">
        <v>364</v>
      </c>
    </row>
    <row r="3713">
      <c r="H3713" s="8" t="s">
        <v>364</v>
      </c>
    </row>
    <row r="3714">
      <c r="H3714" s="8" t="s">
        <v>364</v>
      </c>
    </row>
    <row r="3715">
      <c r="H3715" s="8" t="s">
        <v>364</v>
      </c>
    </row>
    <row r="3716">
      <c r="H3716" s="8" t="s">
        <v>364</v>
      </c>
    </row>
    <row r="3717">
      <c r="H3717" s="8" t="s">
        <v>364</v>
      </c>
    </row>
    <row r="3718">
      <c r="H3718" s="8" t="s">
        <v>364</v>
      </c>
    </row>
    <row r="3719">
      <c r="H3719" s="8" t="s">
        <v>364</v>
      </c>
    </row>
    <row r="3720">
      <c r="H3720" s="8" t="s">
        <v>364</v>
      </c>
    </row>
    <row r="3721">
      <c r="H3721" s="8" t="s">
        <v>364</v>
      </c>
    </row>
    <row r="3722">
      <c r="H3722" s="8" t="s">
        <v>364</v>
      </c>
    </row>
    <row r="3723">
      <c r="H3723" s="8" t="s">
        <v>364</v>
      </c>
    </row>
    <row r="3724">
      <c r="H3724" s="8" t="s">
        <v>364</v>
      </c>
    </row>
    <row r="3725">
      <c r="H3725" s="8" t="s">
        <v>364</v>
      </c>
    </row>
    <row r="3726">
      <c r="H3726" s="8" t="s">
        <v>364</v>
      </c>
    </row>
    <row r="3727">
      <c r="H3727" s="8" t="s">
        <v>364</v>
      </c>
    </row>
    <row r="3728">
      <c r="H3728" s="8" t="s">
        <v>364</v>
      </c>
    </row>
    <row r="3729">
      <c r="H3729" s="8" t="s">
        <v>364</v>
      </c>
    </row>
    <row r="3730">
      <c r="H3730" s="8" t="s">
        <v>364</v>
      </c>
    </row>
    <row r="3731">
      <c r="H3731" s="8" t="s">
        <v>364</v>
      </c>
    </row>
    <row r="3732">
      <c r="H3732" s="8" t="s">
        <v>364</v>
      </c>
    </row>
    <row r="3733">
      <c r="H3733" s="8" t="s">
        <v>364</v>
      </c>
    </row>
    <row r="3734">
      <c r="H3734" s="8" t="s">
        <v>364</v>
      </c>
    </row>
    <row r="3735">
      <c r="H3735" s="8" t="s">
        <v>364</v>
      </c>
    </row>
    <row r="3736">
      <c r="H3736" s="8" t="s">
        <v>364</v>
      </c>
    </row>
    <row r="3737">
      <c r="H3737" s="8" t="s">
        <v>364</v>
      </c>
    </row>
    <row r="3738">
      <c r="H3738" s="8" t="s">
        <v>364</v>
      </c>
    </row>
    <row r="3739">
      <c r="H3739" s="8" t="s">
        <v>364</v>
      </c>
    </row>
    <row r="3740">
      <c r="H3740" s="8" t="s">
        <v>364</v>
      </c>
    </row>
    <row r="3741">
      <c r="H3741" s="8" t="s">
        <v>364</v>
      </c>
    </row>
    <row r="3742">
      <c r="H3742" s="8" t="s">
        <v>364</v>
      </c>
    </row>
    <row r="3743">
      <c r="H3743" s="8" t="s">
        <v>364</v>
      </c>
    </row>
    <row r="3744">
      <c r="H3744" s="8" t="s">
        <v>364</v>
      </c>
    </row>
    <row r="3745">
      <c r="H3745" s="8" t="s">
        <v>364</v>
      </c>
    </row>
    <row r="3746">
      <c r="H3746" s="8" t="s">
        <v>364</v>
      </c>
    </row>
    <row r="3747">
      <c r="H3747" s="8" t="s">
        <v>364</v>
      </c>
    </row>
    <row r="3748">
      <c r="H3748" s="8" t="s">
        <v>364</v>
      </c>
    </row>
    <row r="3749">
      <c r="H3749" s="8" t="s">
        <v>364</v>
      </c>
    </row>
    <row r="3750">
      <c r="H3750" s="8" t="s">
        <v>364</v>
      </c>
    </row>
    <row r="3751">
      <c r="H3751" s="8" t="s">
        <v>364</v>
      </c>
    </row>
    <row r="3752">
      <c r="H3752" s="8" t="s">
        <v>364</v>
      </c>
    </row>
    <row r="3753">
      <c r="H3753" s="8" t="s">
        <v>364</v>
      </c>
    </row>
    <row r="3754">
      <c r="H3754" s="8" t="s">
        <v>364</v>
      </c>
    </row>
    <row r="3755">
      <c r="H3755" s="8" t="s">
        <v>364</v>
      </c>
    </row>
    <row r="3756">
      <c r="H3756" s="8" t="s">
        <v>364</v>
      </c>
    </row>
    <row r="3757">
      <c r="H3757" s="8" t="s">
        <v>364</v>
      </c>
    </row>
    <row r="3758">
      <c r="H3758" s="8" t="s">
        <v>364</v>
      </c>
    </row>
    <row r="3759">
      <c r="H3759" s="8" t="s">
        <v>364</v>
      </c>
    </row>
    <row r="3760">
      <c r="H3760" s="8" t="s">
        <v>364</v>
      </c>
    </row>
    <row r="3761">
      <c r="H3761" s="8" t="s">
        <v>364</v>
      </c>
    </row>
    <row r="3762">
      <c r="H3762" s="8" t="s">
        <v>364</v>
      </c>
    </row>
    <row r="3763">
      <c r="H3763" s="8" t="s">
        <v>364</v>
      </c>
    </row>
    <row r="3764">
      <c r="H3764" s="8" t="s">
        <v>364</v>
      </c>
    </row>
    <row r="3765">
      <c r="H3765" s="8" t="s">
        <v>364</v>
      </c>
    </row>
    <row r="3766">
      <c r="H3766" s="8" t="s">
        <v>364</v>
      </c>
    </row>
    <row r="3767">
      <c r="H3767" s="8" t="s">
        <v>364</v>
      </c>
    </row>
    <row r="3768">
      <c r="H3768" s="8" t="s">
        <v>364</v>
      </c>
    </row>
    <row r="3769">
      <c r="H3769" s="8" t="s">
        <v>364</v>
      </c>
    </row>
    <row r="3770">
      <c r="H3770" s="8" t="s">
        <v>364</v>
      </c>
    </row>
    <row r="3771">
      <c r="H3771" s="8" t="s">
        <v>364</v>
      </c>
    </row>
    <row r="3772">
      <c r="H3772" s="8" t="s">
        <v>364</v>
      </c>
    </row>
    <row r="3773">
      <c r="H3773" s="8" t="s">
        <v>364</v>
      </c>
    </row>
    <row r="3774">
      <c r="H3774" s="8" t="s">
        <v>364</v>
      </c>
    </row>
    <row r="3775">
      <c r="H3775" s="8" t="s">
        <v>364</v>
      </c>
    </row>
    <row r="3776">
      <c r="H3776" s="8" t="s">
        <v>364</v>
      </c>
    </row>
    <row r="3777">
      <c r="H3777" s="8" t="s">
        <v>364</v>
      </c>
    </row>
    <row r="3778">
      <c r="H3778" s="8" t="s">
        <v>364</v>
      </c>
    </row>
    <row r="3779">
      <c r="H3779" s="8" t="s">
        <v>364</v>
      </c>
    </row>
    <row r="3780">
      <c r="H3780" s="8" t="s">
        <v>364</v>
      </c>
    </row>
    <row r="3781">
      <c r="H3781" s="8" t="s">
        <v>364</v>
      </c>
    </row>
    <row r="3782">
      <c r="H3782" s="8" t="s">
        <v>364</v>
      </c>
    </row>
    <row r="3783">
      <c r="H3783" s="8" t="s">
        <v>364</v>
      </c>
    </row>
    <row r="3784">
      <c r="H3784" s="8" t="s">
        <v>364</v>
      </c>
    </row>
    <row r="3785">
      <c r="H3785" s="8" t="s">
        <v>364</v>
      </c>
    </row>
    <row r="3786">
      <c r="H3786" s="8" t="s">
        <v>364</v>
      </c>
    </row>
    <row r="3787">
      <c r="H3787" s="8" t="s">
        <v>364</v>
      </c>
    </row>
    <row r="3788">
      <c r="H3788" s="8" t="s">
        <v>364</v>
      </c>
    </row>
    <row r="3789">
      <c r="H3789" s="8" t="s">
        <v>364</v>
      </c>
    </row>
    <row r="3790">
      <c r="H3790" s="8" t="s">
        <v>364</v>
      </c>
    </row>
    <row r="3791">
      <c r="H3791" s="8" t="s">
        <v>364</v>
      </c>
    </row>
    <row r="3792">
      <c r="H3792" s="8" t="s">
        <v>364</v>
      </c>
    </row>
    <row r="3793">
      <c r="H3793" s="8" t="s">
        <v>364</v>
      </c>
    </row>
    <row r="3794">
      <c r="H3794" s="8" t="s">
        <v>364</v>
      </c>
    </row>
    <row r="3795">
      <c r="H3795" s="8" t="s">
        <v>364</v>
      </c>
    </row>
    <row r="3796">
      <c r="H3796" s="8" t="s">
        <v>364</v>
      </c>
    </row>
    <row r="3797">
      <c r="H3797" s="8" t="s">
        <v>364</v>
      </c>
    </row>
    <row r="3798">
      <c r="H3798" s="8" t="s">
        <v>364</v>
      </c>
    </row>
    <row r="3799">
      <c r="H3799" s="8" t="s">
        <v>364</v>
      </c>
    </row>
    <row r="3800">
      <c r="H3800" s="8" t="s">
        <v>364</v>
      </c>
    </row>
    <row r="3801">
      <c r="H3801" s="8" t="s">
        <v>364</v>
      </c>
    </row>
    <row r="3802">
      <c r="H3802" s="8" t="s">
        <v>364</v>
      </c>
    </row>
    <row r="3803">
      <c r="H3803" s="8" t="s">
        <v>364</v>
      </c>
    </row>
    <row r="3804">
      <c r="H3804" s="8" t="s">
        <v>364</v>
      </c>
    </row>
    <row r="3805">
      <c r="H3805" s="8" t="s">
        <v>364</v>
      </c>
    </row>
    <row r="3806">
      <c r="H3806" s="8" t="s">
        <v>364</v>
      </c>
    </row>
    <row r="3807">
      <c r="H3807" s="8" t="s">
        <v>364</v>
      </c>
    </row>
    <row r="3808">
      <c r="H3808" s="8" t="s">
        <v>364</v>
      </c>
    </row>
    <row r="3809">
      <c r="H3809" s="8" t="s">
        <v>364</v>
      </c>
    </row>
    <row r="3810">
      <c r="H3810" s="8" t="s">
        <v>364</v>
      </c>
    </row>
    <row r="3811">
      <c r="H3811" s="8" t="s">
        <v>364</v>
      </c>
    </row>
    <row r="3812">
      <c r="H3812" s="8" t="s">
        <v>364</v>
      </c>
    </row>
    <row r="3813">
      <c r="H3813" s="8" t="s">
        <v>364</v>
      </c>
    </row>
    <row r="3814">
      <c r="H3814" s="8" t="s">
        <v>364</v>
      </c>
    </row>
    <row r="3815">
      <c r="H3815" s="8" t="s">
        <v>364</v>
      </c>
    </row>
    <row r="3816">
      <c r="H3816" s="8" t="s">
        <v>364</v>
      </c>
    </row>
    <row r="3817">
      <c r="H3817" s="8" t="s">
        <v>364</v>
      </c>
    </row>
    <row r="3818">
      <c r="H3818" s="8" t="s">
        <v>364</v>
      </c>
    </row>
    <row r="3819">
      <c r="H3819" s="8" t="s">
        <v>364</v>
      </c>
    </row>
    <row r="3820">
      <c r="H3820" s="8" t="s">
        <v>364</v>
      </c>
    </row>
    <row r="3821">
      <c r="H3821" s="8" t="s">
        <v>364</v>
      </c>
    </row>
    <row r="3822">
      <c r="H3822" s="8" t="s">
        <v>364</v>
      </c>
    </row>
    <row r="3823">
      <c r="H3823" s="8" t="s">
        <v>364</v>
      </c>
    </row>
    <row r="3824">
      <c r="H3824" s="8" t="s">
        <v>364</v>
      </c>
    </row>
    <row r="3825">
      <c r="H3825" s="8" t="s">
        <v>364</v>
      </c>
    </row>
    <row r="3826">
      <c r="H3826" s="8" t="s">
        <v>364</v>
      </c>
    </row>
    <row r="3827">
      <c r="H3827" s="8" t="s">
        <v>364</v>
      </c>
    </row>
    <row r="3828">
      <c r="H3828" s="8" t="s">
        <v>364</v>
      </c>
    </row>
    <row r="3829">
      <c r="H3829" s="8" t="s">
        <v>364</v>
      </c>
    </row>
    <row r="3830">
      <c r="H3830" s="8" t="s">
        <v>364</v>
      </c>
    </row>
    <row r="3831">
      <c r="H3831" s="8" t="s">
        <v>364</v>
      </c>
    </row>
    <row r="3832">
      <c r="H3832" s="8" t="s">
        <v>364</v>
      </c>
    </row>
    <row r="3833">
      <c r="H3833" s="8" t="s">
        <v>364</v>
      </c>
    </row>
    <row r="3834">
      <c r="H3834" s="8" t="s">
        <v>364</v>
      </c>
    </row>
    <row r="3835">
      <c r="H3835" s="8" t="s">
        <v>364</v>
      </c>
    </row>
    <row r="3836">
      <c r="H3836" s="8" t="s">
        <v>364</v>
      </c>
    </row>
    <row r="3837">
      <c r="H3837" s="8" t="s">
        <v>364</v>
      </c>
    </row>
    <row r="3838">
      <c r="H3838" s="8" t="s">
        <v>364</v>
      </c>
    </row>
    <row r="3839">
      <c r="H3839" s="8" t="s">
        <v>364</v>
      </c>
    </row>
    <row r="3840">
      <c r="H3840" s="8" t="s">
        <v>364</v>
      </c>
    </row>
    <row r="3841">
      <c r="H3841" s="8" t="s">
        <v>364</v>
      </c>
    </row>
    <row r="3842">
      <c r="H3842" s="8" t="s">
        <v>364</v>
      </c>
    </row>
    <row r="3843">
      <c r="H3843" s="8" t="s">
        <v>364</v>
      </c>
    </row>
    <row r="3844">
      <c r="H3844" s="8" t="s">
        <v>364</v>
      </c>
    </row>
    <row r="3845">
      <c r="H3845" s="8" t="s">
        <v>364</v>
      </c>
    </row>
    <row r="3846">
      <c r="H3846" s="8" t="s">
        <v>364</v>
      </c>
    </row>
    <row r="3847">
      <c r="H3847" s="8" t="s">
        <v>364</v>
      </c>
    </row>
    <row r="3848">
      <c r="H3848" s="8" t="s">
        <v>364</v>
      </c>
    </row>
    <row r="3849">
      <c r="H3849" s="8" t="s">
        <v>364</v>
      </c>
    </row>
    <row r="3850">
      <c r="H3850" s="8" t="s">
        <v>364</v>
      </c>
    </row>
    <row r="3851">
      <c r="H3851" s="8" t="s">
        <v>364</v>
      </c>
    </row>
    <row r="3852">
      <c r="H3852" s="8" t="s">
        <v>364</v>
      </c>
    </row>
    <row r="3853">
      <c r="H3853" s="8" t="s">
        <v>364</v>
      </c>
    </row>
    <row r="3854">
      <c r="H3854" s="8" t="s">
        <v>364</v>
      </c>
    </row>
    <row r="3855">
      <c r="H3855" s="8" t="s">
        <v>364</v>
      </c>
    </row>
    <row r="3856">
      <c r="H3856" s="8" t="s">
        <v>364</v>
      </c>
    </row>
    <row r="3857">
      <c r="H3857" s="8" t="s">
        <v>364</v>
      </c>
    </row>
    <row r="3858">
      <c r="H3858" s="8" t="s">
        <v>364</v>
      </c>
    </row>
    <row r="3859">
      <c r="H3859" s="8" t="s">
        <v>364</v>
      </c>
    </row>
    <row r="3860">
      <c r="H3860" s="8" t="s">
        <v>364</v>
      </c>
    </row>
    <row r="3861">
      <c r="H3861" s="8" t="s">
        <v>364</v>
      </c>
    </row>
    <row r="3862">
      <c r="H3862" s="8" t="s">
        <v>364</v>
      </c>
    </row>
    <row r="3863">
      <c r="H3863" s="8" t="s">
        <v>364</v>
      </c>
    </row>
    <row r="3864">
      <c r="H3864" s="8" t="s">
        <v>364</v>
      </c>
    </row>
    <row r="3865">
      <c r="H3865" s="8" t="s">
        <v>364</v>
      </c>
    </row>
    <row r="3866">
      <c r="H3866" s="8" t="s">
        <v>364</v>
      </c>
    </row>
    <row r="3867">
      <c r="H3867" s="8" t="s">
        <v>364</v>
      </c>
    </row>
    <row r="3868">
      <c r="H3868" s="8" t="s">
        <v>364</v>
      </c>
    </row>
    <row r="3869">
      <c r="H3869" s="8" t="s">
        <v>364</v>
      </c>
    </row>
    <row r="3870">
      <c r="H3870" s="8" t="s">
        <v>364</v>
      </c>
    </row>
    <row r="3871">
      <c r="H3871" s="8" t="s">
        <v>364</v>
      </c>
    </row>
    <row r="3872">
      <c r="H3872" s="8" t="s">
        <v>364</v>
      </c>
    </row>
    <row r="3873">
      <c r="H3873" s="8" t="s">
        <v>364</v>
      </c>
    </row>
    <row r="3874">
      <c r="H3874" s="8" t="s">
        <v>364</v>
      </c>
    </row>
    <row r="3875">
      <c r="H3875" s="8" t="s">
        <v>364</v>
      </c>
    </row>
    <row r="3876">
      <c r="H3876" s="8" t="s">
        <v>364</v>
      </c>
    </row>
    <row r="3877">
      <c r="H3877" s="8" t="s">
        <v>364</v>
      </c>
    </row>
    <row r="3878">
      <c r="H3878" s="8" t="s">
        <v>364</v>
      </c>
    </row>
    <row r="3879">
      <c r="H3879" s="8" t="s">
        <v>364</v>
      </c>
    </row>
    <row r="3880">
      <c r="H3880" s="8" t="s">
        <v>364</v>
      </c>
    </row>
    <row r="3881">
      <c r="H3881" s="8" t="s">
        <v>364</v>
      </c>
    </row>
    <row r="3882">
      <c r="H3882" s="8" t="s">
        <v>364</v>
      </c>
    </row>
    <row r="3883">
      <c r="H3883" s="8" t="s">
        <v>364</v>
      </c>
    </row>
    <row r="3884">
      <c r="H3884" s="8" t="s">
        <v>364</v>
      </c>
    </row>
    <row r="3885">
      <c r="H3885" s="8" t="s">
        <v>364</v>
      </c>
    </row>
    <row r="3886">
      <c r="H3886" s="8" t="s">
        <v>364</v>
      </c>
    </row>
    <row r="3887">
      <c r="H3887" s="8" t="s">
        <v>364</v>
      </c>
    </row>
    <row r="3888">
      <c r="H3888" s="8" t="s">
        <v>364</v>
      </c>
    </row>
    <row r="3889">
      <c r="H3889" s="8" t="s">
        <v>364</v>
      </c>
    </row>
    <row r="3890">
      <c r="H3890" s="8" t="s">
        <v>364</v>
      </c>
    </row>
    <row r="3891">
      <c r="H3891" s="8" t="s">
        <v>364</v>
      </c>
    </row>
    <row r="3892">
      <c r="H3892" s="8" t="s">
        <v>364</v>
      </c>
    </row>
    <row r="3893">
      <c r="H3893" s="8" t="s">
        <v>364</v>
      </c>
    </row>
    <row r="3894">
      <c r="H3894" s="8" t="s">
        <v>364</v>
      </c>
    </row>
    <row r="3895">
      <c r="H3895" s="8" t="s">
        <v>364</v>
      </c>
    </row>
    <row r="3896">
      <c r="H3896" s="8" t="s">
        <v>364</v>
      </c>
    </row>
    <row r="3897">
      <c r="H3897" s="8" t="s">
        <v>364</v>
      </c>
    </row>
    <row r="3898">
      <c r="H3898" s="8" t="s">
        <v>364</v>
      </c>
    </row>
    <row r="3899">
      <c r="H3899" s="8" t="s">
        <v>364</v>
      </c>
    </row>
    <row r="3900">
      <c r="H3900" s="8" t="s">
        <v>364</v>
      </c>
    </row>
    <row r="3901">
      <c r="H3901" s="8" t="s">
        <v>364</v>
      </c>
    </row>
    <row r="3902">
      <c r="H3902" s="8" t="s">
        <v>364</v>
      </c>
    </row>
    <row r="3903">
      <c r="H3903" s="8" t="s">
        <v>364</v>
      </c>
    </row>
    <row r="3904">
      <c r="H3904" s="8" t="s">
        <v>364</v>
      </c>
    </row>
    <row r="3905">
      <c r="H3905" s="8" t="s">
        <v>364</v>
      </c>
    </row>
    <row r="3906">
      <c r="H3906" s="8" t="s">
        <v>364</v>
      </c>
    </row>
    <row r="3907">
      <c r="H3907" s="8" t="s">
        <v>364</v>
      </c>
    </row>
    <row r="3908">
      <c r="H3908" s="8" t="s">
        <v>364</v>
      </c>
    </row>
    <row r="3909">
      <c r="H3909" s="8" t="s">
        <v>364</v>
      </c>
    </row>
    <row r="3910">
      <c r="H3910" s="8" t="s">
        <v>364</v>
      </c>
    </row>
    <row r="3911">
      <c r="H3911" s="8" t="s">
        <v>364</v>
      </c>
    </row>
    <row r="3912">
      <c r="H3912" s="8" t="s">
        <v>364</v>
      </c>
    </row>
    <row r="3913">
      <c r="H3913" s="8" t="s">
        <v>364</v>
      </c>
    </row>
    <row r="3914">
      <c r="H3914" s="8" t="s">
        <v>364</v>
      </c>
    </row>
    <row r="3915">
      <c r="H3915" s="8" t="s">
        <v>364</v>
      </c>
    </row>
    <row r="3916">
      <c r="H3916" s="8" t="s">
        <v>364</v>
      </c>
    </row>
    <row r="3917">
      <c r="H3917" s="8" t="s">
        <v>364</v>
      </c>
    </row>
    <row r="3918">
      <c r="H3918" s="8" t="s">
        <v>364</v>
      </c>
    </row>
    <row r="3919">
      <c r="H3919" s="8" t="s">
        <v>364</v>
      </c>
    </row>
    <row r="3920">
      <c r="H3920" s="8" t="s">
        <v>364</v>
      </c>
    </row>
    <row r="3921">
      <c r="H3921" s="8" t="s">
        <v>364</v>
      </c>
    </row>
    <row r="3922">
      <c r="H3922" s="8" t="s">
        <v>364</v>
      </c>
    </row>
    <row r="3923">
      <c r="H3923" s="8" t="s">
        <v>364</v>
      </c>
    </row>
    <row r="3924">
      <c r="H3924" s="8" t="s">
        <v>364</v>
      </c>
    </row>
    <row r="3925">
      <c r="H3925" s="8" t="s">
        <v>364</v>
      </c>
    </row>
    <row r="3926">
      <c r="H3926" s="8" t="s">
        <v>364</v>
      </c>
    </row>
    <row r="3927">
      <c r="H3927" s="8" t="s">
        <v>364</v>
      </c>
    </row>
    <row r="3928">
      <c r="H3928" s="8" t="s">
        <v>364</v>
      </c>
    </row>
    <row r="3929">
      <c r="H3929" s="8" t="s">
        <v>364</v>
      </c>
    </row>
    <row r="3930">
      <c r="H3930" s="8" t="s">
        <v>364</v>
      </c>
    </row>
    <row r="3931">
      <c r="H3931" s="8" t="s">
        <v>364</v>
      </c>
    </row>
    <row r="3932">
      <c r="H3932" s="8" t="s">
        <v>364</v>
      </c>
    </row>
    <row r="3933">
      <c r="H3933" s="8" t="s">
        <v>364</v>
      </c>
    </row>
    <row r="3934">
      <c r="H3934" s="8" t="s">
        <v>364</v>
      </c>
    </row>
    <row r="3935">
      <c r="H3935" s="8" t="s">
        <v>364</v>
      </c>
    </row>
    <row r="3936">
      <c r="H3936" s="8" t="s">
        <v>364</v>
      </c>
    </row>
    <row r="3937">
      <c r="H3937" s="8" t="s">
        <v>364</v>
      </c>
    </row>
    <row r="3938">
      <c r="H3938" s="8" t="s">
        <v>364</v>
      </c>
    </row>
    <row r="3939">
      <c r="H3939" s="8" t="s">
        <v>364</v>
      </c>
    </row>
    <row r="3940">
      <c r="H3940" s="8" t="s">
        <v>364</v>
      </c>
    </row>
    <row r="3941">
      <c r="H3941" s="8" t="s">
        <v>364</v>
      </c>
    </row>
    <row r="3942">
      <c r="H3942" s="8" t="s">
        <v>364</v>
      </c>
    </row>
    <row r="3943">
      <c r="H3943" s="8" t="s">
        <v>364</v>
      </c>
    </row>
    <row r="3944">
      <c r="H3944" s="8" t="s">
        <v>364</v>
      </c>
    </row>
    <row r="3945">
      <c r="H3945" s="8" t="s">
        <v>364</v>
      </c>
    </row>
    <row r="3946">
      <c r="H3946" s="8" t="s">
        <v>364</v>
      </c>
    </row>
    <row r="3947">
      <c r="H3947" s="8" t="s">
        <v>364</v>
      </c>
    </row>
    <row r="3948">
      <c r="H3948" s="8" t="s">
        <v>364</v>
      </c>
    </row>
    <row r="3949">
      <c r="H3949" s="8" t="s">
        <v>364</v>
      </c>
    </row>
    <row r="3950">
      <c r="H3950" s="8" t="s">
        <v>364</v>
      </c>
    </row>
    <row r="3951">
      <c r="H3951" s="8" t="s">
        <v>364</v>
      </c>
    </row>
    <row r="3952">
      <c r="H3952" s="8" t="s">
        <v>364</v>
      </c>
    </row>
    <row r="3953">
      <c r="H3953" s="8" t="s">
        <v>364</v>
      </c>
    </row>
    <row r="3954">
      <c r="H3954" s="8" t="s">
        <v>364</v>
      </c>
    </row>
    <row r="3955">
      <c r="H3955" s="8" t="s">
        <v>364</v>
      </c>
    </row>
    <row r="3956">
      <c r="H3956" s="8" t="s">
        <v>364</v>
      </c>
    </row>
    <row r="3957">
      <c r="H3957" s="8" t="s">
        <v>364</v>
      </c>
    </row>
    <row r="3958">
      <c r="H3958" s="8" t="s">
        <v>364</v>
      </c>
    </row>
    <row r="3959">
      <c r="H3959" s="8" t="s">
        <v>364</v>
      </c>
    </row>
    <row r="3960">
      <c r="H3960" s="8" t="s">
        <v>364</v>
      </c>
    </row>
    <row r="3961">
      <c r="H3961" s="8" t="s">
        <v>364</v>
      </c>
    </row>
    <row r="3962">
      <c r="H3962" s="8" t="s">
        <v>364</v>
      </c>
    </row>
    <row r="3963">
      <c r="H3963" s="8" t="s">
        <v>364</v>
      </c>
    </row>
    <row r="3964">
      <c r="H3964" s="8" t="s">
        <v>364</v>
      </c>
    </row>
    <row r="3965">
      <c r="H3965" s="8" t="s">
        <v>364</v>
      </c>
    </row>
    <row r="3966">
      <c r="H3966" s="8" t="s">
        <v>364</v>
      </c>
    </row>
    <row r="3967">
      <c r="H3967" s="8" t="s">
        <v>364</v>
      </c>
    </row>
    <row r="3968">
      <c r="H3968" s="8" t="s">
        <v>364</v>
      </c>
    </row>
    <row r="3969">
      <c r="H3969" s="8" t="s">
        <v>364</v>
      </c>
    </row>
    <row r="3970">
      <c r="H3970" s="8" t="s">
        <v>364</v>
      </c>
    </row>
    <row r="3971">
      <c r="H3971" s="8" t="s">
        <v>364</v>
      </c>
    </row>
    <row r="3972">
      <c r="H3972" s="8" t="s">
        <v>364</v>
      </c>
    </row>
    <row r="3973">
      <c r="H3973" s="8" t="s">
        <v>364</v>
      </c>
    </row>
    <row r="3974">
      <c r="H3974" s="8" t="s">
        <v>364</v>
      </c>
    </row>
    <row r="3975">
      <c r="H3975" s="8" t="s">
        <v>364</v>
      </c>
    </row>
    <row r="3976">
      <c r="H3976" s="8" t="s">
        <v>364</v>
      </c>
    </row>
    <row r="3977">
      <c r="H3977" s="8" t="s">
        <v>364</v>
      </c>
    </row>
    <row r="3978">
      <c r="H3978" s="8" t="s">
        <v>364</v>
      </c>
    </row>
    <row r="3979">
      <c r="H3979" s="8" t="s">
        <v>364</v>
      </c>
    </row>
    <row r="3980">
      <c r="H3980" s="8" t="s">
        <v>364</v>
      </c>
    </row>
    <row r="3981">
      <c r="H3981" s="8" t="s">
        <v>364</v>
      </c>
    </row>
    <row r="3982">
      <c r="H3982" s="8" t="s">
        <v>364</v>
      </c>
    </row>
    <row r="3983">
      <c r="H3983" s="8" t="s">
        <v>364</v>
      </c>
    </row>
    <row r="3984">
      <c r="H3984" s="8" t="s">
        <v>364</v>
      </c>
    </row>
    <row r="3985">
      <c r="H3985" s="8" t="s">
        <v>364</v>
      </c>
    </row>
    <row r="3986">
      <c r="H3986" s="8" t="s">
        <v>364</v>
      </c>
    </row>
    <row r="3987">
      <c r="H3987" s="8" t="s">
        <v>364</v>
      </c>
    </row>
    <row r="3988">
      <c r="H3988" s="8" t="s">
        <v>364</v>
      </c>
    </row>
    <row r="3989">
      <c r="H3989" s="8" t="s">
        <v>364</v>
      </c>
    </row>
    <row r="3990">
      <c r="H3990" s="8" t="s">
        <v>364</v>
      </c>
    </row>
    <row r="3991">
      <c r="H3991" s="8" t="s">
        <v>364</v>
      </c>
    </row>
    <row r="3992">
      <c r="H3992" s="8" t="s">
        <v>364</v>
      </c>
    </row>
    <row r="3993">
      <c r="H3993" s="8" t="s">
        <v>364</v>
      </c>
    </row>
    <row r="3994">
      <c r="H3994" s="8" t="s">
        <v>364</v>
      </c>
    </row>
    <row r="3995">
      <c r="H3995" s="8" t="s">
        <v>364</v>
      </c>
    </row>
    <row r="3996">
      <c r="H3996" s="8" t="s">
        <v>364</v>
      </c>
    </row>
    <row r="3997">
      <c r="H3997" s="8" t="s">
        <v>364</v>
      </c>
    </row>
    <row r="3998">
      <c r="H3998" s="8" t="s">
        <v>364</v>
      </c>
    </row>
    <row r="3999">
      <c r="H3999" s="8" t="s">
        <v>364</v>
      </c>
    </row>
    <row r="4000">
      <c r="H4000" s="8" t="s">
        <v>364</v>
      </c>
    </row>
    <row r="4001">
      <c r="H4001" s="8" t="s">
        <v>364</v>
      </c>
    </row>
    <row r="4002">
      <c r="H4002" s="8" t="s">
        <v>364</v>
      </c>
    </row>
    <row r="4003">
      <c r="H4003" s="8" t="s">
        <v>364</v>
      </c>
    </row>
    <row r="4004">
      <c r="H4004" s="8" t="s">
        <v>364</v>
      </c>
    </row>
    <row r="4005">
      <c r="H4005" s="8" t="s">
        <v>364</v>
      </c>
    </row>
    <row r="4006">
      <c r="H4006" s="8" t="s">
        <v>364</v>
      </c>
    </row>
    <row r="4007">
      <c r="H4007" s="8" t="s">
        <v>364</v>
      </c>
    </row>
    <row r="4008">
      <c r="H4008" s="8" t="s">
        <v>364</v>
      </c>
    </row>
    <row r="4009">
      <c r="H4009" s="8" t="s">
        <v>364</v>
      </c>
    </row>
    <row r="4010">
      <c r="H4010" s="8" t="s">
        <v>364</v>
      </c>
    </row>
    <row r="4011">
      <c r="H4011" s="8" t="s">
        <v>364</v>
      </c>
    </row>
    <row r="4012">
      <c r="H4012" s="8" t="s">
        <v>364</v>
      </c>
    </row>
    <row r="4013">
      <c r="H4013" s="8" t="s">
        <v>364</v>
      </c>
    </row>
    <row r="4014">
      <c r="H4014" s="8" t="s">
        <v>364</v>
      </c>
    </row>
    <row r="4015">
      <c r="H4015" s="8" t="s">
        <v>364</v>
      </c>
    </row>
    <row r="4016">
      <c r="H4016" s="8" t="s">
        <v>364</v>
      </c>
    </row>
    <row r="4017">
      <c r="H4017" s="8" t="s">
        <v>364</v>
      </c>
    </row>
    <row r="4018">
      <c r="H4018" s="8" t="s">
        <v>364</v>
      </c>
    </row>
    <row r="4019">
      <c r="H4019" s="8" t="s">
        <v>364</v>
      </c>
    </row>
    <row r="4020">
      <c r="H4020" s="8" t="s">
        <v>364</v>
      </c>
    </row>
    <row r="4021">
      <c r="H4021" s="8" t="s">
        <v>364</v>
      </c>
    </row>
    <row r="4022">
      <c r="H4022" s="8" t="s">
        <v>364</v>
      </c>
    </row>
    <row r="4023">
      <c r="H4023" s="8" t="s">
        <v>364</v>
      </c>
    </row>
    <row r="4024">
      <c r="H4024" s="8" t="s">
        <v>364</v>
      </c>
    </row>
    <row r="4025">
      <c r="H4025" s="8" t="s">
        <v>364</v>
      </c>
    </row>
    <row r="4026">
      <c r="H4026" s="8" t="s">
        <v>364</v>
      </c>
    </row>
    <row r="4027">
      <c r="H4027" s="8" t="s">
        <v>364</v>
      </c>
    </row>
    <row r="4028">
      <c r="H4028" s="8" t="s">
        <v>364</v>
      </c>
    </row>
    <row r="4029">
      <c r="H4029" s="8" t="s">
        <v>364</v>
      </c>
    </row>
    <row r="4030">
      <c r="H4030" s="8" t="s">
        <v>364</v>
      </c>
    </row>
    <row r="4031">
      <c r="H4031" s="8" t="s">
        <v>364</v>
      </c>
    </row>
    <row r="4032">
      <c r="H4032" s="8" t="s">
        <v>364</v>
      </c>
    </row>
    <row r="4033">
      <c r="H4033" s="8" t="s">
        <v>364</v>
      </c>
    </row>
    <row r="4034">
      <c r="H4034" s="8" t="s">
        <v>364</v>
      </c>
    </row>
    <row r="4035">
      <c r="H4035" s="8" t="s">
        <v>364</v>
      </c>
    </row>
    <row r="4036">
      <c r="H4036" s="8" t="s">
        <v>364</v>
      </c>
    </row>
    <row r="4037">
      <c r="H4037" s="8" t="s">
        <v>364</v>
      </c>
    </row>
    <row r="4038">
      <c r="H4038" s="8" t="s">
        <v>364</v>
      </c>
    </row>
    <row r="4039">
      <c r="H4039" s="8" t="s">
        <v>364</v>
      </c>
    </row>
    <row r="4040">
      <c r="H4040" s="8" t="s">
        <v>364</v>
      </c>
    </row>
    <row r="4041">
      <c r="H4041" s="8" t="s">
        <v>364</v>
      </c>
    </row>
    <row r="4042">
      <c r="H4042" s="8" t="s">
        <v>364</v>
      </c>
    </row>
    <row r="4043">
      <c r="H4043" s="8" t="s">
        <v>364</v>
      </c>
    </row>
    <row r="4044">
      <c r="H4044" s="8" t="s">
        <v>364</v>
      </c>
    </row>
    <row r="4045">
      <c r="H4045" s="8" t="s">
        <v>364</v>
      </c>
    </row>
    <row r="4046">
      <c r="H4046" s="8" t="s">
        <v>364</v>
      </c>
    </row>
    <row r="4047">
      <c r="H4047" s="8" t="s">
        <v>364</v>
      </c>
    </row>
    <row r="4048">
      <c r="H4048" s="8" t="s">
        <v>364</v>
      </c>
    </row>
    <row r="4049">
      <c r="H4049" s="8" t="s">
        <v>364</v>
      </c>
    </row>
    <row r="4050">
      <c r="H4050" s="8" t="s">
        <v>364</v>
      </c>
    </row>
    <row r="4051">
      <c r="H4051" s="8" t="s">
        <v>364</v>
      </c>
    </row>
    <row r="4052">
      <c r="H4052" s="8" t="s">
        <v>364</v>
      </c>
    </row>
    <row r="4053">
      <c r="H4053" s="8" t="s">
        <v>364</v>
      </c>
    </row>
    <row r="4054">
      <c r="H4054" s="8" t="s">
        <v>364</v>
      </c>
    </row>
    <row r="4055">
      <c r="H4055" s="8" t="s">
        <v>364</v>
      </c>
    </row>
    <row r="4056">
      <c r="H4056" s="8" t="s">
        <v>364</v>
      </c>
    </row>
    <row r="4057">
      <c r="H4057" s="8" t="s">
        <v>364</v>
      </c>
    </row>
    <row r="4058">
      <c r="H4058" s="8" t="s">
        <v>364</v>
      </c>
    </row>
    <row r="4059">
      <c r="H4059" s="8" t="s">
        <v>364</v>
      </c>
    </row>
    <row r="4060">
      <c r="H4060" s="8" t="s">
        <v>364</v>
      </c>
    </row>
    <row r="4061">
      <c r="H4061" s="8" t="s">
        <v>364</v>
      </c>
    </row>
    <row r="4062">
      <c r="H4062" s="8" t="s">
        <v>364</v>
      </c>
    </row>
    <row r="4063">
      <c r="H4063" s="8" t="s">
        <v>364</v>
      </c>
    </row>
    <row r="4064">
      <c r="H4064" s="8" t="s">
        <v>364</v>
      </c>
    </row>
    <row r="4065">
      <c r="H4065" s="8" t="s">
        <v>364</v>
      </c>
    </row>
    <row r="4066">
      <c r="H4066" s="8" t="s">
        <v>364</v>
      </c>
    </row>
    <row r="4067">
      <c r="H4067" s="8" t="s">
        <v>364</v>
      </c>
    </row>
    <row r="4068">
      <c r="H4068" s="8" t="s">
        <v>364</v>
      </c>
    </row>
    <row r="4069">
      <c r="H4069" s="8" t="s">
        <v>364</v>
      </c>
    </row>
    <row r="4070">
      <c r="H4070" s="8" t="s">
        <v>364</v>
      </c>
    </row>
    <row r="4071">
      <c r="H4071" s="8" t="s">
        <v>364</v>
      </c>
    </row>
    <row r="4072">
      <c r="H4072" s="8" t="s">
        <v>364</v>
      </c>
    </row>
    <row r="4073">
      <c r="H4073" s="8" t="s">
        <v>364</v>
      </c>
    </row>
    <row r="4074">
      <c r="H4074" s="8" t="s">
        <v>364</v>
      </c>
    </row>
    <row r="4075">
      <c r="H4075" s="8" t="s">
        <v>364</v>
      </c>
    </row>
    <row r="4076">
      <c r="H4076" s="8" t="s">
        <v>364</v>
      </c>
    </row>
    <row r="4077">
      <c r="H4077" s="8" t="s">
        <v>364</v>
      </c>
    </row>
    <row r="4078">
      <c r="H4078" s="8" t="s">
        <v>364</v>
      </c>
    </row>
    <row r="4079">
      <c r="H4079" s="8" t="s">
        <v>364</v>
      </c>
    </row>
    <row r="4080">
      <c r="H4080" s="8" t="s">
        <v>364</v>
      </c>
    </row>
    <row r="4081">
      <c r="H4081" s="8" t="s">
        <v>364</v>
      </c>
    </row>
    <row r="4082">
      <c r="H4082" s="8" t="s">
        <v>364</v>
      </c>
    </row>
    <row r="4083">
      <c r="H4083" s="8" t="s">
        <v>364</v>
      </c>
    </row>
    <row r="4084">
      <c r="H4084" s="8" t="s">
        <v>364</v>
      </c>
    </row>
    <row r="4085">
      <c r="H4085" s="8" t="s">
        <v>364</v>
      </c>
    </row>
    <row r="4086">
      <c r="H4086" s="8" t="s">
        <v>364</v>
      </c>
    </row>
    <row r="4087">
      <c r="H4087" s="8" t="s">
        <v>364</v>
      </c>
    </row>
    <row r="4088">
      <c r="H4088" s="8" t="s">
        <v>364</v>
      </c>
    </row>
    <row r="4089">
      <c r="H4089" s="8" t="s">
        <v>364</v>
      </c>
    </row>
    <row r="4090">
      <c r="H4090" s="8" t="s">
        <v>364</v>
      </c>
    </row>
    <row r="4091">
      <c r="H4091" s="8" t="s">
        <v>364</v>
      </c>
    </row>
    <row r="4092">
      <c r="H4092" s="8" t="s">
        <v>364</v>
      </c>
    </row>
    <row r="4093">
      <c r="H4093" s="8" t="s">
        <v>364</v>
      </c>
    </row>
    <row r="4094">
      <c r="H4094" s="8" t="s">
        <v>364</v>
      </c>
    </row>
    <row r="4095">
      <c r="H4095" s="8" t="s">
        <v>364</v>
      </c>
    </row>
    <row r="4096">
      <c r="H4096" s="8" t="s">
        <v>364</v>
      </c>
    </row>
    <row r="4097">
      <c r="H4097" s="8" t="s">
        <v>364</v>
      </c>
    </row>
    <row r="4098">
      <c r="H4098" s="8" t="s">
        <v>364</v>
      </c>
    </row>
    <row r="4099">
      <c r="H4099" s="8" t="s">
        <v>364</v>
      </c>
    </row>
    <row r="4100">
      <c r="H4100" s="8" t="s">
        <v>364</v>
      </c>
    </row>
    <row r="4101">
      <c r="H4101" s="8" t="s">
        <v>364</v>
      </c>
    </row>
    <row r="4102">
      <c r="H4102" s="8" t="s">
        <v>364</v>
      </c>
    </row>
    <row r="4103">
      <c r="H4103" s="8" t="s">
        <v>364</v>
      </c>
    </row>
    <row r="4104">
      <c r="H4104" s="8" t="s">
        <v>364</v>
      </c>
    </row>
    <row r="4105">
      <c r="H4105" s="8" t="s">
        <v>364</v>
      </c>
    </row>
    <row r="4106">
      <c r="H4106" s="8" t="s">
        <v>364</v>
      </c>
    </row>
    <row r="4107">
      <c r="H4107" s="8" t="s">
        <v>364</v>
      </c>
    </row>
    <row r="4108">
      <c r="H4108" s="8" t="s">
        <v>364</v>
      </c>
    </row>
    <row r="4109">
      <c r="H4109" s="8" t="s">
        <v>364</v>
      </c>
    </row>
    <row r="4110">
      <c r="H4110" s="8" t="s">
        <v>364</v>
      </c>
    </row>
    <row r="4111">
      <c r="H4111" s="8" t="s">
        <v>364</v>
      </c>
    </row>
    <row r="4112">
      <c r="H4112" s="8" t="s">
        <v>364</v>
      </c>
    </row>
    <row r="4113">
      <c r="H4113" s="8" t="s">
        <v>364</v>
      </c>
    </row>
    <row r="4114">
      <c r="H4114" s="8" t="s">
        <v>364</v>
      </c>
    </row>
    <row r="4115">
      <c r="H4115" s="8" t="s">
        <v>364</v>
      </c>
    </row>
    <row r="4116">
      <c r="H4116" s="8" t="s">
        <v>364</v>
      </c>
    </row>
    <row r="4117">
      <c r="H4117" s="8" t="s">
        <v>364</v>
      </c>
    </row>
    <row r="4118">
      <c r="H4118" s="8" t="s">
        <v>364</v>
      </c>
    </row>
    <row r="4119">
      <c r="H4119" s="8" t="s">
        <v>364</v>
      </c>
    </row>
    <row r="4120">
      <c r="H4120" s="8" t="s">
        <v>364</v>
      </c>
    </row>
    <row r="4121">
      <c r="H4121" s="8" t="s">
        <v>364</v>
      </c>
    </row>
    <row r="4122">
      <c r="H4122" s="8" t="s">
        <v>364</v>
      </c>
    </row>
    <row r="4123">
      <c r="H4123" s="8" t="s">
        <v>364</v>
      </c>
    </row>
    <row r="4124">
      <c r="H4124" s="8" t="s">
        <v>364</v>
      </c>
    </row>
    <row r="4125">
      <c r="H4125" s="8" t="s">
        <v>364</v>
      </c>
    </row>
    <row r="4126">
      <c r="H4126" s="8" t="s">
        <v>364</v>
      </c>
    </row>
    <row r="4127">
      <c r="H4127" s="8" t="s">
        <v>364</v>
      </c>
    </row>
    <row r="4128">
      <c r="H4128" s="8" t="s">
        <v>364</v>
      </c>
    </row>
    <row r="4129">
      <c r="H4129" s="8" t="s">
        <v>364</v>
      </c>
    </row>
    <row r="4130">
      <c r="H4130" s="8" t="s">
        <v>364</v>
      </c>
    </row>
    <row r="4131">
      <c r="H4131" s="8" t="s">
        <v>364</v>
      </c>
    </row>
    <row r="4132">
      <c r="H4132" s="8" t="s">
        <v>364</v>
      </c>
    </row>
    <row r="4133">
      <c r="H4133" s="8" t="s">
        <v>364</v>
      </c>
    </row>
    <row r="4134">
      <c r="H4134" s="8" t="s">
        <v>364</v>
      </c>
    </row>
    <row r="4135">
      <c r="H4135" s="8" t="s">
        <v>364</v>
      </c>
    </row>
    <row r="4136">
      <c r="H4136" s="8" t="s">
        <v>364</v>
      </c>
    </row>
    <row r="4137">
      <c r="H4137" s="8" t="s">
        <v>364</v>
      </c>
    </row>
    <row r="4138">
      <c r="H4138" s="8" t="s">
        <v>364</v>
      </c>
    </row>
    <row r="4139">
      <c r="H4139" s="8" t="s">
        <v>364</v>
      </c>
    </row>
    <row r="4140">
      <c r="H4140" s="8" t="s">
        <v>364</v>
      </c>
    </row>
    <row r="4141">
      <c r="H4141" s="8" t="s">
        <v>364</v>
      </c>
    </row>
    <row r="4142">
      <c r="H4142" s="8" t="s">
        <v>364</v>
      </c>
    </row>
    <row r="4143">
      <c r="H4143" s="8" t="s">
        <v>364</v>
      </c>
    </row>
    <row r="4144">
      <c r="H4144" s="8" t="s">
        <v>364</v>
      </c>
    </row>
    <row r="4145">
      <c r="H4145" s="8" t="s">
        <v>364</v>
      </c>
    </row>
    <row r="4146">
      <c r="H4146" s="8" t="s">
        <v>364</v>
      </c>
    </row>
    <row r="4147">
      <c r="H4147" s="8" t="s">
        <v>364</v>
      </c>
    </row>
    <row r="4148">
      <c r="H4148" s="8" t="s">
        <v>364</v>
      </c>
    </row>
    <row r="4149">
      <c r="H4149" s="8" t="s">
        <v>364</v>
      </c>
    </row>
    <row r="4150">
      <c r="H4150" s="8" t="s">
        <v>364</v>
      </c>
    </row>
    <row r="4151">
      <c r="H4151" s="8" t="s">
        <v>364</v>
      </c>
    </row>
    <row r="4152">
      <c r="H4152" s="8" t="s">
        <v>364</v>
      </c>
    </row>
    <row r="4153">
      <c r="H4153" s="8" t="s">
        <v>364</v>
      </c>
    </row>
    <row r="4154">
      <c r="H4154" s="8" t="s">
        <v>364</v>
      </c>
    </row>
    <row r="4155">
      <c r="H4155" s="8" t="s">
        <v>364</v>
      </c>
    </row>
    <row r="4156">
      <c r="H4156" s="8" t="s">
        <v>364</v>
      </c>
    </row>
    <row r="4157">
      <c r="H4157" s="8" t="s">
        <v>364</v>
      </c>
    </row>
    <row r="4158">
      <c r="H4158" s="8" t="s">
        <v>364</v>
      </c>
    </row>
    <row r="4159">
      <c r="H4159" s="8" t="s">
        <v>364</v>
      </c>
    </row>
    <row r="4160">
      <c r="H4160" s="8" t="s">
        <v>364</v>
      </c>
    </row>
    <row r="4161">
      <c r="H4161" s="8" t="s">
        <v>364</v>
      </c>
    </row>
    <row r="4162">
      <c r="H4162" s="8" t="s">
        <v>364</v>
      </c>
    </row>
    <row r="4163">
      <c r="H4163" s="8" t="s">
        <v>364</v>
      </c>
    </row>
    <row r="4164">
      <c r="H4164" s="8" t="s">
        <v>364</v>
      </c>
    </row>
    <row r="4165">
      <c r="H4165" s="8" t="s">
        <v>364</v>
      </c>
    </row>
    <row r="4166">
      <c r="H4166" s="8" t="s">
        <v>364</v>
      </c>
    </row>
    <row r="4167">
      <c r="H4167" s="8" t="s">
        <v>364</v>
      </c>
    </row>
    <row r="4168">
      <c r="H4168" s="8" t="s">
        <v>364</v>
      </c>
    </row>
    <row r="4169">
      <c r="H4169" s="8" t="s">
        <v>364</v>
      </c>
    </row>
    <row r="4170">
      <c r="H4170" s="8" t="s">
        <v>364</v>
      </c>
    </row>
    <row r="4171">
      <c r="H4171" s="8" t="s">
        <v>364</v>
      </c>
    </row>
    <row r="4172">
      <c r="H4172" s="8" t="s">
        <v>364</v>
      </c>
    </row>
    <row r="4173">
      <c r="H4173" s="8" t="s">
        <v>364</v>
      </c>
    </row>
    <row r="4174">
      <c r="H4174" s="8" t="s">
        <v>364</v>
      </c>
    </row>
    <row r="4175">
      <c r="H4175" s="8" t="s">
        <v>364</v>
      </c>
    </row>
    <row r="4176">
      <c r="H4176" s="8" t="s">
        <v>364</v>
      </c>
    </row>
    <row r="4177">
      <c r="H4177" s="8" t="s">
        <v>364</v>
      </c>
    </row>
    <row r="4178">
      <c r="H4178" s="8" t="s">
        <v>364</v>
      </c>
    </row>
    <row r="4179">
      <c r="H4179" s="8" t="s">
        <v>364</v>
      </c>
    </row>
    <row r="4180">
      <c r="H4180" s="8" t="s">
        <v>364</v>
      </c>
    </row>
    <row r="4181">
      <c r="H4181" s="8" t="s">
        <v>364</v>
      </c>
    </row>
    <row r="4182">
      <c r="H4182" s="8" t="s">
        <v>364</v>
      </c>
    </row>
    <row r="4183">
      <c r="H4183" s="8" t="s">
        <v>364</v>
      </c>
    </row>
    <row r="4184">
      <c r="H4184" s="8" t="s">
        <v>364</v>
      </c>
    </row>
    <row r="4185">
      <c r="H4185" s="8" t="s">
        <v>364</v>
      </c>
    </row>
    <row r="4186">
      <c r="H4186" s="8" t="s">
        <v>364</v>
      </c>
    </row>
    <row r="4187">
      <c r="H4187" s="8" t="s">
        <v>364</v>
      </c>
    </row>
    <row r="4188">
      <c r="H4188" s="8" t="s">
        <v>364</v>
      </c>
    </row>
    <row r="4189">
      <c r="H4189" s="8" t="s">
        <v>364</v>
      </c>
    </row>
    <row r="4190">
      <c r="H4190" s="8" t="s">
        <v>364</v>
      </c>
    </row>
    <row r="4191">
      <c r="H4191" s="8" t="s">
        <v>364</v>
      </c>
    </row>
    <row r="4192">
      <c r="H4192" s="8" t="s">
        <v>364</v>
      </c>
    </row>
    <row r="4193">
      <c r="H4193" s="8" t="s">
        <v>364</v>
      </c>
    </row>
    <row r="4194">
      <c r="H4194" s="8" t="s">
        <v>364</v>
      </c>
    </row>
    <row r="4195">
      <c r="H4195" s="8" t="s">
        <v>364</v>
      </c>
    </row>
    <row r="4196">
      <c r="H4196" s="8" t="s">
        <v>364</v>
      </c>
    </row>
    <row r="4197">
      <c r="H4197" s="8" t="s">
        <v>364</v>
      </c>
    </row>
    <row r="4198">
      <c r="H4198" s="8" t="s">
        <v>364</v>
      </c>
    </row>
    <row r="4199">
      <c r="H4199" s="8" t="s">
        <v>364</v>
      </c>
    </row>
    <row r="4200">
      <c r="H4200" s="8" t="s">
        <v>364</v>
      </c>
    </row>
    <row r="4201">
      <c r="H4201" s="8" t="s">
        <v>364</v>
      </c>
    </row>
    <row r="4202">
      <c r="H4202" s="8" t="s">
        <v>364</v>
      </c>
    </row>
    <row r="4203">
      <c r="H4203" s="8" t="s">
        <v>364</v>
      </c>
    </row>
    <row r="4204">
      <c r="H4204" s="8" t="s">
        <v>364</v>
      </c>
    </row>
    <row r="4205">
      <c r="H4205" s="8" t="s">
        <v>364</v>
      </c>
    </row>
    <row r="4206">
      <c r="H4206" s="8" t="s">
        <v>364</v>
      </c>
    </row>
    <row r="4207">
      <c r="H4207" s="8" t="s">
        <v>364</v>
      </c>
    </row>
    <row r="4208">
      <c r="H4208" s="8" t="s">
        <v>364</v>
      </c>
    </row>
    <row r="4209">
      <c r="H4209" s="8" t="s">
        <v>364</v>
      </c>
    </row>
    <row r="4210">
      <c r="H4210" s="8" t="s">
        <v>364</v>
      </c>
    </row>
    <row r="4211">
      <c r="H4211" s="8" t="s">
        <v>364</v>
      </c>
    </row>
    <row r="4212">
      <c r="H4212" s="8" t="s">
        <v>364</v>
      </c>
    </row>
    <row r="4213">
      <c r="H4213" s="8" t="s">
        <v>364</v>
      </c>
    </row>
    <row r="4214">
      <c r="H4214" s="8" t="s">
        <v>364</v>
      </c>
    </row>
    <row r="4215">
      <c r="H4215" s="8" t="s">
        <v>364</v>
      </c>
    </row>
    <row r="4216">
      <c r="H4216" s="8" t="s">
        <v>364</v>
      </c>
    </row>
    <row r="4217">
      <c r="H4217" s="8" t="s">
        <v>364</v>
      </c>
    </row>
    <row r="4218">
      <c r="H4218" s="8" t="s">
        <v>364</v>
      </c>
    </row>
    <row r="4219">
      <c r="H4219" s="8" t="s">
        <v>364</v>
      </c>
    </row>
    <row r="4220">
      <c r="H4220" s="8" t="s">
        <v>364</v>
      </c>
    </row>
    <row r="4221">
      <c r="H4221" s="8" t="s">
        <v>364</v>
      </c>
    </row>
    <row r="4222">
      <c r="H4222" s="8" t="s">
        <v>364</v>
      </c>
    </row>
    <row r="4223">
      <c r="H4223" s="8" t="s">
        <v>364</v>
      </c>
    </row>
    <row r="4224">
      <c r="H4224" s="8" t="s">
        <v>364</v>
      </c>
    </row>
    <row r="4225">
      <c r="H4225" s="8" t="s">
        <v>364</v>
      </c>
    </row>
    <row r="4226">
      <c r="H4226" s="8" t="s">
        <v>364</v>
      </c>
    </row>
    <row r="4227">
      <c r="H4227" s="8" t="s">
        <v>364</v>
      </c>
    </row>
    <row r="4228">
      <c r="H4228" s="8" t="s">
        <v>364</v>
      </c>
    </row>
    <row r="4229">
      <c r="H4229" s="8" t="s">
        <v>364</v>
      </c>
    </row>
    <row r="4230">
      <c r="H4230" s="8" t="s">
        <v>364</v>
      </c>
    </row>
    <row r="4231">
      <c r="H4231" s="8" t="s">
        <v>364</v>
      </c>
    </row>
    <row r="4232">
      <c r="H4232" s="8" t="s">
        <v>364</v>
      </c>
    </row>
    <row r="4233">
      <c r="H4233" s="8" t="s">
        <v>364</v>
      </c>
    </row>
    <row r="4234">
      <c r="H4234" s="8" t="s">
        <v>364</v>
      </c>
    </row>
    <row r="4235">
      <c r="H4235" s="8" t="s">
        <v>364</v>
      </c>
    </row>
    <row r="4236">
      <c r="H4236" s="8" t="s">
        <v>364</v>
      </c>
    </row>
    <row r="4237">
      <c r="H4237" s="8" t="s">
        <v>364</v>
      </c>
    </row>
    <row r="4238">
      <c r="H4238" s="8" t="s">
        <v>364</v>
      </c>
    </row>
    <row r="4239">
      <c r="H4239" s="8" t="s">
        <v>364</v>
      </c>
    </row>
    <row r="4240">
      <c r="H4240" s="8" t="s">
        <v>364</v>
      </c>
    </row>
    <row r="4241">
      <c r="H4241" s="8" t="s">
        <v>364</v>
      </c>
    </row>
    <row r="4242">
      <c r="H4242" s="8" t="s">
        <v>364</v>
      </c>
    </row>
    <row r="4243">
      <c r="H4243" s="8" t="s">
        <v>364</v>
      </c>
    </row>
    <row r="4244">
      <c r="H4244" s="8" t="s">
        <v>364</v>
      </c>
    </row>
    <row r="4245">
      <c r="H4245" s="8" t="s">
        <v>364</v>
      </c>
    </row>
    <row r="4246">
      <c r="H4246" s="8" t="s">
        <v>364</v>
      </c>
    </row>
    <row r="4247">
      <c r="H4247" s="8" t="s">
        <v>364</v>
      </c>
    </row>
    <row r="4248">
      <c r="H4248" s="8" t="s">
        <v>364</v>
      </c>
    </row>
    <row r="4249">
      <c r="H4249" s="8" t="s">
        <v>364</v>
      </c>
    </row>
    <row r="4250">
      <c r="H4250" s="8" t="s">
        <v>364</v>
      </c>
    </row>
    <row r="4251">
      <c r="H4251" s="8" t="s">
        <v>364</v>
      </c>
    </row>
    <row r="4252">
      <c r="H4252" s="8" t="s">
        <v>364</v>
      </c>
    </row>
    <row r="4253">
      <c r="H4253" s="8" t="s">
        <v>364</v>
      </c>
    </row>
    <row r="4254">
      <c r="H4254" s="8" t="s">
        <v>364</v>
      </c>
    </row>
    <row r="4255">
      <c r="H4255" s="8" t="s">
        <v>364</v>
      </c>
    </row>
    <row r="4256">
      <c r="H4256" s="8" t="s">
        <v>364</v>
      </c>
    </row>
    <row r="4257">
      <c r="H4257" s="8" t="s">
        <v>364</v>
      </c>
    </row>
    <row r="4258">
      <c r="H4258" s="8" t="s">
        <v>364</v>
      </c>
    </row>
    <row r="4259">
      <c r="H4259" s="8" t="s">
        <v>364</v>
      </c>
    </row>
    <row r="4260">
      <c r="H4260" s="8" t="s">
        <v>364</v>
      </c>
    </row>
    <row r="4261">
      <c r="H4261" s="8" t="s">
        <v>364</v>
      </c>
    </row>
    <row r="4262">
      <c r="H4262" s="8" t="s">
        <v>364</v>
      </c>
    </row>
    <row r="4263">
      <c r="H4263" s="8" t="s">
        <v>364</v>
      </c>
    </row>
    <row r="4264">
      <c r="H4264" s="8" t="s">
        <v>364</v>
      </c>
    </row>
    <row r="4265">
      <c r="H4265" s="8" t="s">
        <v>364</v>
      </c>
    </row>
    <row r="4266">
      <c r="H4266" s="8" t="s">
        <v>364</v>
      </c>
    </row>
    <row r="4267">
      <c r="H4267" s="8" t="s">
        <v>364</v>
      </c>
    </row>
    <row r="4268">
      <c r="H4268" s="8" t="s">
        <v>364</v>
      </c>
    </row>
    <row r="4269">
      <c r="H4269" s="8" t="s">
        <v>364</v>
      </c>
    </row>
    <row r="4270">
      <c r="H4270" s="8" t="s">
        <v>364</v>
      </c>
    </row>
    <row r="4271">
      <c r="H4271" s="8" t="s">
        <v>364</v>
      </c>
    </row>
    <row r="4272">
      <c r="H4272" s="8" t="s">
        <v>364</v>
      </c>
    </row>
    <row r="4273">
      <c r="H4273" s="8" t="s">
        <v>364</v>
      </c>
    </row>
    <row r="4274">
      <c r="H4274" s="8" t="s">
        <v>364</v>
      </c>
    </row>
    <row r="4275">
      <c r="H4275" s="8" t="s">
        <v>364</v>
      </c>
    </row>
    <row r="4276">
      <c r="H4276" s="8" t="s">
        <v>364</v>
      </c>
    </row>
    <row r="4277">
      <c r="H4277" s="8" t="s">
        <v>364</v>
      </c>
    </row>
    <row r="4278">
      <c r="H4278" s="8" t="s">
        <v>364</v>
      </c>
    </row>
    <row r="4279">
      <c r="H4279" s="8" t="s">
        <v>364</v>
      </c>
    </row>
    <row r="4280">
      <c r="H4280" s="8" t="s">
        <v>364</v>
      </c>
    </row>
    <row r="4281">
      <c r="H4281" s="8" t="s">
        <v>364</v>
      </c>
    </row>
    <row r="4282">
      <c r="H4282" s="8" t="s">
        <v>364</v>
      </c>
    </row>
    <row r="4283">
      <c r="H4283" s="8" t="s">
        <v>364</v>
      </c>
    </row>
    <row r="4284">
      <c r="H4284" s="8" t="s">
        <v>364</v>
      </c>
    </row>
    <row r="4285">
      <c r="H4285" s="8" t="s">
        <v>364</v>
      </c>
    </row>
    <row r="4286">
      <c r="H4286" s="8" t="s">
        <v>364</v>
      </c>
    </row>
    <row r="4287">
      <c r="H4287" s="8" t="s">
        <v>364</v>
      </c>
    </row>
    <row r="4288">
      <c r="H4288" s="8" t="s">
        <v>364</v>
      </c>
    </row>
    <row r="4289">
      <c r="H4289" s="8" t="s">
        <v>364</v>
      </c>
    </row>
    <row r="4290">
      <c r="H4290" s="8" t="s">
        <v>364</v>
      </c>
    </row>
    <row r="4291">
      <c r="H4291" s="8" t="s">
        <v>364</v>
      </c>
    </row>
    <row r="4292">
      <c r="H4292" s="8" t="s">
        <v>364</v>
      </c>
    </row>
    <row r="4293">
      <c r="H4293" s="8" t="s">
        <v>364</v>
      </c>
    </row>
    <row r="4294">
      <c r="H4294" s="8" t="s">
        <v>364</v>
      </c>
    </row>
    <row r="4295">
      <c r="H4295" s="8" t="s">
        <v>364</v>
      </c>
    </row>
    <row r="4296">
      <c r="H4296" s="8" t="s">
        <v>364</v>
      </c>
    </row>
    <row r="4297">
      <c r="H4297" s="8" t="s">
        <v>364</v>
      </c>
    </row>
    <row r="4298">
      <c r="H4298" s="8" t="s">
        <v>364</v>
      </c>
    </row>
    <row r="4299">
      <c r="H4299" s="8" t="s">
        <v>364</v>
      </c>
    </row>
    <row r="4300">
      <c r="H4300" s="8" t="s">
        <v>364</v>
      </c>
    </row>
    <row r="4301">
      <c r="H4301" s="8" t="s">
        <v>364</v>
      </c>
    </row>
    <row r="4302">
      <c r="H4302" s="8" t="s">
        <v>364</v>
      </c>
    </row>
    <row r="4303">
      <c r="H4303" s="8" t="s">
        <v>364</v>
      </c>
    </row>
    <row r="4304">
      <c r="H4304" s="8" t="s">
        <v>364</v>
      </c>
    </row>
    <row r="4305">
      <c r="H4305" s="8" t="s">
        <v>364</v>
      </c>
    </row>
    <row r="4306">
      <c r="H4306" s="8" t="s">
        <v>364</v>
      </c>
    </row>
    <row r="4307">
      <c r="H4307" s="8" t="s">
        <v>364</v>
      </c>
    </row>
    <row r="4308">
      <c r="H4308" s="8" t="s">
        <v>364</v>
      </c>
    </row>
    <row r="4309">
      <c r="H4309" s="8" t="s">
        <v>364</v>
      </c>
    </row>
    <row r="4310">
      <c r="H4310" s="8" t="s">
        <v>364</v>
      </c>
    </row>
    <row r="4311">
      <c r="H4311" s="8" t="s">
        <v>364</v>
      </c>
    </row>
    <row r="4312">
      <c r="H4312" s="8" t="s">
        <v>364</v>
      </c>
    </row>
    <row r="4313">
      <c r="H4313" s="8" t="s">
        <v>364</v>
      </c>
    </row>
    <row r="4314">
      <c r="H4314" s="8" t="s">
        <v>364</v>
      </c>
    </row>
    <row r="4315">
      <c r="H4315" s="8" t="s">
        <v>364</v>
      </c>
    </row>
    <row r="4316">
      <c r="H4316" s="8" t="s">
        <v>364</v>
      </c>
    </row>
    <row r="4317">
      <c r="H4317" s="8" t="s">
        <v>364</v>
      </c>
    </row>
    <row r="4318">
      <c r="H4318" s="8" t="s">
        <v>364</v>
      </c>
    </row>
    <row r="4319">
      <c r="H4319" s="8" t="s">
        <v>364</v>
      </c>
    </row>
    <row r="4320">
      <c r="H4320" s="8" t="s">
        <v>364</v>
      </c>
    </row>
    <row r="4321">
      <c r="H4321" s="8" t="s">
        <v>364</v>
      </c>
    </row>
    <row r="4322">
      <c r="H4322" s="8" t="s">
        <v>364</v>
      </c>
    </row>
    <row r="4323">
      <c r="H4323" s="8" t="s">
        <v>364</v>
      </c>
    </row>
    <row r="4324">
      <c r="H4324" s="8" t="s">
        <v>364</v>
      </c>
    </row>
    <row r="4325">
      <c r="H4325" s="8" t="s">
        <v>364</v>
      </c>
    </row>
    <row r="4326">
      <c r="H4326" s="8" t="s">
        <v>364</v>
      </c>
    </row>
    <row r="4327">
      <c r="H4327" s="8" t="s">
        <v>364</v>
      </c>
    </row>
    <row r="4328">
      <c r="H4328" s="8" t="s">
        <v>364</v>
      </c>
    </row>
    <row r="4329">
      <c r="H4329" s="8" t="s">
        <v>364</v>
      </c>
    </row>
    <row r="4330">
      <c r="H4330" s="8" t="s">
        <v>364</v>
      </c>
    </row>
    <row r="4331">
      <c r="H4331" s="8" t="s">
        <v>364</v>
      </c>
    </row>
    <row r="4332">
      <c r="H4332" s="8" t="s">
        <v>364</v>
      </c>
    </row>
    <row r="4333">
      <c r="H4333" s="8" t="s">
        <v>364</v>
      </c>
    </row>
    <row r="4334">
      <c r="H4334" s="8" t="s">
        <v>364</v>
      </c>
    </row>
    <row r="4335">
      <c r="H4335" s="8" t="s">
        <v>364</v>
      </c>
    </row>
    <row r="4336">
      <c r="H4336" s="8" t="s">
        <v>364</v>
      </c>
    </row>
    <row r="4337">
      <c r="H4337" s="8" t="s">
        <v>364</v>
      </c>
    </row>
    <row r="4338">
      <c r="H4338" s="8" t="s">
        <v>364</v>
      </c>
    </row>
    <row r="4339">
      <c r="H4339" s="8" t="s">
        <v>364</v>
      </c>
    </row>
    <row r="4340">
      <c r="H4340" s="8" t="s">
        <v>364</v>
      </c>
    </row>
    <row r="4341">
      <c r="H4341" s="8" t="s">
        <v>364</v>
      </c>
    </row>
    <row r="4342">
      <c r="H4342" s="8" t="s">
        <v>364</v>
      </c>
    </row>
    <row r="4343">
      <c r="H4343" s="8" t="s">
        <v>364</v>
      </c>
    </row>
    <row r="4344">
      <c r="H4344" s="8" t="s">
        <v>364</v>
      </c>
    </row>
    <row r="4345">
      <c r="H4345" s="8" t="s">
        <v>364</v>
      </c>
    </row>
    <row r="4346">
      <c r="H4346" s="8" t="s">
        <v>364</v>
      </c>
    </row>
    <row r="4347">
      <c r="H4347" s="8" t="s">
        <v>364</v>
      </c>
    </row>
    <row r="4348">
      <c r="H4348" s="8" t="s">
        <v>364</v>
      </c>
    </row>
    <row r="4349">
      <c r="H4349" s="8" t="s">
        <v>364</v>
      </c>
    </row>
    <row r="4350">
      <c r="H4350" s="8" t="s">
        <v>364</v>
      </c>
    </row>
    <row r="4351">
      <c r="H4351" s="8" t="s">
        <v>364</v>
      </c>
    </row>
    <row r="4352">
      <c r="H4352" s="8" t="s">
        <v>364</v>
      </c>
    </row>
    <row r="4353">
      <c r="H4353" s="8" t="s">
        <v>364</v>
      </c>
    </row>
    <row r="4354">
      <c r="H4354" s="8" t="s">
        <v>364</v>
      </c>
    </row>
    <row r="4355">
      <c r="H4355" s="8" t="s">
        <v>364</v>
      </c>
    </row>
    <row r="4356">
      <c r="H4356" s="8" t="s">
        <v>364</v>
      </c>
    </row>
    <row r="4357">
      <c r="H4357" s="8" t="s">
        <v>364</v>
      </c>
    </row>
    <row r="4358">
      <c r="H4358" s="8" t="s">
        <v>364</v>
      </c>
    </row>
    <row r="4359">
      <c r="H4359" s="8" t="s">
        <v>364</v>
      </c>
    </row>
    <row r="4360">
      <c r="H4360" s="8" t="s">
        <v>364</v>
      </c>
    </row>
    <row r="4361">
      <c r="H4361" s="8" t="s">
        <v>364</v>
      </c>
    </row>
    <row r="4362">
      <c r="H4362" s="8" t="s">
        <v>364</v>
      </c>
    </row>
    <row r="4363">
      <c r="H4363" s="8" t="s">
        <v>364</v>
      </c>
    </row>
    <row r="4364">
      <c r="H4364" s="8" t="s">
        <v>364</v>
      </c>
    </row>
    <row r="4365">
      <c r="H4365" s="8" t="s">
        <v>364</v>
      </c>
    </row>
    <row r="4366">
      <c r="H4366" s="8" t="s">
        <v>364</v>
      </c>
    </row>
    <row r="4367">
      <c r="H4367" s="8" t="s">
        <v>364</v>
      </c>
    </row>
    <row r="4368">
      <c r="H4368" s="8" t="s">
        <v>364</v>
      </c>
    </row>
    <row r="4369">
      <c r="H4369" s="8" t="s">
        <v>364</v>
      </c>
    </row>
    <row r="4370">
      <c r="H4370" s="8" t="s">
        <v>364</v>
      </c>
    </row>
    <row r="4371">
      <c r="H4371" s="8" t="s">
        <v>364</v>
      </c>
    </row>
    <row r="4372">
      <c r="H4372" s="8" t="s">
        <v>364</v>
      </c>
    </row>
    <row r="4373">
      <c r="H4373" s="8" t="s">
        <v>364</v>
      </c>
    </row>
    <row r="4374">
      <c r="H4374" s="8" t="s">
        <v>364</v>
      </c>
    </row>
    <row r="4375">
      <c r="H4375" s="8" t="s">
        <v>364</v>
      </c>
    </row>
    <row r="4376">
      <c r="H4376" s="8" t="s">
        <v>364</v>
      </c>
    </row>
    <row r="4377">
      <c r="H4377" s="8" t="s">
        <v>364</v>
      </c>
    </row>
    <row r="4378">
      <c r="H4378" s="8" t="s">
        <v>364</v>
      </c>
    </row>
    <row r="4379">
      <c r="H4379" s="8" t="s">
        <v>364</v>
      </c>
    </row>
    <row r="4380">
      <c r="H4380" s="8" t="s">
        <v>364</v>
      </c>
    </row>
    <row r="4381">
      <c r="H4381" s="8" t="s">
        <v>364</v>
      </c>
    </row>
    <row r="4382">
      <c r="H4382" s="8" t="s">
        <v>364</v>
      </c>
    </row>
    <row r="4383">
      <c r="H4383" s="8" t="s">
        <v>364</v>
      </c>
    </row>
    <row r="4384">
      <c r="H4384" s="8" t="s">
        <v>364</v>
      </c>
    </row>
    <row r="4385">
      <c r="H4385" s="8" t="s">
        <v>364</v>
      </c>
    </row>
    <row r="4386">
      <c r="H4386" s="8" t="s">
        <v>364</v>
      </c>
    </row>
    <row r="4387">
      <c r="H4387" s="8" t="s">
        <v>364</v>
      </c>
    </row>
    <row r="4388">
      <c r="H4388" s="8" t="s">
        <v>364</v>
      </c>
    </row>
    <row r="4389">
      <c r="H4389" s="8" t="s">
        <v>364</v>
      </c>
    </row>
    <row r="4390">
      <c r="H4390" s="8" t="s">
        <v>364</v>
      </c>
    </row>
    <row r="4391">
      <c r="H4391" s="8" t="s">
        <v>364</v>
      </c>
    </row>
    <row r="4392">
      <c r="H4392" s="8" t="s">
        <v>364</v>
      </c>
    </row>
    <row r="4393">
      <c r="H4393" s="8" t="s">
        <v>364</v>
      </c>
    </row>
    <row r="4394">
      <c r="H4394" s="8" t="s">
        <v>364</v>
      </c>
    </row>
    <row r="4395">
      <c r="H4395" s="8" t="s">
        <v>364</v>
      </c>
    </row>
    <row r="4396">
      <c r="H4396" s="8" t="s">
        <v>364</v>
      </c>
    </row>
    <row r="4397">
      <c r="H4397" s="8" t="s">
        <v>364</v>
      </c>
    </row>
    <row r="4398">
      <c r="H4398" s="8" t="s">
        <v>364</v>
      </c>
    </row>
    <row r="4399">
      <c r="H4399" s="8" t="s">
        <v>364</v>
      </c>
    </row>
    <row r="4400">
      <c r="H4400" s="8" t="s">
        <v>364</v>
      </c>
    </row>
    <row r="4401">
      <c r="H4401" s="8" t="s">
        <v>364</v>
      </c>
    </row>
    <row r="4402">
      <c r="H4402" s="8" t="s">
        <v>364</v>
      </c>
    </row>
    <row r="4403">
      <c r="H4403" s="8" t="s">
        <v>364</v>
      </c>
    </row>
    <row r="4404">
      <c r="H4404" s="8" t="s">
        <v>364</v>
      </c>
    </row>
    <row r="4405">
      <c r="H4405" s="8" t="s">
        <v>364</v>
      </c>
    </row>
    <row r="4406">
      <c r="H4406" s="8" t="s">
        <v>364</v>
      </c>
    </row>
    <row r="4407">
      <c r="H4407" s="8" t="s">
        <v>364</v>
      </c>
    </row>
    <row r="4408">
      <c r="H4408" s="8" t="s">
        <v>364</v>
      </c>
    </row>
    <row r="4409">
      <c r="H4409" s="8" t="s">
        <v>364</v>
      </c>
    </row>
    <row r="4410">
      <c r="H4410" s="8" t="s">
        <v>364</v>
      </c>
    </row>
    <row r="4411">
      <c r="H4411" s="8" t="s">
        <v>364</v>
      </c>
    </row>
    <row r="4412">
      <c r="H4412" s="8" t="s">
        <v>364</v>
      </c>
    </row>
    <row r="4413">
      <c r="H4413" s="8" t="s">
        <v>364</v>
      </c>
    </row>
    <row r="4414">
      <c r="H4414" s="8" t="s">
        <v>364</v>
      </c>
    </row>
    <row r="4415">
      <c r="H4415" s="8" t="s">
        <v>364</v>
      </c>
    </row>
    <row r="4416">
      <c r="H4416" s="8" t="s">
        <v>364</v>
      </c>
    </row>
    <row r="4417">
      <c r="H4417" s="8" t="s">
        <v>364</v>
      </c>
    </row>
    <row r="4418">
      <c r="H4418" s="8" t="s">
        <v>364</v>
      </c>
    </row>
    <row r="4419">
      <c r="H4419" s="8" t="s">
        <v>364</v>
      </c>
    </row>
    <row r="4420">
      <c r="H4420" s="8" t="s">
        <v>364</v>
      </c>
    </row>
    <row r="4421">
      <c r="H4421" s="8" t="s">
        <v>364</v>
      </c>
    </row>
    <row r="4422">
      <c r="H4422" s="8" t="s">
        <v>364</v>
      </c>
    </row>
    <row r="4423">
      <c r="H4423" s="8" t="s">
        <v>364</v>
      </c>
    </row>
    <row r="4424">
      <c r="H4424" s="8" t="s">
        <v>364</v>
      </c>
    </row>
    <row r="4425">
      <c r="H4425" s="8" t="s">
        <v>364</v>
      </c>
    </row>
    <row r="4426">
      <c r="H4426" s="8" t="s">
        <v>364</v>
      </c>
    </row>
    <row r="4427">
      <c r="H4427" s="8" t="s">
        <v>364</v>
      </c>
    </row>
    <row r="4428">
      <c r="H4428" s="8" t="s">
        <v>364</v>
      </c>
    </row>
    <row r="4429">
      <c r="H4429" s="8" t="s">
        <v>364</v>
      </c>
    </row>
    <row r="4430">
      <c r="H4430" s="8" t="s">
        <v>364</v>
      </c>
    </row>
    <row r="4431">
      <c r="H4431" s="8" t="s">
        <v>364</v>
      </c>
    </row>
    <row r="4432">
      <c r="H4432" s="8" t="s">
        <v>364</v>
      </c>
    </row>
    <row r="4433">
      <c r="H4433" s="8" t="s">
        <v>364</v>
      </c>
    </row>
    <row r="4434">
      <c r="H4434" s="8" t="s">
        <v>364</v>
      </c>
    </row>
    <row r="4435">
      <c r="H4435" s="8" t="s">
        <v>364</v>
      </c>
    </row>
    <row r="4436">
      <c r="H4436" s="8" t="s">
        <v>364</v>
      </c>
    </row>
    <row r="4437">
      <c r="H4437" s="8" t="s">
        <v>364</v>
      </c>
    </row>
    <row r="4438">
      <c r="H4438" s="8" t="s">
        <v>364</v>
      </c>
    </row>
    <row r="4439">
      <c r="H4439" s="8" t="s">
        <v>364</v>
      </c>
    </row>
    <row r="4440">
      <c r="H4440" s="8" t="s">
        <v>364</v>
      </c>
    </row>
    <row r="4441">
      <c r="H4441" s="8" t="s">
        <v>364</v>
      </c>
    </row>
    <row r="4442">
      <c r="H4442" s="8" t="s">
        <v>364</v>
      </c>
    </row>
    <row r="4443">
      <c r="H4443" s="8" t="s">
        <v>364</v>
      </c>
    </row>
    <row r="4444">
      <c r="H4444" s="8" t="s">
        <v>364</v>
      </c>
    </row>
    <row r="4445">
      <c r="H4445" s="8" t="s">
        <v>364</v>
      </c>
    </row>
    <row r="4446">
      <c r="H4446" s="8" t="s">
        <v>364</v>
      </c>
    </row>
    <row r="4447">
      <c r="H4447" s="8" t="s">
        <v>364</v>
      </c>
    </row>
    <row r="4448">
      <c r="H4448" s="8" t="s">
        <v>364</v>
      </c>
    </row>
    <row r="4449">
      <c r="H4449" s="8" t="s">
        <v>364</v>
      </c>
    </row>
    <row r="4450">
      <c r="H4450" s="8" t="s">
        <v>364</v>
      </c>
    </row>
    <row r="4451">
      <c r="H4451" s="8" t="s">
        <v>364</v>
      </c>
    </row>
    <row r="4452">
      <c r="H4452" s="8" t="s">
        <v>364</v>
      </c>
    </row>
    <row r="4453">
      <c r="H4453" s="8" t="s">
        <v>364</v>
      </c>
    </row>
    <row r="4454">
      <c r="H4454" s="8" t="s">
        <v>364</v>
      </c>
    </row>
    <row r="4455">
      <c r="H4455" s="8" t="s">
        <v>364</v>
      </c>
    </row>
    <row r="4456">
      <c r="H4456" s="8" t="s">
        <v>364</v>
      </c>
    </row>
    <row r="4457">
      <c r="H4457" s="8" t="s">
        <v>364</v>
      </c>
    </row>
    <row r="4458">
      <c r="H4458" s="8" t="s">
        <v>364</v>
      </c>
    </row>
    <row r="4459">
      <c r="H4459" s="8" t="s">
        <v>364</v>
      </c>
    </row>
    <row r="4460">
      <c r="H4460" s="8" t="s">
        <v>364</v>
      </c>
    </row>
    <row r="4461">
      <c r="H4461" s="8" t="s">
        <v>364</v>
      </c>
    </row>
    <row r="4462">
      <c r="H4462" s="8" t="s">
        <v>364</v>
      </c>
    </row>
    <row r="4463">
      <c r="H4463" s="8" t="s">
        <v>364</v>
      </c>
    </row>
    <row r="4464">
      <c r="H4464" s="8" t="s">
        <v>364</v>
      </c>
    </row>
    <row r="4465">
      <c r="H4465" s="8" t="s">
        <v>364</v>
      </c>
    </row>
    <row r="4466">
      <c r="H4466" s="8" t="s">
        <v>364</v>
      </c>
    </row>
    <row r="4467">
      <c r="H4467" s="8" t="s">
        <v>364</v>
      </c>
    </row>
    <row r="4468">
      <c r="H4468" s="8" t="s">
        <v>364</v>
      </c>
    </row>
    <row r="4469">
      <c r="H4469" s="8" t="s">
        <v>364</v>
      </c>
    </row>
    <row r="4470">
      <c r="H4470" s="8" t="s">
        <v>364</v>
      </c>
    </row>
    <row r="4471">
      <c r="H4471" s="8" t="s">
        <v>364</v>
      </c>
    </row>
    <row r="4472">
      <c r="H4472" s="8" t="s">
        <v>364</v>
      </c>
    </row>
    <row r="4473">
      <c r="H4473" s="8" t="s">
        <v>364</v>
      </c>
    </row>
    <row r="4474">
      <c r="H4474" s="8" t="s">
        <v>364</v>
      </c>
    </row>
    <row r="4475">
      <c r="H4475" s="8" t="s">
        <v>364</v>
      </c>
    </row>
    <row r="4476">
      <c r="H4476" s="8" t="s">
        <v>364</v>
      </c>
    </row>
    <row r="4477">
      <c r="H4477" s="8" t="s">
        <v>364</v>
      </c>
    </row>
    <row r="4478">
      <c r="H4478" s="8" t="s">
        <v>364</v>
      </c>
    </row>
    <row r="4479">
      <c r="H4479" s="8" t="s">
        <v>364</v>
      </c>
    </row>
    <row r="4480">
      <c r="H4480" s="8" t="s">
        <v>364</v>
      </c>
    </row>
    <row r="4481">
      <c r="H4481" s="8" t="s">
        <v>364</v>
      </c>
    </row>
    <row r="4482">
      <c r="H4482" s="8" t="s">
        <v>364</v>
      </c>
    </row>
    <row r="4483">
      <c r="H4483" s="8" t="s">
        <v>364</v>
      </c>
    </row>
    <row r="4484">
      <c r="H4484" s="8" t="s">
        <v>364</v>
      </c>
    </row>
    <row r="4485">
      <c r="H4485" s="8" t="s">
        <v>364</v>
      </c>
    </row>
    <row r="4486">
      <c r="H4486" s="8" t="s">
        <v>364</v>
      </c>
    </row>
    <row r="4487">
      <c r="H4487" s="8" t="s">
        <v>364</v>
      </c>
    </row>
    <row r="4488">
      <c r="H4488" s="8" t="s">
        <v>364</v>
      </c>
    </row>
    <row r="4489">
      <c r="H4489" s="8" t="s">
        <v>364</v>
      </c>
    </row>
    <row r="4490">
      <c r="H4490" s="8" t="s">
        <v>364</v>
      </c>
    </row>
    <row r="4491">
      <c r="H4491" s="8" t="s">
        <v>364</v>
      </c>
    </row>
    <row r="4492">
      <c r="H4492" s="8" t="s">
        <v>364</v>
      </c>
    </row>
    <row r="4493">
      <c r="H4493" s="8" t="s">
        <v>364</v>
      </c>
    </row>
    <row r="4494">
      <c r="H4494" s="8" t="s">
        <v>364</v>
      </c>
    </row>
    <row r="4495">
      <c r="H4495" s="8" t="s">
        <v>364</v>
      </c>
    </row>
    <row r="4496">
      <c r="H4496" s="8" t="s">
        <v>364</v>
      </c>
    </row>
    <row r="4497">
      <c r="H4497" s="8" t="s">
        <v>364</v>
      </c>
    </row>
    <row r="4498">
      <c r="H4498" s="8" t="s">
        <v>364</v>
      </c>
    </row>
    <row r="4499">
      <c r="H4499" s="8" t="s">
        <v>364</v>
      </c>
    </row>
    <row r="4500">
      <c r="H4500" s="8" t="s">
        <v>364</v>
      </c>
    </row>
    <row r="4501">
      <c r="H4501" s="8" t="s">
        <v>364</v>
      </c>
    </row>
    <row r="4502">
      <c r="H4502" s="8" t="s">
        <v>364</v>
      </c>
    </row>
    <row r="4503">
      <c r="H4503" s="8" t="s">
        <v>364</v>
      </c>
    </row>
    <row r="4504">
      <c r="H4504" s="8" t="s">
        <v>364</v>
      </c>
    </row>
    <row r="4505">
      <c r="H4505" s="8" t="s">
        <v>364</v>
      </c>
    </row>
    <row r="4506">
      <c r="H4506" s="8" t="s">
        <v>364</v>
      </c>
    </row>
    <row r="4507">
      <c r="H4507" s="8" t="s">
        <v>364</v>
      </c>
    </row>
    <row r="4508">
      <c r="H4508" s="8" t="s">
        <v>364</v>
      </c>
    </row>
    <row r="4509">
      <c r="H4509" s="8" t="s">
        <v>364</v>
      </c>
    </row>
    <row r="4510">
      <c r="H4510" s="8" t="s">
        <v>364</v>
      </c>
    </row>
    <row r="4511">
      <c r="H4511" s="8" t="s">
        <v>364</v>
      </c>
    </row>
    <row r="4512">
      <c r="H4512" s="8" t="s">
        <v>364</v>
      </c>
    </row>
    <row r="4513">
      <c r="H4513" s="8" t="s">
        <v>364</v>
      </c>
    </row>
    <row r="4514">
      <c r="H4514" s="8" t="s">
        <v>364</v>
      </c>
    </row>
    <row r="4515">
      <c r="H4515" s="8" t="s">
        <v>364</v>
      </c>
    </row>
    <row r="4516">
      <c r="H4516" s="8" t="s">
        <v>364</v>
      </c>
    </row>
    <row r="4517">
      <c r="H4517" s="8" t="s">
        <v>364</v>
      </c>
    </row>
    <row r="4518">
      <c r="H4518" s="8" t="s">
        <v>364</v>
      </c>
    </row>
    <row r="4519">
      <c r="H4519" s="8" t="s">
        <v>364</v>
      </c>
    </row>
    <row r="4520">
      <c r="H4520" s="8" t="s">
        <v>364</v>
      </c>
    </row>
    <row r="4521">
      <c r="H4521" s="8" t="s">
        <v>364</v>
      </c>
    </row>
    <row r="4522">
      <c r="H4522" s="8" t="s">
        <v>364</v>
      </c>
    </row>
    <row r="4523">
      <c r="H4523" s="8" t="s">
        <v>364</v>
      </c>
    </row>
    <row r="4524">
      <c r="H4524" s="8" t="s">
        <v>364</v>
      </c>
    </row>
    <row r="4525">
      <c r="H4525" s="8" t="s">
        <v>364</v>
      </c>
    </row>
    <row r="4526">
      <c r="H4526" s="8" t="s">
        <v>364</v>
      </c>
    </row>
    <row r="4527">
      <c r="H4527" s="8" t="s">
        <v>364</v>
      </c>
    </row>
    <row r="4528">
      <c r="H4528" s="8" t="s">
        <v>364</v>
      </c>
    </row>
    <row r="4529">
      <c r="H4529" s="8" t="s">
        <v>364</v>
      </c>
    </row>
    <row r="4530">
      <c r="H4530" s="8" t="s">
        <v>364</v>
      </c>
    </row>
    <row r="4531">
      <c r="H4531" s="8" t="s">
        <v>364</v>
      </c>
    </row>
    <row r="4532">
      <c r="H4532" s="8" t="s">
        <v>364</v>
      </c>
    </row>
    <row r="4533">
      <c r="H4533" s="8" t="s">
        <v>364</v>
      </c>
    </row>
    <row r="4534">
      <c r="H4534" s="8" t="s">
        <v>364</v>
      </c>
    </row>
    <row r="4535">
      <c r="H4535" s="8" t="s">
        <v>364</v>
      </c>
    </row>
    <row r="4536">
      <c r="H4536" s="8" t="s">
        <v>364</v>
      </c>
    </row>
    <row r="4537">
      <c r="H4537" s="8" t="s">
        <v>364</v>
      </c>
    </row>
    <row r="4538">
      <c r="H4538" s="8" t="s">
        <v>364</v>
      </c>
    </row>
    <row r="4539">
      <c r="H4539" s="8" t="s">
        <v>364</v>
      </c>
    </row>
    <row r="4540">
      <c r="H4540" s="8" t="s">
        <v>364</v>
      </c>
    </row>
    <row r="4541">
      <c r="H4541" s="8" t="s">
        <v>364</v>
      </c>
    </row>
    <row r="4542">
      <c r="H4542" s="8" t="s">
        <v>364</v>
      </c>
    </row>
    <row r="4543">
      <c r="H4543" s="8" t="s">
        <v>364</v>
      </c>
    </row>
    <row r="4544">
      <c r="H4544" s="8" t="s">
        <v>364</v>
      </c>
    </row>
    <row r="4545">
      <c r="H4545" s="8" t="s">
        <v>364</v>
      </c>
    </row>
    <row r="4546">
      <c r="H4546" s="8" t="s">
        <v>364</v>
      </c>
    </row>
    <row r="4547">
      <c r="H4547" s="8" t="s">
        <v>364</v>
      </c>
    </row>
    <row r="4548">
      <c r="H4548" s="8" t="s">
        <v>364</v>
      </c>
    </row>
    <row r="4549">
      <c r="H4549" s="8" t="s">
        <v>364</v>
      </c>
    </row>
    <row r="4550">
      <c r="H4550" s="8" t="s">
        <v>364</v>
      </c>
    </row>
    <row r="4551">
      <c r="H4551" s="8" t="s">
        <v>364</v>
      </c>
    </row>
    <row r="4552">
      <c r="H4552" s="8" t="s">
        <v>364</v>
      </c>
    </row>
    <row r="4553">
      <c r="H4553" s="8" t="s">
        <v>364</v>
      </c>
    </row>
    <row r="4554">
      <c r="H4554" s="8" t="s">
        <v>364</v>
      </c>
    </row>
    <row r="4555">
      <c r="H4555" s="8" t="s">
        <v>364</v>
      </c>
    </row>
    <row r="4556">
      <c r="H4556" s="8" t="s">
        <v>364</v>
      </c>
    </row>
    <row r="4557">
      <c r="H4557" s="8" t="s">
        <v>364</v>
      </c>
    </row>
    <row r="4558">
      <c r="H4558" s="8" t="s">
        <v>364</v>
      </c>
    </row>
    <row r="4559">
      <c r="H4559" s="8" t="s">
        <v>364</v>
      </c>
    </row>
    <row r="4560">
      <c r="H4560" s="8" t="s">
        <v>364</v>
      </c>
    </row>
    <row r="4561">
      <c r="H4561" s="8" t="s">
        <v>364</v>
      </c>
    </row>
    <row r="4562">
      <c r="H4562" s="8" t="s">
        <v>364</v>
      </c>
    </row>
    <row r="4563">
      <c r="H4563" s="8" t="s">
        <v>364</v>
      </c>
    </row>
    <row r="4564">
      <c r="H4564" s="8" t="s">
        <v>364</v>
      </c>
    </row>
    <row r="4565">
      <c r="H4565" s="8" t="s">
        <v>364</v>
      </c>
    </row>
    <row r="4566">
      <c r="H4566" s="8" t="s">
        <v>364</v>
      </c>
    </row>
    <row r="4567">
      <c r="H4567" s="8" t="s">
        <v>364</v>
      </c>
    </row>
    <row r="4568">
      <c r="H4568" s="8" t="s">
        <v>364</v>
      </c>
    </row>
    <row r="4569">
      <c r="H4569" s="8" t="s">
        <v>364</v>
      </c>
    </row>
    <row r="4570">
      <c r="H4570" s="8" t="s">
        <v>364</v>
      </c>
    </row>
    <row r="4571">
      <c r="H4571" s="8" t="s">
        <v>364</v>
      </c>
    </row>
    <row r="4572">
      <c r="H4572" s="8" t="s">
        <v>364</v>
      </c>
    </row>
    <row r="4573">
      <c r="H4573" s="8" t="s">
        <v>364</v>
      </c>
    </row>
    <row r="4574">
      <c r="H4574" s="8" t="s">
        <v>364</v>
      </c>
    </row>
    <row r="4575">
      <c r="H4575" s="8" t="s">
        <v>364</v>
      </c>
    </row>
    <row r="4576">
      <c r="H4576" s="8" t="s">
        <v>364</v>
      </c>
    </row>
    <row r="4577">
      <c r="H4577" s="8" t="s">
        <v>364</v>
      </c>
    </row>
    <row r="4578">
      <c r="H4578" s="8" t="s">
        <v>364</v>
      </c>
    </row>
    <row r="4579">
      <c r="H4579" s="8" t="s">
        <v>364</v>
      </c>
    </row>
    <row r="4580">
      <c r="H4580" s="8" t="s">
        <v>364</v>
      </c>
    </row>
    <row r="4581">
      <c r="H4581" s="8" t="s">
        <v>364</v>
      </c>
    </row>
    <row r="4582">
      <c r="H4582" s="8" t="s">
        <v>364</v>
      </c>
    </row>
    <row r="4583">
      <c r="H4583" s="8" t="s">
        <v>364</v>
      </c>
    </row>
    <row r="4584">
      <c r="H4584" s="8" t="s">
        <v>364</v>
      </c>
    </row>
    <row r="4585">
      <c r="H4585" s="8" t="s">
        <v>364</v>
      </c>
    </row>
    <row r="4586">
      <c r="H4586" s="8" t="s">
        <v>364</v>
      </c>
    </row>
    <row r="4587">
      <c r="H4587" s="8" t="s">
        <v>364</v>
      </c>
    </row>
    <row r="4588">
      <c r="H4588" s="8" t="s">
        <v>364</v>
      </c>
    </row>
    <row r="4589">
      <c r="H4589" s="8" t="s">
        <v>364</v>
      </c>
    </row>
    <row r="4590">
      <c r="H4590" s="8" t="s">
        <v>364</v>
      </c>
    </row>
    <row r="4591">
      <c r="H4591" s="8" t="s">
        <v>364</v>
      </c>
    </row>
    <row r="4592">
      <c r="H4592" s="8" t="s">
        <v>364</v>
      </c>
    </row>
    <row r="4593">
      <c r="H4593" s="8" t="s">
        <v>364</v>
      </c>
    </row>
    <row r="4594">
      <c r="H4594" s="8" t="s">
        <v>364</v>
      </c>
    </row>
    <row r="4595">
      <c r="H4595" s="8" t="s">
        <v>364</v>
      </c>
    </row>
    <row r="4596">
      <c r="H4596" s="8" t="s">
        <v>364</v>
      </c>
    </row>
    <row r="4597">
      <c r="H4597" s="8" t="s">
        <v>364</v>
      </c>
    </row>
    <row r="4598">
      <c r="H4598" s="8" t="s">
        <v>364</v>
      </c>
    </row>
    <row r="4599">
      <c r="H4599" s="8" t="s">
        <v>364</v>
      </c>
    </row>
    <row r="4600">
      <c r="H4600" s="8" t="s">
        <v>364</v>
      </c>
    </row>
    <row r="4601">
      <c r="H4601" s="8" t="s">
        <v>364</v>
      </c>
    </row>
    <row r="4602">
      <c r="H4602" s="8" t="s">
        <v>364</v>
      </c>
    </row>
    <row r="4603">
      <c r="H4603" s="8" t="s">
        <v>364</v>
      </c>
    </row>
    <row r="4604">
      <c r="H4604" s="8" t="s">
        <v>364</v>
      </c>
    </row>
    <row r="4605">
      <c r="H4605" s="8" t="s">
        <v>364</v>
      </c>
    </row>
    <row r="4606">
      <c r="H4606" s="8" t="s">
        <v>364</v>
      </c>
    </row>
    <row r="4607">
      <c r="H4607" s="8" t="s">
        <v>364</v>
      </c>
    </row>
    <row r="4608">
      <c r="H4608" s="8" t="s">
        <v>364</v>
      </c>
    </row>
    <row r="4609">
      <c r="H4609" s="8" t="s">
        <v>364</v>
      </c>
    </row>
    <row r="4610">
      <c r="H4610" s="8" t="s">
        <v>364</v>
      </c>
    </row>
    <row r="4611">
      <c r="H4611" s="8" t="s">
        <v>364</v>
      </c>
    </row>
    <row r="4612">
      <c r="H4612" s="8" t="s">
        <v>364</v>
      </c>
    </row>
    <row r="4613">
      <c r="H4613" s="8" t="s">
        <v>364</v>
      </c>
    </row>
    <row r="4614">
      <c r="H4614" s="8" t="s">
        <v>364</v>
      </c>
    </row>
    <row r="4615">
      <c r="H4615" s="8" t="s">
        <v>364</v>
      </c>
    </row>
    <row r="4616">
      <c r="H4616" s="8" t="s">
        <v>364</v>
      </c>
    </row>
    <row r="4617">
      <c r="H4617" s="8" t="s">
        <v>364</v>
      </c>
    </row>
    <row r="4618">
      <c r="H4618" s="8" t="s">
        <v>364</v>
      </c>
    </row>
    <row r="4619">
      <c r="H4619" s="8" t="s">
        <v>364</v>
      </c>
    </row>
    <row r="4620">
      <c r="H4620" s="8" t="s">
        <v>364</v>
      </c>
    </row>
    <row r="4621">
      <c r="H4621" s="8" t="s">
        <v>364</v>
      </c>
    </row>
    <row r="4622">
      <c r="H4622" s="8" t="s">
        <v>364</v>
      </c>
    </row>
    <row r="4623">
      <c r="H4623" s="8" t="s">
        <v>364</v>
      </c>
    </row>
    <row r="4624">
      <c r="H4624" s="8" t="s">
        <v>364</v>
      </c>
    </row>
    <row r="4625">
      <c r="H4625" s="8" t="s">
        <v>364</v>
      </c>
    </row>
    <row r="4626">
      <c r="H4626" s="8" t="s">
        <v>364</v>
      </c>
    </row>
    <row r="4627">
      <c r="H4627" s="8" t="s">
        <v>364</v>
      </c>
    </row>
    <row r="4628">
      <c r="H4628" s="8" t="s">
        <v>364</v>
      </c>
    </row>
    <row r="4629">
      <c r="H4629" s="8" t="s">
        <v>364</v>
      </c>
    </row>
    <row r="4630">
      <c r="H4630" s="8" t="s">
        <v>364</v>
      </c>
    </row>
    <row r="4631">
      <c r="H4631" s="8" t="s">
        <v>364</v>
      </c>
    </row>
    <row r="4632">
      <c r="H4632" s="8" t="s">
        <v>364</v>
      </c>
    </row>
    <row r="4633">
      <c r="H4633" s="8" t="s">
        <v>364</v>
      </c>
    </row>
    <row r="4634">
      <c r="H4634" s="8" t="s">
        <v>364</v>
      </c>
    </row>
    <row r="4635">
      <c r="H4635" s="8" t="s">
        <v>364</v>
      </c>
    </row>
    <row r="4636">
      <c r="H4636" s="8" t="s">
        <v>364</v>
      </c>
    </row>
    <row r="4637">
      <c r="H4637" s="8" t="s">
        <v>364</v>
      </c>
    </row>
    <row r="4638">
      <c r="H4638" s="8" t="s">
        <v>364</v>
      </c>
    </row>
    <row r="4639">
      <c r="H4639" s="8" t="s">
        <v>364</v>
      </c>
    </row>
    <row r="4640">
      <c r="H4640" s="8" t="s">
        <v>364</v>
      </c>
    </row>
    <row r="4641">
      <c r="H4641" s="8" t="s">
        <v>364</v>
      </c>
    </row>
    <row r="4642">
      <c r="H4642" s="8" t="s">
        <v>364</v>
      </c>
    </row>
    <row r="4643">
      <c r="H4643" s="8" t="s">
        <v>364</v>
      </c>
    </row>
    <row r="4644">
      <c r="H4644" s="8" t="s">
        <v>364</v>
      </c>
    </row>
    <row r="4645">
      <c r="H4645" s="8" t="s">
        <v>364</v>
      </c>
    </row>
    <row r="4646">
      <c r="H4646" s="8" t="s">
        <v>364</v>
      </c>
    </row>
    <row r="4647">
      <c r="H4647" s="8" t="s">
        <v>364</v>
      </c>
    </row>
    <row r="4648">
      <c r="H4648" s="8" t="s">
        <v>364</v>
      </c>
    </row>
    <row r="4649">
      <c r="H4649" s="8" t="s">
        <v>364</v>
      </c>
    </row>
    <row r="4650">
      <c r="H4650" s="8" t="s">
        <v>364</v>
      </c>
    </row>
    <row r="4651">
      <c r="H4651" s="8" t="s">
        <v>364</v>
      </c>
    </row>
    <row r="4652">
      <c r="H4652" s="8" t="s">
        <v>364</v>
      </c>
    </row>
    <row r="4653">
      <c r="H4653" s="8" t="s">
        <v>364</v>
      </c>
    </row>
    <row r="4654">
      <c r="H4654" s="8" t="s">
        <v>364</v>
      </c>
    </row>
    <row r="4655">
      <c r="H4655" s="8" t="s">
        <v>364</v>
      </c>
    </row>
    <row r="4656">
      <c r="H4656" s="8" t="s">
        <v>364</v>
      </c>
    </row>
    <row r="4657">
      <c r="H4657" s="8" t="s">
        <v>364</v>
      </c>
    </row>
    <row r="4658">
      <c r="H4658" s="8" t="s">
        <v>364</v>
      </c>
    </row>
    <row r="4659">
      <c r="H4659" s="8" t="s">
        <v>364</v>
      </c>
    </row>
    <row r="4660">
      <c r="H4660" s="8" t="s">
        <v>364</v>
      </c>
    </row>
    <row r="4661">
      <c r="H4661" s="8" t="s">
        <v>364</v>
      </c>
    </row>
    <row r="4662">
      <c r="H4662" s="8" t="s">
        <v>364</v>
      </c>
    </row>
    <row r="4663">
      <c r="H4663" s="8" t="s">
        <v>364</v>
      </c>
    </row>
    <row r="4664">
      <c r="H4664" s="8" t="s">
        <v>364</v>
      </c>
    </row>
    <row r="4665">
      <c r="H4665" s="8" t="s">
        <v>364</v>
      </c>
    </row>
    <row r="4666">
      <c r="H4666" s="8" t="s">
        <v>364</v>
      </c>
    </row>
    <row r="4667">
      <c r="H4667" s="8" t="s">
        <v>364</v>
      </c>
    </row>
    <row r="4668">
      <c r="H4668" s="8" t="s">
        <v>364</v>
      </c>
    </row>
    <row r="4669">
      <c r="H4669" s="8" t="s">
        <v>364</v>
      </c>
    </row>
    <row r="4670">
      <c r="H4670" s="8" t="s">
        <v>364</v>
      </c>
    </row>
    <row r="4671">
      <c r="H4671" s="8" t="s">
        <v>364</v>
      </c>
    </row>
    <row r="4672">
      <c r="H4672" s="8" t="s">
        <v>364</v>
      </c>
    </row>
    <row r="4673">
      <c r="H4673" s="8" t="s">
        <v>364</v>
      </c>
    </row>
    <row r="4674">
      <c r="H4674" s="8" t="s">
        <v>364</v>
      </c>
    </row>
    <row r="4675">
      <c r="H4675" s="8" t="s">
        <v>364</v>
      </c>
    </row>
    <row r="4676">
      <c r="H4676" s="8" t="s">
        <v>364</v>
      </c>
    </row>
    <row r="4677">
      <c r="H4677" s="8" t="s">
        <v>364</v>
      </c>
    </row>
    <row r="4678">
      <c r="H4678" s="8" t="s">
        <v>364</v>
      </c>
    </row>
    <row r="4679">
      <c r="H4679" s="8" t="s">
        <v>364</v>
      </c>
    </row>
    <row r="4680">
      <c r="H4680" s="8" t="s">
        <v>364</v>
      </c>
    </row>
    <row r="4681">
      <c r="H4681" s="8" t="s">
        <v>364</v>
      </c>
    </row>
    <row r="4682">
      <c r="H4682" s="8" t="s">
        <v>364</v>
      </c>
    </row>
    <row r="4683">
      <c r="H4683" s="8" t="s">
        <v>364</v>
      </c>
    </row>
    <row r="4684">
      <c r="H4684" s="8" t="s">
        <v>364</v>
      </c>
    </row>
    <row r="4685">
      <c r="H4685" s="8" t="s">
        <v>364</v>
      </c>
    </row>
    <row r="4686">
      <c r="H4686" s="8" t="s">
        <v>364</v>
      </c>
    </row>
    <row r="4687">
      <c r="H4687" s="8" t="s">
        <v>364</v>
      </c>
    </row>
    <row r="4688">
      <c r="H4688" s="8" t="s">
        <v>364</v>
      </c>
    </row>
    <row r="4689">
      <c r="H4689" s="8" t="s">
        <v>364</v>
      </c>
    </row>
    <row r="4690">
      <c r="H4690" s="8" t="s">
        <v>364</v>
      </c>
    </row>
    <row r="4691">
      <c r="H4691" s="8" t="s">
        <v>364</v>
      </c>
    </row>
    <row r="4692">
      <c r="H4692" s="8" t="s">
        <v>364</v>
      </c>
    </row>
    <row r="4693">
      <c r="H4693" s="8" t="s">
        <v>364</v>
      </c>
    </row>
    <row r="4694">
      <c r="H4694" s="8" t="s">
        <v>364</v>
      </c>
    </row>
    <row r="4695">
      <c r="H4695" s="8" t="s">
        <v>364</v>
      </c>
    </row>
    <row r="4696">
      <c r="H4696" s="8" t="s">
        <v>364</v>
      </c>
    </row>
    <row r="4697">
      <c r="H4697" s="8" t="s">
        <v>364</v>
      </c>
    </row>
    <row r="4698">
      <c r="H4698" s="8" t="s">
        <v>364</v>
      </c>
    </row>
    <row r="4699">
      <c r="H4699" s="8" t="s">
        <v>364</v>
      </c>
    </row>
    <row r="4700">
      <c r="H4700" s="8" t="s">
        <v>364</v>
      </c>
    </row>
    <row r="4701">
      <c r="H4701" s="8" t="s">
        <v>364</v>
      </c>
    </row>
    <row r="4702">
      <c r="H4702" s="8" t="s">
        <v>364</v>
      </c>
    </row>
    <row r="4703">
      <c r="H4703" s="8" t="s">
        <v>364</v>
      </c>
    </row>
    <row r="4704">
      <c r="H4704" s="8" t="s">
        <v>364</v>
      </c>
    </row>
    <row r="4705">
      <c r="H4705" s="8" t="s">
        <v>364</v>
      </c>
    </row>
    <row r="4706">
      <c r="H4706" s="8" t="s">
        <v>364</v>
      </c>
    </row>
    <row r="4707">
      <c r="H4707" s="8" t="s">
        <v>364</v>
      </c>
    </row>
    <row r="4708">
      <c r="H4708" s="8" t="s">
        <v>364</v>
      </c>
    </row>
    <row r="4709">
      <c r="H4709" s="8" t="s">
        <v>364</v>
      </c>
    </row>
    <row r="4710">
      <c r="H4710" s="8" t="s">
        <v>364</v>
      </c>
    </row>
    <row r="4711">
      <c r="H4711" s="8" t="s">
        <v>364</v>
      </c>
    </row>
    <row r="4712">
      <c r="H4712" s="8" t="s">
        <v>364</v>
      </c>
    </row>
    <row r="4713">
      <c r="H4713" s="8" t="s">
        <v>364</v>
      </c>
    </row>
    <row r="4714">
      <c r="H4714" s="8" t="s">
        <v>364</v>
      </c>
    </row>
    <row r="4715">
      <c r="H4715" s="8" t="s">
        <v>364</v>
      </c>
    </row>
    <row r="4716">
      <c r="H4716" s="8" t="s">
        <v>364</v>
      </c>
    </row>
    <row r="4717">
      <c r="H4717" s="8" t="s">
        <v>364</v>
      </c>
    </row>
    <row r="4718">
      <c r="H4718" s="8" t="s">
        <v>364</v>
      </c>
    </row>
    <row r="4719">
      <c r="H4719" s="8" t="s">
        <v>364</v>
      </c>
    </row>
    <row r="4720">
      <c r="H4720" s="8" t="s">
        <v>364</v>
      </c>
    </row>
    <row r="4721">
      <c r="H4721" s="8" t="s">
        <v>364</v>
      </c>
    </row>
    <row r="4722">
      <c r="H4722" s="8" t="s">
        <v>364</v>
      </c>
    </row>
    <row r="4723">
      <c r="H4723" s="8" t="s">
        <v>364</v>
      </c>
    </row>
    <row r="4724">
      <c r="H4724" s="8" t="s">
        <v>364</v>
      </c>
    </row>
    <row r="4725">
      <c r="H4725" s="8" t="s">
        <v>364</v>
      </c>
    </row>
    <row r="4726">
      <c r="H4726" s="8" t="s">
        <v>364</v>
      </c>
    </row>
    <row r="4727">
      <c r="H4727" s="8" t="s">
        <v>364</v>
      </c>
    </row>
    <row r="4728">
      <c r="H4728" s="8" t="s">
        <v>364</v>
      </c>
    </row>
    <row r="4729">
      <c r="H4729" s="8" t="s">
        <v>364</v>
      </c>
    </row>
    <row r="4730">
      <c r="H4730" s="8" t="s">
        <v>364</v>
      </c>
    </row>
    <row r="4731">
      <c r="H4731" s="8" t="s">
        <v>364</v>
      </c>
    </row>
    <row r="4732">
      <c r="H4732" s="8" t="s">
        <v>364</v>
      </c>
    </row>
    <row r="4733">
      <c r="H4733" s="8" t="s">
        <v>364</v>
      </c>
    </row>
    <row r="4734">
      <c r="H4734" s="8" t="s">
        <v>364</v>
      </c>
    </row>
    <row r="4735">
      <c r="H4735" s="8" t="s">
        <v>364</v>
      </c>
    </row>
    <row r="4736">
      <c r="H4736" s="8" t="s">
        <v>364</v>
      </c>
    </row>
    <row r="4737">
      <c r="H4737" s="8" t="s">
        <v>364</v>
      </c>
    </row>
    <row r="4738">
      <c r="H4738" s="8" t="s">
        <v>364</v>
      </c>
    </row>
    <row r="4739">
      <c r="H4739" s="8" t="s">
        <v>364</v>
      </c>
    </row>
    <row r="4740">
      <c r="H4740" s="8" t="s">
        <v>364</v>
      </c>
    </row>
    <row r="4741">
      <c r="H4741" s="8" t="s">
        <v>364</v>
      </c>
    </row>
    <row r="4742">
      <c r="H4742" s="8" t="s">
        <v>364</v>
      </c>
    </row>
    <row r="4743">
      <c r="H4743" s="8" t="s">
        <v>364</v>
      </c>
    </row>
    <row r="4744">
      <c r="H4744" s="8" t="s">
        <v>364</v>
      </c>
    </row>
    <row r="4745">
      <c r="H4745" s="8" t="s">
        <v>364</v>
      </c>
    </row>
    <row r="4746">
      <c r="H4746" s="8" t="s">
        <v>364</v>
      </c>
    </row>
    <row r="4747">
      <c r="H4747" s="8" t="s">
        <v>364</v>
      </c>
    </row>
    <row r="4748">
      <c r="H4748" s="8" t="s">
        <v>364</v>
      </c>
    </row>
    <row r="4749">
      <c r="H4749" s="8" t="s">
        <v>364</v>
      </c>
    </row>
    <row r="4750">
      <c r="H4750" s="8" t="s">
        <v>364</v>
      </c>
    </row>
    <row r="4751">
      <c r="H4751" s="8" t="s">
        <v>364</v>
      </c>
    </row>
    <row r="4752">
      <c r="H4752" s="8" t="s">
        <v>364</v>
      </c>
    </row>
    <row r="4753">
      <c r="H4753" s="8" t="s">
        <v>364</v>
      </c>
    </row>
    <row r="4754">
      <c r="H4754" s="8" t="s">
        <v>364</v>
      </c>
    </row>
    <row r="4755">
      <c r="H4755" s="8" t="s">
        <v>364</v>
      </c>
    </row>
    <row r="4756">
      <c r="H4756" s="8" t="s">
        <v>364</v>
      </c>
    </row>
    <row r="4757">
      <c r="H4757" s="8" t="s">
        <v>364</v>
      </c>
    </row>
    <row r="4758">
      <c r="H4758" s="8" t="s">
        <v>364</v>
      </c>
    </row>
    <row r="4759">
      <c r="H4759" s="8" t="s">
        <v>364</v>
      </c>
    </row>
    <row r="4760">
      <c r="H4760" s="8" t="s">
        <v>364</v>
      </c>
    </row>
    <row r="4761">
      <c r="H4761" s="8" t="s">
        <v>364</v>
      </c>
    </row>
    <row r="4762">
      <c r="H4762" s="8" t="s">
        <v>364</v>
      </c>
    </row>
    <row r="4763">
      <c r="H4763" s="8" t="s">
        <v>364</v>
      </c>
    </row>
    <row r="4764">
      <c r="H4764" s="8" t="s">
        <v>364</v>
      </c>
    </row>
    <row r="4765">
      <c r="H4765" s="8" t="s">
        <v>364</v>
      </c>
    </row>
    <row r="4766">
      <c r="H4766" s="8" t="s">
        <v>364</v>
      </c>
    </row>
    <row r="4767">
      <c r="H4767" s="8" t="s">
        <v>364</v>
      </c>
    </row>
    <row r="4768">
      <c r="H4768" s="8" t="s">
        <v>364</v>
      </c>
    </row>
    <row r="4769">
      <c r="H4769" s="8" t="s">
        <v>364</v>
      </c>
    </row>
    <row r="4770">
      <c r="H4770" s="8" t="s">
        <v>364</v>
      </c>
    </row>
    <row r="4771">
      <c r="H4771" s="8" t="s">
        <v>364</v>
      </c>
    </row>
    <row r="4772">
      <c r="H4772" s="8" t="s">
        <v>364</v>
      </c>
    </row>
    <row r="4773">
      <c r="H4773" s="8" t="s">
        <v>364</v>
      </c>
    </row>
    <row r="4774">
      <c r="H4774" s="8" t="s">
        <v>364</v>
      </c>
    </row>
    <row r="4775">
      <c r="H4775" s="8" t="s">
        <v>364</v>
      </c>
    </row>
    <row r="4776">
      <c r="H4776" s="8" t="s">
        <v>364</v>
      </c>
    </row>
    <row r="4777">
      <c r="H4777" s="8" t="s">
        <v>364</v>
      </c>
    </row>
    <row r="4778">
      <c r="H4778" s="8" t="s">
        <v>364</v>
      </c>
    </row>
    <row r="4779">
      <c r="H4779" s="8" t="s">
        <v>364</v>
      </c>
    </row>
    <row r="4780">
      <c r="H4780" s="8" t="s">
        <v>364</v>
      </c>
    </row>
    <row r="4781">
      <c r="H4781" s="8" t="s">
        <v>364</v>
      </c>
    </row>
    <row r="4782">
      <c r="H4782" s="8" t="s">
        <v>364</v>
      </c>
    </row>
    <row r="4783">
      <c r="H4783" s="8" t="s">
        <v>364</v>
      </c>
    </row>
    <row r="4784">
      <c r="H4784" s="8" t="s">
        <v>364</v>
      </c>
    </row>
    <row r="4785">
      <c r="H4785" s="8" t="s">
        <v>364</v>
      </c>
    </row>
    <row r="4786">
      <c r="H4786" s="8" t="s">
        <v>364</v>
      </c>
    </row>
    <row r="4787">
      <c r="H4787" s="8" t="s">
        <v>364</v>
      </c>
    </row>
    <row r="4788">
      <c r="H4788" s="8" t="s">
        <v>364</v>
      </c>
    </row>
    <row r="4789">
      <c r="H4789" s="8" t="s">
        <v>364</v>
      </c>
    </row>
    <row r="4790">
      <c r="H4790" s="8" t="s">
        <v>364</v>
      </c>
    </row>
    <row r="4791">
      <c r="H4791" s="8" t="s">
        <v>364</v>
      </c>
    </row>
    <row r="4792">
      <c r="H4792" s="8" t="s">
        <v>364</v>
      </c>
    </row>
    <row r="4793">
      <c r="H4793" s="8" t="s">
        <v>364</v>
      </c>
    </row>
    <row r="4794">
      <c r="H4794" s="8" t="s">
        <v>364</v>
      </c>
    </row>
    <row r="4795">
      <c r="H4795" s="8" t="s">
        <v>364</v>
      </c>
    </row>
    <row r="4796">
      <c r="H4796" s="8" t="s">
        <v>364</v>
      </c>
    </row>
    <row r="4797">
      <c r="H4797" s="8" t="s">
        <v>364</v>
      </c>
    </row>
    <row r="4798">
      <c r="H4798" s="8" t="s">
        <v>364</v>
      </c>
    </row>
    <row r="4799">
      <c r="H4799" s="8" t="s">
        <v>364</v>
      </c>
    </row>
    <row r="4800">
      <c r="H4800" s="8" t="s">
        <v>364</v>
      </c>
    </row>
    <row r="4801">
      <c r="H4801" s="8" t="s">
        <v>364</v>
      </c>
    </row>
    <row r="4802">
      <c r="H4802" s="8" t="s">
        <v>364</v>
      </c>
    </row>
    <row r="4803">
      <c r="H4803" s="8" t="s">
        <v>364</v>
      </c>
    </row>
    <row r="4804">
      <c r="H4804" s="8" t="s">
        <v>364</v>
      </c>
    </row>
    <row r="4805">
      <c r="H4805" s="8" t="s">
        <v>364</v>
      </c>
    </row>
    <row r="4806">
      <c r="H4806" s="8" t="s">
        <v>364</v>
      </c>
    </row>
    <row r="4807">
      <c r="H4807" s="8" t="s">
        <v>364</v>
      </c>
    </row>
    <row r="4808">
      <c r="H4808" s="8" t="s">
        <v>364</v>
      </c>
    </row>
    <row r="4809">
      <c r="H4809" s="8" t="s">
        <v>364</v>
      </c>
    </row>
    <row r="4810">
      <c r="H4810" s="8" t="s">
        <v>364</v>
      </c>
    </row>
    <row r="4811">
      <c r="H4811" s="8" t="s">
        <v>364</v>
      </c>
    </row>
    <row r="4812">
      <c r="H4812" s="8" t="s">
        <v>364</v>
      </c>
    </row>
    <row r="4813">
      <c r="H4813" s="8" t="s">
        <v>364</v>
      </c>
    </row>
    <row r="4814">
      <c r="H4814" s="8" t="s">
        <v>364</v>
      </c>
    </row>
    <row r="4815">
      <c r="H4815" s="8" t="s">
        <v>364</v>
      </c>
    </row>
    <row r="4816">
      <c r="H4816" s="8" t="s">
        <v>364</v>
      </c>
    </row>
    <row r="4817">
      <c r="H4817" s="8" t="s">
        <v>364</v>
      </c>
    </row>
    <row r="4818">
      <c r="H4818" s="8" t="s">
        <v>364</v>
      </c>
    </row>
    <row r="4819">
      <c r="H4819" s="8" t="s">
        <v>364</v>
      </c>
    </row>
    <row r="4820">
      <c r="H4820" s="8" t="s">
        <v>364</v>
      </c>
    </row>
    <row r="4821">
      <c r="H4821" s="8" t="s">
        <v>364</v>
      </c>
    </row>
    <row r="4822">
      <c r="H4822" s="8" t="s">
        <v>364</v>
      </c>
    </row>
    <row r="4823">
      <c r="H4823" s="8" t="s">
        <v>364</v>
      </c>
    </row>
    <row r="4824">
      <c r="H4824" s="8" t="s">
        <v>364</v>
      </c>
    </row>
    <row r="4825">
      <c r="H4825" s="8" t="s">
        <v>364</v>
      </c>
    </row>
    <row r="4826">
      <c r="H4826" s="8" t="s">
        <v>364</v>
      </c>
    </row>
    <row r="4827">
      <c r="H4827" s="8" t="s">
        <v>364</v>
      </c>
    </row>
    <row r="4828">
      <c r="H4828" s="8" t="s">
        <v>364</v>
      </c>
    </row>
    <row r="4829">
      <c r="H4829" s="8" t="s">
        <v>364</v>
      </c>
    </row>
    <row r="4830">
      <c r="H4830" s="8" t="s">
        <v>364</v>
      </c>
    </row>
    <row r="4831">
      <c r="H4831" s="8" t="s">
        <v>364</v>
      </c>
    </row>
    <row r="4832">
      <c r="H4832" s="8" t="s">
        <v>364</v>
      </c>
    </row>
    <row r="4833">
      <c r="H4833" s="8" t="s">
        <v>364</v>
      </c>
    </row>
    <row r="4834">
      <c r="H4834" s="8" t="s">
        <v>364</v>
      </c>
    </row>
    <row r="4835">
      <c r="H4835" s="8" t="s">
        <v>364</v>
      </c>
    </row>
    <row r="4836">
      <c r="H4836" s="8" t="s">
        <v>364</v>
      </c>
    </row>
    <row r="4837">
      <c r="H4837" s="8" t="s">
        <v>364</v>
      </c>
    </row>
    <row r="4838">
      <c r="H4838" s="8" t="s">
        <v>364</v>
      </c>
    </row>
    <row r="4839">
      <c r="H4839" s="8" t="s">
        <v>364</v>
      </c>
    </row>
    <row r="4840">
      <c r="H4840" s="8" t="s">
        <v>364</v>
      </c>
    </row>
    <row r="4841">
      <c r="H4841" s="8" t="s">
        <v>364</v>
      </c>
    </row>
    <row r="4842">
      <c r="H4842" s="8" t="s">
        <v>364</v>
      </c>
    </row>
    <row r="4843">
      <c r="H4843" s="8" t="s">
        <v>364</v>
      </c>
    </row>
    <row r="4844">
      <c r="H4844" s="8" t="s">
        <v>364</v>
      </c>
    </row>
    <row r="4845">
      <c r="H4845" s="8" t="s">
        <v>364</v>
      </c>
    </row>
    <row r="4846">
      <c r="H4846" s="8" t="s">
        <v>364</v>
      </c>
    </row>
    <row r="4847">
      <c r="H4847" s="8" t="s">
        <v>364</v>
      </c>
    </row>
    <row r="4848">
      <c r="H4848" s="8" t="s">
        <v>364</v>
      </c>
    </row>
    <row r="4849">
      <c r="H4849" s="8" t="s">
        <v>364</v>
      </c>
    </row>
    <row r="4850">
      <c r="H4850" s="8" t="s">
        <v>364</v>
      </c>
    </row>
    <row r="4851">
      <c r="H4851" s="8" t="s">
        <v>364</v>
      </c>
    </row>
    <row r="4852">
      <c r="H4852" s="8" t="s">
        <v>364</v>
      </c>
    </row>
    <row r="4853">
      <c r="H4853" s="8" t="s">
        <v>364</v>
      </c>
    </row>
    <row r="4854">
      <c r="H4854" s="8" t="s">
        <v>364</v>
      </c>
    </row>
    <row r="4855">
      <c r="H4855" s="8" t="s">
        <v>364</v>
      </c>
    </row>
    <row r="4856">
      <c r="H4856" s="8" t="s">
        <v>364</v>
      </c>
    </row>
    <row r="4857">
      <c r="H4857" s="8" t="s">
        <v>364</v>
      </c>
    </row>
    <row r="4858">
      <c r="H4858" s="8" t="s">
        <v>364</v>
      </c>
    </row>
    <row r="4859">
      <c r="H4859" s="8" t="s">
        <v>364</v>
      </c>
    </row>
    <row r="4860">
      <c r="H4860" s="8" t="s">
        <v>364</v>
      </c>
    </row>
    <row r="4861">
      <c r="H4861" s="8" t="s">
        <v>364</v>
      </c>
    </row>
    <row r="4862">
      <c r="H4862" s="8" t="s">
        <v>364</v>
      </c>
    </row>
    <row r="4863">
      <c r="H4863" s="8" t="s">
        <v>364</v>
      </c>
    </row>
    <row r="4864">
      <c r="H4864" s="8" t="s">
        <v>364</v>
      </c>
    </row>
    <row r="4865">
      <c r="H4865" s="8" t="s">
        <v>364</v>
      </c>
    </row>
    <row r="4866">
      <c r="H4866" s="8" t="s">
        <v>364</v>
      </c>
    </row>
    <row r="4867">
      <c r="H4867" s="8" t="s">
        <v>364</v>
      </c>
    </row>
    <row r="4868">
      <c r="H4868" s="8" t="s">
        <v>364</v>
      </c>
    </row>
    <row r="4869">
      <c r="H4869" s="8" t="s">
        <v>364</v>
      </c>
    </row>
    <row r="4870">
      <c r="H4870" s="8" t="s">
        <v>364</v>
      </c>
    </row>
    <row r="4871">
      <c r="H4871" s="8" t="s">
        <v>364</v>
      </c>
    </row>
    <row r="4872">
      <c r="H4872" s="8" t="s">
        <v>364</v>
      </c>
    </row>
    <row r="4873">
      <c r="H4873" s="8" t="s">
        <v>364</v>
      </c>
    </row>
    <row r="4874">
      <c r="H4874" s="8" t="s">
        <v>364</v>
      </c>
    </row>
    <row r="4875">
      <c r="H4875" s="8" t="s">
        <v>364</v>
      </c>
    </row>
    <row r="4876">
      <c r="H4876" s="8" t="s">
        <v>364</v>
      </c>
    </row>
    <row r="4877">
      <c r="H4877" s="8" t="s">
        <v>364</v>
      </c>
    </row>
    <row r="4878">
      <c r="H4878" s="8" t="s">
        <v>364</v>
      </c>
    </row>
    <row r="4879">
      <c r="H4879" s="8" t="s">
        <v>364</v>
      </c>
    </row>
    <row r="4880">
      <c r="H4880" s="8" t="s">
        <v>364</v>
      </c>
    </row>
    <row r="4881">
      <c r="H4881" s="8" t="s">
        <v>364</v>
      </c>
    </row>
    <row r="4882">
      <c r="H4882" s="8" t="s">
        <v>364</v>
      </c>
    </row>
    <row r="4883">
      <c r="H4883" s="8" t="s">
        <v>364</v>
      </c>
    </row>
    <row r="4884">
      <c r="H4884" s="8" t="s">
        <v>364</v>
      </c>
    </row>
    <row r="4885">
      <c r="H4885" s="8" t="s">
        <v>364</v>
      </c>
    </row>
    <row r="4886">
      <c r="H4886" s="8" t="s">
        <v>364</v>
      </c>
    </row>
    <row r="4887">
      <c r="H4887" s="8" t="s">
        <v>364</v>
      </c>
    </row>
    <row r="4888">
      <c r="H4888" s="8" t="s">
        <v>364</v>
      </c>
    </row>
    <row r="4889">
      <c r="H4889" s="8" t="s">
        <v>364</v>
      </c>
    </row>
    <row r="4890">
      <c r="H4890" s="8" t="s">
        <v>364</v>
      </c>
    </row>
    <row r="4891">
      <c r="H4891" s="8" t="s">
        <v>364</v>
      </c>
    </row>
    <row r="4892">
      <c r="H4892" s="8" t="s">
        <v>364</v>
      </c>
    </row>
    <row r="4893">
      <c r="H4893" s="8" t="s">
        <v>364</v>
      </c>
    </row>
    <row r="4894">
      <c r="H4894" s="8" t="s">
        <v>364</v>
      </c>
    </row>
    <row r="4895">
      <c r="H4895" s="8" t="s">
        <v>364</v>
      </c>
    </row>
    <row r="4896">
      <c r="H4896" s="8" t="s">
        <v>364</v>
      </c>
    </row>
    <row r="4897">
      <c r="H4897" s="8" t="s">
        <v>364</v>
      </c>
    </row>
    <row r="4898">
      <c r="H4898" s="8" t="s">
        <v>364</v>
      </c>
    </row>
    <row r="4899">
      <c r="H4899" s="8" t="s">
        <v>364</v>
      </c>
    </row>
    <row r="4900">
      <c r="H4900" s="8" t="s">
        <v>364</v>
      </c>
    </row>
    <row r="4901">
      <c r="H4901" s="8" t="s">
        <v>364</v>
      </c>
    </row>
    <row r="4902">
      <c r="H4902" s="8" t="s">
        <v>364</v>
      </c>
    </row>
    <row r="4903">
      <c r="H4903" s="8" t="s">
        <v>364</v>
      </c>
    </row>
    <row r="4904">
      <c r="H4904" s="8" t="s">
        <v>364</v>
      </c>
    </row>
    <row r="4905">
      <c r="H4905" s="8" t="s">
        <v>364</v>
      </c>
    </row>
    <row r="4906">
      <c r="H4906" s="8" t="s">
        <v>364</v>
      </c>
    </row>
    <row r="4907">
      <c r="H4907" s="8" t="s">
        <v>364</v>
      </c>
    </row>
    <row r="4908">
      <c r="H4908" s="8" t="s">
        <v>364</v>
      </c>
    </row>
    <row r="4909">
      <c r="H4909" s="8" t="s">
        <v>364</v>
      </c>
    </row>
    <row r="4910">
      <c r="H4910" s="8" t="s">
        <v>364</v>
      </c>
    </row>
    <row r="4911">
      <c r="H4911" s="8" t="s">
        <v>364</v>
      </c>
    </row>
    <row r="4912">
      <c r="H4912" s="8" t="s">
        <v>364</v>
      </c>
    </row>
    <row r="4913">
      <c r="H4913" s="8" t="s">
        <v>364</v>
      </c>
    </row>
    <row r="4914">
      <c r="H4914" s="8" t="s">
        <v>364</v>
      </c>
    </row>
    <row r="4915">
      <c r="H4915" s="8" t="s">
        <v>364</v>
      </c>
    </row>
    <row r="4916">
      <c r="H4916" s="8" t="s">
        <v>364</v>
      </c>
    </row>
    <row r="4917">
      <c r="H4917" s="8" t="s">
        <v>364</v>
      </c>
    </row>
    <row r="4918">
      <c r="H4918" s="8" t="s">
        <v>364</v>
      </c>
    </row>
    <row r="4919">
      <c r="H4919" s="8" t="s">
        <v>364</v>
      </c>
    </row>
    <row r="4920">
      <c r="H4920" s="8" t="s">
        <v>364</v>
      </c>
    </row>
    <row r="4921">
      <c r="H4921" s="8" t="s">
        <v>364</v>
      </c>
    </row>
    <row r="4922">
      <c r="H4922" s="8" t="s">
        <v>364</v>
      </c>
    </row>
    <row r="4923">
      <c r="H4923" s="8" t="s">
        <v>364</v>
      </c>
    </row>
    <row r="4924">
      <c r="H4924" s="8" t="s">
        <v>364</v>
      </c>
    </row>
    <row r="4925">
      <c r="H4925" s="8" t="s">
        <v>364</v>
      </c>
    </row>
    <row r="4926">
      <c r="H4926" s="8" t="s">
        <v>364</v>
      </c>
    </row>
    <row r="4927">
      <c r="H4927" s="8" t="s">
        <v>364</v>
      </c>
    </row>
    <row r="4928">
      <c r="H4928" s="8" t="s">
        <v>364</v>
      </c>
    </row>
    <row r="4929">
      <c r="H4929" s="8" t="s">
        <v>364</v>
      </c>
    </row>
    <row r="4930">
      <c r="H4930" s="8" t="s">
        <v>364</v>
      </c>
    </row>
    <row r="4931">
      <c r="H4931" s="8" t="s">
        <v>364</v>
      </c>
    </row>
    <row r="4932">
      <c r="H4932" s="8" t="s">
        <v>364</v>
      </c>
    </row>
    <row r="4933">
      <c r="H4933" s="8" t="s">
        <v>364</v>
      </c>
    </row>
    <row r="4934">
      <c r="H4934" s="8" t="s">
        <v>364</v>
      </c>
    </row>
    <row r="4935">
      <c r="H4935" s="8" t="s">
        <v>364</v>
      </c>
    </row>
    <row r="4936">
      <c r="H4936" s="8" t="s">
        <v>364</v>
      </c>
    </row>
    <row r="4937">
      <c r="H4937" s="8" t="s">
        <v>364</v>
      </c>
    </row>
    <row r="4938">
      <c r="H4938" s="8" t="s">
        <v>364</v>
      </c>
    </row>
    <row r="4939">
      <c r="H4939" s="8" t="s">
        <v>364</v>
      </c>
    </row>
    <row r="4940">
      <c r="H4940" s="8" t="s">
        <v>364</v>
      </c>
    </row>
    <row r="4941">
      <c r="H4941" s="8" t="s">
        <v>364</v>
      </c>
    </row>
    <row r="4942">
      <c r="H4942" s="8" t="s">
        <v>364</v>
      </c>
    </row>
    <row r="4943">
      <c r="H4943" s="8" t="s">
        <v>364</v>
      </c>
    </row>
    <row r="4944">
      <c r="H4944" s="8" t="s">
        <v>364</v>
      </c>
    </row>
    <row r="4945">
      <c r="H4945" s="8" t="s">
        <v>364</v>
      </c>
    </row>
    <row r="4946">
      <c r="H4946" s="8" t="s">
        <v>364</v>
      </c>
    </row>
    <row r="4947">
      <c r="H4947" s="8" t="s">
        <v>364</v>
      </c>
    </row>
    <row r="4948">
      <c r="H4948" s="8" t="s">
        <v>364</v>
      </c>
    </row>
    <row r="4949">
      <c r="H4949" s="8" t="s">
        <v>364</v>
      </c>
    </row>
    <row r="4950">
      <c r="H4950" s="8" t="s">
        <v>364</v>
      </c>
    </row>
    <row r="4951">
      <c r="H4951" s="8" t="s">
        <v>364</v>
      </c>
    </row>
    <row r="4952">
      <c r="H4952" s="8" t="s">
        <v>364</v>
      </c>
    </row>
    <row r="4953">
      <c r="H4953" s="8" t="s">
        <v>364</v>
      </c>
    </row>
    <row r="4954">
      <c r="H4954" s="8" t="s">
        <v>364</v>
      </c>
    </row>
    <row r="4955">
      <c r="H4955" s="8" t="s">
        <v>364</v>
      </c>
    </row>
    <row r="4956">
      <c r="H4956" s="8" t="s">
        <v>364</v>
      </c>
    </row>
    <row r="4957">
      <c r="H4957" s="8" t="s">
        <v>364</v>
      </c>
    </row>
    <row r="4958">
      <c r="H4958" s="8" t="s">
        <v>364</v>
      </c>
    </row>
    <row r="4959">
      <c r="H4959" s="8" t="s">
        <v>364</v>
      </c>
    </row>
    <row r="4960">
      <c r="H4960" s="8" t="s">
        <v>364</v>
      </c>
    </row>
    <row r="4961">
      <c r="H4961" s="8" t="s">
        <v>364</v>
      </c>
    </row>
    <row r="4962">
      <c r="H4962" s="8" t="s">
        <v>364</v>
      </c>
    </row>
    <row r="4963">
      <c r="H4963" s="8" t="s">
        <v>364</v>
      </c>
    </row>
    <row r="4964">
      <c r="H4964" s="8" t="s">
        <v>364</v>
      </c>
    </row>
    <row r="4965">
      <c r="H4965" s="8" t="s">
        <v>364</v>
      </c>
    </row>
    <row r="4966">
      <c r="H4966" s="8" t="s">
        <v>364</v>
      </c>
    </row>
    <row r="4967">
      <c r="H4967" s="8" t="s">
        <v>364</v>
      </c>
    </row>
    <row r="4968">
      <c r="H4968" s="8" t="s">
        <v>364</v>
      </c>
    </row>
    <row r="4969">
      <c r="H4969" s="8" t="s">
        <v>364</v>
      </c>
    </row>
    <row r="4970">
      <c r="H4970" s="8" t="s">
        <v>364</v>
      </c>
    </row>
    <row r="4971">
      <c r="H4971" s="8" t="s">
        <v>364</v>
      </c>
    </row>
    <row r="4972">
      <c r="H4972" s="8" t="s">
        <v>364</v>
      </c>
    </row>
    <row r="4973">
      <c r="H4973" s="8" t="s">
        <v>364</v>
      </c>
    </row>
    <row r="4974">
      <c r="H4974" s="8" t="s">
        <v>364</v>
      </c>
    </row>
    <row r="4975">
      <c r="H4975" s="8" t="s">
        <v>364</v>
      </c>
    </row>
    <row r="4976">
      <c r="H4976" s="8" t="s">
        <v>364</v>
      </c>
    </row>
    <row r="4977">
      <c r="H4977" s="8" t="s">
        <v>364</v>
      </c>
    </row>
    <row r="4978">
      <c r="H4978" s="8" t="s">
        <v>364</v>
      </c>
    </row>
    <row r="4979">
      <c r="H4979" s="8" t="s">
        <v>364</v>
      </c>
    </row>
    <row r="4980">
      <c r="H4980" s="8" t="s">
        <v>364</v>
      </c>
    </row>
    <row r="4981">
      <c r="H4981" s="8" t="s">
        <v>364</v>
      </c>
    </row>
    <row r="4982">
      <c r="H4982" s="8" t="s">
        <v>364</v>
      </c>
    </row>
    <row r="4983">
      <c r="H4983" s="8" t="s">
        <v>364</v>
      </c>
    </row>
    <row r="4984">
      <c r="H4984" s="8" t="s">
        <v>364</v>
      </c>
    </row>
    <row r="4985">
      <c r="H4985" s="8" t="s">
        <v>364</v>
      </c>
    </row>
    <row r="4986">
      <c r="H4986" s="8" t="s">
        <v>364</v>
      </c>
    </row>
    <row r="4987">
      <c r="H4987" s="8" t="s">
        <v>364</v>
      </c>
    </row>
    <row r="4988">
      <c r="H4988" s="8" t="s">
        <v>364</v>
      </c>
    </row>
    <row r="4989">
      <c r="H4989" s="8" t="s">
        <v>364</v>
      </c>
    </row>
    <row r="4990">
      <c r="H4990" s="8" t="s">
        <v>364</v>
      </c>
    </row>
    <row r="4991">
      <c r="H4991" s="8" t="s">
        <v>364</v>
      </c>
    </row>
    <row r="4992">
      <c r="H4992" s="8" t="s">
        <v>364</v>
      </c>
    </row>
    <row r="4993">
      <c r="H4993" s="8" t="s">
        <v>364</v>
      </c>
    </row>
    <row r="4994">
      <c r="H4994" s="8" t="s">
        <v>364</v>
      </c>
    </row>
    <row r="4995">
      <c r="H4995" s="8" t="s">
        <v>364</v>
      </c>
    </row>
    <row r="4996">
      <c r="H4996" s="8" t="s">
        <v>364</v>
      </c>
    </row>
    <row r="4997">
      <c r="H4997" s="8" t="s">
        <v>364</v>
      </c>
    </row>
    <row r="4998">
      <c r="H4998" s="8" t="s">
        <v>364</v>
      </c>
    </row>
    <row r="4999">
      <c r="H4999" s="8" t="s">
        <v>364</v>
      </c>
    </row>
    <row r="5000">
      <c r="H5000" s="8" t="s">
        <v>364</v>
      </c>
    </row>
    <row r="5001">
      <c r="H5001" s="8" t="s">
        <v>364</v>
      </c>
    </row>
    <row r="5002">
      <c r="H5002" s="8" t="s">
        <v>364</v>
      </c>
    </row>
    <row r="5003">
      <c r="H5003" s="8" t="s">
        <v>364</v>
      </c>
    </row>
    <row r="5004">
      <c r="H5004" s="8" t="s">
        <v>364</v>
      </c>
    </row>
    <row r="5005">
      <c r="H5005" s="8" t="s">
        <v>364</v>
      </c>
    </row>
    <row r="5006">
      <c r="H5006" s="8" t="s">
        <v>364</v>
      </c>
    </row>
    <row r="5007">
      <c r="H5007" s="8" t="s">
        <v>364</v>
      </c>
    </row>
    <row r="5008">
      <c r="H5008" s="8" t="s">
        <v>364</v>
      </c>
    </row>
    <row r="5009">
      <c r="H5009" s="8" t="s">
        <v>364</v>
      </c>
    </row>
    <row r="5010">
      <c r="H5010" s="8" t="s">
        <v>364</v>
      </c>
    </row>
    <row r="5011">
      <c r="H5011" s="8" t="s">
        <v>364</v>
      </c>
    </row>
    <row r="5012">
      <c r="H5012" s="8" t="s">
        <v>364</v>
      </c>
    </row>
    <row r="5013">
      <c r="H5013" s="8" t="s">
        <v>364</v>
      </c>
    </row>
    <row r="5014">
      <c r="H5014" s="8" t="s">
        <v>364</v>
      </c>
    </row>
    <row r="5015">
      <c r="H5015" s="8" t="s">
        <v>364</v>
      </c>
    </row>
    <row r="5016">
      <c r="H5016" s="8" t="s">
        <v>364</v>
      </c>
    </row>
    <row r="5017">
      <c r="H5017" s="8" t="s">
        <v>364</v>
      </c>
    </row>
    <row r="5018">
      <c r="H5018" s="8" t="s">
        <v>364</v>
      </c>
    </row>
    <row r="5019">
      <c r="H5019" s="8" t="s">
        <v>364</v>
      </c>
    </row>
    <row r="5020">
      <c r="H5020" s="8" t="s">
        <v>364</v>
      </c>
    </row>
    <row r="5021">
      <c r="H5021" s="8" t="s">
        <v>364</v>
      </c>
    </row>
    <row r="5022">
      <c r="H5022" s="8" t="s">
        <v>364</v>
      </c>
    </row>
    <row r="5023">
      <c r="H5023" s="8" t="s">
        <v>364</v>
      </c>
    </row>
    <row r="5024">
      <c r="H5024" s="8" t="s">
        <v>364</v>
      </c>
    </row>
    <row r="5025">
      <c r="H5025" s="8" t="s">
        <v>364</v>
      </c>
    </row>
    <row r="5026">
      <c r="H5026" s="8" t="s">
        <v>364</v>
      </c>
    </row>
    <row r="5027">
      <c r="H5027" s="8" t="s">
        <v>364</v>
      </c>
    </row>
    <row r="5028">
      <c r="H5028" s="8" t="s">
        <v>364</v>
      </c>
    </row>
    <row r="5029">
      <c r="H5029" s="8" t="s">
        <v>364</v>
      </c>
    </row>
    <row r="5030">
      <c r="H5030" s="8" t="s">
        <v>364</v>
      </c>
    </row>
    <row r="5031">
      <c r="H5031" s="8" t="s">
        <v>364</v>
      </c>
    </row>
    <row r="5032">
      <c r="H5032" s="8" t="s">
        <v>364</v>
      </c>
    </row>
    <row r="5033">
      <c r="H5033" s="8" t="s">
        <v>364</v>
      </c>
    </row>
    <row r="5034">
      <c r="H5034" s="8" t="s">
        <v>364</v>
      </c>
    </row>
    <row r="5035">
      <c r="H5035" s="8" t="s">
        <v>364</v>
      </c>
    </row>
    <row r="5036">
      <c r="H5036" s="8" t="s">
        <v>364</v>
      </c>
    </row>
    <row r="5037">
      <c r="H5037" s="8" t="s">
        <v>364</v>
      </c>
    </row>
    <row r="5038">
      <c r="H5038" s="8" t="s">
        <v>364</v>
      </c>
    </row>
    <row r="5039">
      <c r="H5039" s="8" t="s">
        <v>364</v>
      </c>
    </row>
    <row r="5040">
      <c r="H5040" s="8" t="s">
        <v>364</v>
      </c>
    </row>
    <row r="5041">
      <c r="H5041" s="8" t="s">
        <v>364</v>
      </c>
    </row>
    <row r="5042">
      <c r="H5042" s="8" t="s">
        <v>364</v>
      </c>
    </row>
    <row r="5043">
      <c r="H5043" s="8" t="s">
        <v>364</v>
      </c>
    </row>
    <row r="5044">
      <c r="H5044" s="8" t="s">
        <v>364</v>
      </c>
    </row>
    <row r="5045">
      <c r="H5045" s="8" t="s">
        <v>364</v>
      </c>
    </row>
    <row r="5046">
      <c r="H5046" s="8" t="s">
        <v>364</v>
      </c>
    </row>
    <row r="5047">
      <c r="H5047" s="8" t="s">
        <v>364</v>
      </c>
    </row>
    <row r="5048">
      <c r="H5048" s="8" t="s">
        <v>364</v>
      </c>
    </row>
    <row r="5049">
      <c r="H5049" s="8" t="s">
        <v>364</v>
      </c>
    </row>
    <row r="5050">
      <c r="H5050" s="8" t="s">
        <v>364</v>
      </c>
    </row>
    <row r="5051">
      <c r="H5051" s="8" t="s">
        <v>364</v>
      </c>
    </row>
    <row r="5052">
      <c r="H5052" s="8" t="s">
        <v>364</v>
      </c>
    </row>
    <row r="5053">
      <c r="H5053" s="8" t="s">
        <v>364</v>
      </c>
    </row>
    <row r="5054">
      <c r="H5054" s="8" t="s">
        <v>364</v>
      </c>
    </row>
    <row r="5055">
      <c r="H5055" s="8" t="s">
        <v>364</v>
      </c>
    </row>
    <row r="5056">
      <c r="H5056" s="8" t="s">
        <v>364</v>
      </c>
    </row>
    <row r="5057">
      <c r="H5057" s="8" t="s">
        <v>364</v>
      </c>
    </row>
    <row r="5058">
      <c r="H5058" s="8" t="s">
        <v>364</v>
      </c>
    </row>
    <row r="5059">
      <c r="H5059" s="8" t="s">
        <v>364</v>
      </c>
    </row>
    <row r="5060">
      <c r="H5060" s="8" t="s">
        <v>364</v>
      </c>
    </row>
    <row r="5061">
      <c r="H5061" s="8" t="s">
        <v>364</v>
      </c>
    </row>
    <row r="5062">
      <c r="H5062" s="8" t="s">
        <v>364</v>
      </c>
    </row>
    <row r="5063">
      <c r="H5063" s="8" t="s">
        <v>364</v>
      </c>
    </row>
    <row r="5064">
      <c r="H5064" s="8" t="s">
        <v>364</v>
      </c>
    </row>
    <row r="5065">
      <c r="H5065" s="8" t="s">
        <v>364</v>
      </c>
    </row>
    <row r="5066">
      <c r="H5066" s="8" t="s">
        <v>364</v>
      </c>
    </row>
    <row r="5067">
      <c r="H5067" s="8" t="s">
        <v>364</v>
      </c>
    </row>
    <row r="5068">
      <c r="H5068" s="8" t="s">
        <v>364</v>
      </c>
    </row>
    <row r="5069">
      <c r="H5069" s="8" t="s">
        <v>364</v>
      </c>
    </row>
    <row r="5070">
      <c r="H5070" s="8" t="s">
        <v>364</v>
      </c>
    </row>
    <row r="5071">
      <c r="H5071" s="8" t="s">
        <v>364</v>
      </c>
    </row>
    <row r="5072">
      <c r="H5072" s="8" t="s">
        <v>364</v>
      </c>
    </row>
    <row r="5073">
      <c r="H5073" s="8" t="s">
        <v>364</v>
      </c>
    </row>
    <row r="5074">
      <c r="H5074" s="8" t="s">
        <v>364</v>
      </c>
    </row>
    <row r="5075">
      <c r="H5075" s="8" t="s">
        <v>364</v>
      </c>
    </row>
    <row r="5076">
      <c r="H5076" s="8" t="s">
        <v>364</v>
      </c>
    </row>
    <row r="5077">
      <c r="H5077" s="8" t="s">
        <v>364</v>
      </c>
    </row>
    <row r="5078">
      <c r="H5078" s="8" t="s">
        <v>364</v>
      </c>
    </row>
    <row r="5079">
      <c r="H5079" s="8" t="s">
        <v>364</v>
      </c>
    </row>
    <row r="5080">
      <c r="H5080" s="8" t="s">
        <v>364</v>
      </c>
    </row>
    <row r="5081">
      <c r="H5081" s="8" t="s">
        <v>364</v>
      </c>
    </row>
    <row r="5082">
      <c r="H5082" s="8" t="s">
        <v>364</v>
      </c>
    </row>
    <row r="5083">
      <c r="H5083" s="8" t="s">
        <v>364</v>
      </c>
    </row>
    <row r="5084">
      <c r="H5084" s="8" t="s">
        <v>364</v>
      </c>
    </row>
    <row r="5085">
      <c r="H5085" s="8" t="s">
        <v>364</v>
      </c>
    </row>
    <row r="5086">
      <c r="H5086" s="8" t="s">
        <v>364</v>
      </c>
    </row>
    <row r="5087">
      <c r="H5087" s="8" t="s">
        <v>364</v>
      </c>
    </row>
    <row r="5088">
      <c r="H5088" s="8" t="s">
        <v>364</v>
      </c>
    </row>
    <row r="5089">
      <c r="H5089" s="8" t="s">
        <v>364</v>
      </c>
    </row>
    <row r="5090">
      <c r="H5090" s="8" t="s">
        <v>364</v>
      </c>
    </row>
    <row r="5091">
      <c r="H5091" s="8" t="s">
        <v>364</v>
      </c>
    </row>
    <row r="5092">
      <c r="H5092" s="8" t="s">
        <v>364</v>
      </c>
    </row>
    <row r="5093">
      <c r="H5093" s="8" t="s">
        <v>364</v>
      </c>
    </row>
    <row r="5094">
      <c r="H5094" s="8" t="s">
        <v>364</v>
      </c>
    </row>
    <row r="5095">
      <c r="H5095" s="8" t="s">
        <v>364</v>
      </c>
    </row>
    <row r="5096">
      <c r="H5096" s="8" t="s">
        <v>364</v>
      </c>
    </row>
    <row r="5097">
      <c r="H5097" s="8" t="s">
        <v>364</v>
      </c>
    </row>
    <row r="5098">
      <c r="H5098" s="8" t="s">
        <v>364</v>
      </c>
    </row>
    <row r="5099">
      <c r="H5099" s="8" t="s">
        <v>364</v>
      </c>
    </row>
    <row r="5100">
      <c r="H5100" s="8" t="s">
        <v>364</v>
      </c>
    </row>
    <row r="5101">
      <c r="H5101" s="8" t="s">
        <v>364</v>
      </c>
    </row>
    <row r="5102">
      <c r="H5102" s="8" t="s">
        <v>364</v>
      </c>
    </row>
    <row r="5103">
      <c r="H5103" s="8" t="s">
        <v>364</v>
      </c>
    </row>
    <row r="5104">
      <c r="H5104" s="8" t="s">
        <v>364</v>
      </c>
    </row>
    <row r="5105">
      <c r="H5105" s="8" t="s">
        <v>364</v>
      </c>
    </row>
    <row r="5106">
      <c r="H5106" s="8" t="s">
        <v>364</v>
      </c>
    </row>
    <row r="5107">
      <c r="H5107" s="8" t="s">
        <v>364</v>
      </c>
    </row>
    <row r="5108">
      <c r="H5108" s="8" t="s">
        <v>364</v>
      </c>
    </row>
    <row r="5109">
      <c r="H5109" s="8" t="s">
        <v>364</v>
      </c>
    </row>
    <row r="5110">
      <c r="H5110" s="8" t="s">
        <v>364</v>
      </c>
    </row>
    <row r="5111">
      <c r="H5111" s="8" t="s">
        <v>364</v>
      </c>
    </row>
    <row r="5112">
      <c r="H5112" s="8" t="s">
        <v>364</v>
      </c>
    </row>
    <row r="5113">
      <c r="H5113" s="8" t="s">
        <v>364</v>
      </c>
    </row>
    <row r="5114">
      <c r="H5114" s="8" t="s">
        <v>364</v>
      </c>
    </row>
    <row r="5115">
      <c r="H5115" s="8" t="s">
        <v>364</v>
      </c>
    </row>
    <row r="5116">
      <c r="H5116" s="8" t="s">
        <v>364</v>
      </c>
    </row>
    <row r="5117">
      <c r="H5117" s="8" t="s">
        <v>364</v>
      </c>
    </row>
    <row r="5118">
      <c r="H5118" s="8" t="s">
        <v>364</v>
      </c>
    </row>
    <row r="5119">
      <c r="H5119" s="8" t="s">
        <v>364</v>
      </c>
    </row>
    <row r="5120">
      <c r="H5120" s="8" t="s">
        <v>364</v>
      </c>
    </row>
    <row r="5121">
      <c r="H5121" s="8" t="s">
        <v>364</v>
      </c>
    </row>
    <row r="5122">
      <c r="H5122" s="8" t="s">
        <v>364</v>
      </c>
    </row>
    <row r="5123">
      <c r="H5123" s="8" t="s">
        <v>364</v>
      </c>
    </row>
    <row r="5124">
      <c r="H5124" s="8" t="s">
        <v>364</v>
      </c>
    </row>
    <row r="5125">
      <c r="H5125" s="8" t="s">
        <v>364</v>
      </c>
    </row>
    <row r="5126">
      <c r="H5126" s="8" t="s">
        <v>364</v>
      </c>
    </row>
    <row r="5127">
      <c r="H5127" s="8" t="s">
        <v>364</v>
      </c>
    </row>
    <row r="5128">
      <c r="H5128" s="8" t="s">
        <v>364</v>
      </c>
    </row>
    <row r="5129">
      <c r="H5129" s="8" t="s">
        <v>364</v>
      </c>
    </row>
    <row r="5130">
      <c r="H5130" s="8" t="s">
        <v>364</v>
      </c>
    </row>
    <row r="5131">
      <c r="H5131" s="8" t="s">
        <v>364</v>
      </c>
    </row>
    <row r="5132">
      <c r="H5132" s="8" t="s">
        <v>364</v>
      </c>
    </row>
    <row r="5133">
      <c r="H5133" s="8" t="s">
        <v>364</v>
      </c>
    </row>
    <row r="5134">
      <c r="H5134" s="8" t="s">
        <v>364</v>
      </c>
    </row>
    <row r="5135">
      <c r="H5135" s="8" t="s">
        <v>364</v>
      </c>
    </row>
    <row r="5136">
      <c r="H5136" s="8" t="s">
        <v>364</v>
      </c>
    </row>
    <row r="5137">
      <c r="H5137" s="8" t="s">
        <v>364</v>
      </c>
    </row>
    <row r="5138">
      <c r="H5138" s="8" t="s">
        <v>364</v>
      </c>
    </row>
    <row r="5139">
      <c r="H5139" s="8" t="s">
        <v>364</v>
      </c>
    </row>
    <row r="5140">
      <c r="H5140" s="8" t="s">
        <v>364</v>
      </c>
    </row>
    <row r="5141">
      <c r="H5141" s="8" t="s">
        <v>364</v>
      </c>
    </row>
    <row r="5142">
      <c r="H5142" s="8" t="s">
        <v>364</v>
      </c>
    </row>
    <row r="5143">
      <c r="H5143" s="8" t="s">
        <v>364</v>
      </c>
    </row>
    <row r="5144">
      <c r="H5144" s="8" t="s">
        <v>364</v>
      </c>
    </row>
    <row r="5145">
      <c r="H5145" s="8" t="s">
        <v>364</v>
      </c>
    </row>
    <row r="5146">
      <c r="H5146" s="8" t="s">
        <v>364</v>
      </c>
    </row>
    <row r="5147">
      <c r="H5147" s="8" t="s">
        <v>364</v>
      </c>
    </row>
    <row r="5148">
      <c r="H5148" s="8" t="s">
        <v>364</v>
      </c>
    </row>
    <row r="5149">
      <c r="H5149" s="8" t="s">
        <v>364</v>
      </c>
    </row>
    <row r="5150">
      <c r="H5150" s="8" t="s">
        <v>364</v>
      </c>
    </row>
    <row r="5151">
      <c r="H5151" s="8" t="s">
        <v>364</v>
      </c>
    </row>
    <row r="5152">
      <c r="H5152" s="8" t="s">
        <v>364</v>
      </c>
    </row>
    <row r="5153">
      <c r="H5153" s="8" t="s">
        <v>364</v>
      </c>
    </row>
    <row r="5154">
      <c r="H5154" s="8" t="s">
        <v>364</v>
      </c>
    </row>
    <row r="5155">
      <c r="H5155" s="8" t="s">
        <v>364</v>
      </c>
    </row>
    <row r="5156">
      <c r="H5156" s="8" t="s">
        <v>364</v>
      </c>
    </row>
    <row r="5157">
      <c r="H5157" s="8" t="s">
        <v>364</v>
      </c>
    </row>
    <row r="5158">
      <c r="H5158" s="8" t="s">
        <v>364</v>
      </c>
    </row>
    <row r="5159">
      <c r="H5159" s="8" t="s">
        <v>364</v>
      </c>
    </row>
    <row r="5160">
      <c r="H5160" s="8" t="s">
        <v>364</v>
      </c>
    </row>
    <row r="5161">
      <c r="H5161" s="8" t="s">
        <v>364</v>
      </c>
    </row>
    <row r="5162">
      <c r="H5162" s="8" t="s">
        <v>364</v>
      </c>
    </row>
    <row r="5163">
      <c r="H5163" s="8" t="s">
        <v>364</v>
      </c>
    </row>
    <row r="5164">
      <c r="H5164" s="8" t="s">
        <v>364</v>
      </c>
    </row>
    <row r="5165">
      <c r="H5165" s="8" t="s">
        <v>364</v>
      </c>
    </row>
    <row r="5166">
      <c r="H5166" s="8" t="s">
        <v>364</v>
      </c>
    </row>
    <row r="5167">
      <c r="H5167" s="8" t="s">
        <v>364</v>
      </c>
    </row>
    <row r="5168">
      <c r="H5168" s="8" t="s">
        <v>364</v>
      </c>
    </row>
    <row r="5169">
      <c r="H5169" s="8" t="s">
        <v>364</v>
      </c>
    </row>
    <row r="5170">
      <c r="H5170" s="8" t="s">
        <v>364</v>
      </c>
    </row>
    <row r="5171">
      <c r="H5171" s="8" t="s">
        <v>364</v>
      </c>
    </row>
    <row r="5172">
      <c r="H5172" s="8" t="s">
        <v>364</v>
      </c>
    </row>
    <row r="5173">
      <c r="H5173" s="8" t="s">
        <v>364</v>
      </c>
    </row>
    <row r="5174">
      <c r="H5174" s="8" t="s">
        <v>364</v>
      </c>
    </row>
    <row r="5175">
      <c r="H5175" s="8" t="s">
        <v>364</v>
      </c>
    </row>
    <row r="5176">
      <c r="H5176" s="8" t="s">
        <v>364</v>
      </c>
    </row>
    <row r="5177">
      <c r="H5177" s="8" t="s">
        <v>364</v>
      </c>
    </row>
    <row r="5178">
      <c r="H5178" s="8" t="s">
        <v>364</v>
      </c>
    </row>
    <row r="5179">
      <c r="H5179" s="8" t="s">
        <v>364</v>
      </c>
    </row>
    <row r="5180">
      <c r="H5180" s="8" t="s">
        <v>364</v>
      </c>
    </row>
    <row r="5181">
      <c r="H5181" s="8" t="s">
        <v>364</v>
      </c>
    </row>
    <row r="5182">
      <c r="H5182" s="8" t="s">
        <v>364</v>
      </c>
    </row>
    <row r="5183">
      <c r="H5183" s="8" t="s">
        <v>364</v>
      </c>
    </row>
    <row r="5184">
      <c r="H5184" s="8" t="s">
        <v>364</v>
      </c>
    </row>
    <row r="5185">
      <c r="H5185" s="8" t="s">
        <v>364</v>
      </c>
    </row>
    <row r="5186">
      <c r="H5186" s="8" t="s">
        <v>364</v>
      </c>
    </row>
    <row r="5187">
      <c r="H5187" s="8" t="s">
        <v>364</v>
      </c>
    </row>
    <row r="5188">
      <c r="H5188" s="8" t="s">
        <v>364</v>
      </c>
    </row>
    <row r="5189">
      <c r="H5189" s="8" t="s">
        <v>364</v>
      </c>
    </row>
    <row r="5190">
      <c r="H5190" s="8" t="s">
        <v>364</v>
      </c>
    </row>
    <row r="5191">
      <c r="H5191" s="8" t="s">
        <v>364</v>
      </c>
    </row>
    <row r="5192">
      <c r="H5192" s="8" t="s">
        <v>364</v>
      </c>
    </row>
    <row r="5193">
      <c r="H5193" s="8" t="s">
        <v>364</v>
      </c>
    </row>
    <row r="5194">
      <c r="H5194" s="8" t="s">
        <v>364</v>
      </c>
    </row>
    <row r="5195">
      <c r="H5195" s="8" t="s">
        <v>364</v>
      </c>
    </row>
    <row r="5196">
      <c r="H5196" s="8" t="s">
        <v>364</v>
      </c>
    </row>
    <row r="5197">
      <c r="H5197" s="8" t="s">
        <v>364</v>
      </c>
    </row>
    <row r="5198">
      <c r="H5198" s="8" t="s">
        <v>364</v>
      </c>
    </row>
    <row r="5199">
      <c r="H5199" s="8" t="s">
        <v>364</v>
      </c>
    </row>
    <row r="5200">
      <c r="H5200" s="8" t="s">
        <v>364</v>
      </c>
    </row>
    <row r="5201">
      <c r="H5201" s="8" t="s">
        <v>364</v>
      </c>
    </row>
    <row r="5202">
      <c r="H5202" s="8" t="s">
        <v>364</v>
      </c>
    </row>
    <row r="5203">
      <c r="H5203" s="8" t="s">
        <v>364</v>
      </c>
    </row>
    <row r="5204">
      <c r="H5204" s="8" t="s">
        <v>364</v>
      </c>
    </row>
    <row r="5205">
      <c r="H5205" s="8" t="s">
        <v>364</v>
      </c>
    </row>
    <row r="5206">
      <c r="H5206" s="8" t="s">
        <v>364</v>
      </c>
    </row>
    <row r="5207">
      <c r="H5207" s="8" t="s">
        <v>364</v>
      </c>
    </row>
    <row r="5208">
      <c r="H5208" s="8" t="s">
        <v>364</v>
      </c>
    </row>
    <row r="5209">
      <c r="H5209" s="8" t="s">
        <v>364</v>
      </c>
    </row>
    <row r="5210">
      <c r="H5210" s="8" t="s">
        <v>364</v>
      </c>
    </row>
    <row r="5211">
      <c r="H5211" s="8" t="s">
        <v>364</v>
      </c>
    </row>
    <row r="5212">
      <c r="H5212" s="8" t="s">
        <v>364</v>
      </c>
    </row>
    <row r="5213">
      <c r="H5213" s="8" t="s">
        <v>364</v>
      </c>
    </row>
    <row r="5214">
      <c r="H5214" s="8" t="s">
        <v>364</v>
      </c>
    </row>
    <row r="5215">
      <c r="H5215" s="8" t="s">
        <v>364</v>
      </c>
    </row>
    <row r="5216">
      <c r="H5216" s="8" t="s">
        <v>364</v>
      </c>
    </row>
    <row r="5217">
      <c r="H5217" s="8" t="s">
        <v>364</v>
      </c>
    </row>
    <row r="5218">
      <c r="H5218" s="8" t="s">
        <v>364</v>
      </c>
    </row>
    <row r="5219">
      <c r="H5219" s="8" t="s">
        <v>364</v>
      </c>
    </row>
    <row r="5220">
      <c r="H5220" s="8" t="s">
        <v>364</v>
      </c>
    </row>
    <row r="5221">
      <c r="H5221" s="8" t="s">
        <v>364</v>
      </c>
    </row>
    <row r="5222">
      <c r="H5222" s="8" t="s">
        <v>364</v>
      </c>
    </row>
    <row r="5223">
      <c r="H5223" s="8" t="s">
        <v>364</v>
      </c>
    </row>
    <row r="5224">
      <c r="H5224" s="8" t="s">
        <v>364</v>
      </c>
    </row>
    <row r="5225">
      <c r="H5225" s="8" t="s">
        <v>364</v>
      </c>
    </row>
    <row r="5226">
      <c r="H5226" s="8" t="s">
        <v>364</v>
      </c>
    </row>
    <row r="5227">
      <c r="H5227" s="8" t="s">
        <v>364</v>
      </c>
    </row>
    <row r="5228">
      <c r="H5228" s="8" t="s">
        <v>364</v>
      </c>
    </row>
    <row r="5229">
      <c r="H5229" s="8" t="s">
        <v>364</v>
      </c>
    </row>
    <row r="5230">
      <c r="H5230" s="8" t="s">
        <v>364</v>
      </c>
    </row>
    <row r="5231">
      <c r="H5231" s="8" t="s">
        <v>364</v>
      </c>
    </row>
    <row r="5232">
      <c r="H5232" s="8" t="s">
        <v>364</v>
      </c>
    </row>
    <row r="5233">
      <c r="H5233" s="8" t="s">
        <v>364</v>
      </c>
    </row>
    <row r="5234">
      <c r="H5234" s="8" t="s">
        <v>364</v>
      </c>
    </row>
    <row r="5235">
      <c r="H5235" s="8" t="s">
        <v>364</v>
      </c>
    </row>
    <row r="5236">
      <c r="H5236" s="8" t="s">
        <v>364</v>
      </c>
    </row>
    <row r="5237">
      <c r="H5237" s="8" t="s">
        <v>364</v>
      </c>
    </row>
    <row r="5238">
      <c r="H5238" s="8" t="s">
        <v>364</v>
      </c>
    </row>
    <row r="5239">
      <c r="H5239" s="8" t="s">
        <v>364</v>
      </c>
    </row>
    <row r="5240">
      <c r="H5240" s="8" t="s">
        <v>364</v>
      </c>
    </row>
    <row r="5241">
      <c r="H5241" s="8" t="s">
        <v>364</v>
      </c>
    </row>
    <row r="5242">
      <c r="H5242" s="8" t="s">
        <v>364</v>
      </c>
    </row>
    <row r="5243">
      <c r="H5243" s="8" t="s">
        <v>364</v>
      </c>
    </row>
    <row r="5244">
      <c r="H5244" s="8" t="s">
        <v>364</v>
      </c>
    </row>
    <row r="5245">
      <c r="H5245" s="8" t="s">
        <v>364</v>
      </c>
    </row>
    <row r="5246">
      <c r="H5246" s="8" t="s">
        <v>364</v>
      </c>
    </row>
    <row r="5247">
      <c r="H5247" s="8" t="s">
        <v>364</v>
      </c>
    </row>
    <row r="5248">
      <c r="H5248" s="8" t="s">
        <v>364</v>
      </c>
    </row>
    <row r="5249">
      <c r="H5249" s="8" t="s">
        <v>364</v>
      </c>
    </row>
    <row r="5250">
      <c r="H5250" s="8" t="s">
        <v>364</v>
      </c>
    </row>
    <row r="5251">
      <c r="H5251" s="8" t="s">
        <v>364</v>
      </c>
    </row>
    <row r="5252">
      <c r="H5252" s="8" t="s">
        <v>364</v>
      </c>
    </row>
    <row r="5253">
      <c r="H5253" s="8" t="s">
        <v>364</v>
      </c>
    </row>
    <row r="5254">
      <c r="H5254" s="8" t="s">
        <v>364</v>
      </c>
    </row>
    <row r="5255">
      <c r="H5255" s="8" t="s">
        <v>364</v>
      </c>
    </row>
    <row r="5256">
      <c r="H5256" s="8" t="s">
        <v>364</v>
      </c>
    </row>
    <row r="5257">
      <c r="H5257" s="8" t="s">
        <v>364</v>
      </c>
    </row>
    <row r="5258">
      <c r="H5258" s="8" t="s">
        <v>364</v>
      </c>
    </row>
    <row r="5259">
      <c r="H5259" s="8" t="s">
        <v>364</v>
      </c>
    </row>
    <row r="5260">
      <c r="H5260" s="8" t="s">
        <v>364</v>
      </c>
    </row>
    <row r="5261">
      <c r="H5261" s="8" t="s">
        <v>364</v>
      </c>
    </row>
    <row r="5262">
      <c r="H5262" s="8" t="s">
        <v>364</v>
      </c>
    </row>
    <row r="5263">
      <c r="H5263" s="8" t="s">
        <v>364</v>
      </c>
    </row>
    <row r="5264">
      <c r="H5264" s="8" t="s">
        <v>364</v>
      </c>
    </row>
    <row r="5265">
      <c r="H5265" s="8" t="s">
        <v>364</v>
      </c>
    </row>
    <row r="5266">
      <c r="H5266" s="8" t="s">
        <v>364</v>
      </c>
    </row>
    <row r="5267">
      <c r="H5267" s="8" t="s">
        <v>364</v>
      </c>
    </row>
    <row r="5268">
      <c r="H5268" s="8" t="s">
        <v>364</v>
      </c>
    </row>
    <row r="5269">
      <c r="H5269" s="8" t="s">
        <v>364</v>
      </c>
    </row>
    <row r="5270">
      <c r="H5270" s="8" t="s">
        <v>364</v>
      </c>
    </row>
    <row r="5271">
      <c r="H5271" s="8" t="s">
        <v>364</v>
      </c>
    </row>
    <row r="5272">
      <c r="H5272" s="8" t="s">
        <v>364</v>
      </c>
    </row>
    <row r="5273">
      <c r="H5273" s="8" t="s">
        <v>364</v>
      </c>
    </row>
    <row r="5274">
      <c r="H5274" s="8" t="s">
        <v>364</v>
      </c>
    </row>
    <row r="5275">
      <c r="H5275" s="8" t="s">
        <v>364</v>
      </c>
    </row>
    <row r="5276">
      <c r="H5276" s="8" t="s">
        <v>364</v>
      </c>
    </row>
    <row r="5277">
      <c r="H5277" s="8" t="s">
        <v>364</v>
      </c>
    </row>
    <row r="5278">
      <c r="H5278" s="8" t="s">
        <v>364</v>
      </c>
    </row>
    <row r="5279">
      <c r="H5279" s="8" t="s">
        <v>364</v>
      </c>
    </row>
    <row r="5280">
      <c r="H5280" s="8" t="s">
        <v>364</v>
      </c>
    </row>
    <row r="5281">
      <c r="H5281" s="8" t="s">
        <v>364</v>
      </c>
    </row>
    <row r="5282">
      <c r="H5282" s="8" t="s">
        <v>364</v>
      </c>
    </row>
    <row r="5283">
      <c r="H5283" s="8" t="s">
        <v>364</v>
      </c>
    </row>
    <row r="5284">
      <c r="H5284" s="8" t="s">
        <v>364</v>
      </c>
    </row>
    <row r="5285">
      <c r="H5285" s="8" t="s">
        <v>364</v>
      </c>
    </row>
    <row r="5286">
      <c r="H5286" s="8" t="s">
        <v>364</v>
      </c>
    </row>
    <row r="5287">
      <c r="H5287" s="8" t="s">
        <v>364</v>
      </c>
    </row>
    <row r="5288">
      <c r="H5288" s="8" t="s">
        <v>364</v>
      </c>
    </row>
    <row r="5289">
      <c r="H5289" s="8" t="s">
        <v>364</v>
      </c>
    </row>
    <row r="5290">
      <c r="H5290" s="8" t="s">
        <v>364</v>
      </c>
    </row>
    <row r="5291">
      <c r="H5291" s="8" t="s">
        <v>364</v>
      </c>
    </row>
    <row r="5292">
      <c r="H5292" s="8" t="s">
        <v>364</v>
      </c>
    </row>
    <row r="5293">
      <c r="H5293" s="8" t="s">
        <v>364</v>
      </c>
    </row>
    <row r="5294">
      <c r="H5294" s="8" t="s">
        <v>364</v>
      </c>
    </row>
    <row r="5295">
      <c r="H5295" s="8" t="s">
        <v>364</v>
      </c>
    </row>
    <row r="5296">
      <c r="H5296" s="8" t="s">
        <v>364</v>
      </c>
    </row>
    <row r="5297">
      <c r="H5297" s="8" t="s">
        <v>364</v>
      </c>
    </row>
    <row r="5298">
      <c r="H5298" s="8" t="s">
        <v>364</v>
      </c>
    </row>
    <row r="5299">
      <c r="H5299" s="8" t="s">
        <v>364</v>
      </c>
    </row>
    <row r="5300">
      <c r="H5300" s="8" t="s">
        <v>364</v>
      </c>
    </row>
    <row r="5301">
      <c r="H5301" s="8" t="s">
        <v>364</v>
      </c>
    </row>
    <row r="5302">
      <c r="H5302" s="8" t="s">
        <v>364</v>
      </c>
    </row>
    <row r="5303">
      <c r="H5303" s="8" t="s">
        <v>364</v>
      </c>
    </row>
    <row r="5304">
      <c r="H5304" s="8" t="s">
        <v>364</v>
      </c>
    </row>
    <row r="5305">
      <c r="H5305" s="8" t="s">
        <v>364</v>
      </c>
    </row>
    <row r="5306">
      <c r="H5306" s="8" t="s">
        <v>364</v>
      </c>
    </row>
    <row r="5307">
      <c r="H5307" s="8" t="s">
        <v>364</v>
      </c>
    </row>
    <row r="5308">
      <c r="H5308" s="8" t="s">
        <v>364</v>
      </c>
    </row>
    <row r="5309">
      <c r="H5309" s="8" t="s">
        <v>364</v>
      </c>
    </row>
    <row r="5310">
      <c r="H5310" s="8" t="s">
        <v>364</v>
      </c>
    </row>
    <row r="5311">
      <c r="H5311" s="8" t="s">
        <v>364</v>
      </c>
    </row>
    <row r="5312">
      <c r="H5312" s="8" t="s">
        <v>364</v>
      </c>
    </row>
    <row r="5313">
      <c r="H5313" s="8" t="s">
        <v>364</v>
      </c>
    </row>
    <row r="5314">
      <c r="H5314" s="8" t="s">
        <v>364</v>
      </c>
    </row>
    <row r="5315">
      <c r="H5315" s="8" t="s">
        <v>364</v>
      </c>
    </row>
    <row r="5316">
      <c r="H5316" s="8" t="s">
        <v>364</v>
      </c>
    </row>
    <row r="5317">
      <c r="H5317" s="8" t="s">
        <v>364</v>
      </c>
    </row>
    <row r="5318">
      <c r="H5318" s="8" t="s">
        <v>364</v>
      </c>
    </row>
    <row r="5319">
      <c r="H5319" s="8" t="s">
        <v>364</v>
      </c>
    </row>
    <row r="5320">
      <c r="H5320" s="8" t="s">
        <v>364</v>
      </c>
    </row>
    <row r="5321">
      <c r="H5321" s="8" t="s">
        <v>364</v>
      </c>
    </row>
    <row r="5322">
      <c r="H5322" s="8" t="s">
        <v>364</v>
      </c>
    </row>
    <row r="5323">
      <c r="H5323" s="8" t="s">
        <v>364</v>
      </c>
    </row>
    <row r="5324">
      <c r="H5324" s="8" t="s">
        <v>364</v>
      </c>
    </row>
    <row r="5325">
      <c r="H5325" s="8" t="s">
        <v>364</v>
      </c>
    </row>
    <row r="5326">
      <c r="H5326" s="8" t="s">
        <v>364</v>
      </c>
    </row>
    <row r="5327">
      <c r="H5327" s="8" t="s">
        <v>364</v>
      </c>
    </row>
    <row r="5328">
      <c r="H5328" s="8" t="s">
        <v>364</v>
      </c>
    </row>
    <row r="5329">
      <c r="H5329" s="8" t="s">
        <v>364</v>
      </c>
    </row>
    <row r="5330">
      <c r="H5330" s="8" t="s">
        <v>364</v>
      </c>
    </row>
    <row r="5331">
      <c r="H5331" s="8" t="s">
        <v>364</v>
      </c>
    </row>
    <row r="5332">
      <c r="H5332" s="8" t="s">
        <v>364</v>
      </c>
    </row>
    <row r="5333">
      <c r="H5333" s="8" t="s">
        <v>364</v>
      </c>
    </row>
    <row r="5334">
      <c r="H5334" s="8" t="s">
        <v>364</v>
      </c>
    </row>
    <row r="5335">
      <c r="H5335" s="8" t="s">
        <v>364</v>
      </c>
    </row>
    <row r="5336">
      <c r="H5336" s="8" t="s">
        <v>364</v>
      </c>
    </row>
    <row r="5337">
      <c r="H5337" s="8" t="s">
        <v>364</v>
      </c>
    </row>
    <row r="5338">
      <c r="H5338" s="8" t="s">
        <v>364</v>
      </c>
    </row>
    <row r="5339">
      <c r="H5339" s="8" t="s">
        <v>364</v>
      </c>
    </row>
    <row r="5340">
      <c r="H5340" s="8" t="s">
        <v>364</v>
      </c>
    </row>
    <row r="5341">
      <c r="H5341" s="8" t="s">
        <v>364</v>
      </c>
    </row>
    <row r="5342">
      <c r="H5342" s="8" t="s">
        <v>364</v>
      </c>
    </row>
    <row r="5343">
      <c r="H5343" s="8" t="s">
        <v>364</v>
      </c>
    </row>
    <row r="5344">
      <c r="H5344" s="8" t="s">
        <v>364</v>
      </c>
    </row>
    <row r="5345">
      <c r="H5345" s="8" t="s">
        <v>364</v>
      </c>
    </row>
    <row r="5346">
      <c r="H5346" s="8" t="s">
        <v>364</v>
      </c>
    </row>
    <row r="5347">
      <c r="H5347" s="8" t="s">
        <v>364</v>
      </c>
    </row>
    <row r="5348">
      <c r="H5348" s="8" t="s">
        <v>364</v>
      </c>
    </row>
    <row r="5349">
      <c r="H5349" s="8" t="s">
        <v>364</v>
      </c>
    </row>
    <row r="5350">
      <c r="H5350" s="8" t="s">
        <v>364</v>
      </c>
    </row>
    <row r="5351">
      <c r="H5351" s="8" t="s">
        <v>364</v>
      </c>
    </row>
    <row r="5352">
      <c r="H5352" s="8" t="s">
        <v>364</v>
      </c>
    </row>
    <row r="5353">
      <c r="H5353" s="8" t="s">
        <v>364</v>
      </c>
    </row>
    <row r="5354">
      <c r="H5354" s="8" t="s">
        <v>364</v>
      </c>
    </row>
    <row r="5355">
      <c r="H5355" s="8" t="s">
        <v>364</v>
      </c>
    </row>
    <row r="5356">
      <c r="H5356" s="8" t="s">
        <v>364</v>
      </c>
    </row>
    <row r="5357">
      <c r="H5357" s="8" t="s">
        <v>364</v>
      </c>
    </row>
    <row r="5358">
      <c r="H5358" s="8" t="s">
        <v>364</v>
      </c>
    </row>
    <row r="5359">
      <c r="H5359" s="8" t="s">
        <v>364</v>
      </c>
    </row>
    <row r="5360">
      <c r="H5360" s="8" t="s">
        <v>364</v>
      </c>
    </row>
    <row r="5361">
      <c r="H5361" s="8" t="s">
        <v>364</v>
      </c>
    </row>
    <row r="5362">
      <c r="H5362" s="8" t="s">
        <v>364</v>
      </c>
    </row>
    <row r="5363">
      <c r="H5363" s="8" t="s">
        <v>364</v>
      </c>
    </row>
    <row r="5364">
      <c r="H5364" s="8" t="s">
        <v>364</v>
      </c>
    </row>
    <row r="5365">
      <c r="H5365" s="8" t="s">
        <v>364</v>
      </c>
    </row>
    <row r="5366">
      <c r="H5366" s="8" t="s">
        <v>364</v>
      </c>
    </row>
    <row r="5367">
      <c r="H5367" s="8" t="s">
        <v>364</v>
      </c>
    </row>
    <row r="5368">
      <c r="H5368" s="8" t="s">
        <v>364</v>
      </c>
    </row>
    <row r="5369">
      <c r="H5369" s="8" t="s">
        <v>364</v>
      </c>
    </row>
    <row r="5370">
      <c r="H5370" s="8" t="s">
        <v>364</v>
      </c>
    </row>
    <row r="5371">
      <c r="H5371" s="8" t="s">
        <v>364</v>
      </c>
    </row>
    <row r="5372">
      <c r="H5372" s="8" t="s">
        <v>364</v>
      </c>
    </row>
    <row r="5373">
      <c r="H5373" s="8" t="s">
        <v>364</v>
      </c>
    </row>
    <row r="5374">
      <c r="H5374" s="8" t="s">
        <v>364</v>
      </c>
    </row>
    <row r="5375">
      <c r="H5375" s="8" t="s">
        <v>364</v>
      </c>
    </row>
    <row r="5376">
      <c r="H5376" s="8" t="s">
        <v>364</v>
      </c>
    </row>
    <row r="5377">
      <c r="H5377" s="8" t="s">
        <v>364</v>
      </c>
    </row>
    <row r="5378">
      <c r="H5378" s="8" t="s">
        <v>364</v>
      </c>
    </row>
    <row r="5379">
      <c r="H5379" s="8" t="s">
        <v>364</v>
      </c>
    </row>
    <row r="5380">
      <c r="H5380" s="8" t="s">
        <v>364</v>
      </c>
    </row>
    <row r="5381">
      <c r="H5381" s="8" t="s">
        <v>364</v>
      </c>
    </row>
    <row r="5382">
      <c r="H5382" s="8" t="s">
        <v>364</v>
      </c>
    </row>
    <row r="5383">
      <c r="H5383" s="8" t="s">
        <v>364</v>
      </c>
    </row>
    <row r="5384">
      <c r="H5384" s="8" t="s">
        <v>364</v>
      </c>
    </row>
    <row r="5385">
      <c r="H5385" s="8" t="s">
        <v>364</v>
      </c>
    </row>
    <row r="5386">
      <c r="H5386" s="8" t="s">
        <v>364</v>
      </c>
    </row>
    <row r="5387">
      <c r="H5387" s="8" t="s">
        <v>364</v>
      </c>
    </row>
    <row r="5388">
      <c r="H5388" s="8" t="s">
        <v>364</v>
      </c>
    </row>
    <row r="5389">
      <c r="H5389" s="8" t="s">
        <v>364</v>
      </c>
    </row>
    <row r="5390">
      <c r="H5390" s="8" t="s">
        <v>364</v>
      </c>
    </row>
    <row r="5391">
      <c r="H5391" s="8" t="s">
        <v>364</v>
      </c>
    </row>
    <row r="5392">
      <c r="H5392" s="8" t="s">
        <v>364</v>
      </c>
    </row>
    <row r="5393">
      <c r="H5393" s="8" t="s">
        <v>364</v>
      </c>
    </row>
    <row r="5394">
      <c r="H5394" s="8" t="s">
        <v>364</v>
      </c>
    </row>
    <row r="5395">
      <c r="H5395" s="8" t="s">
        <v>364</v>
      </c>
    </row>
    <row r="5396">
      <c r="H5396" s="8" t="s">
        <v>364</v>
      </c>
    </row>
    <row r="5397">
      <c r="H5397" s="8" t="s">
        <v>364</v>
      </c>
    </row>
    <row r="5398">
      <c r="H5398" s="8" t="s">
        <v>364</v>
      </c>
    </row>
    <row r="5399">
      <c r="H5399" s="8" t="s">
        <v>364</v>
      </c>
    </row>
    <row r="5400">
      <c r="H5400" s="8" t="s">
        <v>364</v>
      </c>
    </row>
    <row r="5401">
      <c r="H5401" s="8" t="s">
        <v>364</v>
      </c>
    </row>
    <row r="5402">
      <c r="H5402" s="8" t="s">
        <v>364</v>
      </c>
    </row>
    <row r="5403">
      <c r="H5403" s="8" t="s">
        <v>364</v>
      </c>
    </row>
    <row r="5404">
      <c r="H5404" s="8" t="s">
        <v>364</v>
      </c>
    </row>
    <row r="5405">
      <c r="H5405" s="8" t="s">
        <v>364</v>
      </c>
    </row>
    <row r="5406">
      <c r="H5406" s="8" t="s">
        <v>364</v>
      </c>
    </row>
    <row r="5407">
      <c r="H5407" s="8" t="s">
        <v>364</v>
      </c>
    </row>
    <row r="5408">
      <c r="H5408" s="8" t="s">
        <v>364</v>
      </c>
    </row>
    <row r="5409">
      <c r="H5409" s="8" t="s">
        <v>364</v>
      </c>
    </row>
    <row r="5410">
      <c r="H5410" s="8" t="s">
        <v>364</v>
      </c>
    </row>
    <row r="5411">
      <c r="H5411" s="8" t="s">
        <v>364</v>
      </c>
    </row>
    <row r="5412">
      <c r="H5412" s="8" t="s">
        <v>364</v>
      </c>
    </row>
    <row r="5413">
      <c r="H5413" s="8" t="s">
        <v>364</v>
      </c>
    </row>
    <row r="5414">
      <c r="H5414" s="8" t="s">
        <v>364</v>
      </c>
    </row>
    <row r="5415">
      <c r="H5415" s="8" t="s">
        <v>364</v>
      </c>
    </row>
    <row r="5416">
      <c r="H5416" s="8" t="s">
        <v>364</v>
      </c>
    </row>
    <row r="5417">
      <c r="H5417" s="8" t="s">
        <v>364</v>
      </c>
    </row>
    <row r="5418">
      <c r="H5418" s="8" t="s">
        <v>364</v>
      </c>
    </row>
    <row r="5419">
      <c r="H5419" s="8" t="s">
        <v>364</v>
      </c>
    </row>
    <row r="5420">
      <c r="H5420" s="8" t="s">
        <v>364</v>
      </c>
    </row>
    <row r="5421">
      <c r="H5421" s="8" t="s">
        <v>364</v>
      </c>
    </row>
    <row r="5422">
      <c r="H5422" s="8" t="s">
        <v>364</v>
      </c>
    </row>
    <row r="5423">
      <c r="H5423" s="8" t="s">
        <v>364</v>
      </c>
    </row>
    <row r="5424">
      <c r="H5424" s="8" t="s">
        <v>364</v>
      </c>
    </row>
    <row r="5425">
      <c r="H5425" s="8" t="s">
        <v>364</v>
      </c>
    </row>
    <row r="5426">
      <c r="H5426" s="8" t="s">
        <v>364</v>
      </c>
    </row>
    <row r="5427">
      <c r="H5427" s="8" t="s">
        <v>364</v>
      </c>
    </row>
    <row r="5428">
      <c r="H5428" s="8" t="s">
        <v>364</v>
      </c>
    </row>
    <row r="5429">
      <c r="H5429" s="8" t="s">
        <v>364</v>
      </c>
    </row>
    <row r="5430">
      <c r="H5430" s="8" t="s">
        <v>364</v>
      </c>
    </row>
    <row r="5431">
      <c r="H5431" s="8" t="s">
        <v>364</v>
      </c>
    </row>
    <row r="5432">
      <c r="H5432" s="8" t="s">
        <v>364</v>
      </c>
    </row>
    <row r="5433">
      <c r="H5433" s="8" t="s">
        <v>364</v>
      </c>
    </row>
    <row r="5434">
      <c r="H5434" s="8" t="s">
        <v>364</v>
      </c>
    </row>
    <row r="5435">
      <c r="H5435" s="8" t="s">
        <v>364</v>
      </c>
    </row>
    <row r="5436">
      <c r="H5436" s="8" t="s">
        <v>364</v>
      </c>
    </row>
    <row r="5437">
      <c r="H5437" s="8" t="s">
        <v>364</v>
      </c>
    </row>
    <row r="5438">
      <c r="H5438" s="8" t="s">
        <v>364</v>
      </c>
    </row>
    <row r="5439">
      <c r="H5439" s="8" t="s">
        <v>364</v>
      </c>
    </row>
    <row r="5440">
      <c r="H5440" s="8" t="s">
        <v>364</v>
      </c>
    </row>
    <row r="5441">
      <c r="H5441" s="8" t="s">
        <v>364</v>
      </c>
    </row>
    <row r="5442">
      <c r="H5442" s="8" t="s">
        <v>364</v>
      </c>
    </row>
    <row r="5443">
      <c r="H5443" s="8" t="s">
        <v>364</v>
      </c>
    </row>
    <row r="5444">
      <c r="H5444" s="8" t="s">
        <v>364</v>
      </c>
    </row>
    <row r="5445">
      <c r="H5445" s="8" t="s">
        <v>364</v>
      </c>
    </row>
    <row r="5446">
      <c r="H5446" s="8" t="s">
        <v>364</v>
      </c>
    </row>
    <row r="5447">
      <c r="H5447" s="8" t="s">
        <v>364</v>
      </c>
    </row>
    <row r="5448">
      <c r="H5448" s="8" t="s">
        <v>364</v>
      </c>
    </row>
    <row r="5449">
      <c r="H5449" s="8" t="s">
        <v>364</v>
      </c>
    </row>
    <row r="5450">
      <c r="H5450" s="8" t="s">
        <v>364</v>
      </c>
    </row>
    <row r="5451">
      <c r="H5451" s="8" t="s">
        <v>364</v>
      </c>
    </row>
    <row r="5452">
      <c r="H5452" s="8" t="s">
        <v>364</v>
      </c>
    </row>
    <row r="5453">
      <c r="H5453" s="8" t="s">
        <v>364</v>
      </c>
    </row>
    <row r="5454">
      <c r="H5454" s="8" t="s">
        <v>364</v>
      </c>
    </row>
    <row r="5455">
      <c r="H5455" s="8" t="s">
        <v>364</v>
      </c>
    </row>
    <row r="5456">
      <c r="H5456" s="8" t="s">
        <v>364</v>
      </c>
    </row>
    <row r="5457">
      <c r="H5457" s="8" t="s">
        <v>364</v>
      </c>
    </row>
    <row r="5458">
      <c r="H5458" s="8" t="s">
        <v>364</v>
      </c>
    </row>
    <row r="5459">
      <c r="H5459" s="8" t="s">
        <v>364</v>
      </c>
    </row>
    <row r="5460">
      <c r="H5460" s="8" t="s">
        <v>364</v>
      </c>
    </row>
    <row r="5461">
      <c r="H5461" s="8" t="s">
        <v>364</v>
      </c>
    </row>
    <row r="5462">
      <c r="H5462" s="8" t="s">
        <v>364</v>
      </c>
    </row>
    <row r="5463">
      <c r="H5463" s="8" t="s">
        <v>364</v>
      </c>
    </row>
    <row r="5464">
      <c r="H5464" s="8" t="s">
        <v>364</v>
      </c>
    </row>
    <row r="5465">
      <c r="H5465" s="8" t="s">
        <v>364</v>
      </c>
    </row>
    <row r="5466">
      <c r="H5466" s="8" t="s">
        <v>364</v>
      </c>
    </row>
    <row r="5467">
      <c r="H5467" s="8" t="s">
        <v>364</v>
      </c>
    </row>
    <row r="5468">
      <c r="H5468" s="8" t="s">
        <v>364</v>
      </c>
    </row>
    <row r="5469">
      <c r="H5469" s="8" t="s">
        <v>364</v>
      </c>
    </row>
    <row r="5470">
      <c r="H5470" s="8" t="s">
        <v>364</v>
      </c>
    </row>
    <row r="5471">
      <c r="H5471" s="8" t="s">
        <v>364</v>
      </c>
    </row>
    <row r="5472">
      <c r="H5472" s="8" t="s">
        <v>364</v>
      </c>
    </row>
    <row r="5473">
      <c r="H5473" s="8" t="s">
        <v>364</v>
      </c>
    </row>
    <row r="5474">
      <c r="H5474" s="8" t="s">
        <v>364</v>
      </c>
    </row>
    <row r="5475">
      <c r="H5475" s="8" t="s">
        <v>364</v>
      </c>
    </row>
    <row r="5476">
      <c r="H5476" s="8" t="s">
        <v>364</v>
      </c>
    </row>
    <row r="5477">
      <c r="H5477" s="8" t="s">
        <v>364</v>
      </c>
    </row>
    <row r="5478">
      <c r="H5478" s="8" t="s">
        <v>364</v>
      </c>
    </row>
    <row r="5479">
      <c r="H5479" s="8" t="s">
        <v>364</v>
      </c>
    </row>
    <row r="5480">
      <c r="H5480" s="8" t="s">
        <v>364</v>
      </c>
    </row>
    <row r="5481">
      <c r="H5481" s="8" t="s">
        <v>364</v>
      </c>
    </row>
    <row r="5482">
      <c r="H5482" s="8" t="s">
        <v>364</v>
      </c>
    </row>
    <row r="5483">
      <c r="H5483" s="8" t="s">
        <v>364</v>
      </c>
    </row>
    <row r="5484">
      <c r="H5484" s="8" t="s">
        <v>364</v>
      </c>
    </row>
    <row r="5485">
      <c r="H5485" s="8" t="s">
        <v>364</v>
      </c>
    </row>
    <row r="5486">
      <c r="H5486" s="8" t="s">
        <v>364</v>
      </c>
    </row>
    <row r="5487">
      <c r="H5487" s="8" t="s">
        <v>364</v>
      </c>
    </row>
    <row r="5488">
      <c r="H5488" s="8" t="s">
        <v>364</v>
      </c>
    </row>
    <row r="5489">
      <c r="H5489" s="8" t="s">
        <v>364</v>
      </c>
    </row>
    <row r="5490">
      <c r="H5490" s="8" t="s">
        <v>364</v>
      </c>
    </row>
    <row r="5491">
      <c r="H5491" s="8" t="s">
        <v>364</v>
      </c>
    </row>
    <row r="5492">
      <c r="H5492" s="8" t="s">
        <v>364</v>
      </c>
    </row>
    <row r="5493">
      <c r="H5493" s="8" t="s">
        <v>364</v>
      </c>
    </row>
    <row r="5494">
      <c r="H5494" s="8" t="s">
        <v>364</v>
      </c>
    </row>
    <row r="5495">
      <c r="H5495" s="8" t="s">
        <v>364</v>
      </c>
    </row>
    <row r="5496">
      <c r="H5496" s="8" t="s">
        <v>364</v>
      </c>
    </row>
    <row r="5497">
      <c r="H5497" s="8" t="s">
        <v>364</v>
      </c>
    </row>
    <row r="5498">
      <c r="H5498" s="8" t="s">
        <v>364</v>
      </c>
    </row>
    <row r="5499">
      <c r="H5499" s="8" t="s">
        <v>364</v>
      </c>
    </row>
    <row r="5500">
      <c r="H5500" s="8" t="s">
        <v>364</v>
      </c>
    </row>
    <row r="5501">
      <c r="H5501" s="8" t="s">
        <v>364</v>
      </c>
    </row>
    <row r="5502">
      <c r="H5502" s="8" t="s">
        <v>364</v>
      </c>
    </row>
    <row r="5503">
      <c r="H5503" s="8" t="s">
        <v>364</v>
      </c>
    </row>
    <row r="5504">
      <c r="H5504" s="8" t="s">
        <v>364</v>
      </c>
    </row>
    <row r="5505">
      <c r="H5505" s="8" t="s">
        <v>364</v>
      </c>
    </row>
    <row r="5506">
      <c r="H5506" s="8" t="s">
        <v>364</v>
      </c>
    </row>
    <row r="5507">
      <c r="H5507" s="8" t="s">
        <v>364</v>
      </c>
    </row>
    <row r="5508">
      <c r="H5508" s="8" t="s">
        <v>364</v>
      </c>
    </row>
    <row r="5509">
      <c r="H5509" s="8" t="s">
        <v>364</v>
      </c>
    </row>
    <row r="5510">
      <c r="H5510" s="8" t="s">
        <v>364</v>
      </c>
    </row>
    <row r="5511">
      <c r="H5511" s="8" t="s">
        <v>364</v>
      </c>
    </row>
    <row r="5512">
      <c r="H5512" s="8" t="s">
        <v>364</v>
      </c>
    </row>
    <row r="5513">
      <c r="H5513" s="8" t="s">
        <v>364</v>
      </c>
    </row>
    <row r="5514">
      <c r="H5514" s="8" t="s">
        <v>364</v>
      </c>
    </row>
    <row r="5515">
      <c r="H5515" s="8" t="s">
        <v>364</v>
      </c>
    </row>
    <row r="5516">
      <c r="H5516" s="8" t="s">
        <v>364</v>
      </c>
    </row>
    <row r="5517">
      <c r="H5517" s="8" t="s">
        <v>364</v>
      </c>
    </row>
    <row r="5518">
      <c r="H5518" s="8" t="s">
        <v>364</v>
      </c>
    </row>
    <row r="5519">
      <c r="H5519" s="8" t="s">
        <v>364</v>
      </c>
    </row>
    <row r="5520">
      <c r="H5520" s="8" t="s">
        <v>364</v>
      </c>
    </row>
    <row r="5521">
      <c r="H5521" s="8" t="s">
        <v>364</v>
      </c>
    </row>
    <row r="5522">
      <c r="H5522" s="8" t="s">
        <v>364</v>
      </c>
    </row>
    <row r="5523">
      <c r="H5523" s="8" t="s">
        <v>364</v>
      </c>
    </row>
    <row r="5524">
      <c r="H5524" s="8" t="s">
        <v>364</v>
      </c>
    </row>
    <row r="5525">
      <c r="H5525" s="8" t="s">
        <v>364</v>
      </c>
    </row>
    <row r="5526">
      <c r="H5526" s="8" t="s">
        <v>364</v>
      </c>
    </row>
    <row r="5527">
      <c r="H5527" s="8" t="s">
        <v>364</v>
      </c>
    </row>
    <row r="5528">
      <c r="H5528" s="8" t="s">
        <v>364</v>
      </c>
    </row>
    <row r="5529">
      <c r="H5529" s="8" t="s">
        <v>364</v>
      </c>
    </row>
    <row r="5530">
      <c r="H5530" s="8" t="s">
        <v>364</v>
      </c>
    </row>
    <row r="5531">
      <c r="H5531" s="8" t="s">
        <v>364</v>
      </c>
    </row>
    <row r="5532">
      <c r="H5532" s="8" t="s">
        <v>364</v>
      </c>
    </row>
    <row r="5533">
      <c r="H5533" s="8" t="s">
        <v>364</v>
      </c>
    </row>
    <row r="5534">
      <c r="H5534" s="8" t="s">
        <v>364</v>
      </c>
    </row>
    <row r="5535">
      <c r="H5535" s="8" t="s">
        <v>364</v>
      </c>
    </row>
    <row r="5536">
      <c r="H5536" s="8" t="s">
        <v>364</v>
      </c>
    </row>
    <row r="5537">
      <c r="H5537" s="8" t="s">
        <v>364</v>
      </c>
    </row>
    <row r="5538">
      <c r="H5538" s="8" t="s">
        <v>364</v>
      </c>
    </row>
    <row r="5539">
      <c r="H5539" s="8" t="s">
        <v>364</v>
      </c>
    </row>
    <row r="5540">
      <c r="H5540" s="8" t="s">
        <v>364</v>
      </c>
    </row>
    <row r="5541">
      <c r="H5541" s="8" t="s">
        <v>364</v>
      </c>
    </row>
    <row r="5542">
      <c r="H5542" s="8" t="s">
        <v>364</v>
      </c>
    </row>
    <row r="5543">
      <c r="H5543" s="8" t="s">
        <v>364</v>
      </c>
    </row>
    <row r="5544">
      <c r="H5544" s="8" t="s">
        <v>364</v>
      </c>
    </row>
    <row r="5545">
      <c r="H5545" s="8" t="s">
        <v>364</v>
      </c>
    </row>
    <row r="5546">
      <c r="H5546" s="8" t="s">
        <v>364</v>
      </c>
    </row>
    <row r="5547">
      <c r="H5547" s="8" t="s">
        <v>364</v>
      </c>
    </row>
    <row r="5548">
      <c r="H5548" s="8" t="s">
        <v>364</v>
      </c>
    </row>
    <row r="5549">
      <c r="H5549" s="8" t="s">
        <v>364</v>
      </c>
    </row>
    <row r="5550">
      <c r="H5550" s="8" t="s">
        <v>364</v>
      </c>
    </row>
    <row r="5551">
      <c r="H5551" s="8" t="s">
        <v>364</v>
      </c>
    </row>
    <row r="5552">
      <c r="H5552" s="8" t="s">
        <v>364</v>
      </c>
    </row>
    <row r="5553">
      <c r="H5553" s="8" t="s">
        <v>364</v>
      </c>
    </row>
    <row r="5554">
      <c r="H5554" s="8" t="s">
        <v>364</v>
      </c>
    </row>
    <row r="5555">
      <c r="H5555" s="8" t="s">
        <v>364</v>
      </c>
    </row>
    <row r="5556">
      <c r="H5556" s="8" t="s">
        <v>364</v>
      </c>
    </row>
    <row r="5557">
      <c r="H5557" s="8" t="s">
        <v>364</v>
      </c>
    </row>
    <row r="5558">
      <c r="H5558" s="8" t="s">
        <v>364</v>
      </c>
    </row>
    <row r="5559">
      <c r="H5559" s="8" t="s">
        <v>364</v>
      </c>
    </row>
    <row r="5560">
      <c r="H5560" s="8" t="s">
        <v>364</v>
      </c>
    </row>
    <row r="5561">
      <c r="H5561" s="8" t="s">
        <v>364</v>
      </c>
    </row>
    <row r="5562">
      <c r="H5562" s="8" t="s">
        <v>364</v>
      </c>
    </row>
    <row r="5563">
      <c r="H5563" s="8" t="s">
        <v>364</v>
      </c>
    </row>
    <row r="5564">
      <c r="H5564" s="8" t="s">
        <v>364</v>
      </c>
    </row>
    <row r="5565">
      <c r="H5565" s="8" t="s">
        <v>364</v>
      </c>
    </row>
    <row r="5566">
      <c r="H5566" s="8" t="s">
        <v>364</v>
      </c>
    </row>
    <row r="5567">
      <c r="H5567" s="8" t="s">
        <v>364</v>
      </c>
    </row>
    <row r="5568">
      <c r="H5568" s="8" t="s">
        <v>364</v>
      </c>
    </row>
    <row r="5569">
      <c r="H5569" s="8" t="s">
        <v>364</v>
      </c>
    </row>
    <row r="5570">
      <c r="H5570" s="8" t="s">
        <v>364</v>
      </c>
    </row>
    <row r="5571">
      <c r="H5571" s="8" t="s">
        <v>364</v>
      </c>
    </row>
    <row r="5572">
      <c r="H5572" s="8" t="s">
        <v>364</v>
      </c>
    </row>
    <row r="5573">
      <c r="H5573" s="8" t="s">
        <v>364</v>
      </c>
    </row>
    <row r="5574">
      <c r="H5574" s="8" t="s">
        <v>364</v>
      </c>
    </row>
    <row r="5575">
      <c r="H5575" s="8" t="s">
        <v>364</v>
      </c>
    </row>
    <row r="5576">
      <c r="H5576" s="8" t="s">
        <v>364</v>
      </c>
    </row>
    <row r="5577">
      <c r="H5577" s="8" t="s">
        <v>364</v>
      </c>
    </row>
    <row r="5578">
      <c r="H5578" s="8" t="s">
        <v>364</v>
      </c>
    </row>
    <row r="5579">
      <c r="H5579" s="8" t="s">
        <v>364</v>
      </c>
    </row>
    <row r="5580">
      <c r="H5580" s="8" t="s">
        <v>364</v>
      </c>
    </row>
    <row r="5581">
      <c r="H5581" s="8" t="s">
        <v>364</v>
      </c>
    </row>
    <row r="5582">
      <c r="H5582" s="8" t="s">
        <v>364</v>
      </c>
    </row>
    <row r="5583">
      <c r="H5583" s="8" t="s">
        <v>364</v>
      </c>
    </row>
    <row r="5584">
      <c r="H5584" s="8" t="s">
        <v>364</v>
      </c>
    </row>
    <row r="5585">
      <c r="H5585" s="8" t="s">
        <v>364</v>
      </c>
    </row>
    <row r="5586">
      <c r="H5586" s="8" t="s">
        <v>364</v>
      </c>
    </row>
    <row r="5587">
      <c r="H5587" s="8" t="s">
        <v>364</v>
      </c>
    </row>
    <row r="5588">
      <c r="H5588" s="8" t="s">
        <v>364</v>
      </c>
    </row>
    <row r="5589">
      <c r="H5589" s="8" t="s">
        <v>364</v>
      </c>
    </row>
    <row r="5590">
      <c r="H5590" s="8" t="s">
        <v>364</v>
      </c>
    </row>
    <row r="5591">
      <c r="H5591" s="8" t="s">
        <v>364</v>
      </c>
    </row>
    <row r="5592">
      <c r="H5592" s="8" t="s">
        <v>364</v>
      </c>
    </row>
    <row r="5593">
      <c r="H5593" s="8" t="s">
        <v>364</v>
      </c>
    </row>
    <row r="5594">
      <c r="H5594" s="8" t="s">
        <v>364</v>
      </c>
    </row>
    <row r="5595">
      <c r="H5595" s="8" t="s">
        <v>364</v>
      </c>
    </row>
    <row r="5596">
      <c r="H5596" s="8" t="s">
        <v>364</v>
      </c>
    </row>
    <row r="5597">
      <c r="H5597" s="8" t="s">
        <v>364</v>
      </c>
    </row>
    <row r="5598">
      <c r="H5598" s="8" t="s">
        <v>364</v>
      </c>
    </row>
    <row r="5599">
      <c r="H5599" s="8" t="s">
        <v>364</v>
      </c>
    </row>
    <row r="5600">
      <c r="H5600" s="8" t="s">
        <v>364</v>
      </c>
    </row>
    <row r="5601">
      <c r="H5601" s="8" t="s">
        <v>364</v>
      </c>
    </row>
    <row r="5602">
      <c r="H5602" s="8" t="s">
        <v>364</v>
      </c>
    </row>
    <row r="5603">
      <c r="H5603" s="8" t="s">
        <v>364</v>
      </c>
    </row>
    <row r="5604">
      <c r="H5604" s="8" t="s">
        <v>364</v>
      </c>
    </row>
    <row r="5605">
      <c r="H5605" s="8" t="s">
        <v>364</v>
      </c>
    </row>
    <row r="5606">
      <c r="H5606" s="8" t="s">
        <v>364</v>
      </c>
    </row>
    <row r="5607">
      <c r="H5607" s="8" t="s">
        <v>364</v>
      </c>
    </row>
    <row r="5608">
      <c r="H5608" s="8" t="s">
        <v>364</v>
      </c>
    </row>
    <row r="5609">
      <c r="H5609" s="8" t="s">
        <v>364</v>
      </c>
    </row>
    <row r="5610">
      <c r="H5610" s="8" t="s">
        <v>364</v>
      </c>
    </row>
    <row r="5611">
      <c r="H5611" s="8" t="s">
        <v>364</v>
      </c>
    </row>
    <row r="5612">
      <c r="H5612" s="8" t="s">
        <v>364</v>
      </c>
    </row>
    <row r="5613">
      <c r="H5613" s="8" t="s">
        <v>364</v>
      </c>
    </row>
    <row r="5614">
      <c r="H5614" s="8" t="s">
        <v>364</v>
      </c>
    </row>
    <row r="5615">
      <c r="H5615" s="8" t="s">
        <v>364</v>
      </c>
    </row>
    <row r="5616">
      <c r="H5616" s="8" t="s">
        <v>364</v>
      </c>
    </row>
    <row r="5617">
      <c r="H5617" s="8" t="s">
        <v>364</v>
      </c>
    </row>
    <row r="5618">
      <c r="H5618" s="8" t="s">
        <v>364</v>
      </c>
    </row>
    <row r="5619">
      <c r="H5619" s="8" t="s">
        <v>364</v>
      </c>
    </row>
    <row r="5620">
      <c r="H5620" s="8" t="s">
        <v>364</v>
      </c>
    </row>
    <row r="5621">
      <c r="H5621" s="8" t="s">
        <v>364</v>
      </c>
    </row>
    <row r="5622">
      <c r="H5622" s="8" t="s">
        <v>364</v>
      </c>
    </row>
    <row r="5623">
      <c r="H5623" s="8" t="s">
        <v>364</v>
      </c>
    </row>
    <row r="5624">
      <c r="H5624" s="8" t="s">
        <v>364</v>
      </c>
    </row>
    <row r="5625">
      <c r="H5625" s="8" t="s">
        <v>364</v>
      </c>
    </row>
    <row r="5626">
      <c r="H5626" s="8" t="s">
        <v>364</v>
      </c>
    </row>
    <row r="5627">
      <c r="H5627" s="8" t="s">
        <v>364</v>
      </c>
    </row>
    <row r="5628">
      <c r="H5628" s="8" t="s">
        <v>364</v>
      </c>
    </row>
    <row r="5629">
      <c r="H5629" s="8" t="s">
        <v>364</v>
      </c>
    </row>
    <row r="5630">
      <c r="H5630" s="8" t="s">
        <v>364</v>
      </c>
    </row>
    <row r="5631">
      <c r="H5631" s="8" t="s">
        <v>364</v>
      </c>
    </row>
    <row r="5632">
      <c r="H5632" s="8" t="s">
        <v>364</v>
      </c>
    </row>
    <row r="5633">
      <c r="H5633" s="8" t="s">
        <v>364</v>
      </c>
    </row>
    <row r="5634">
      <c r="H5634" s="8" t="s">
        <v>364</v>
      </c>
    </row>
    <row r="5635">
      <c r="H5635" s="8" t="s">
        <v>364</v>
      </c>
    </row>
    <row r="5636">
      <c r="H5636" s="8" t="s">
        <v>364</v>
      </c>
    </row>
    <row r="5637">
      <c r="H5637" s="8" t="s">
        <v>364</v>
      </c>
    </row>
    <row r="5638">
      <c r="H5638" s="8" t="s">
        <v>364</v>
      </c>
    </row>
    <row r="5639">
      <c r="H5639" s="8" t="s">
        <v>364</v>
      </c>
    </row>
    <row r="5640">
      <c r="H5640" s="8" t="s">
        <v>364</v>
      </c>
    </row>
    <row r="5641">
      <c r="H5641" s="8" t="s">
        <v>364</v>
      </c>
    </row>
    <row r="5642">
      <c r="H5642" s="8" t="s">
        <v>364</v>
      </c>
    </row>
    <row r="5643">
      <c r="H5643" s="8" t="s">
        <v>364</v>
      </c>
    </row>
    <row r="5644">
      <c r="H5644" s="8" t="s">
        <v>364</v>
      </c>
    </row>
    <row r="5645">
      <c r="H5645" s="8" t="s">
        <v>364</v>
      </c>
    </row>
    <row r="5646">
      <c r="H5646" s="8" t="s">
        <v>364</v>
      </c>
    </row>
    <row r="5647">
      <c r="H5647" s="8" t="s">
        <v>364</v>
      </c>
    </row>
    <row r="5648">
      <c r="H5648" s="8" t="s">
        <v>364</v>
      </c>
    </row>
    <row r="5649">
      <c r="H5649" s="8" t="s">
        <v>364</v>
      </c>
    </row>
    <row r="5650">
      <c r="H5650" s="8" t="s">
        <v>364</v>
      </c>
    </row>
    <row r="5651">
      <c r="H5651" s="8" t="s">
        <v>364</v>
      </c>
    </row>
    <row r="5652">
      <c r="H5652" s="8" t="s">
        <v>364</v>
      </c>
    </row>
    <row r="5653">
      <c r="H5653" s="8" t="s">
        <v>364</v>
      </c>
    </row>
    <row r="5654">
      <c r="H5654" s="8" t="s">
        <v>364</v>
      </c>
    </row>
    <row r="5655">
      <c r="H5655" s="8" t="s">
        <v>364</v>
      </c>
    </row>
    <row r="5656">
      <c r="H5656" s="8" t="s">
        <v>364</v>
      </c>
    </row>
    <row r="5657">
      <c r="H5657" s="8" t="s">
        <v>364</v>
      </c>
    </row>
    <row r="5658">
      <c r="H5658" s="8" t="s">
        <v>364</v>
      </c>
    </row>
    <row r="5659">
      <c r="H5659" s="8" t="s">
        <v>364</v>
      </c>
    </row>
    <row r="5660">
      <c r="H5660" s="8" t="s">
        <v>364</v>
      </c>
    </row>
    <row r="5661">
      <c r="H5661" s="8" t="s">
        <v>364</v>
      </c>
    </row>
    <row r="5662">
      <c r="H5662" s="8" t="s">
        <v>364</v>
      </c>
    </row>
    <row r="5663">
      <c r="H5663" s="8" t="s">
        <v>364</v>
      </c>
    </row>
    <row r="5664">
      <c r="H5664" s="8" t="s">
        <v>364</v>
      </c>
    </row>
    <row r="5665">
      <c r="H5665" s="8" t="s">
        <v>364</v>
      </c>
    </row>
    <row r="5666">
      <c r="H5666" s="8" t="s">
        <v>364</v>
      </c>
    </row>
    <row r="5667">
      <c r="H5667" s="8" t="s">
        <v>364</v>
      </c>
    </row>
    <row r="5668">
      <c r="H5668" s="8" t="s">
        <v>364</v>
      </c>
    </row>
    <row r="5669">
      <c r="H5669" s="8" t="s">
        <v>364</v>
      </c>
    </row>
    <row r="5670">
      <c r="H5670" s="8" t="s">
        <v>364</v>
      </c>
    </row>
    <row r="5671">
      <c r="H5671" s="8" t="s">
        <v>364</v>
      </c>
    </row>
    <row r="5672">
      <c r="H5672" s="8" t="s">
        <v>364</v>
      </c>
    </row>
    <row r="5673">
      <c r="H5673" s="8" t="s">
        <v>364</v>
      </c>
    </row>
    <row r="5674">
      <c r="H5674" s="8" t="s">
        <v>364</v>
      </c>
    </row>
    <row r="5675">
      <c r="H5675" s="8" t="s">
        <v>364</v>
      </c>
    </row>
    <row r="5676">
      <c r="H5676" s="8" t="s">
        <v>364</v>
      </c>
    </row>
    <row r="5677">
      <c r="H5677" s="8" t="s">
        <v>364</v>
      </c>
    </row>
    <row r="5678">
      <c r="H5678" s="8" t="s">
        <v>364</v>
      </c>
    </row>
    <row r="5679">
      <c r="H5679" s="8" t="s">
        <v>364</v>
      </c>
    </row>
    <row r="5680">
      <c r="H5680" s="8" t="s">
        <v>364</v>
      </c>
    </row>
    <row r="5681">
      <c r="H5681" s="8" t="s">
        <v>364</v>
      </c>
    </row>
    <row r="5682">
      <c r="H5682" s="8" t="s">
        <v>364</v>
      </c>
    </row>
    <row r="5683">
      <c r="H5683" s="8" t="s">
        <v>364</v>
      </c>
    </row>
    <row r="5684">
      <c r="H5684" s="8" t="s">
        <v>364</v>
      </c>
    </row>
    <row r="5685">
      <c r="H5685" s="8" t="s">
        <v>364</v>
      </c>
    </row>
    <row r="5686">
      <c r="H5686" s="8" t="s">
        <v>364</v>
      </c>
    </row>
    <row r="5687">
      <c r="H5687" s="8" t="s">
        <v>364</v>
      </c>
    </row>
    <row r="5688">
      <c r="H5688" s="8" t="s">
        <v>364</v>
      </c>
    </row>
    <row r="5689">
      <c r="H5689" s="8" t="s">
        <v>364</v>
      </c>
    </row>
    <row r="5690">
      <c r="H5690" s="8" t="s">
        <v>364</v>
      </c>
    </row>
    <row r="5691">
      <c r="H5691" s="8" t="s">
        <v>364</v>
      </c>
    </row>
    <row r="5692">
      <c r="H5692" s="8" t="s">
        <v>364</v>
      </c>
    </row>
    <row r="5693">
      <c r="H5693" s="8" t="s">
        <v>364</v>
      </c>
    </row>
    <row r="5694">
      <c r="H5694" s="8" t="s">
        <v>364</v>
      </c>
    </row>
    <row r="5695">
      <c r="H5695" s="8" t="s">
        <v>364</v>
      </c>
    </row>
    <row r="5696">
      <c r="H5696" s="8" t="s">
        <v>364</v>
      </c>
    </row>
    <row r="5697">
      <c r="H5697" s="8" t="s">
        <v>364</v>
      </c>
    </row>
    <row r="5698">
      <c r="H5698" s="8" t="s">
        <v>364</v>
      </c>
    </row>
    <row r="5699">
      <c r="H5699" s="8" t="s">
        <v>364</v>
      </c>
    </row>
    <row r="5700">
      <c r="H5700" s="8" t="s">
        <v>364</v>
      </c>
    </row>
    <row r="5701">
      <c r="H5701" s="8" t="s">
        <v>364</v>
      </c>
    </row>
    <row r="5702">
      <c r="H5702" s="8" t="s">
        <v>364</v>
      </c>
    </row>
    <row r="5703">
      <c r="H5703" s="8" t="s">
        <v>364</v>
      </c>
    </row>
    <row r="5704">
      <c r="H5704" s="8" t="s">
        <v>364</v>
      </c>
    </row>
    <row r="5705">
      <c r="H5705" s="8" t="s">
        <v>364</v>
      </c>
    </row>
    <row r="5706">
      <c r="H5706" s="8" t="s">
        <v>364</v>
      </c>
    </row>
    <row r="5707">
      <c r="H5707" s="8" t="s">
        <v>364</v>
      </c>
    </row>
    <row r="5708">
      <c r="H5708" s="8" t="s">
        <v>364</v>
      </c>
    </row>
    <row r="5709">
      <c r="H5709" s="8" t="s">
        <v>364</v>
      </c>
    </row>
    <row r="5710">
      <c r="H5710" s="8" t="s">
        <v>364</v>
      </c>
    </row>
    <row r="5711">
      <c r="H5711" s="8" t="s">
        <v>364</v>
      </c>
    </row>
    <row r="5712">
      <c r="H5712" s="8" t="s">
        <v>364</v>
      </c>
    </row>
    <row r="5713">
      <c r="H5713" s="8" t="s">
        <v>364</v>
      </c>
    </row>
    <row r="5714">
      <c r="H5714" s="8" t="s">
        <v>364</v>
      </c>
    </row>
    <row r="5715">
      <c r="H5715" s="8" t="s">
        <v>364</v>
      </c>
    </row>
    <row r="5716">
      <c r="H5716" s="8" t="s">
        <v>364</v>
      </c>
    </row>
    <row r="5717">
      <c r="H5717" s="8" t="s">
        <v>364</v>
      </c>
    </row>
    <row r="5718">
      <c r="H5718" s="8" t="s">
        <v>364</v>
      </c>
    </row>
    <row r="5719">
      <c r="H5719" s="8" t="s">
        <v>364</v>
      </c>
    </row>
    <row r="5720">
      <c r="H5720" s="8" t="s">
        <v>364</v>
      </c>
    </row>
    <row r="5721">
      <c r="H5721" s="8" t="s">
        <v>364</v>
      </c>
    </row>
    <row r="5722">
      <c r="H5722" s="8" t="s">
        <v>364</v>
      </c>
    </row>
    <row r="5723">
      <c r="H5723" s="8" t="s">
        <v>364</v>
      </c>
    </row>
    <row r="5724">
      <c r="H5724" s="8" t="s">
        <v>364</v>
      </c>
    </row>
    <row r="5725">
      <c r="H5725" s="8" t="s">
        <v>364</v>
      </c>
    </row>
    <row r="5726">
      <c r="H5726" s="8" t="s">
        <v>364</v>
      </c>
    </row>
    <row r="5727">
      <c r="H5727" s="8" t="s">
        <v>364</v>
      </c>
    </row>
    <row r="5728">
      <c r="H5728" s="8" t="s">
        <v>364</v>
      </c>
    </row>
    <row r="5729">
      <c r="H5729" s="8" t="s">
        <v>364</v>
      </c>
    </row>
    <row r="5730">
      <c r="H5730" s="8" t="s">
        <v>364</v>
      </c>
    </row>
    <row r="5731">
      <c r="H5731" s="8" t="s">
        <v>364</v>
      </c>
    </row>
    <row r="5732">
      <c r="H5732" s="8" t="s">
        <v>364</v>
      </c>
    </row>
    <row r="5733">
      <c r="H5733" s="8" t="s">
        <v>364</v>
      </c>
    </row>
    <row r="5734">
      <c r="H5734" s="8" t="s">
        <v>364</v>
      </c>
    </row>
    <row r="5735">
      <c r="H5735" s="8" t="s">
        <v>364</v>
      </c>
    </row>
    <row r="5736">
      <c r="H5736" s="8" t="s">
        <v>364</v>
      </c>
    </row>
    <row r="5737">
      <c r="H5737" s="8" t="s">
        <v>364</v>
      </c>
    </row>
    <row r="5738">
      <c r="H5738" s="8" t="s">
        <v>364</v>
      </c>
    </row>
    <row r="5739">
      <c r="H5739" s="8" t="s">
        <v>364</v>
      </c>
    </row>
    <row r="5740">
      <c r="H5740" s="8" t="s">
        <v>364</v>
      </c>
    </row>
    <row r="5741">
      <c r="H5741" s="8" t="s">
        <v>364</v>
      </c>
    </row>
    <row r="5742">
      <c r="H5742" s="8" t="s">
        <v>364</v>
      </c>
    </row>
    <row r="5743">
      <c r="H5743" s="8" t="s">
        <v>364</v>
      </c>
    </row>
    <row r="5744">
      <c r="H5744" s="8" t="s">
        <v>364</v>
      </c>
    </row>
    <row r="5745">
      <c r="H5745" s="8" t="s">
        <v>364</v>
      </c>
    </row>
    <row r="5746">
      <c r="H5746" s="8" t="s">
        <v>364</v>
      </c>
    </row>
    <row r="5747">
      <c r="H5747" s="8" t="s">
        <v>364</v>
      </c>
    </row>
    <row r="5748">
      <c r="H5748" s="8" t="s">
        <v>364</v>
      </c>
    </row>
    <row r="5749">
      <c r="H5749" s="8" t="s">
        <v>364</v>
      </c>
    </row>
    <row r="5750">
      <c r="H5750" s="8" t="s">
        <v>364</v>
      </c>
    </row>
    <row r="5751">
      <c r="H5751" s="8" t="s">
        <v>364</v>
      </c>
    </row>
    <row r="5752">
      <c r="H5752" s="8" t="s">
        <v>364</v>
      </c>
    </row>
    <row r="5753">
      <c r="H5753" s="8" t="s">
        <v>364</v>
      </c>
    </row>
    <row r="5754">
      <c r="H5754" s="8" t="s">
        <v>364</v>
      </c>
    </row>
    <row r="5755">
      <c r="H5755" s="8" t="s">
        <v>364</v>
      </c>
    </row>
    <row r="5756">
      <c r="H5756" s="8" t="s">
        <v>364</v>
      </c>
    </row>
    <row r="5757">
      <c r="H5757" s="8" t="s">
        <v>364</v>
      </c>
    </row>
    <row r="5758">
      <c r="H5758" s="8" t="s">
        <v>364</v>
      </c>
    </row>
    <row r="5759">
      <c r="H5759" s="8" t="s">
        <v>364</v>
      </c>
    </row>
    <row r="5760">
      <c r="H5760" s="8" t="s">
        <v>364</v>
      </c>
    </row>
    <row r="5761">
      <c r="H5761" s="8" t="s">
        <v>364</v>
      </c>
    </row>
    <row r="5762">
      <c r="H5762" s="8" t="s">
        <v>364</v>
      </c>
    </row>
    <row r="5763">
      <c r="H5763" s="8" t="s">
        <v>364</v>
      </c>
    </row>
    <row r="5764">
      <c r="H5764" s="8" t="s">
        <v>364</v>
      </c>
    </row>
    <row r="5765">
      <c r="H5765" s="8" t="s">
        <v>364</v>
      </c>
    </row>
    <row r="5766">
      <c r="H5766" s="8" t="s">
        <v>364</v>
      </c>
    </row>
    <row r="5767">
      <c r="H5767" s="8" t="s">
        <v>364</v>
      </c>
    </row>
    <row r="5768">
      <c r="H5768" s="8" t="s">
        <v>364</v>
      </c>
    </row>
    <row r="5769">
      <c r="H5769" s="8" t="s">
        <v>364</v>
      </c>
    </row>
    <row r="5770">
      <c r="H5770" s="8" t="s">
        <v>364</v>
      </c>
    </row>
    <row r="5771">
      <c r="H5771" s="8" t="s">
        <v>364</v>
      </c>
    </row>
    <row r="5772">
      <c r="H5772" s="8" t="s">
        <v>364</v>
      </c>
    </row>
    <row r="5773">
      <c r="H5773" s="8" t="s">
        <v>364</v>
      </c>
    </row>
    <row r="5774">
      <c r="H5774" s="8" t="s">
        <v>364</v>
      </c>
    </row>
    <row r="5775">
      <c r="H5775" s="8" t="s">
        <v>364</v>
      </c>
    </row>
    <row r="5776">
      <c r="H5776" s="8" t="s">
        <v>364</v>
      </c>
    </row>
    <row r="5777">
      <c r="H5777" s="8" t="s">
        <v>364</v>
      </c>
    </row>
    <row r="5778">
      <c r="H5778" s="8" t="s">
        <v>364</v>
      </c>
    </row>
    <row r="5779">
      <c r="H5779" s="8" t="s">
        <v>364</v>
      </c>
    </row>
    <row r="5780">
      <c r="H5780" s="8" t="s">
        <v>364</v>
      </c>
    </row>
    <row r="5781">
      <c r="H5781" s="8" t="s">
        <v>364</v>
      </c>
    </row>
    <row r="5782">
      <c r="H5782" s="8" t="s">
        <v>364</v>
      </c>
    </row>
    <row r="5783">
      <c r="H5783" s="8" t="s">
        <v>364</v>
      </c>
    </row>
    <row r="5784">
      <c r="H5784" s="8" t="s">
        <v>364</v>
      </c>
    </row>
    <row r="5785">
      <c r="H5785" s="8" t="s">
        <v>364</v>
      </c>
    </row>
    <row r="5786">
      <c r="H5786" s="8" t="s">
        <v>364</v>
      </c>
    </row>
    <row r="5787">
      <c r="H5787" s="8" t="s">
        <v>364</v>
      </c>
    </row>
    <row r="5788">
      <c r="H5788" s="8" t="s">
        <v>364</v>
      </c>
    </row>
    <row r="5789">
      <c r="H5789" s="8" t="s">
        <v>364</v>
      </c>
    </row>
    <row r="5790">
      <c r="H5790" s="8" t="s">
        <v>364</v>
      </c>
    </row>
    <row r="5791">
      <c r="H5791" s="8" t="s">
        <v>364</v>
      </c>
    </row>
    <row r="5792">
      <c r="H5792" s="8" t="s">
        <v>364</v>
      </c>
    </row>
    <row r="5793">
      <c r="H5793" s="8" t="s">
        <v>364</v>
      </c>
    </row>
    <row r="5794">
      <c r="H5794" s="8" t="s">
        <v>364</v>
      </c>
    </row>
    <row r="5795">
      <c r="H5795" s="8" t="s">
        <v>364</v>
      </c>
    </row>
    <row r="5796">
      <c r="H5796" s="8" t="s">
        <v>364</v>
      </c>
    </row>
    <row r="5797">
      <c r="H5797" s="8" t="s">
        <v>364</v>
      </c>
    </row>
    <row r="5798">
      <c r="H5798" s="8" t="s">
        <v>364</v>
      </c>
    </row>
    <row r="5799">
      <c r="H5799" s="8" t="s">
        <v>364</v>
      </c>
    </row>
    <row r="5800">
      <c r="H5800" s="8" t="s">
        <v>364</v>
      </c>
    </row>
    <row r="5801">
      <c r="H5801" s="8" t="s">
        <v>364</v>
      </c>
    </row>
    <row r="5802">
      <c r="H5802" s="8" t="s">
        <v>364</v>
      </c>
    </row>
    <row r="5803">
      <c r="H5803" s="8" t="s">
        <v>364</v>
      </c>
    </row>
    <row r="5804">
      <c r="H5804" s="8" t="s">
        <v>364</v>
      </c>
    </row>
    <row r="5805">
      <c r="H5805" s="8" t="s">
        <v>364</v>
      </c>
    </row>
    <row r="5806">
      <c r="H5806" s="8" t="s">
        <v>364</v>
      </c>
    </row>
    <row r="5807">
      <c r="H5807" s="8" t="s">
        <v>364</v>
      </c>
    </row>
    <row r="5808">
      <c r="H5808" s="8" t="s">
        <v>364</v>
      </c>
    </row>
    <row r="5809">
      <c r="H5809" s="8" t="s">
        <v>364</v>
      </c>
    </row>
    <row r="5810">
      <c r="H5810" s="8" t="s">
        <v>364</v>
      </c>
    </row>
    <row r="5811">
      <c r="H5811" s="8" t="s">
        <v>364</v>
      </c>
    </row>
    <row r="5812">
      <c r="H5812" s="8" t="s">
        <v>364</v>
      </c>
    </row>
    <row r="5813">
      <c r="H5813" s="8" t="s">
        <v>364</v>
      </c>
    </row>
    <row r="5814">
      <c r="H5814" s="8" t="s">
        <v>364</v>
      </c>
    </row>
    <row r="5815">
      <c r="H5815" s="8" t="s">
        <v>364</v>
      </c>
    </row>
    <row r="5816">
      <c r="H5816" s="8" t="s">
        <v>364</v>
      </c>
    </row>
    <row r="5817">
      <c r="H5817" s="8" t="s">
        <v>364</v>
      </c>
    </row>
    <row r="5818">
      <c r="H5818" s="8" t="s">
        <v>364</v>
      </c>
    </row>
    <row r="5819">
      <c r="H5819" s="8" t="s">
        <v>364</v>
      </c>
    </row>
    <row r="5820">
      <c r="H5820" s="8" t="s">
        <v>364</v>
      </c>
    </row>
    <row r="5821">
      <c r="H5821" s="8" t="s">
        <v>364</v>
      </c>
    </row>
    <row r="5822">
      <c r="H5822" s="8" t="s">
        <v>364</v>
      </c>
    </row>
    <row r="5823">
      <c r="H5823" s="8" t="s">
        <v>364</v>
      </c>
    </row>
    <row r="5824">
      <c r="H5824" s="8" t="s">
        <v>364</v>
      </c>
    </row>
    <row r="5825">
      <c r="H5825" s="8" t="s">
        <v>364</v>
      </c>
    </row>
    <row r="5826">
      <c r="H5826" s="8" t="s">
        <v>364</v>
      </c>
    </row>
    <row r="5827">
      <c r="H5827" s="8" t="s">
        <v>364</v>
      </c>
    </row>
    <row r="5828">
      <c r="H5828" s="8" t="s">
        <v>364</v>
      </c>
    </row>
    <row r="5829">
      <c r="H5829" s="8" t="s">
        <v>364</v>
      </c>
    </row>
    <row r="5830">
      <c r="H5830" s="8" t="s">
        <v>364</v>
      </c>
    </row>
    <row r="5831">
      <c r="H5831" s="8" t="s">
        <v>364</v>
      </c>
    </row>
    <row r="5832">
      <c r="H5832" s="8" t="s">
        <v>364</v>
      </c>
    </row>
    <row r="5833">
      <c r="H5833" s="8" t="s">
        <v>364</v>
      </c>
    </row>
    <row r="5834">
      <c r="H5834" s="8" t="s">
        <v>364</v>
      </c>
    </row>
    <row r="5835">
      <c r="H5835" s="8" t="s">
        <v>364</v>
      </c>
    </row>
    <row r="5836">
      <c r="H5836" s="8" t="s">
        <v>364</v>
      </c>
    </row>
    <row r="5837">
      <c r="H5837" s="8" t="s">
        <v>364</v>
      </c>
    </row>
    <row r="5838">
      <c r="H5838" s="8" t="s">
        <v>364</v>
      </c>
    </row>
    <row r="5839">
      <c r="H5839" s="8" t="s">
        <v>364</v>
      </c>
    </row>
    <row r="5840">
      <c r="H5840" s="8" t="s">
        <v>364</v>
      </c>
    </row>
    <row r="5841">
      <c r="H5841" s="8" t="s">
        <v>364</v>
      </c>
    </row>
    <row r="5842">
      <c r="H5842" s="8" t="s">
        <v>364</v>
      </c>
    </row>
    <row r="5843">
      <c r="H5843" s="8" t="s">
        <v>364</v>
      </c>
    </row>
    <row r="5844">
      <c r="H5844" s="8" t="s">
        <v>364</v>
      </c>
    </row>
    <row r="5845">
      <c r="H5845" s="8" t="s">
        <v>364</v>
      </c>
    </row>
    <row r="5846">
      <c r="H5846" s="8" t="s">
        <v>364</v>
      </c>
    </row>
    <row r="5847">
      <c r="H5847" s="8" t="s">
        <v>364</v>
      </c>
    </row>
    <row r="5848">
      <c r="H5848" s="8" t="s">
        <v>364</v>
      </c>
    </row>
    <row r="5849">
      <c r="H5849" s="8" t="s">
        <v>364</v>
      </c>
    </row>
    <row r="5850">
      <c r="H5850" s="8" t="s">
        <v>364</v>
      </c>
    </row>
    <row r="5851">
      <c r="H5851" s="8" t="s">
        <v>364</v>
      </c>
    </row>
    <row r="5852">
      <c r="H5852" s="8" t="s">
        <v>364</v>
      </c>
    </row>
    <row r="5853">
      <c r="H5853" s="8" t="s">
        <v>364</v>
      </c>
    </row>
    <row r="5854">
      <c r="H5854" s="8" t="s">
        <v>364</v>
      </c>
    </row>
    <row r="5855">
      <c r="H5855" s="8" t="s">
        <v>364</v>
      </c>
    </row>
    <row r="5856">
      <c r="H5856" s="8" t="s">
        <v>364</v>
      </c>
    </row>
    <row r="5857">
      <c r="H5857" s="8" t="s">
        <v>364</v>
      </c>
    </row>
    <row r="5858">
      <c r="H5858" s="8" t="s">
        <v>364</v>
      </c>
    </row>
    <row r="5859">
      <c r="H5859" s="8" t="s">
        <v>364</v>
      </c>
    </row>
    <row r="5860">
      <c r="H5860" s="8" t="s">
        <v>364</v>
      </c>
    </row>
    <row r="5861">
      <c r="H5861" s="8" t="s">
        <v>364</v>
      </c>
    </row>
    <row r="5862">
      <c r="H5862" s="8" t="s">
        <v>364</v>
      </c>
    </row>
    <row r="5863">
      <c r="H5863" s="8" t="s">
        <v>364</v>
      </c>
    </row>
    <row r="5864">
      <c r="H5864" s="8" t="s">
        <v>364</v>
      </c>
    </row>
    <row r="5865">
      <c r="H5865" s="8" t="s">
        <v>364</v>
      </c>
    </row>
    <row r="5866">
      <c r="H5866" s="8" t="s">
        <v>364</v>
      </c>
    </row>
    <row r="5867">
      <c r="H5867" s="8" t="s">
        <v>364</v>
      </c>
    </row>
    <row r="5868">
      <c r="H5868" s="8" t="s">
        <v>364</v>
      </c>
    </row>
    <row r="5869">
      <c r="H5869" s="8" t="s">
        <v>364</v>
      </c>
    </row>
    <row r="5870">
      <c r="H5870" s="8" t="s">
        <v>364</v>
      </c>
    </row>
    <row r="5871">
      <c r="H5871" s="8" t="s">
        <v>364</v>
      </c>
    </row>
    <row r="5872">
      <c r="H5872" s="8" t="s">
        <v>364</v>
      </c>
    </row>
    <row r="5873">
      <c r="H5873" s="8" t="s">
        <v>364</v>
      </c>
    </row>
    <row r="5874">
      <c r="H5874" s="8" t="s">
        <v>364</v>
      </c>
    </row>
    <row r="5875">
      <c r="H5875" s="8" t="s">
        <v>364</v>
      </c>
    </row>
    <row r="5876">
      <c r="H5876" s="8" t="s">
        <v>364</v>
      </c>
    </row>
    <row r="5877">
      <c r="H5877" s="8" t="s">
        <v>364</v>
      </c>
    </row>
    <row r="5878">
      <c r="H5878" s="8" t="s">
        <v>364</v>
      </c>
    </row>
    <row r="5879">
      <c r="H5879" s="8" t="s">
        <v>364</v>
      </c>
    </row>
    <row r="5880">
      <c r="H5880" s="8" t="s">
        <v>364</v>
      </c>
    </row>
    <row r="5881">
      <c r="H5881" s="8" t="s">
        <v>364</v>
      </c>
    </row>
    <row r="5882">
      <c r="H5882" s="8" t="s">
        <v>364</v>
      </c>
    </row>
    <row r="5883">
      <c r="H5883" s="8" t="s">
        <v>364</v>
      </c>
    </row>
    <row r="5884">
      <c r="H5884" s="8" t="s">
        <v>364</v>
      </c>
    </row>
    <row r="5885">
      <c r="H5885" s="8" t="s">
        <v>364</v>
      </c>
    </row>
    <row r="5886">
      <c r="H5886" s="8" t="s">
        <v>364</v>
      </c>
    </row>
    <row r="5887">
      <c r="H5887" s="8" t="s">
        <v>364</v>
      </c>
    </row>
    <row r="5888">
      <c r="H5888" s="8" t="s">
        <v>364</v>
      </c>
    </row>
    <row r="5889">
      <c r="H5889" s="8" t="s">
        <v>364</v>
      </c>
    </row>
    <row r="5890">
      <c r="H5890" s="8" t="s">
        <v>364</v>
      </c>
    </row>
    <row r="5891">
      <c r="H5891" s="8" t="s">
        <v>364</v>
      </c>
    </row>
    <row r="5892">
      <c r="H5892" s="8" t="s">
        <v>364</v>
      </c>
    </row>
    <row r="5893">
      <c r="H5893" s="8" t="s">
        <v>364</v>
      </c>
    </row>
    <row r="5894">
      <c r="H5894" s="8" t="s">
        <v>364</v>
      </c>
    </row>
    <row r="5895">
      <c r="H5895" s="8" t="s">
        <v>364</v>
      </c>
    </row>
    <row r="5896">
      <c r="H5896" s="8" t="s">
        <v>364</v>
      </c>
    </row>
    <row r="5897">
      <c r="H5897" s="8" t="s">
        <v>364</v>
      </c>
    </row>
    <row r="5898">
      <c r="H5898" s="8" t="s">
        <v>364</v>
      </c>
    </row>
    <row r="5899">
      <c r="H5899" s="8" t="s">
        <v>364</v>
      </c>
    </row>
    <row r="5900">
      <c r="H5900" s="8" t="s">
        <v>364</v>
      </c>
    </row>
    <row r="5901">
      <c r="H5901" s="8" t="s">
        <v>364</v>
      </c>
    </row>
    <row r="5902">
      <c r="H5902" s="8" t="s">
        <v>364</v>
      </c>
    </row>
    <row r="5903">
      <c r="H5903" s="8" t="s">
        <v>364</v>
      </c>
    </row>
    <row r="5904">
      <c r="H5904" s="8" t="s">
        <v>364</v>
      </c>
    </row>
    <row r="5905">
      <c r="H5905" s="8" t="s">
        <v>364</v>
      </c>
    </row>
    <row r="5906">
      <c r="H5906" s="8" t="s">
        <v>364</v>
      </c>
    </row>
    <row r="5907">
      <c r="H5907" s="8" t="s">
        <v>364</v>
      </c>
    </row>
    <row r="5908">
      <c r="H5908" s="8" t="s">
        <v>364</v>
      </c>
    </row>
    <row r="5909">
      <c r="H5909" s="8" t="s">
        <v>364</v>
      </c>
    </row>
    <row r="5910">
      <c r="H5910" s="8" t="s">
        <v>364</v>
      </c>
    </row>
    <row r="5911">
      <c r="H5911" s="8" t="s">
        <v>364</v>
      </c>
    </row>
    <row r="5912">
      <c r="H5912" s="8" t="s">
        <v>364</v>
      </c>
    </row>
    <row r="5913">
      <c r="H5913" s="8" t="s">
        <v>364</v>
      </c>
    </row>
    <row r="5914">
      <c r="H5914" s="8" t="s">
        <v>364</v>
      </c>
    </row>
    <row r="5915">
      <c r="H5915" s="8" t="s">
        <v>364</v>
      </c>
    </row>
    <row r="5916">
      <c r="H5916" s="8" t="s">
        <v>364</v>
      </c>
    </row>
    <row r="5917">
      <c r="H5917" s="8" t="s">
        <v>364</v>
      </c>
    </row>
    <row r="5918">
      <c r="H5918" s="8" t="s">
        <v>364</v>
      </c>
    </row>
    <row r="5919">
      <c r="H5919" s="8" t="s">
        <v>364</v>
      </c>
    </row>
    <row r="5920">
      <c r="H5920" s="8" t="s">
        <v>364</v>
      </c>
    </row>
    <row r="5921">
      <c r="H5921" s="8" t="s">
        <v>364</v>
      </c>
    </row>
    <row r="5922">
      <c r="H5922" s="8" t="s">
        <v>364</v>
      </c>
    </row>
    <row r="5923">
      <c r="H5923" s="8" t="s">
        <v>364</v>
      </c>
    </row>
    <row r="5924">
      <c r="H5924" s="8" t="s">
        <v>364</v>
      </c>
    </row>
    <row r="5925">
      <c r="H5925" s="8" t="s">
        <v>364</v>
      </c>
    </row>
    <row r="5926">
      <c r="H5926" s="8" t="s">
        <v>364</v>
      </c>
    </row>
    <row r="5927">
      <c r="H5927" s="8" t="s">
        <v>364</v>
      </c>
    </row>
    <row r="5928">
      <c r="H5928" s="8" t="s">
        <v>364</v>
      </c>
    </row>
    <row r="5929">
      <c r="H5929" s="8" t="s">
        <v>364</v>
      </c>
    </row>
    <row r="5930">
      <c r="H5930" s="8" t="s">
        <v>364</v>
      </c>
    </row>
    <row r="5931">
      <c r="H5931" s="8" t="s">
        <v>364</v>
      </c>
    </row>
    <row r="5932">
      <c r="H5932" s="8" t="s">
        <v>364</v>
      </c>
    </row>
    <row r="5933">
      <c r="H5933" s="8" t="s">
        <v>364</v>
      </c>
    </row>
    <row r="5934">
      <c r="H5934" s="8" t="s">
        <v>364</v>
      </c>
    </row>
    <row r="5935">
      <c r="H5935" s="8" t="s">
        <v>364</v>
      </c>
    </row>
    <row r="5936">
      <c r="H5936" s="8" t="s">
        <v>364</v>
      </c>
    </row>
    <row r="5937">
      <c r="H5937" s="8" t="s">
        <v>364</v>
      </c>
    </row>
    <row r="5938">
      <c r="H5938" s="8" t="s">
        <v>364</v>
      </c>
    </row>
    <row r="5939">
      <c r="H5939" s="8" t="s">
        <v>364</v>
      </c>
    </row>
    <row r="5940">
      <c r="H5940" s="8" t="s">
        <v>364</v>
      </c>
    </row>
    <row r="5941">
      <c r="H5941" s="8" t="s">
        <v>364</v>
      </c>
    </row>
    <row r="5942">
      <c r="H5942" s="8" t="s">
        <v>364</v>
      </c>
    </row>
    <row r="5943">
      <c r="H5943" s="8" t="s">
        <v>364</v>
      </c>
    </row>
    <row r="5944">
      <c r="H5944" s="8" t="s">
        <v>364</v>
      </c>
    </row>
    <row r="5945">
      <c r="H5945" s="8" t="s">
        <v>364</v>
      </c>
    </row>
    <row r="5946">
      <c r="H5946" s="8" t="s">
        <v>364</v>
      </c>
    </row>
    <row r="5947">
      <c r="H5947" s="8" t="s">
        <v>364</v>
      </c>
    </row>
    <row r="5948">
      <c r="H5948" s="8" t="s">
        <v>364</v>
      </c>
    </row>
    <row r="5949">
      <c r="H5949" s="8" t="s">
        <v>364</v>
      </c>
    </row>
    <row r="5950">
      <c r="H5950" s="8" t="s">
        <v>364</v>
      </c>
    </row>
    <row r="5951">
      <c r="H5951" s="8" t="s">
        <v>364</v>
      </c>
    </row>
    <row r="5952">
      <c r="H5952" s="8" t="s">
        <v>364</v>
      </c>
    </row>
    <row r="5953">
      <c r="H5953" s="8" t="s">
        <v>364</v>
      </c>
    </row>
    <row r="5954">
      <c r="H5954" s="8" t="s">
        <v>364</v>
      </c>
    </row>
    <row r="5955">
      <c r="H5955" s="8" t="s">
        <v>364</v>
      </c>
    </row>
    <row r="5956">
      <c r="H5956" s="8" t="s">
        <v>364</v>
      </c>
    </row>
    <row r="5957">
      <c r="H5957" s="8" t="s">
        <v>364</v>
      </c>
    </row>
    <row r="5958">
      <c r="H5958" s="8" t="s">
        <v>364</v>
      </c>
    </row>
    <row r="5959">
      <c r="H5959" s="8" t="s">
        <v>364</v>
      </c>
    </row>
    <row r="5960">
      <c r="H5960" s="8" t="s">
        <v>364</v>
      </c>
    </row>
    <row r="5961">
      <c r="H5961" s="8" t="s">
        <v>364</v>
      </c>
    </row>
    <row r="5962">
      <c r="H5962" s="8" t="s">
        <v>364</v>
      </c>
    </row>
    <row r="5963">
      <c r="H5963" s="8" t="s">
        <v>364</v>
      </c>
    </row>
    <row r="5964">
      <c r="H5964" s="8" t="s">
        <v>364</v>
      </c>
    </row>
    <row r="5965">
      <c r="H5965" s="8" t="s">
        <v>364</v>
      </c>
    </row>
    <row r="5966">
      <c r="H5966" s="8" t="s">
        <v>364</v>
      </c>
    </row>
    <row r="5967">
      <c r="H5967" s="8" t="s">
        <v>364</v>
      </c>
    </row>
    <row r="5968">
      <c r="H5968" s="8" t="s">
        <v>364</v>
      </c>
    </row>
    <row r="5969">
      <c r="H5969" s="8" t="s">
        <v>364</v>
      </c>
    </row>
    <row r="5970">
      <c r="H5970" s="8" t="s">
        <v>364</v>
      </c>
    </row>
    <row r="5971">
      <c r="H5971" s="8" t="s">
        <v>364</v>
      </c>
    </row>
    <row r="5972">
      <c r="H5972" s="8" t="s">
        <v>364</v>
      </c>
    </row>
    <row r="5973">
      <c r="H5973" s="8" t="s">
        <v>364</v>
      </c>
    </row>
    <row r="5974">
      <c r="H5974" s="8" t="s">
        <v>364</v>
      </c>
    </row>
    <row r="5975">
      <c r="H5975" s="8" t="s">
        <v>364</v>
      </c>
    </row>
    <row r="5976">
      <c r="H5976" s="8" t="s">
        <v>364</v>
      </c>
    </row>
    <row r="5977">
      <c r="H5977" s="8" t="s">
        <v>364</v>
      </c>
    </row>
    <row r="5978">
      <c r="H5978" s="8" t="s">
        <v>364</v>
      </c>
    </row>
    <row r="5979">
      <c r="H5979" s="8" t="s">
        <v>364</v>
      </c>
    </row>
    <row r="5980">
      <c r="H5980" s="8" t="s">
        <v>364</v>
      </c>
    </row>
    <row r="5981">
      <c r="H5981" s="8" t="s">
        <v>364</v>
      </c>
    </row>
    <row r="5982">
      <c r="H5982" s="8" t="s">
        <v>364</v>
      </c>
    </row>
    <row r="5983">
      <c r="H5983" s="8" t="s">
        <v>364</v>
      </c>
    </row>
    <row r="5984">
      <c r="H5984" s="8" t="s">
        <v>364</v>
      </c>
    </row>
    <row r="5985">
      <c r="H5985" s="8" t="s">
        <v>364</v>
      </c>
    </row>
    <row r="5986">
      <c r="H5986" s="8" t="s">
        <v>364</v>
      </c>
    </row>
    <row r="5987">
      <c r="H5987" s="8" t="s">
        <v>364</v>
      </c>
    </row>
    <row r="5988">
      <c r="H5988" s="8" t="s">
        <v>364</v>
      </c>
    </row>
    <row r="5989">
      <c r="H5989" s="8" t="s">
        <v>364</v>
      </c>
    </row>
    <row r="5990">
      <c r="H5990" s="8" t="s">
        <v>364</v>
      </c>
    </row>
    <row r="5991">
      <c r="H5991" s="8" t="s">
        <v>364</v>
      </c>
    </row>
    <row r="5992">
      <c r="H5992" s="8" t="s">
        <v>364</v>
      </c>
    </row>
    <row r="5993">
      <c r="H5993" s="8" t="s">
        <v>364</v>
      </c>
    </row>
    <row r="5994">
      <c r="H5994" s="8" t="s">
        <v>364</v>
      </c>
    </row>
    <row r="5995">
      <c r="H5995" s="8" t="s">
        <v>364</v>
      </c>
    </row>
    <row r="5996">
      <c r="H5996" s="8" t="s">
        <v>364</v>
      </c>
    </row>
    <row r="5997">
      <c r="H5997" s="8" t="s">
        <v>364</v>
      </c>
    </row>
    <row r="5998">
      <c r="H5998" s="8" t="s">
        <v>364</v>
      </c>
    </row>
    <row r="5999">
      <c r="H5999" s="8" t="s">
        <v>364</v>
      </c>
    </row>
    <row r="6000">
      <c r="H6000" s="8" t="s">
        <v>364</v>
      </c>
    </row>
    <row r="6001">
      <c r="H6001" s="8" t="s">
        <v>364</v>
      </c>
    </row>
    <row r="6002">
      <c r="H6002" s="8" t="s">
        <v>364</v>
      </c>
    </row>
    <row r="6003">
      <c r="H6003" s="8" t="s">
        <v>364</v>
      </c>
    </row>
    <row r="6004">
      <c r="H6004" s="8" t="s">
        <v>364</v>
      </c>
    </row>
    <row r="6005">
      <c r="H6005" s="8" t="s">
        <v>364</v>
      </c>
    </row>
    <row r="6006">
      <c r="H6006" s="8" t="s">
        <v>364</v>
      </c>
    </row>
    <row r="6007">
      <c r="H6007" s="8" t="s">
        <v>364</v>
      </c>
    </row>
    <row r="6008">
      <c r="H6008" s="8" t="s">
        <v>364</v>
      </c>
    </row>
    <row r="6009">
      <c r="H6009" s="8" t="s">
        <v>364</v>
      </c>
    </row>
    <row r="6010">
      <c r="H6010" s="8" t="s">
        <v>364</v>
      </c>
    </row>
    <row r="6011">
      <c r="H6011" s="8" t="s">
        <v>364</v>
      </c>
    </row>
    <row r="6012">
      <c r="H6012" s="8" t="s">
        <v>364</v>
      </c>
    </row>
    <row r="6013">
      <c r="H6013" s="8" t="s">
        <v>364</v>
      </c>
    </row>
    <row r="6014">
      <c r="H6014" s="8" t="s">
        <v>364</v>
      </c>
    </row>
    <row r="6015">
      <c r="H6015" s="8" t="s">
        <v>364</v>
      </c>
    </row>
    <row r="6016">
      <c r="H6016" s="8" t="s">
        <v>364</v>
      </c>
    </row>
    <row r="6017">
      <c r="H6017" s="8" t="s">
        <v>364</v>
      </c>
    </row>
    <row r="6018">
      <c r="H6018" s="8" t="s">
        <v>364</v>
      </c>
    </row>
    <row r="6019">
      <c r="H6019" s="8" t="s">
        <v>364</v>
      </c>
    </row>
    <row r="6020">
      <c r="H6020" s="8" t="s">
        <v>364</v>
      </c>
    </row>
    <row r="6021">
      <c r="H6021" s="8" t="s">
        <v>364</v>
      </c>
    </row>
    <row r="6022">
      <c r="H6022" s="8" t="s">
        <v>364</v>
      </c>
    </row>
    <row r="6023">
      <c r="H6023" s="8" t="s">
        <v>364</v>
      </c>
    </row>
    <row r="6024">
      <c r="H6024" s="8" t="s">
        <v>364</v>
      </c>
    </row>
    <row r="6025">
      <c r="H6025" s="8" t="s">
        <v>364</v>
      </c>
    </row>
    <row r="6026">
      <c r="H6026" s="8" t="s">
        <v>364</v>
      </c>
    </row>
    <row r="6027">
      <c r="H6027" s="8" t="s">
        <v>364</v>
      </c>
    </row>
    <row r="6028">
      <c r="H6028" s="8" t="s">
        <v>364</v>
      </c>
    </row>
    <row r="6029">
      <c r="H6029" s="8" t="s">
        <v>364</v>
      </c>
    </row>
    <row r="6030">
      <c r="H6030" s="8" t="s">
        <v>364</v>
      </c>
    </row>
    <row r="6031">
      <c r="H6031" s="8" t="s">
        <v>364</v>
      </c>
    </row>
    <row r="6032">
      <c r="H6032" s="8" t="s">
        <v>364</v>
      </c>
    </row>
    <row r="6033">
      <c r="H6033" s="8" t="s">
        <v>364</v>
      </c>
    </row>
    <row r="6034">
      <c r="H6034" s="8" t="s">
        <v>364</v>
      </c>
    </row>
    <row r="6035">
      <c r="H6035" s="8" t="s">
        <v>364</v>
      </c>
    </row>
    <row r="6036">
      <c r="H6036" s="8" t="s">
        <v>364</v>
      </c>
    </row>
    <row r="6037">
      <c r="H6037" s="8" t="s">
        <v>364</v>
      </c>
    </row>
    <row r="6038">
      <c r="H6038" s="8" t="s">
        <v>364</v>
      </c>
    </row>
    <row r="6039">
      <c r="H6039" s="8" t="s">
        <v>364</v>
      </c>
    </row>
    <row r="6040">
      <c r="H6040" s="8" t="s">
        <v>364</v>
      </c>
    </row>
    <row r="6041">
      <c r="H6041" s="8" t="s">
        <v>364</v>
      </c>
    </row>
    <row r="6042">
      <c r="H6042" s="8" t="s">
        <v>364</v>
      </c>
    </row>
    <row r="6043">
      <c r="H6043" s="8" t="s">
        <v>364</v>
      </c>
    </row>
    <row r="6044">
      <c r="H6044" s="8" t="s">
        <v>364</v>
      </c>
    </row>
    <row r="6045">
      <c r="H6045" s="8" t="s">
        <v>364</v>
      </c>
    </row>
    <row r="6046">
      <c r="H6046" s="8" t="s">
        <v>364</v>
      </c>
    </row>
    <row r="6047">
      <c r="H6047" s="8" t="s">
        <v>364</v>
      </c>
    </row>
    <row r="6048">
      <c r="H6048" s="8" t="s">
        <v>364</v>
      </c>
    </row>
    <row r="6049">
      <c r="H6049" s="8" t="s">
        <v>364</v>
      </c>
    </row>
    <row r="6050">
      <c r="H6050" s="8" t="s">
        <v>364</v>
      </c>
    </row>
    <row r="6051">
      <c r="H6051" s="8" t="s">
        <v>364</v>
      </c>
    </row>
    <row r="6052">
      <c r="H6052" s="8" t="s">
        <v>364</v>
      </c>
    </row>
    <row r="6053">
      <c r="H6053" s="8" t="s">
        <v>364</v>
      </c>
    </row>
    <row r="6054">
      <c r="H6054" s="8" t="s">
        <v>364</v>
      </c>
    </row>
    <row r="6055">
      <c r="H6055" s="8" t="s">
        <v>364</v>
      </c>
    </row>
    <row r="6056">
      <c r="H6056" s="8" t="s">
        <v>364</v>
      </c>
    </row>
    <row r="6057">
      <c r="H6057" s="8" t="s">
        <v>364</v>
      </c>
    </row>
    <row r="6058">
      <c r="H6058" s="8" t="s">
        <v>364</v>
      </c>
    </row>
    <row r="6059">
      <c r="H6059" s="8" t="s">
        <v>364</v>
      </c>
    </row>
    <row r="6060">
      <c r="H6060" s="8" t="s">
        <v>364</v>
      </c>
    </row>
    <row r="6061">
      <c r="H6061" s="8" t="s">
        <v>364</v>
      </c>
    </row>
    <row r="6062">
      <c r="H6062" s="8" t="s">
        <v>364</v>
      </c>
    </row>
    <row r="6063">
      <c r="H6063" s="8" t="s">
        <v>364</v>
      </c>
    </row>
    <row r="6064">
      <c r="H6064" s="8" t="s">
        <v>364</v>
      </c>
    </row>
    <row r="6065">
      <c r="H6065" s="8" t="s">
        <v>364</v>
      </c>
    </row>
    <row r="6066">
      <c r="H6066" s="8" t="s">
        <v>364</v>
      </c>
    </row>
    <row r="6067">
      <c r="H6067" s="8" t="s">
        <v>364</v>
      </c>
    </row>
    <row r="6068">
      <c r="H6068" s="8" t="s">
        <v>364</v>
      </c>
    </row>
    <row r="6069">
      <c r="H6069" s="8" t="s">
        <v>364</v>
      </c>
    </row>
    <row r="6070">
      <c r="H6070" s="8" t="s">
        <v>364</v>
      </c>
    </row>
    <row r="6071">
      <c r="H6071" s="8" t="s">
        <v>364</v>
      </c>
    </row>
    <row r="6072">
      <c r="H6072" s="8" t="s">
        <v>364</v>
      </c>
    </row>
    <row r="6073">
      <c r="H6073" s="8" t="s">
        <v>364</v>
      </c>
    </row>
    <row r="6074">
      <c r="H6074" s="8" t="s">
        <v>364</v>
      </c>
    </row>
    <row r="6075">
      <c r="H6075" s="8" t="s">
        <v>364</v>
      </c>
    </row>
    <row r="6076">
      <c r="H6076" s="8" t="s">
        <v>364</v>
      </c>
    </row>
    <row r="6077">
      <c r="H6077" s="8" t="s">
        <v>364</v>
      </c>
    </row>
    <row r="6078">
      <c r="H6078" s="8" t="s">
        <v>364</v>
      </c>
    </row>
    <row r="6079">
      <c r="H6079" s="8" t="s">
        <v>364</v>
      </c>
    </row>
    <row r="6080">
      <c r="H6080" s="8" t="s">
        <v>364</v>
      </c>
    </row>
    <row r="6081">
      <c r="H6081" s="8" t="s">
        <v>364</v>
      </c>
    </row>
    <row r="6082">
      <c r="H6082" s="8" t="s">
        <v>364</v>
      </c>
    </row>
    <row r="6083">
      <c r="H6083" s="8" t="s">
        <v>364</v>
      </c>
    </row>
    <row r="6084">
      <c r="H6084" s="8" t="s">
        <v>364</v>
      </c>
    </row>
    <row r="6085">
      <c r="H6085" s="8" t="s">
        <v>364</v>
      </c>
    </row>
    <row r="6086">
      <c r="H6086" s="8" t="s">
        <v>364</v>
      </c>
    </row>
    <row r="6087">
      <c r="H6087" s="8" t="s">
        <v>364</v>
      </c>
    </row>
    <row r="6088">
      <c r="H6088" s="8" t="s">
        <v>364</v>
      </c>
    </row>
    <row r="6089">
      <c r="H6089" s="8" t="s">
        <v>364</v>
      </c>
    </row>
    <row r="6090">
      <c r="H6090" s="8" t="s">
        <v>364</v>
      </c>
    </row>
    <row r="6091">
      <c r="H6091" s="8" t="s">
        <v>364</v>
      </c>
    </row>
    <row r="6092">
      <c r="H6092" s="8" t="s">
        <v>364</v>
      </c>
    </row>
    <row r="6093">
      <c r="H6093" s="8" t="s">
        <v>364</v>
      </c>
    </row>
    <row r="6094">
      <c r="H6094" s="8" t="s">
        <v>364</v>
      </c>
    </row>
    <row r="6095">
      <c r="H6095" s="8" t="s">
        <v>364</v>
      </c>
    </row>
    <row r="6096">
      <c r="H6096" s="8" t="s">
        <v>364</v>
      </c>
    </row>
    <row r="6097">
      <c r="H6097" s="8" t="s">
        <v>364</v>
      </c>
    </row>
    <row r="6098">
      <c r="H6098" s="8" t="s">
        <v>364</v>
      </c>
    </row>
    <row r="6099">
      <c r="H6099" s="8" t="s">
        <v>364</v>
      </c>
    </row>
    <row r="6100">
      <c r="H6100" s="8" t="s">
        <v>364</v>
      </c>
    </row>
    <row r="6101">
      <c r="H6101" s="8" t="s">
        <v>364</v>
      </c>
    </row>
    <row r="6102">
      <c r="H6102" s="8" t="s">
        <v>364</v>
      </c>
    </row>
    <row r="6103">
      <c r="H6103" s="8" t="s">
        <v>364</v>
      </c>
    </row>
    <row r="6104">
      <c r="H6104" s="8" t="s">
        <v>364</v>
      </c>
    </row>
    <row r="6105">
      <c r="H6105" s="8" t="s">
        <v>364</v>
      </c>
    </row>
    <row r="6106">
      <c r="H6106" s="8" t="s">
        <v>364</v>
      </c>
    </row>
    <row r="6107">
      <c r="H6107" s="8" t="s">
        <v>364</v>
      </c>
    </row>
    <row r="6108">
      <c r="H6108" s="8" t="s">
        <v>364</v>
      </c>
    </row>
    <row r="6109">
      <c r="H6109" s="8" t="s">
        <v>364</v>
      </c>
    </row>
    <row r="6110">
      <c r="H6110" s="8" t="s">
        <v>364</v>
      </c>
    </row>
    <row r="6111">
      <c r="H6111" s="8" t="s">
        <v>364</v>
      </c>
    </row>
    <row r="6112">
      <c r="H6112" s="8" t="s">
        <v>364</v>
      </c>
    </row>
    <row r="6113">
      <c r="H6113" s="8" t="s">
        <v>364</v>
      </c>
    </row>
    <row r="6114">
      <c r="H6114" s="8" t="s">
        <v>364</v>
      </c>
    </row>
    <row r="6115">
      <c r="H6115" s="8" t="s">
        <v>364</v>
      </c>
    </row>
    <row r="6116">
      <c r="H6116" s="8" t="s">
        <v>364</v>
      </c>
    </row>
    <row r="6117">
      <c r="H6117" s="8" t="s">
        <v>364</v>
      </c>
    </row>
    <row r="6118">
      <c r="H6118" s="8" t="s">
        <v>364</v>
      </c>
    </row>
    <row r="6119">
      <c r="H6119" s="8" t="s">
        <v>364</v>
      </c>
    </row>
    <row r="6120">
      <c r="H6120" s="8" t="s">
        <v>364</v>
      </c>
    </row>
    <row r="6121">
      <c r="H6121" s="8" t="s">
        <v>364</v>
      </c>
    </row>
    <row r="6122">
      <c r="H6122" s="8" t="s">
        <v>364</v>
      </c>
    </row>
    <row r="6123">
      <c r="H6123" s="8" t="s">
        <v>364</v>
      </c>
    </row>
    <row r="6124">
      <c r="H6124" s="8" t="s">
        <v>364</v>
      </c>
    </row>
    <row r="6125">
      <c r="H6125" s="8" t="s">
        <v>364</v>
      </c>
    </row>
    <row r="6126">
      <c r="H6126" s="8" t="s">
        <v>364</v>
      </c>
    </row>
    <row r="6127">
      <c r="H6127" s="8" t="s">
        <v>364</v>
      </c>
    </row>
    <row r="6128">
      <c r="H6128" s="8" t="s">
        <v>364</v>
      </c>
    </row>
    <row r="6129">
      <c r="H6129" s="8" t="s">
        <v>364</v>
      </c>
    </row>
    <row r="6130">
      <c r="H6130" s="8" t="s">
        <v>364</v>
      </c>
    </row>
    <row r="6131">
      <c r="H6131" s="8" t="s">
        <v>364</v>
      </c>
    </row>
    <row r="6132">
      <c r="H6132" s="8" t="s">
        <v>364</v>
      </c>
    </row>
    <row r="6133">
      <c r="H6133" s="8" t="s">
        <v>364</v>
      </c>
    </row>
    <row r="6134">
      <c r="H6134" s="8" t="s">
        <v>364</v>
      </c>
    </row>
    <row r="6135">
      <c r="H6135" s="8" t="s">
        <v>364</v>
      </c>
    </row>
    <row r="6136">
      <c r="H6136" s="8" t="s">
        <v>364</v>
      </c>
    </row>
    <row r="6137">
      <c r="H6137" s="8" t="s">
        <v>364</v>
      </c>
    </row>
    <row r="6138">
      <c r="H6138" s="8" t="s">
        <v>364</v>
      </c>
    </row>
    <row r="6139">
      <c r="H6139" s="8" t="s">
        <v>364</v>
      </c>
    </row>
    <row r="6140">
      <c r="H6140" s="8" t="s">
        <v>364</v>
      </c>
    </row>
    <row r="6141">
      <c r="H6141" s="8" t="s">
        <v>364</v>
      </c>
    </row>
    <row r="6142">
      <c r="H6142" s="8" t="s">
        <v>364</v>
      </c>
    </row>
    <row r="6143">
      <c r="H6143" s="8" t="s">
        <v>364</v>
      </c>
    </row>
    <row r="6144">
      <c r="H6144" s="8" t="s">
        <v>364</v>
      </c>
    </row>
    <row r="6145">
      <c r="H6145" s="8" t="s">
        <v>364</v>
      </c>
    </row>
    <row r="6146">
      <c r="H6146" s="8" t="s">
        <v>364</v>
      </c>
    </row>
    <row r="6147">
      <c r="H6147" s="8" t="s">
        <v>364</v>
      </c>
    </row>
    <row r="6148">
      <c r="H6148" s="8" t="s">
        <v>364</v>
      </c>
    </row>
    <row r="6149">
      <c r="H6149" s="8" t="s">
        <v>364</v>
      </c>
    </row>
    <row r="6150">
      <c r="H6150" s="8" t="s">
        <v>364</v>
      </c>
    </row>
    <row r="6151">
      <c r="H6151" s="8" t="s">
        <v>364</v>
      </c>
    </row>
    <row r="6152">
      <c r="H6152" s="8" t="s">
        <v>364</v>
      </c>
    </row>
    <row r="6153">
      <c r="H6153" s="8" t="s">
        <v>364</v>
      </c>
    </row>
    <row r="6154">
      <c r="H6154" s="8" t="s">
        <v>364</v>
      </c>
    </row>
    <row r="6155">
      <c r="H6155" s="8" t="s">
        <v>364</v>
      </c>
    </row>
    <row r="6156">
      <c r="H6156" s="8" t="s">
        <v>364</v>
      </c>
    </row>
    <row r="6157">
      <c r="H6157" s="8" t="s">
        <v>364</v>
      </c>
    </row>
    <row r="6158">
      <c r="H6158" s="8" t="s">
        <v>364</v>
      </c>
    </row>
    <row r="6159">
      <c r="H6159" s="8" t="s">
        <v>364</v>
      </c>
    </row>
    <row r="6160">
      <c r="H6160" s="8" t="s">
        <v>364</v>
      </c>
    </row>
    <row r="6161">
      <c r="H6161" s="8" t="s">
        <v>364</v>
      </c>
    </row>
    <row r="6162">
      <c r="H6162" s="8" t="s">
        <v>364</v>
      </c>
    </row>
    <row r="6163">
      <c r="H6163" s="8" t="s">
        <v>364</v>
      </c>
    </row>
    <row r="6164">
      <c r="H6164" s="8" t="s">
        <v>364</v>
      </c>
    </row>
    <row r="6165">
      <c r="H6165" s="8" t="s">
        <v>364</v>
      </c>
    </row>
    <row r="6166">
      <c r="H6166" s="8" t="s">
        <v>364</v>
      </c>
    </row>
    <row r="6167">
      <c r="H6167" s="8" t="s">
        <v>364</v>
      </c>
    </row>
    <row r="6168">
      <c r="H6168" s="8" t="s">
        <v>364</v>
      </c>
    </row>
    <row r="6169">
      <c r="H6169" s="8" t="s">
        <v>364</v>
      </c>
    </row>
    <row r="6170">
      <c r="H6170" s="8" t="s">
        <v>364</v>
      </c>
    </row>
    <row r="6171">
      <c r="H6171" s="8" t="s">
        <v>364</v>
      </c>
    </row>
    <row r="6172">
      <c r="H6172" s="8" t="s">
        <v>364</v>
      </c>
    </row>
    <row r="6173">
      <c r="H6173" s="8" t="s">
        <v>364</v>
      </c>
    </row>
    <row r="6174">
      <c r="H6174" s="8" t="s">
        <v>364</v>
      </c>
    </row>
    <row r="6175">
      <c r="H6175" s="8" t="s">
        <v>364</v>
      </c>
    </row>
    <row r="6176">
      <c r="H6176" s="8" t="s">
        <v>364</v>
      </c>
    </row>
    <row r="6177">
      <c r="H6177" s="8" t="s">
        <v>364</v>
      </c>
    </row>
    <row r="6178">
      <c r="H6178" s="8" t="s">
        <v>364</v>
      </c>
    </row>
    <row r="6179">
      <c r="H6179" s="8" t="s">
        <v>364</v>
      </c>
    </row>
    <row r="6180">
      <c r="H6180" s="8" t="s">
        <v>364</v>
      </c>
    </row>
    <row r="6181">
      <c r="H6181" s="8" t="s">
        <v>364</v>
      </c>
    </row>
    <row r="6182">
      <c r="H6182" s="8" t="s">
        <v>364</v>
      </c>
    </row>
    <row r="6183">
      <c r="H6183" s="8" t="s">
        <v>364</v>
      </c>
    </row>
    <row r="6184">
      <c r="H6184" s="8" t="s">
        <v>364</v>
      </c>
    </row>
    <row r="6185">
      <c r="H6185" s="8" t="s">
        <v>364</v>
      </c>
    </row>
    <row r="6186">
      <c r="H6186" s="8" t="s">
        <v>364</v>
      </c>
    </row>
    <row r="6187">
      <c r="H6187" s="8" t="s">
        <v>364</v>
      </c>
    </row>
    <row r="6188">
      <c r="H6188" s="8" t="s">
        <v>364</v>
      </c>
    </row>
    <row r="6189">
      <c r="H6189" s="8" t="s">
        <v>364</v>
      </c>
    </row>
    <row r="6190">
      <c r="H6190" s="8" t="s">
        <v>364</v>
      </c>
    </row>
    <row r="6191">
      <c r="H6191" s="8" t="s">
        <v>364</v>
      </c>
    </row>
    <row r="6192">
      <c r="H6192" s="8" t="s">
        <v>364</v>
      </c>
    </row>
    <row r="6193">
      <c r="H6193" s="8" t="s">
        <v>364</v>
      </c>
    </row>
    <row r="6194">
      <c r="H6194" s="8" t="s">
        <v>364</v>
      </c>
    </row>
    <row r="6195">
      <c r="H6195" s="8" t="s">
        <v>364</v>
      </c>
    </row>
    <row r="6196">
      <c r="H6196" s="8" t="s">
        <v>364</v>
      </c>
    </row>
    <row r="6197">
      <c r="H6197" s="8" t="s">
        <v>364</v>
      </c>
    </row>
    <row r="6198">
      <c r="H6198" s="8" t="s">
        <v>364</v>
      </c>
    </row>
    <row r="6199">
      <c r="H6199" s="8" t="s">
        <v>364</v>
      </c>
    </row>
    <row r="6200">
      <c r="H6200" s="8" t="s">
        <v>364</v>
      </c>
    </row>
    <row r="6201">
      <c r="H6201" s="8" t="s">
        <v>364</v>
      </c>
    </row>
    <row r="6202">
      <c r="H6202" s="8" t="s">
        <v>364</v>
      </c>
    </row>
    <row r="6203">
      <c r="H6203" s="8" t="s">
        <v>364</v>
      </c>
    </row>
    <row r="6204">
      <c r="H6204" s="8" t="s">
        <v>364</v>
      </c>
    </row>
    <row r="6205">
      <c r="H6205" s="8" t="s">
        <v>364</v>
      </c>
    </row>
    <row r="6206">
      <c r="H6206" s="8" t="s">
        <v>364</v>
      </c>
    </row>
    <row r="6207">
      <c r="H6207" s="8" t="s">
        <v>364</v>
      </c>
    </row>
    <row r="6208">
      <c r="H6208" s="8" t="s">
        <v>364</v>
      </c>
    </row>
    <row r="6209">
      <c r="H6209" s="8" t="s">
        <v>364</v>
      </c>
    </row>
    <row r="6210">
      <c r="H6210" s="8" t="s">
        <v>364</v>
      </c>
    </row>
    <row r="6211">
      <c r="H6211" s="8" t="s">
        <v>364</v>
      </c>
    </row>
    <row r="6212">
      <c r="H6212" s="8" t="s">
        <v>364</v>
      </c>
    </row>
    <row r="6213">
      <c r="H6213" s="8" t="s">
        <v>364</v>
      </c>
    </row>
    <row r="6214">
      <c r="H6214" s="8" t="s">
        <v>364</v>
      </c>
    </row>
    <row r="6215">
      <c r="H6215" s="8" t="s">
        <v>364</v>
      </c>
    </row>
    <row r="6216">
      <c r="H6216" s="8" t="s">
        <v>364</v>
      </c>
    </row>
    <row r="6217">
      <c r="H6217" s="8" t="s">
        <v>364</v>
      </c>
    </row>
    <row r="6218">
      <c r="H6218" s="8" t="s">
        <v>364</v>
      </c>
    </row>
    <row r="6219">
      <c r="H6219" s="8" t="s">
        <v>364</v>
      </c>
    </row>
    <row r="6220">
      <c r="H6220" s="8" t="s">
        <v>364</v>
      </c>
    </row>
    <row r="6221">
      <c r="H6221" s="8" t="s">
        <v>364</v>
      </c>
    </row>
    <row r="6222">
      <c r="H6222" s="8" t="s">
        <v>364</v>
      </c>
    </row>
    <row r="6223">
      <c r="H6223" s="8" t="s">
        <v>364</v>
      </c>
    </row>
    <row r="6224">
      <c r="H6224" s="8" t="s">
        <v>364</v>
      </c>
    </row>
    <row r="6225">
      <c r="H6225" s="8" t="s">
        <v>364</v>
      </c>
    </row>
    <row r="6226">
      <c r="H6226" s="8" t="s">
        <v>364</v>
      </c>
    </row>
    <row r="6227">
      <c r="H6227" s="8" t="s">
        <v>364</v>
      </c>
    </row>
    <row r="6228">
      <c r="H6228" s="8" t="s">
        <v>364</v>
      </c>
    </row>
    <row r="6229">
      <c r="H6229" s="8" t="s">
        <v>364</v>
      </c>
    </row>
    <row r="6230">
      <c r="H6230" s="8" t="s">
        <v>364</v>
      </c>
    </row>
    <row r="6231">
      <c r="H6231" s="8" t="s">
        <v>364</v>
      </c>
    </row>
    <row r="6232">
      <c r="H6232" s="8" t="s">
        <v>364</v>
      </c>
    </row>
    <row r="6233">
      <c r="H6233" s="8" t="s">
        <v>364</v>
      </c>
    </row>
    <row r="6234">
      <c r="H6234" s="8" t="s">
        <v>364</v>
      </c>
    </row>
    <row r="6235">
      <c r="H6235" s="8" t="s">
        <v>364</v>
      </c>
    </row>
    <row r="6236">
      <c r="H6236" s="8" t="s">
        <v>364</v>
      </c>
    </row>
    <row r="6237">
      <c r="H6237" s="8" t="s">
        <v>364</v>
      </c>
    </row>
    <row r="6238">
      <c r="H6238" s="8" t="s">
        <v>364</v>
      </c>
    </row>
    <row r="6239">
      <c r="H6239" s="8" t="s">
        <v>364</v>
      </c>
    </row>
    <row r="6240">
      <c r="H6240" s="8" t="s">
        <v>364</v>
      </c>
    </row>
    <row r="6241">
      <c r="H6241" s="8" t="s">
        <v>364</v>
      </c>
    </row>
    <row r="6242">
      <c r="H6242" s="8" t="s">
        <v>364</v>
      </c>
    </row>
    <row r="6243">
      <c r="H6243" s="8" t="s">
        <v>364</v>
      </c>
    </row>
    <row r="6244">
      <c r="H6244" s="8" t="s">
        <v>364</v>
      </c>
    </row>
    <row r="6245">
      <c r="H6245" s="8" t="s">
        <v>364</v>
      </c>
    </row>
    <row r="6246">
      <c r="H6246" s="8" t="s">
        <v>364</v>
      </c>
    </row>
    <row r="6247">
      <c r="H6247" s="8" t="s">
        <v>364</v>
      </c>
    </row>
    <row r="6248">
      <c r="H6248" s="8" t="s">
        <v>364</v>
      </c>
    </row>
    <row r="6249">
      <c r="H6249" s="8" t="s">
        <v>364</v>
      </c>
    </row>
    <row r="6250">
      <c r="H6250" s="8" t="s">
        <v>364</v>
      </c>
    </row>
    <row r="6251">
      <c r="H6251" s="8" t="s">
        <v>364</v>
      </c>
    </row>
    <row r="6252">
      <c r="H6252" s="8" t="s">
        <v>364</v>
      </c>
    </row>
    <row r="6253">
      <c r="H6253" s="8" t="s">
        <v>364</v>
      </c>
    </row>
    <row r="6254">
      <c r="H6254" s="8" t="s">
        <v>364</v>
      </c>
    </row>
    <row r="6255">
      <c r="H6255" s="8" t="s">
        <v>364</v>
      </c>
    </row>
    <row r="6256">
      <c r="H6256" s="8" t="s">
        <v>364</v>
      </c>
    </row>
    <row r="6257">
      <c r="H6257" s="8" t="s">
        <v>364</v>
      </c>
    </row>
    <row r="6258">
      <c r="H6258" s="8" t="s">
        <v>364</v>
      </c>
    </row>
    <row r="6259">
      <c r="H6259" s="8" t="s">
        <v>364</v>
      </c>
    </row>
    <row r="6260">
      <c r="H6260" s="8" t="s">
        <v>364</v>
      </c>
    </row>
    <row r="6261">
      <c r="H6261" s="8" t="s">
        <v>364</v>
      </c>
    </row>
    <row r="6262">
      <c r="H6262" s="8" t="s">
        <v>364</v>
      </c>
    </row>
    <row r="6263">
      <c r="H6263" s="8" t="s">
        <v>364</v>
      </c>
    </row>
    <row r="6264">
      <c r="H6264" s="8" t="s">
        <v>364</v>
      </c>
    </row>
    <row r="6265">
      <c r="H6265" s="8" t="s">
        <v>364</v>
      </c>
    </row>
    <row r="6266">
      <c r="H6266" s="8" t="s">
        <v>364</v>
      </c>
    </row>
    <row r="6267">
      <c r="H6267" s="8" t="s">
        <v>364</v>
      </c>
    </row>
    <row r="6268">
      <c r="H6268" s="8" t="s">
        <v>364</v>
      </c>
    </row>
    <row r="6269">
      <c r="H6269" s="8" t="s">
        <v>364</v>
      </c>
    </row>
    <row r="6270">
      <c r="H6270" s="8" t="s">
        <v>364</v>
      </c>
    </row>
    <row r="6271">
      <c r="H6271" s="8" t="s">
        <v>364</v>
      </c>
    </row>
    <row r="6272">
      <c r="H6272" s="8" t="s">
        <v>364</v>
      </c>
    </row>
    <row r="6273">
      <c r="H6273" s="8" t="s">
        <v>364</v>
      </c>
    </row>
    <row r="6274">
      <c r="H6274" s="8" t="s">
        <v>364</v>
      </c>
    </row>
    <row r="6275">
      <c r="H6275" s="8" t="s">
        <v>364</v>
      </c>
    </row>
    <row r="6276">
      <c r="H6276" s="8" t="s">
        <v>364</v>
      </c>
    </row>
    <row r="6277">
      <c r="H6277" s="8" t="s">
        <v>364</v>
      </c>
    </row>
    <row r="6278">
      <c r="H6278" s="8" t="s">
        <v>364</v>
      </c>
    </row>
    <row r="6279">
      <c r="H6279" s="8" t="s">
        <v>364</v>
      </c>
    </row>
    <row r="6280">
      <c r="H6280" s="8" t="s">
        <v>364</v>
      </c>
    </row>
    <row r="6281">
      <c r="H6281" s="8" t="s">
        <v>364</v>
      </c>
    </row>
    <row r="6282">
      <c r="H6282" s="8" t="s">
        <v>364</v>
      </c>
    </row>
    <row r="6283">
      <c r="H6283" s="8" t="s">
        <v>364</v>
      </c>
    </row>
    <row r="6284">
      <c r="H6284" s="8" t="s">
        <v>364</v>
      </c>
    </row>
    <row r="6285">
      <c r="H6285" s="8" t="s">
        <v>364</v>
      </c>
    </row>
    <row r="6286">
      <c r="H6286" s="8" t="s">
        <v>364</v>
      </c>
    </row>
    <row r="6287">
      <c r="H6287" s="8" t="s">
        <v>364</v>
      </c>
    </row>
    <row r="6288">
      <c r="H6288" s="8" t="s">
        <v>364</v>
      </c>
    </row>
    <row r="6289">
      <c r="H6289" s="8" t="s">
        <v>364</v>
      </c>
    </row>
    <row r="6290">
      <c r="H6290" s="8" t="s">
        <v>364</v>
      </c>
    </row>
    <row r="6291">
      <c r="H6291" s="8" t="s">
        <v>364</v>
      </c>
    </row>
    <row r="6292">
      <c r="H6292" s="8" t="s">
        <v>364</v>
      </c>
    </row>
    <row r="6293">
      <c r="H6293" s="8" t="s">
        <v>364</v>
      </c>
    </row>
    <row r="6294">
      <c r="H6294" s="8" t="s">
        <v>364</v>
      </c>
    </row>
    <row r="6295">
      <c r="H6295" s="8" t="s">
        <v>364</v>
      </c>
    </row>
    <row r="6296">
      <c r="H6296" s="8" t="s">
        <v>364</v>
      </c>
    </row>
    <row r="6297">
      <c r="H6297" s="8" t="s">
        <v>364</v>
      </c>
    </row>
    <row r="6298">
      <c r="H6298" s="8" t="s">
        <v>364</v>
      </c>
    </row>
    <row r="6299">
      <c r="H6299" s="8" t="s">
        <v>364</v>
      </c>
    </row>
    <row r="6300">
      <c r="H6300" s="8" t="s">
        <v>364</v>
      </c>
    </row>
    <row r="6301">
      <c r="H6301" s="8" t="s">
        <v>364</v>
      </c>
    </row>
    <row r="6302">
      <c r="H6302" s="8" t="s">
        <v>364</v>
      </c>
    </row>
    <row r="6303">
      <c r="H6303" s="8" t="s">
        <v>364</v>
      </c>
    </row>
    <row r="6304">
      <c r="H6304" s="8" t="s">
        <v>364</v>
      </c>
    </row>
    <row r="6305">
      <c r="H6305" s="8" t="s">
        <v>364</v>
      </c>
    </row>
    <row r="6306">
      <c r="H6306" s="8" t="s">
        <v>364</v>
      </c>
    </row>
    <row r="6307">
      <c r="H6307" s="8" t="s">
        <v>364</v>
      </c>
    </row>
    <row r="6308">
      <c r="H6308" s="8" t="s">
        <v>364</v>
      </c>
    </row>
    <row r="6309">
      <c r="H6309" s="8" t="s">
        <v>364</v>
      </c>
    </row>
    <row r="6310">
      <c r="H6310" s="8" t="s">
        <v>364</v>
      </c>
    </row>
    <row r="6311">
      <c r="H6311" s="8" t="s">
        <v>364</v>
      </c>
    </row>
    <row r="6312">
      <c r="H6312" s="8" t="s">
        <v>364</v>
      </c>
    </row>
    <row r="6313">
      <c r="H6313" s="8" t="s">
        <v>364</v>
      </c>
    </row>
    <row r="6314">
      <c r="H6314" s="8" t="s">
        <v>364</v>
      </c>
    </row>
    <row r="6315">
      <c r="H6315" s="8" t="s">
        <v>364</v>
      </c>
    </row>
    <row r="6316">
      <c r="H6316" s="8" t="s">
        <v>364</v>
      </c>
    </row>
    <row r="6317">
      <c r="H6317" s="8" t="s">
        <v>364</v>
      </c>
    </row>
    <row r="6318">
      <c r="H6318" s="8" t="s">
        <v>364</v>
      </c>
    </row>
    <row r="6319">
      <c r="H6319" s="8" t="s">
        <v>364</v>
      </c>
    </row>
    <row r="6320">
      <c r="H6320" s="8" t="s">
        <v>364</v>
      </c>
    </row>
    <row r="6321">
      <c r="H6321" s="8" t="s">
        <v>364</v>
      </c>
    </row>
    <row r="6322">
      <c r="H6322" s="8" t="s">
        <v>364</v>
      </c>
    </row>
    <row r="6323">
      <c r="H6323" s="8" t="s">
        <v>364</v>
      </c>
    </row>
    <row r="6324">
      <c r="H6324" s="8" t="s">
        <v>364</v>
      </c>
    </row>
    <row r="6325">
      <c r="H6325" s="8" t="s">
        <v>364</v>
      </c>
    </row>
    <row r="6326">
      <c r="H6326" s="8" t="s">
        <v>364</v>
      </c>
    </row>
    <row r="6327">
      <c r="H6327" s="8" t="s">
        <v>364</v>
      </c>
    </row>
    <row r="6328">
      <c r="H6328" s="8" t="s">
        <v>364</v>
      </c>
    </row>
    <row r="6329">
      <c r="H6329" s="8" t="s">
        <v>364</v>
      </c>
    </row>
    <row r="6330">
      <c r="H6330" s="8" t="s">
        <v>364</v>
      </c>
    </row>
    <row r="6331">
      <c r="H6331" s="8" t="s">
        <v>364</v>
      </c>
    </row>
    <row r="6332">
      <c r="H6332" s="8" t="s">
        <v>364</v>
      </c>
    </row>
    <row r="6333">
      <c r="H6333" s="8" t="s">
        <v>364</v>
      </c>
    </row>
    <row r="6334">
      <c r="H6334" s="8" t="s">
        <v>364</v>
      </c>
    </row>
    <row r="6335">
      <c r="H6335" s="8" t="s">
        <v>364</v>
      </c>
    </row>
    <row r="6336">
      <c r="H6336" s="8" t="s">
        <v>364</v>
      </c>
    </row>
    <row r="6337">
      <c r="H6337" s="8" t="s">
        <v>364</v>
      </c>
    </row>
    <row r="6338">
      <c r="H6338" s="8" t="s">
        <v>364</v>
      </c>
    </row>
    <row r="6339">
      <c r="H6339" s="8" t="s">
        <v>364</v>
      </c>
    </row>
    <row r="6340">
      <c r="H6340" s="8" t="s">
        <v>364</v>
      </c>
    </row>
    <row r="6341">
      <c r="H6341" s="8" t="s">
        <v>364</v>
      </c>
    </row>
    <row r="6342">
      <c r="H6342" s="8" t="s">
        <v>364</v>
      </c>
    </row>
    <row r="6343">
      <c r="H6343" s="8" t="s">
        <v>364</v>
      </c>
    </row>
    <row r="6344">
      <c r="H6344" s="8" t="s">
        <v>364</v>
      </c>
    </row>
    <row r="6345">
      <c r="H6345" s="8" t="s">
        <v>364</v>
      </c>
    </row>
    <row r="6346">
      <c r="H6346" s="8" t="s">
        <v>364</v>
      </c>
    </row>
    <row r="6347">
      <c r="H6347" s="8" t="s">
        <v>364</v>
      </c>
    </row>
    <row r="6348">
      <c r="H6348" s="8" t="s">
        <v>364</v>
      </c>
    </row>
    <row r="6349">
      <c r="H6349" s="8" t="s">
        <v>364</v>
      </c>
    </row>
    <row r="6350">
      <c r="H6350" s="8" t="s">
        <v>364</v>
      </c>
    </row>
    <row r="6351">
      <c r="H6351" s="8" t="s">
        <v>364</v>
      </c>
    </row>
    <row r="6352">
      <c r="H6352" s="8" t="s">
        <v>364</v>
      </c>
    </row>
    <row r="6353">
      <c r="H6353" s="8" t="s">
        <v>364</v>
      </c>
    </row>
    <row r="6354">
      <c r="H6354" s="8" t="s">
        <v>364</v>
      </c>
    </row>
    <row r="6355">
      <c r="H6355" s="8" t="s">
        <v>364</v>
      </c>
    </row>
    <row r="6356">
      <c r="H6356" s="8" t="s">
        <v>364</v>
      </c>
    </row>
    <row r="6357">
      <c r="H6357" s="8" t="s">
        <v>364</v>
      </c>
    </row>
    <row r="6358">
      <c r="H6358" s="8" t="s">
        <v>364</v>
      </c>
    </row>
    <row r="6359">
      <c r="H6359" s="8" t="s">
        <v>364</v>
      </c>
    </row>
    <row r="6360">
      <c r="H6360" s="8" t="s">
        <v>364</v>
      </c>
    </row>
    <row r="6361">
      <c r="H6361" s="8" t="s">
        <v>364</v>
      </c>
    </row>
    <row r="6362">
      <c r="H6362" s="8" t="s">
        <v>364</v>
      </c>
    </row>
    <row r="6363">
      <c r="H6363" s="8" t="s">
        <v>364</v>
      </c>
    </row>
    <row r="6364">
      <c r="H6364" s="8" t="s">
        <v>364</v>
      </c>
    </row>
    <row r="6365">
      <c r="H6365" s="8" t="s">
        <v>364</v>
      </c>
    </row>
    <row r="6366">
      <c r="H6366" s="8" t="s">
        <v>364</v>
      </c>
    </row>
    <row r="6367">
      <c r="H6367" s="8" t="s">
        <v>364</v>
      </c>
    </row>
    <row r="6368">
      <c r="H6368" s="8" t="s">
        <v>364</v>
      </c>
    </row>
    <row r="6369">
      <c r="H6369" s="8" t="s">
        <v>364</v>
      </c>
    </row>
    <row r="6370">
      <c r="H6370" s="8" t="s">
        <v>364</v>
      </c>
    </row>
    <row r="6371">
      <c r="H6371" s="8" t="s">
        <v>364</v>
      </c>
    </row>
    <row r="6372">
      <c r="H6372" s="8" t="s">
        <v>364</v>
      </c>
    </row>
    <row r="6373">
      <c r="H6373" s="8" t="s">
        <v>364</v>
      </c>
    </row>
    <row r="6374">
      <c r="H6374" s="8" t="s">
        <v>364</v>
      </c>
    </row>
    <row r="6375">
      <c r="H6375" s="8" t="s">
        <v>364</v>
      </c>
    </row>
    <row r="6376">
      <c r="H6376" s="8" t="s">
        <v>364</v>
      </c>
    </row>
    <row r="6377">
      <c r="H6377" s="8" t="s">
        <v>364</v>
      </c>
    </row>
    <row r="6378">
      <c r="H6378" s="8" t="s">
        <v>364</v>
      </c>
    </row>
    <row r="6379">
      <c r="H6379" s="8" t="s">
        <v>364</v>
      </c>
    </row>
    <row r="6380">
      <c r="H6380" s="8" t="s">
        <v>364</v>
      </c>
    </row>
    <row r="6381">
      <c r="H6381" s="8" t="s">
        <v>364</v>
      </c>
    </row>
    <row r="6382">
      <c r="H6382" s="8" t="s">
        <v>364</v>
      </c>
    </row>
    <row r="6383">
      <c r="H6383" s="8" t="s">
        <v>364</v>
      </c>
    </row>
    <row r="6384">
      <c r="H6384" s="8" t="s">
        <v>364</v>
      </c>
    </row>
    <row r="6385">
      <c r="H6385" s="8" t="s">
        <v>364</v>
      </c>
    </row>
    <row r="6386">
      <c r="H6386" s="8" t="s">
        <v>364</v>
      </c>
    </row>
    <row r="6387">
      <c r="H6387" s="8" t="s">
        <v>364</v>
      </c>
    </row>
    <row r="6388">
      <c r="H6388" s="8" t="s">
        <v>364</v>
      </c>
    </row>
    <row r="6389">
      <c r="H6389" s="8" t="s">
        <v>364</v>
      </c>
    </row>
    <row r="6390">
      <c r="H6390" s="8" t="s">
        <v>364</v>
      </c>
    </row>
    <row r="6391">
      <c r="H6391" s="8" t="s">
        <v>364</v>
      </c>
    </row>
    <row r="6392">
      <c r="H6392" s="8" t="s">
        <v>364</v>
      </c>
    </row>
    <row r="6393">
      <c r="H6393" s="8" t="s">
        <v>364</v>
      </c>
    </row>
    <row r="6394">
      <c r="H6394" s="8" t="s">
        <v>364</v>
      </c>
    </row>
    <row r="6395">
      <c r="H6395" s="8" t="s">
        <v>364</v>
      </c>
    </row>
    <row r="6396">
      <c r="H6396" s="8" t="s">
        <v>364</v>
      </c>
    </row>
    <row r="6397">
      <c r="H6397" s="8" t="s">
        <v>364</v>
      </c>
    </row>
    <row r="6398">
      <c r="H6398" s="8" t="s">
        <v>364</v>
      </c>
    </row>
    <row r="6399">
      <c r="H6399" s="8" t="s">
        <v>364</v>
      </c>
    </row>
    <row r="6400">
      <c r="H6400" s="8" t="s">
        <v>364</v>
      </c>
    </row>
    <row r="6401">
      <c r="H6401" s="8" t="s">
        <v>364</v>
      </c>
    </row>
    <row r="6402">
      <c r="H6402" s="8" t="s">
        <v>364</v>
      </c>
    </row>
    <row r="6403">
      <c r="H6403" s="8" t="s">
        <v>364</v>
      </c>
    </row>
    <row r="6404">
      <c r="H6404" s="8" t="s">
        <v>364</v>
      </c>
    </row>
    <row r="6405">
      <c r="H6405" s="8" t="s">
        <v>364</v>
      </c>
    </row>
    <row r="6406">
      <c r="H6406" s="8" t="s">
        <v>364</v>
      </c>
    </row>
    <row r="6407">
      <c r="H6407" s="8" t="s">
        <v>364</v>
      </c>
    </row>
    <row r="6408">
      <c r="H6408" s="8" t="s">
        <v>364</v>
      </c>
    </row>
    <row r="6409">
      <c r="H6409" s="8" t="s">
        <v>364</v>
      </c>
    </row>
    <row r="6410">
      <c r="H6410" s="8" t="s">
        <v>364</v>
      </c>
    </row>
    <row r="6411">
      <c r="H6411" s="8" t="s">
        <v>364</v>
      </c>
    </row>
    <row r="6412">
      <c r="H6412" s="8" t="s">
        <v>364</v>
      </c>
    </row>
    <row r="6413">
      <c r="H6413" s="8" t="s">
        <v>364</v>
      </c>
    </row>
    <row r="6414">
      <c r="H6414" s="8" t="s">
        <v>364</v>
      </c>
    </row>
    <row r="6415">
      <c r="H6415" s="8" t="s">
        <v>364</v>
      </c>
    </row>
    <row r="6416">
      <c r="H6416" s="8" t="s">
        <v>364</v>
      </c>
    </row>
    <row r="6417">
      <c r="H6417" s="8" t="s">
        <v>364</v>
      </c>
    </row>
    <row r="6418">
      <c r="H6418" s="8" t="s">
        <v>364</v>
      </c>
    </row>
    <row r="6419">
      <c r="H6419" s="8" t="s">
        <v>364</v>
      </c>
    </row>
    <row r="6420">
      <c r="H6420" s="8" t="s">
        <v>364</v>
      </c>
    </row>
    <row r="6421">
      <c r="H6421" s="8" t="s">
        <v>364</v>
      </c>
    </row>
    <row r="6422">
      <c r="H6422" s="8" t="s">
        <v>364</v>
      </c>
    </row>
    <row r="6423">
      <c r="H6423" s="8" t="s">
        <v>364</v>
      </c>
    </row>
    <row r="6424">
      <c r="H6424" s="8" t="s">
        <v>364</v>
      </c>
    </row>
    <row r="6425">
      <c r="H6425" s="8" t="s">
        <v>364</v>
      </c>
    </row>
    <row r="6426">
      <c r="H6426" s="8" t="s">
        <v>364</v>
      </c>
    </row>
    <row r="6427">
      <c r="H6427" s="8" t="s">
        <v>364</v>
      </c>
    </row>
    <row r="6428">
      <c r="H6428" s="8" t="s">
        <v>364</v>
      </c>
    </row>
    <row r="6429">
      <c r="H6429" s="8" t="s">
        <v>364</v>
      </c>
    </row>
    <row r="6430">
      <c r="H6430" s="8" t="s">
        <v>364</v>
      </c>
    </row>
    <row r="6431">
      <c r="H6431" s="8" t="s">
        <v>364</v>
      </c>
    </row>
    <row r="6432">
      <c r="H6432" s="8" t="s">
        <v>364</v>
      </c>
    </row>
    <row r="6433">
      <c r="H6433" s="8" t="s">
        <v>364</v>
      </c>
    </row>
    <row r="6434">
      <c r="H6434" s="8" t="s">
        <v>364</v>
      </c>
    </row>
    <row r="6435">
      <c r="H6435" s="8" t="s">
        <v>364</v>
      </c>
    </row>
    <row r="6436">
      <c r="H6436" s="8" t="s">
        <v>364</v>
      </c>
    </row>
    <row r="6437">
      <c r="H6437" s="8" t="s">
        <v>364</v>
      </c>
    </row>
    <row r="6438">
      <c r="H6438" s="8" t="s">
        <v>364</v>
      </c>
    </row>
    <row r="6439">
      <c r="H6439" s="8" t="s">
        <v>364</v>
      </c>
    </row>
    <row r="6440">
      <c r="H6440" s="8" t="s">
        <v>364</v>
      </c>
    </row>
    <row r="6441">
      <c r="H6441" s="8" t="s">
        <v>364</v>
      </c>
    </row>
    <row r="6442">
      <c r="H6442" s="8" t="s">
        <v>364</v>
      </c>
    </row>
    <row r="6443">
      <c r="H6443" s="8" t="s">
        <v>364</v>
      </c>
    </row>
    <row r="6444">
      <c r="H6444" s="8" t="s">
        <v>364</v>
      </c>
    </row>
    <row r="6445">
      <c r="H6445" s="8" t="s">
        <v>364</v>
      </c>
    </row>
    <row r="6446">
      <c r="H6446" s="8" t="s">
        <v>364</v>
      </c>
    </row>
    <row r="6447">
      <c r="H6447" s="8" t="s">
        <v>364</v>
      </c>
    </row>
    <row r="6448">
      <c r="H6448" s="8" t="s">
        <v>364</v>
      </c>
    </row>
    <row r="6449">
      <c r="H6449" s="8" t="s">
        <v>364</v>
      </c>
    </row>
    <row r="6450">
      <c r="H6450" s="8" t="s">
        <v>364</v>
      </c>
    </row>
    <row r="6451">
      <c r="H6451" s="8" t="s">
        <v>364</v>
      </c>
    </row>
    <row r="6452">
      <c r="H6452" s="8" t="s">
        <v>364</v>
      </c>
    </row>
    <row r="6453">
      <c r="H6453" s="8" t="s">
        <v>364</v>
      </c>
    </row>
    <row r="6454">
      <c r="H6454" s="8" t="s">
        <v>364</v>
      </c>
    </row>
    <row r="6455">
      <c r="H6455" s="8" t="s">
        <v>364</v>
      </c>
    </row>
    <row r="6456">
      <c r="H6456" s="8" t="s">
        <v>364</v>
      </c>
    </row>
    <row r="6457">
      <c r="H6457" s="8" t="s">
        <v>364</v>
      </c>
    </row>
    <row r="6458">
      <c r="H6458" s="8" t="s">
        <v>364</v>
      </c>
    </row>
    <row r="6459">
      <c r="H6459" s="8" t="s">
        <v>364</v>
      </c>
    </row>
    <row r="6460">
      <c r="H6460" s="8" t="s">
        <v>364</v>
      </c>
    </row>
    <row r="6461">
      <c r="H6461" s="8" t="s">
        <v>364</v>
      </c>
    </row>
    <row r="6462">
      <c r="H6462" s="8" t="s">
        <v>364</v>
      </c>
    </row>
    <row r="6463">
      <c r="H6463" s="8" t="s">
        <v>364</v>
      </c>
    </row>
    <row r="6464">
      <c r="H6464" s="8" t="s">
        <v>364</v>
      </c>
    </row>
    <row r="6465">
      <c r="H6465" s="8" t="s">
        <v>364</v>
      </c>
    </row>
    <row r="6466">
      <c r="H6466" s="8" t="s">
        <v>364</v>
      </c>
    </row>
    <row r="6467">
      <c r="H6467" s="8" t="s">
        <v>364</v>
      </c>
    </row>
    <row r="6468">
      <c r="H6468" s="8" t="s">
        <v>364</v>
      </c>
    </row>
    <row r="6469">
      <c r="H6469" s="8" t="s">
        <v>364</v>
      </c>
    </row>
    <row r="6470">
      <c r="H6470" s="8" t="s">
        <v>364</v>
      </c>
    </row>
    <row r="6471">
      <c r="H6471" s="8" t="s">
        <v>364</v>
      </c>
    </row>
    <row r="6472">
      <c r="H6472" s="8" t="s">
        <v>364</v>
      </c>
    </row>
    <row r="6473">
      <c r="H6473" s="8" t="s">
        <v>364</v>
      </c>
    </row>
    <row r="6474">
      <c r="H6474" s="8" t="s">
        <v>364</v>
      </c>
    </row>
    <row r="6475">
      <c r="H6475" s="8" t="s">
        <v>364</v>
      </c>
    </row>
    <row r="6476">
      <c r="H6476" s="8" t="s">
        <v>364</v>
      </c>
    </row>
    <row r="6477">
      <c r="H6477" s="8" t="s">
        <v>364</v>
      </c>
    </row>
    <row r="6478">
      <c r="H6478" s="8" t="s">
        <v>364</v>
      </c>
    </row>
    <row r="6479">
      <c r="H6479" s="8" t="s">
        <v>364</v>
      </c>
    </row>
    <row r="6480">
      <c r="H6480" s="8" t="s">
        <v>364</v>
      </c>
    </row>
    <row r="6481">
      <c r="H6481" s="8" t="s">
        <v>364</v>
      </c>
    </row>
    <row r="6482">
      <c r="H6482" s="8" t="s">
        <v>364</v>
      </c>
    </row>
    <row r="6483">
      <c r="H6483" s="8" t="s">
        <v>364</v>
      </c>
    </row>
    <row r="6484">
      <c r="H6484" s="8" t="s">
        <v>364</v>
      </c>
    </row>
    <row r="6485">
      <c r="H6485" s="8" t="s">
        <v>364</v>
      </c>
    </row>
    <row r="6486">
      <c r="H6486" s="8" t="s">
        <v>364</v>
      </c>
    </row>
    <row r="6487">
      <c r="H6487" s="8" t="s">
        <v>364</v>
      </c>
    </row>
    <row r="6488">
      <c r="H6488" s="8" t="s">
        <v>364</v>
      </c>
    </row>
    <row r="6489">
      <c r="H6489" s="8" t="s">
        <v>364</v>
      </c>
    </row>
    <row r="6490">
      <c r="H6490" s="8" t="s">
        <v>364</v>
      </c>
    </row>
    <row r="6491">
      <c r="H6491" s="8" t="s">
        <v>364</v>
      </c>
    </row>
    <row r="6492">
      <c r="H6492" s="8" t="s">
        <v>364</v>
      </c>
    </row>
    <row r="6493">
      <c r="H6493" s="8" t="s">
        <v>364</v>
      </c>
    </row>
    <row r="6494">
      <c r="H6494" s="8" t="s">
        <v>364</v>
      </c>
    </row>
    <row r="6495">
      <c r="H6495" s="8" t="s">
        <v>364</v>
      </c>
    </row>
    <row r="6496">
      <c r="H6496" s="8" t="s">
        <v>364</v>
      </c>
    </row>
    <row r="6497">
      <c r="H6497" s="8" t="s">
        <v>364</v>
      </c>
    </row>
    <row r="6498">
      <c r="H6498" s="8" t="s">
        <v>364</v>
      </c>
    </row>
    <row r="6499">
      <c r="H6499" s="8" t="s">
        <v>364</v>
      </c>
    </row>
    <row r="6500">
      <c r="H6500" s="8" t="s">
        <v>364</v>
      </c>
    </row>
    <row r="6501">
      <c r="H6501" s="8" t="s">
        <v>364</v>
      </c>
    </row>
    <row r="6502">
      <c r="H6502" s="8" t="s">
        <v>364</v>
      </c>
    </row>
    <row r="6503">
      <c r="H6503" s="8" t="s">
        <v>364</v>
      </c>
    </row>
    <row r="6504">
      <c r="H6504" s="8" t="s">
        <v>364</v>
      </c>
    </row>
    <row r="6505">
      <c r="H6505" s="8" t="s">
        <v>364</v>
      </c>
    </row>
    <row r="6506">
      <c r="H6506" s="8" t="s">
        <v>364</v>
      </c>
    </row>
    <row r="6507">
      <c r="H6507" s="8" t="s">
        <v>364</v>
      </c>
    </row>
    <row r="6508">
      <c r="H6508" s="8" t="s">
        <v>364</v>
      </c>
    </row>
    <row r="6509">
      <c r="H6509" s="8" t="s">
        <v>364</v>
      </c>
    </row>
    <row r="6510">
      <c r="H6510" s="8" t="s">
        <v>364</v>
      </c>
    </row>
    <row r="6511">
      <c r="H6511" s="8" t="s">
        <v>364</v>
      </c>
    </row>
    <row r="6512">
      <c r="H6512" s="8" t="s">
        <v>364</v>
      </c>
    </row>
    <row r="6513">
      <c r="H6513" s="8" t="s">
        <v>364</v>
      </c>
    </row>
    <row r="6514">
      <c r="H6514" s="8" t="s">
        <v>364</v>
      </c>
    </row>
    <row r="6515">
      <c r="H6515" s="8" t="s">
        <v>364</v>
      </c>
    </row>
    <row r="6516">
      <c r="H6516" s="8" t="s">
        <v>364</v>
      </c>
    </row>
    <row r="6517">
      <c r="H6517" s="8" t="s">
        <v>364</v>
      </c>
    </row>
    <row r="6518">
      <c r="H6518" s="8" t="s">
        <v>364</v>
      </c>
    </row>
    <row r="6519">
      <c r="H6519" s="8" t="s">
        <v>364</v>
      </c>
    </row>
    <row r="6520">
      <c r="H6520" s="8" t="s">
        <v>364</v>
      </c>
    </row>
    <row r="6521">
      <c r="H6521" s="8" t="s">
        <v>364</v>
      </c>
    </row>
    <row r="6522">
      <c r="H6522" s="8" t="s">
        <v>364</v>
      </c>
    </row>
    <row r="6523">
      <c r="H6523" s="8" t="s">
        <v>364</v>
      </c>
    </row>
    <row r="6524">
      <c r="H6524" s="8" t="s">
        <v>364</v>
      </c>
    </row>
    <row r="6525">
      <c r="H6525" s="8" t="s">
        <v>364</v>
      </c>
    </row>
    <row r="6526">
      <c r="H6526" s="8" t="s">
        <v>364</v>
      </c>
    </row>
    <row r="6527">
      <c r="H6527" s="8" t="s">
        <v>364</v>
      </c>
    </row>
    <row r="6528">
      <c r="H6528" s="8" t="s">
        <v>364</v>
      </c>
    </row>
    <row r="6529">
      <c r="H6529" s="8" t="s">
        <v>364</v>
      </c>
    </row>
    <row r="6530">
      <c r="H6530" s="8" t="s">
        <v>364</v>
      </c>
    </row>
    <row r="6531">
      <c r="H6531" s="8" t="s">
        <v>364</v>
      </c>
    </row>
    <row r="6532">
      <c r="H6532" s="8" t="s">
        <v>364</v>
      </c>
    </row>
    <row r="6533">
      <c r="H6533" s="8" t="s">
        <v>364</v>
      </c>
    </row>
    <row r="6534">
      <c r="H6534" s="8" t="s">
        <v>364</v>
      </c>
    </row>
    <row r="6535">
      <c r="H6535" s="8" t="s">
        <v>364</v>
      </c>
    </row>
    <row r="6536">
      <c r="H6536" s="8" t="s">
        <v>364</v>
      </c>
    </row>
    <row r="6537">
      <c r="H6537" s="8" t="s">
        <v>364</v>
      </c>
    </row>
    <row r="6538">
      <c r="H6538" s="8" t="s">
        <v>364</v>
      </c>
    </row>
    <row r="6539">
      <c r="H6539" s="8" t="s">
        <v>364</v>
      </c>
    </row>
    <row r="6540">
      <c r="H6540" s="8" t="s">
        <v>364</v>
      </c>
    </row>
    <row r="6541">
      <c r="H6541" s="8" t="s">
        <v>364</v>
      </c>
    </row>
    <row r="6542">
      <c r="H6542" s="8" t="s">
        <v>364</v>
      </c>
    </row>
    <row r="6543">
      <c r="H6543" s="8" t="s">
        <v>364</v>
      </c>
    </row>
    <row r="6544">
      <c r="H6544" s="8" t="s">
        <v>364</v>
      </c>
    </row>
    <row r="6545">
      <c r="H6545" s="8" t="s">
        <v>364</v>
      </c>
    </row>
    <row r="6546">
      <c r="H6546" s="8" t="s">
        <v>364</v>
      </c>
    </row>
    <row r="6547">
      <c r="H6547" s="8" t="s">
        <v>364</v>
      </c>
    </row>
    <row r="6548">
      <c r="H6548" s="8" t="s">
        <v>364</v>
      </c>
    </row>
    <row r="6549">
      <c r="H6549" s="8" t="s">
        <v>364</v>
      </c>
    </row>
    <row r="6550">
      <c r="H6550" s="8" t="s">
        <v>364</v>
      </c>
    </row>
    <row r="6551">
      <c r="H6551" s="8" t="s">
        <v>364</v>
      </c>
    </row>
    <row r="6552">
      <c r="H6552" s="8" t="s">
        <v>364</v>
      </c>
    </row>
    <row r="6553">
      <c r="H6553" s="8" t="s">
        <v>364</v>
      </c>
    </row>
    <row r="6554">
      <c r="H6554" s="8" t="s">
        <v>364</v>
      </c>
    </row>
    <row r="6555">
      <c r="H6555" s="8" t="s">
        <v>364</v>
      </c>
    </row>
    <row r="6556">
      <c r="H6556" s="8" t="s">
        <v>364</v>
      </c>
    </row>
    <row r="6557">
      <c r="H6557" s="8" t="s">
        <v>364</v>
      </c>
    </row>
    <row r="6558">
      <c r="H6558" s="8" t="s">
        <v>364</v>
      </c>
    </row>
    <row r="6559">
      <c r="H6559" s="8" t="s">
        <v>364</v>
      </c>
    </row>
    <row r="6560">
      <c r="H6560" s="8" t="s">
        <v>364</v>
      </c>
    </row>
    <row r="6561">
      <c r="H6561" s="8" t="s">
        <v>364</v>
      </c>
    </row>
    <row r="6562">
      <c r="H6562" s="8" t="s">
        <v>364</v>
      </c>
    </row>
    <row r="6563">
      <c r="H6563" s="8" t="s">
        <v>364</v>
      </c>
    </row>
    <row r="6564">
      <c r="H6564" s="8" t="s">
        <v>364</v>
      </c>
    </row>
    <row r="6565">
      <c r="H6565" s="8" t="s">
        <v>364</v>
      </c>
    </row>
    <row r="6566">
      <c r="H6566" s="8" t="s">
        <v>364</v>
      </c>
    </row>
    <row r="6567">
      <c r="H6567" s="8" t="s">
        <v>364</v>
      </c>
    </row>
    <row r="6568">
      <c r="H6568" s="8" t="s">
        <v>364</v>
      </c>
    </row>
    <row r="6569">
      <c r="H6569" s="8" t="s">
        <v>364</v>
      </c>
    </row>
    <row r="6570">
      <c r="H6570" s="8" t="s">
        <v>364</v>
      </c>
    </row>
    <row r="6571">
      <c r="H6571" s="8" t="s">
        <v>364</v>
      </c>
    </row>
    <row r="6572">
      <c r="H6572" s="8" t="s">
        <v>364</v>
      </c>
    </row>
    <row r="6573">
      <c r="H6573" s="8" t="s">
        <v>364</v>
      </c>
    </row>
    <row r="6574">
      <c r="H6574" s="8" t="s">
        <v>364</v>
      </c>
    </row>
    <row r="6575">
      <c r="H6575" s="8" t="s">
        <v>364</v>
      </c>
    </row>
    <row r="6576">
      <c r="H6576" s="8" t="s">
        <v>364</v>
      </c>
    </row>
    <row r="6577">
      <c r="H6577" s="8" t="s">
        <v>364</v>
      </c>
    </row>
    <row r="6578">
      <c r="H6578" s="8" t="s">
        <v>364</v>
      </c>
    </row>
    <row r="6579">
      <c r="H6579" s="8" t="s">
        <v>364</v>
      </c>
    </row>
    <row r="6580">
      <c r="H6580" s="8" t="s">
        <v>364</v>
      </c>
    </row>
    <row r="6581">
      <c r="H6581" s="8" t="s">
        <v>364</v>
      </c>
    </row>
    <row r="6582">
      <c r="H6582" s="8" t="s">
        <v>364</v>
      </c>
    </row>
    <row r="6583">
      <c r="H6583" s="8" t="s">
        <v>364</v>
      </c>
    </row>
    <row r="6584">
      <c r="H6584" s="8" t="s">
        <v>364</v>
      </c>
    </row>
    <row r="6585">
      <c r="H6585" s="8" t="s">
        <v>364</v>
      </c>
    </row>
    <row r="6586">
      <c r="H6586" s="8" t="s">
        <v>364</v>
      </c>
    </row>
    <row r="6587">
      <c r="H6587" s="8" t="s">
        <v>364</v>
      </c>
    </row>
    <row r="6588">
      <c r="H6588" s="8" t="s">
        <v>364</v>
      </c>
    </row>
    <row r="6589">
      <c r="H6589" s="8" t="s">
        <v>364</v>
      </c>
    </row>
    <row r="6590">
      <c r="H6590" s="8" t="s">
        <v>364</v>
      </c>
    </row>
    <row r="6591">
      <c r="H6591" s="8" t="s">
        <v>364</v>
      </c>
    </row>
    <row r="6592">
      <c r="H6592" s="8" t="s">
        <v>364</v>
      </c>
    </row>
    <row r="6593">
      <c r="H6593" s="8" t="s">
        <v>364</v>
      </c>
    </row>
    <row r="6594">
      <c r="H6594" s="8" t="s">
        <v>364</v>
      </c>
    </row>
    <row r="6595">
      <c r="H6595" s="8" t="s">
        <v>364</v>
      </c>
    </row>
    <row r="6596">
      <c r="H6596" s="8" t="s">
        <v>364</v>
      </c>
    </row>
    <row r="6597">
      <c r="H6597" s="8" t="s">
        <v>364</v>
      </c>
    </row>
    <row r="6598">
      <c r="H6598" s="8" t="s">
        <v>364</v>
      </c>
    </row>
    <row r="6599">
      <c r="H6599" s="8" t="s">
        <v>364</v>
      </c>
    </row>
    <row r="6600">
      <c r="H6600" s="8" t="s">
        <v>364</v>
      </c>
    </row>
    <row r="6601">
      <c r="H6601" s="8" t="s">
        <v>364</v>
      </c>
    </row>
    <row r="6602">
      <c r="H6602" s="8" t="s">
        <v>364</v>
      </c>
    </row>
    <row r="6603">
      <c r="H6603" s="8" t="s">
        <v>364</v>
      </c>
    </row>
    <row r="6604">
      <c r="H6604" s="8" t="s">
        <v>364</v>
      </c>
    </row>
    <row r="6605">
      <c r="H6605" s="8" t="s">
        <v>364</v>
      </c>
    </row>
    <row r="6606">
      <c r="H6606" s="8" t="s">
        <v>364</v>
      </c>
    </row>
    <row r="6607">
      <c r="H6607" s="8" t="s">
        <v>364</v>
      </c>
    </row>
    <row r="6608">
      <c r="H6608" s="8" t="s">
        <v>364</v>
      </c>
    </row>
    <row r="6609">
      <c r="H6609" s="8" t="s">
        <v>364</v>
      </c>
    </row>
    <row r="6610">
      <c r="H6610" s="8" t="s">
        <v>364</v>
      </c>
    </row>
    <row r="6611">
      <c r="H6611" s="8" t="s">
        <v>364</v>
      </c>
    </row>
    <row r="6612">
      <c r="H6612" s="8" t="s">
        <v>364</v>
      </c>
    </row>
    <row r="6613">
      <c r="H6613" s="8" t="s">
        <v>364</v>
      </c>
    </row>
    <row r="6614">
      <c r="H6614" s="8" t="s">
        <v>364</v>
      </c>
    </row>
    <row r="6615">
      <c r="H6615" s="8" t="s">
        <v>364</v>
      </c>
    </row>
    <row r="6616">
      <c r="H6616" s="8" t="s">
        <v>364</v>
      </c>
    </row>
    <row r="6617">
      <c r="H6617" s="8" t="s">
        <v>364</v>
      </c>
    </row>
    <row r="6618">
      <c r="H6618" s="8" t="s">
        <v>364</v>
      </c>
    </row>
    <row r="6619">
      <c r="H6619" s="8" t="s">
        <v>364</v>
      </c>
    </row>
    <row r="6620">
      <c r="H6620" s="8" t="s">
        <v>364</v>
      </c>
    </row>
    <row r="6621">
      <c r="H6621" s="8" t="s">
        <v>364</v>
      </c>
    </row>
    <row r="6622">
      <c r="H6622" s="8" t="s">
        <v>364</v>
      </c>
    </row>
    <row r="6623">
      <c r="H6623" s="8" t="s">
        <v>364</v>
      </c>
    </row>
    <row r="6624">
      <c r="H6624" s="8" t="s">
        <v>364</v>
      </c>
    </row>
    <row r="6625">
      <c r="H6625" s="8" t="s">
        <v>364</v>
      </c>
    </row>
    <row r="6626">
      <c r="H6626" s="8" t="s">
        <v>364</v>
      </c>
    </row>
    <row r="6627">
      <c r="H6627" s="8" t="s">
        <v>364</v>
      </c>
    </row>
    <row r="6628">
      <c r="H6628" s="8" t="s">
        <v>364</v>
      </c>
    </row>
    <row r="6629">
      <c r="H6629" s="8" t="s">
        <v>364</v>
      </c>
    </row>
    <row r="6630">
      <c r="H6630" s="8" t="s">
        <v>364</v>
      </c>
    </row>
    <row r="6631">
      <c r="H6631" s="8" t="s">
        <v>364</v>
      </c>
    </row>
    <row r="6632">
      <c r="H6632" s="8" t="s">
        <v>364</v>
      </c>
    </row>
    <row r="6633">
      <c r="H6633" s="8" t="s">
        <v>364</v>
      </c>
    </row>
    <row r="6634">
      <c r="H6634" s="8" t="s">
        <v>364</v>
      </c>
    </row>
    <row r="6635">
      <c r="H6635" s="8" t="s">
        <v>364</v>
      </c>
    </row>
    <row r="6636">
      <c r="H6636" s="8" t="s">
        <v>364</v>
      </c>
    </row>
    <row r="6637">
      <c r="H6637" s="8" t="s">
        <v>364</v>
      </c>
    </row>
    <row r="6638">
      <c r="H6638" s="8" t="s">
        <v>364</v>
      </c>
    </row>
    <row r="6639">
      <c r="H6639" s="8" t="s">
        <v>364</v>
      </c>
    </row>
    <row r="6640">
      <c r="H6640" s="8" t="s">
        <v>364</v>
      </c>
    </row>
    <row r="6641">
      <c r="H6641" s="8" t="s">
        <v>364</v>
      </c>
    </row>
    <row r="6642">
      <c r="H6642" s="8" t="s">
        <v>364</v>
      </c>
    </row>
    <row r="6643">
      <c r="H6643" s="8" t="s">
        <v>364</v>
      </c>
    </row>
    <row r="6644">
      <c r="H6644" s="8" t="s">
        <v>364</v>
      </c>
    </row>
    <row r="6645">
      <c r="H6645" s="8" t="s">
        <v>364</v>
      </c>
    </row>
    <row r="6646">
      <c r="H6646" s="8" t="s">
        <v>364</v>
      </c>
    </row>
    <row r="6647">
      <c r="H6647" s="8" t="s">
        <v>364</v>
      </c>
    </row>
    <row r="6648">
      <c r="H6648" s="8" t="s">
        <v>364</v>
      </c>
    </row>
    <row r="6649">
      <c r="H6649" s="8" t="s">
        <v>364</v>
      </c>
    </row>
    <row r="6650">
      <c r="H6650" s="8" t="s">
        <v>364</v>
      </c>
    </row>
    <row r="6651">
      <c r="H6651" s="8" t="s">
        <v>364</v>
      </c>
    </row>
    <row r="6652">
      <c r="H6652" s="8" t="s">
        <v>364</v>
      </c>
    </row>
    <row r="6653">
      <c r="H6653" s="8" t="s">
        <v>364</v>
      </c>
    </row>
    <row r="6654">
      <c r="H6654" s="8" t="s">
        <v>364</v>
      </c>
    </row>
    <row r="6655">
      <c r="H6655" s="8" t="s">
        <v>364</v>
      </c>
    </row>
    <row r="6656">
      <c r="H6656" s="8" t="s">
        <v>364</v>
      </c>
    </row>
    <row r="6657">
      <c r="H6657" s="8" t="s">
        <v>364</v>
      </c>
    </row>
    <row r="6658">
      <c r="H6658" s="8" t="s">
        <v>364</v>
      </c>
    </row>
    <row r="6659">
      <c r="H6659" s="8" t="s">
        <v>364</v>
      </c>
    </row>
    <row r="6660">
      <c r="H6660" s="8" t="s">
        <v>364</v>
      </c>
    </row>
    <row r="6661">
      <c r="H6661" s="8" t="s">
        <v>364</v>
      </c>
    </row>
    <row r="6662">
      <c r="H6662" s="8" t="s">
        <v>364</v>
      </c>
    </row>
    <row r="6663">
      <c r="H6663" s="8" t="s">
        <v>364</v>
      </c>
    </row>
    <row r="6664">
      <c r="H6664" s="8" t="s">
        <v>364</v>
      </c>
    </row>
    <row r="6665">
      <c r="H6665" s="8" t="s">
        <v>364</v>
      </c>
    </row>
    <row r="6666">
      <c r="H6666" s="8" t="s">
        <v>364</v>
      </c>
    </row>
    <row r="6667">
      <c r="H6667" s="8" t="s">
        <v>364</v>
      </c>
    </row>
    <row r="6668">
      <c r="H6668" s="8" t="s">
        <v>364</v>
      </c>
    </row>
    <row r="6669">
      <c r="H6669" s="8" t="s">
        <v>364</v>
      </c>
    </row>
    <row r="6670">
      <c r="H6670" s="8" t="s">
        <v>364</v>
      </c>
    </row>
    <row r="6671">
      <c r="H6671" s="8" t="s">
        <v>364</v>
      </c>
    </row>
    <row r="6672">
      <c r="H6672" s="8" t="s">
        <v>364</v>
      </c>
    </row>
    <row r="6673">
      <c r="H6673" s="8" t="s">
        <v>364</v>
      </c>
    </row>
    <row r="6674">
      <c r="H6674" s="8" t="s">
        <v>364</v>
      </c>
    </row>
    <row r="6675">
      <c r="H6675" s="8" t="s">
        <v>364</v>
      </c>
    </row>
    <row r="6676">
      <c r="H6676" s="8" t="s">
        <v>364</v>
      </c>
    </row>
    <row r="6677">
      <c r="H6677" s="8" t="s">
        <v>364</v>
      </c>
    </row>
    <row r="6678">
      <c r="H6678" s="8" t="s">
        <v>364</v>
      </c>
    </row>
    <row r="6679">
      <c r="H6679" s="8" t="s">
        <v>364</v>
      </c>
    </row>
    <row r="6680">
      <c r="H6680" s="8" t="s">
        <v>364</v>
      </c>
    </row>
    <row r="6681">
      <c r="H6681" s="8" t="s">
        <v>364</v>
      </c>
    </row>
    <row r="6682">
      <c r="H6682" s="8" t="s">
        <v>364</v>
      </c>
    </row>
    <row r="6683">
      <c r="H6683" s="8" t="s">
        <v>364</v>
      </c>
    </row>
    <row r="6684">
      <c r="H6684" s="8" t="s">
        <v>364</v>
      </c>
    </row>
    <row r="6685">
      <c r="H6685" s="8" t="s">
        <v>364</v>
      </c>
    </row>
    <row r="6686">
      <c r="H6686" s="8" t="s">
        <v>364</v>
      </c>
    </row>
    <row r="6687">
      <c r="H6687" s="8" t="s">
        <v>364</v>
      </c>
    </row>
    <row r="6688">
      <c r="H6688" s="8" t="s">
        <v>364</v>
      </c>
    </row>
    <row r="6689">
      <c r="H6689" s="8" t="s">
        <v>364</v>
      </c>
    </row>
    <row r="6690">
      <c r="H6690" s="8" t="s">
        <v>364</v>
      </c>
    </row>
    <row r="6691">
      <c r="H6691" s="8" t="s">
        <v>364</v>
      </c>
    </row>
    <row r="6692">
      <c r="H6692" s="8" t="s">
        <v>364</v>
      </c>
    </row>
    <row r="6693">
      <c r="H6693" s="8" t="s">
        <v>364</v>
      </c>
    </row>
    <row r="6694">
      <c r="H6694" s="8" t="s">
        <v>364</v>
      </c>
    </row>
    <row r="6695">
      <c r="H6695" s="8" t="s">
        <v>364</v>
      </c>
    </row>
    <row r="6696">
      <c r="H6696" s="8" t="s">
        <v>364</v>
      </c>
    </row>
    <row r="6697">
      <c r="H6697" s="8" t="s">
        <v>364</v>
      </c>
    </row>
    <row r="6698">
      <c r="H6698" s="8" t="s">
        <v>364</v>
      </c>
    </row>
    <row r="6699">
      <c r="H6699" s="8" t="s">
        <v>364</v>
      </c>
    </row>
    <row r="6700">
      <c r="H6700" s="8" t="s">
        <v>364</v>
      </c>
    </row>
    <row r="6701">
      <c r="H6701" s="8" t="s">
        <v>364</v>
      </c>
    </row>
    <row r="6702">
      <c r="H6702" s="8" t="s">
        <v>364</v>
      </c>
    </row>
    <row r="6703">
      <c r="H6703" s="8" t="s">
        <v>364</v>
      </c>
    </row>
    <row r="6704">
      <c r="H6704" s="8" t="s">
        <v>364</v>
      </c>
    </row>
    <row r="6705">
      <c r="H6705" s="8" t="s">
        <v>364</v>
      </c>
    </row>
    <row r="6706">
      <c r="H6706" s="8" t="s">
        <v>364</v>
      </c>
    </row>
    <row r="6707">
      <c r="H6707" s="8" t="s">
        <v>364</v>
      </c>
    </row>
    <row r="6708">
      <c r="H6708" s="8" t="s">
        <v>364</v>
      </c>
    </row>
    <row r="6709">
      <c r="H6709" s="8" t="s">
        <v>364</v>
      </c>
    </row>
    <row r="6710">
      <c r="H6710" s="8" t="s">
        <v>364</v>
      </c>
    </row>
    <row r="6711">
      <c r="H6711" s="8" t="s">
        <v>364</v>
      </c>
    </row>
    <row r="6712">
      <c r="H6712" s="8" t="s">
        <v>364</v>
      </c>
    </row>
    <row r="6713">
      <c r="H6713" s="8" t="s">
        <v>364</v>
      </c>
    </row>
    <row r="6714">
      <c r="H6714" s="8" t="s">
        <v>364</v>
      </c>
    </row>
    <row r="6715">
      <c r="H6715" s="8" t="s">
        <v>364</v>
      </c>
    </row>
    <row r="6716">
      <c r="H6716" s="8" t="s">
        <v>364</v>
      </c>
    </row>
    <row r="6717">
      <c r="H6717" s="8" t="s">
        <v>364</v>
      </c>
    </row>
    <row r="6718">
      <c r="H6718" s="8" t="s">
        <v>364</v>
      </c>
    </row>
    <row r="6719">
      <c r="H6719" s="8" t="s">
        <v>364</v>
      </c>
    </row>
    <row r="6720">
      <c r="H6720" s="8" t="s">
        <v>364</v>
      </c>
    </row>
    <row r="6721">
      <c r="H6721" s="8" t="s">
        <v>364</v>
      </c>
    </row>
    <row r="6722">
      <c r="H6722" s="8" t="s">
        <v>364</v>
      </c>
    </row>
    <row r="6723">
      <c r="H6723" s="8" t="s">
        <v>364</v>
      </c>
    </row>
    <row r="6724">
      <c r="H6724" s="8" t="s">
        <v>364</v>
      </c>
    </row>
    <row r="6725">
      <c r="H6725" s="8" t="s">
        <v>364</v>
      </c>
    </row>
    <row r="6726">
      <c r="H6726" s="8" t="s">
        <v>364</v>
      </c>
    </row>
    <row r="6727">
      <c r="H6727" s="8" t="s">
        <v>364</v>
      </c>
    </row>
    <row r="6728">
      <c r="H6728" s="8" t="s">
        <v>364</v>
      </c>
    </row>
    <row r="6729">
      <c r="H6729" s="8" t="s">
        <v>364</v>
      </c>
    </row>
    <row r="6730">
      <c r="H6730" s="8" t="s">
        <v>364</v>
      </c>
    </row>
    <row r="6731">
      <c r="H6731" s="8" t="s">
        <v>364</v>
      </c>
    </row>
    <row r="6732">
      <c r="H6732" s="8" t="s">
        <v>364</v>
      </c>
    </row>
    <row r="6733">
      <c r="H6733" s="8" t="s">
        <v>364</v>
      </c>
    </row>
    <row r="6734">
      <c r="H6734" s="8" t="s">
        <v>364</v>
      </c>
    </row>
    <row r="6735">
      <c r="H6735" s="8" t="s">
        <v>364</v>
      </c>
    </row>
    <row r="6736">
      <c r="H6736" s="8" t="s">
        <v>364</v>
      </c>
    </row>
    <row r="6737">
      <c r="H6737" s="8" t="s">
        <v>364</v>
      </c>
    </row>
    <row r="6738">
      <c r="H6738" s="8" t="s">
        <v>364</v>
      </c>
    </row>
    <row r="6739">
      <c r="H6739" s="8" t="s">
        <v>364</v>
      </c>
    </row>
    <row r="6740">
      <c r="H6740" s="8" t="s">
        <v>364</v>
      </c>
    </row>
    <row r="6741">
      <c r="H6741" s="8" t="s">
        <v>364</v>
      </c>
    </row>
    <row r="6742">
      <c r="H6742" s="8" t="s">
        <v>364</v>
      </c>
    </row>
    <row r="6743">
      <c r="H6743" s="8" t="s">
        <v>364</v>
      </c>
    </row>
    <row r="6744">
      <c r="H6744" s="8" t="s">
        <v>364</v>
      </c>
    </row>
    <row r="6745">
      <c r="H6745" s="8" t="s">
        <v>364</v>
      </c>
    </row>
    <row r="6746">
      <c r="H6746" s="8" t="s">
        <v>364</v>
      </c>
    </row>
    <row r="6747">
      <c r="H6747" s="8" t="s">
        <v>364</v>
      </c>
    </row>
    <row r="6748">
      <c r="H6748" s="8" t="s">
        <v>364</v>
      </c>
    </row>
    <row r="6749">
      <c r="H6749" s="8" t="s">
        <v>364</v>
      </c>
    </row>
    <row r="6750">
      <c r="H6750" s="8" t="s">
        <v>364</v>
      </c>
    </row>
    <row r="6751">
      <c r="H6751" s="8" t="s">
        <v>364</v>
      </c>
    </row>
    <row r="6752">
      <c r="H6752" s="8" t="s">
        <v>364</v>
      </c>
    </row>
    <row r="6753">
      <c r="H6753" s="8" t="s">
        <v>364</v>
      </c>
    </row>
    <row r="6754">
      <c r="H6754" s="8" t="s">
        <v>364</v>
      </c>
    </row>
    <row r="6755">
      <c r="H6755" s="8" t="s">
        <v>364</v>
      </c>
    </row>
    <row r="6756">
      <c r="H6756" s="8" t="s">
        <v>364</v>
      </c>
    </row>
    <row r="6757">
      <c r="H6757" s="8" t="s">
        <v>364</v>
      </c>
    </row>
    <row r="6758">
      <c r="H6758" s="8" t="s">
        <v>364</v>
      </c>
    </row>
    <row r="6759">
      <c r="H6759" s="8" t="s">
        <v>364</v>
      </c>
    </row>
    <row r="6760">
      <c r="H6760" s="8" t="s">
        <v>364</v>
      </c>
    </row>
    <row r="6761">
      <c r="H6761" s="8" t="s">
        <v>364</v>
      </c>
    </row>
    <row r="6762">
      <c r="H6762" s="8" t="s">
        <v>364</v>
      </c>
    </row>
    <row r="6763">
      <c r="H6763" s="8" t="s">
        <v>364</v>
      </c>
    </row>
    <row r="6764">
      <c r="H6764" s="8" t="s">
        <v>364</v>
      </c>
    </row>
    <row r="6765">
      <c r="H6765" s="8" t="s">
        <v>364</v>
      </c>
    </row>
    <row r="6766">
      <c r="H6766" s="8" t="s">
        <v>364</v>
      </c>
    </row>
    <row r="6767">
      <c r="H6767" s="8" t="s">
        <v>364</v>
      </c>
    </row>
    <row r="6768">
      <c r="H6768" s="8" t="s">
        <v>364</v>
      </c>
    </row>
    <row r="6769">
      <c r="H6769" s="8" t="s">
        <v>364</v>
      </c>
    </row>
    <row r="6770">
      <c r="H6770" s="8" t="s">
        <v>364</v>
      </c>
    </row>
    <row r="6771">
      <c r="H6771" s="8" t="s">
        <v>364</v>
      </c>
    </row>
    <row r="6772">
      <c r="H6772" s="8" t="s">
        <v>364</v>
      </c>
    </row>
    <row r="6773">
      <c r="H6773" s="8" t="s">
        <v>364</v>
      </c>
    </row>
    <row r="6774">
      <c r="H6774" s="8" t="s">
        <v>364</v>
      </c>
    </row>
    <row r="6775">
      <c r="H6775" s="8" t="s">
        <v>364</v>
      </c>
    </row>
    <row r="6776">
      <c r="H6776" s="8" t="s">
        <v>364</v>
      </c>
    </row>
    <row r="6777">
      <c r="H6777" s="8" t="s">
        <v>364</v>
      </c>
    </row>
    <row r="6778">
      <c r="H6778" s="8" t="s">
        <v>364</v>
      </c>
    </row>
    <row r="6779">
      <c r="H6779" s="8" t="s">
        <v>364</v>
      </c>
    </row>
    <row r="6780">
      <c r="H6780" s="8" t="s">
        <v>364</v>
      </c>
    </row>
    <row r="6781">
      <c r="H6781" s="8" t="s">
        <v>364</v>
      </c>
    </row>
    <row r="6782">
      <c r="H6782" s="8" t="s">
        <v>364</v>
      </c>
    </row>
    <row r="6783">
      <c r="H6783" s="8" t="s">
        <v>364</v>
      </c>
    </row>
    <row r="6784">
      <c r="H6784" s="8" t="s">
        <v>364</v>
      </c>
    </row>
    <row r="6785">
      <c r="H6785" s="8" t="s">
        <v>364</v>
      </c>
    </row>
    <row r="6786">
      <c r="H6786" s="8" t="s">
        <v>364</v>
      </c>
    </row>
    <row r="6787">
      <c r="H6787" s="8" t="s">
        <v>364</v>
      </c>
    </row>
    <row r="6788">
      <c r="H6788" s="8" t="s">
        <v>364</v>
      </c>
    </row>
    <row r="6789">
      <c r="H6789" s="8" t="s">
        <v>364</v>
      </c>
    </row>
    <row r="6790">
      <c r="H6790" s="8" t="s">
        <v>364</v>
      </c>
    </row>
    <row r="6791">
      <c r="H6791" s="8" t="s">
        <v>364</v>
      </c>
    </row>
    <row r="6792">
      <c r="H6792" s="8" t="s">
        <v>364</v>
      </c>
    </row>
    <row r="6793">
      <c r="H6793" s="8" t="s">
        <v>364</v>
      </c>
    </row>
    <row r="6794">
      <c r="H6794" s="8" t="s">
        <v>364</v>
      </c>
    </row>
    <row r="6795">
      <c r="H6795" s="8" t="s">
        <v>364</v>
      </c>
    </row>
    <row r="6796">
      <c r="H6796" s="8" t="s">
        <v>364</v>
      </c>
    </row>
    <row r="6797">
      <c r="H6797" s="8" t="s">
        <v>364</v>
      </c>
    </row>
    <row r="6798">
      <c r="H6798" s="8" t="s">
        <v>364</v>
      </c>
    </row>
    <row r="6799">
      <c r="H6799" s="8" t="s">
        <v>364</v>
      </c>
    </row>
    <row r="6800">
      <c r="H6800" s="8" t="s">
        <v>364</v>
      </c>
    </row>
    <row r="6801">
      <c r="H6801" s="8" t="s">
        <v>364</v>
      </c>
    </row>
    <row r="6802">
      <c r="H6802" s="8" t="s">
        <v>364</v>
      </c>
    </row>
    <row r="6803">
      <c r="H6803" s="8" t="s">
        <v>364</v>
      </c>
    </row>
    <row r="6804">
      <c r="H6804" s="8" t="s">
        <v>364</v>
      </c>
    </row>
    <row r="6805">
      <c r="H6805" s="8" t="s">
        <v>364</v>
      </c>
    </row>
    <row r="6806">
      <c r="H6806" s="8" t="s">
        <v>364</v>
      </c>
    </row>
    <row r="6807">
      <c r="H6807" s="8" t="s">
        <v>364</v>
      </c>
    </row>
    <row r="6808">
      <c r="H6808" s="8" t="s">
        <v>364</v>
      </c>
    </row>
    <row r="6809">
      <c r="H6809" s="8" t="s">
        <v>364</v>
      </c>
    </row>
    <row r="6810">
      <c r="H6810" s="8" t="s">
        <v>364</v>
      </c>
    </row>
    <row r="6811">
      <c r="H6811" s="8" t="s">
        <v>364</v>
      </c>
    </row>
    <row r="6812">
      <c r="H6812" s="8" t="s">
        <v>364</v>
      </c>
    </row>
    <row r="6813">
      <c r="H6813" s="8" t="s">
        <v>364</v>
      </c>
    </row>
    <row r="6814">
      <c r="H6814" s="8" t="s">
        <v>364</v>
      </c>
    </row>
    <row r="6815">
      <c r="H6815" s="8" t="s">
        <v>364</v>
      </c>
    </row>
    <row r="6816">
      <c r="H6816" s="8" t="s">
        <v>364</v>
      </c>
    </row>
    <row r="6817">
      <c r="H6817" s="8" t="s">
        <v>364</v>
      </c>
    </row>
    <row r="6818">
      <c r="H6818" s="8" t="s">
        <v>364</v>
      </c>
    </row>
    <row r="6819">
      <c r="H6819" s="8" t="s">
        <v>364</v>
      </c>
    </row>
    <row r="6820">
      <c r="H6820" s="8" t="s">
        <v>364</v>
      </c>
    </row>
    <row r="6821">
      <c r="H6821" s="8" t="s">
        <v>364</v>
      </c>
    </row>
    <row r="6822">
      <c r="H6822" s="8" t="s">
        <v>364</v>
      </c>
    </row>
    <row r="6823">
      <c r="H6823" s="8" t="s">
        <v>364</v>
      </c>
    </row>
    <row r="6824">
      <c r="H6824" s="8" t="s">
        <v>364</v>
      </c>
    </row>
    <row r="6825">
      <c r="H6825" s="8" t="s">
        <v>364</v>
      </c>
    </row>
    <row r="6826">
      <c r="H6826" s="8" t="s">
        <v>364</v>
      </c>
    </row>
    <row r="6827">
      <c r="H6827" s="8" t="s">
        <v>364</v>
      </c>
    </row>
    <row r="6828">
      <c r="H6828" s="8" t="s">
        <v>364</v>
      </c>
    </row>
    <row r="6829">
      <c r="H6829" s="8" t="s">
        <v>364</v>
      </c>
    </row>
    <row r="6830">
      <c r="H6830" s="8" t="s">
        <v>364</v>
      </c>
    </row>
    <row r="6831">
      <c r="H6831" s="8" t="s">
        <v>364</v>
      </c>
    </row>
    <row r="6832">
      <c r="H6832" s="8" t="s">
        <v>364</v>
      </c>
    </row>
    <row r="6833">
      <c r="H6833" s="8" t="s">
        <v>364</v>
      </c>
    </row>
    <row r="6834">
      <c r="H6834" s="8" t="s">
        <v>364</v>
      </c>
    </row>
    <row r="6835">
      <c r="H6835" s="8" t="s">
        <v>364</v>
      </c>
    </row>
    <row r="6836">
      <c r="H6836" s="8" t="s">
        <v>364</v>
      </c>
    </row>
    <row r="6837">
      <c r="H6837" s="8" t="s">
        <v>364</v>
      </c>
    </row>
    <row r="6838">
      <c r="H6838" s="8" t="s">
        <v>364</v>
      </c>
    </row>
    <row r="6839">
      <c r="H6839" s="8" t="s">
        <v>364</v>
      </c>
    </row>
    <row r="6840">
      <c r="H6840" s="8" t="s">
        <v>364</v>
      </c>
    </row>
    <row r="6841">
      <c r="H6841" s="8" t="s">
        <v>364</v>
      </c>
    </row>
    <row r="6842">
      <c r="H6842" s="8" t="s">
        <v>364</v>
      </c>
    </row>
    <row r="6843">
      <c r="H6843" s="8" t="s">
        <v>364</v>
      </c>
    </row>
    <row r="6844">
      <c r="H6844" s="8" t="s">
        <v>364</v>
      </c>
    </row>
    <row r="6845">
      <c r="H6845" s="8" t="s">
        <v>364</v>
      </c>
    </row>
    <row r="6846">
      <c r="H6846" s="8" t="s">
        <v>364</v>
      </c>
    </row>
    <row r="6847">
      <c r="H6847" s="8" t="s">
        <v>364</v>
      </c>
    </row>
    <row r="6848">
      <c r="H6848" s="8" t="s">
        <v>364</v>
      </c>
    </row>
    <row r="6849">
      <c r="H6849" s="8" t="s">
        <v>364</v>
      </c>
    </row>
    <row r="6850">
      <c r="H6850" s="8" t="s">
        <v>364</v>
      </c>
    </row>
    <row r="6851">
      <c r="H6851" s="8" t="s">
        <v>364</v>
      </c>
    </row>
    <row r="6852">
      <c r="H6852" s="8" t="s">
        <v>364</v>
      </c>
    </row>
    <row r="6853">
      <c r="H6853" s="8" t="s">
        <v>364</v>
      </c>
    </row>
    <row r="6854">
      <c r="H6854" s="8" t="s">
        <v>364</v>
      </c>
    </row>
    <row r="6855">
      <c r="H6855" s="8" t="s">
        <v>364</v>
      </c>
    </row>
    <row r="6856">
      <c r="H6856" s="8" t="s">
        <v>364</v>
      </c>
    </row>
    <row r="6857">
      <c r="H6857" s="8" t="s">
        <v>364</v>
      </c>
    </row>
    <row r="6858">
      <c r="H6858" s="8" t="s">
        <v>364</v>
      </c>
    </row>
    <row r="6859">
      <c r="H6859" s="8" t="s">
        <v>364</v>
      </c>
    </row>
    <row r="6860">
      <c r="H6860" s="8" t="s">
        <v>364</v>
      </c>
    </row>
    <row r="6861">
      <c r="H6861" s="8" t="s">
        <v>364</v>
      </c>
    </row>
    <row r="6862">
      <c r="H6862" s="8" t="s">
        <v>364</v>
      </c>
    </row>
    <row r="6863">
      <c r="H6863" s="8" t="s">
        <v>364</v>
      </c>
    </row>
    <row r="6864">
      <c r="H6864" s="8" t="s">
        <v>364</v>
      </c>
    </row>
    <row r="6865">
      <c r="H6865" s="8" t="s">
        <v>364</v>
      </c>
    </row>
    <row r="6866">
      <c r="H6866" s="8" t="s">
        <v>364</v>
      </c>
    </row>
    <row r="6867">
      <c r="H6867" s="8" t="s">
        <v>364</v>
      </c>
    </row>
    <row r="6868">
      <c r="H6868" s="8" t="s">
        <v>364</v>
      </c>
    </row>
    <row r="6869">
      <c r="H6869" s="8" t="s">
        <v>364</v>
      </c>
    </row>
    <row r="6870">
      <c r="H6870" s="8" t="s">
        <v>364</v>
      </c>
    </row>
    <row r="6871">
      <c r="H6871" s="8" t="s">
        <v>364</v>
      </c>
    </row>
    <row r="6872">
      <c r="H6872" s="8" t="s">
        <v>364</v>
      </c>
    </row>
    <row r="6873">
      <c r="H6873" s="8" t="s">
        <v>364</v>
      </c>
    </row>
    <row r="6874">
      <c r="H6874" s="8" t="s">
        <v>364</v>
      </c>
    </row>
    <row r="6875">
      <c r="H6875" s="8" t="s">
        <v>364</v>
      </c>
    </row>
    <row r="6876">
      <c r="H6876" s="8" t="s">
        <v>364</v>
      </c>
    </row>
    <row r="6877">
      <c r="H6877" s="8" t="s">
        <v>364</v>
      </c>
    </row>
    <row r="6878">
      <c r="H6878" s="8" t="s">
        <v>364</v>
      </c>
    </row>
    <row r="6879">
      <c r="H6879" s="8" t="s">
        <v>364</v>
      </c>
    </row>
    <row r="6880">
      <c r="H6880" s="8" t="s">
        <v>364</v>
      </c>
    </row>
    <row r="6881">
      <c r="H6881" s="8" t="s">
        <v>364</v>
      </c>
    </row>
    <row r="6882">
      <c r="H6882" s="8" t="s">
        <v>364</v>
      </c>
    </row>
    <row r="6883">
      <c r="H6883" s="8" t="s">
        <v>364</v>
      </c>
    </row>
    <row r="6884">
      <c r="H6884" s="8" t="s">
        <v>364</v>
      </c>
    </row>
    <row r="6885">
      <c r="H6885" s="8" t="s">
        <v>364</v>
      </c>
    </row>
    <row r="6886">
      <c r="H6886" s="8" t="s">
        <v>364</v>
      </c>
    </row>
    <row r="6887">
      <c r="H6887" s="8" t="s">
        <v>364</v>
      </c>
    </row>
    <row r="6888">
      <c r="H6888" s="8" t="s">
        <v>364</v>
      </c>
    </row>
    <row r="6889">
      <c r="H6889" s="8" t="s">
        <v>364</v>
      </c>
    </row>
    <row r="6890">
      <c r="H6890" s="8" t="s">
        <v>364</v>
      </c>
    </row>
    <row r="6891">
      <c r="H6891" s="8" t="s">
        <v>364</v>
      </c>
    </row>
    <row r="6892">
      <c r="H6892" s="8" t="s">
        <v>364</v>
      </c>
    </row>
    <row r="6893">
      <c r="H6893" s="8" t="s">
        <v>364</v>
      </c>
    </row>
    <row r="6894">
      <c r="H6894" s="8" t="s">
        <v>364</v>
      </c>
    </row>
    <row r="6895">
      <c r="H6895" s="8" t="s">
        <v>364</v>
      </c>
    </row>
    <row r="6896">
      <c r="H6896" s="8" t="s">
        <v>364</v>
      </c>
    </row>
    <row r="6897">
      <c r="H6897" s="8" t="s">
        <v>364</v>
      </c>
    </row>
    <row r="6898">
      <c r="H6898" s="8" t="s">
        <v>364</v>
      </c>
    </row>
    <row r="6899">
      <c r="H6899" s="8" t="s">
        <v>364</v>
      </c>
    </row>
    <row r="6900">
      <c r="H6900" s="8" t="s">
        <v>364</v>
      </c>
    </row>
    <row r="6901">
      <c r="H6901" s="8" t="s">
        <v>364</v>
      </c>
    </row>
    <row r="6902">
      <c r="H6902" s="8" t="s">
        <v>364</v>
      </c>
    </row>
    <row r="6903">
      <c r="H6903" s="8" t="s">
        <v>364</v>
      </c>
    </row>
    <row r="6904">
      <c r="H6904" s="8" t="s">
        <v>364</v>
      </c>
    </row>
    <row r="6905">
      <c r="H6905" s="8" t="s">
        <v>364</v>
      </c>
    </row>
    <row r="6906">
      <c r="H6906" s="8" t="s">
        <v>364</v>
      </c>
    </row>
    <row r="6907">
      <c r="H6907" s="8" t="s">
        <v>364</v>
      </c>
    </row>
    <row r="6908">
      <c r="H6908" s="8" t="s">
        <v>364</v>
      </c>
    </row>
    <row r="6909">
      <c r="H6909" s="8" t="s">
        <v>364</v>
      </c>
    </row>
    <row r="6910">
      <c r="H6910" s="8" t="s">
        <v>364</v>
      </c>
    </row>
    <row r="6911">
      <c r="H6911" s="8" t="s">
        <v>364</v>
      </c>
    </row>
    <row r="6912">
      <c r="H6912" s="8" t="s">
        <v>364</v>
      </c>
    </row>
    <row r="6913">
      <c r="H6913" s="8" t="s">
        <v>364</v>
      </c>
    </row>
    <row r="6914">
      <c r="H6914" s="8" t="s">
        <v>364</v>
      </c>
    </row>
    <row r="6915">
      <c r="H6915" s="8" t="s">
        <v>364</v>
      </c>
    </row>
    <row r="6916">
      <c r="H6916" s="8" t="s">
        <v>364</v>
      </c>
    </row>
    <row r="6917">
      <c r="H6917" s="8" t="s">
        <v>364</v>
      </c>
    </row>
    <row r="6918">
      <c r="H6918" s="8" t="s">
        <v>364</v>
      </c>
    </row>
    <row r="6919">
      <c r="H6919" s="8" t="s">
        <v>364</v>
      </c>
    </row>
    <row r="6920">
      <c r="H6920" s="8" t="s">
        <v>364</v>
      </c>
    </row>
    <row r="6921">
      <c r="H6921" s="8" t="s">
        <v>364</v>
      </c>
    </row>
    <row r="6922">
      <c r="H6922" s="8" t="s">
        <v>364</v>
      </c>
    </row>
    <row r="6923">
      <c r="H6923" s="8" t="s">
        <v>364</v>
      </c>
    </row>
    <row r="6924">
      <c r="H6924" s="8" t="s">
        <v>364</v>
      </c>
    </row>
    <row r="6925">
      <c r="H6925" s="8" t="s">
        <v>364</v>
      </c>
    </row>
    <row r="6926">
      <c r="H6926" s="8" t="s">
        <v>364</v>
      </c>
    </row>
    <row r="6927">
      <c r="H6927" s="8" t="s">
        <v>364</v>
      </c>
    </row>
    <row r="6928">
      <c r="H6928" s="8" t="s">
        <v>364</v>
      </c>
    </row>
    <row r="6929">
      <c r="H6929" s="8" t="s">
        <v>364</v>
      </c>
    </row>
    <row r="6930">
      <c r="H6930" s="8" t="s">
        <v>364</v>
      </c>
    </row>
    <row r="6931">
      <c r="H6931" s="8" t="s">
        <v>364</v>
      </c>
    </row>
    <row r="6932">
      <c r="H6932" s="8" t="s">
        <v>364</v>
      </c>
    </row>
    <row r="6933">
      <c r="H6933" s="8" t="s">
        <v>364</v>
      </c>
    </row>
    <row r="6934">
      <c r="H6934" s="8" t="s">
        <v>364</v>
      </c>
    </row>
    <row r="6935">
      <c r="H6935" s="8" t="s">
        <v>364</v>
      </c>
    </row>
    <row r="6936">
      <c r="H6936" s="8" t="s">
        <v>364</v>
      </c>
    </row>
    <row r="6937">
      <c r="H6937" s="8" t="s">
        <v>364</v>
      </c>
    </row>
    <row r="6938">
      <c r="H6938" s="8" t="s">
        <v>364</v>
      </c>
    </row>
    <row r="6939">
      <c r="H6939" s="8" t="s">
        <v>364</v>
      </c>
    </row>
    <row r="6940">
      <c r="H6940" s="8" t="s">
        <v>364</v>
      </c>
    </row>
    <row r="6941">
      <c r="H6941" s="8" t="s">
        <v>364</v>
      </c>
    </row>
    <row r="6942">
      <c r="H6942" s="8" t="s">
        <v>364</v>
      </c>
    </row>
    <row r="6943">
      <c r="H6943" s="8" t="s">
        <v>364</v>
      </c>
    </row>
    <row r="6944">
      <c r="H6944" s="8" t="s">
        <v>364</v>
      </c>
    </row>
    <row r="6945">
      <c r="H6945" s="8" t="s">
        <v>364</v>
      </c>
    </row>
    <row r="6946">
      <c r="H6946" s="8" t="s">
        <v>364</v>
      </c>
    </row>
    <row r="6947">
      <c r="H6947" s="8" t="s">
        <v>364</v>
      </c>
    </row>
    <row r="6948">
      <c r="H6948" s="8" t="s">
        <v>364</v>
      </c>
    </row>
    <row r="6949">
      <c r="H6949" s="8" t="s">
        <v>364</v>
      </c>
    </row>
    <row r="6950">
      <c r="H6950" s="8" t="s">
        <v>364</v>
      </c>
    </row>
    <row r="6951">
      <c r="H6951" s="8" t="s">
        <v>364</v>
      </c>
    </row>
    <row r="6952">
      <c r="H6952" s="8" t="s">
        <v>364</v>
      </c>
    </row>
    <row r="6953">
      <c r="H6953" s="8" t="s">
        <v>364</v>
      </c>
    </row>
    <row r="6954">
      <c r="H6954" s="8" t="s">
        <v>364</v>
      </c>
    </row>
    <row r="6955">
      <c r="H6955" s="8" t="s">
        <v>364</v>
      </c>
    </row>
    <row r="6956">
      <c r="H6956" s="8" t="s">
        <v>364</v>
      </c>
    </row>
    <row r="6957">
      <c r="H6957" s="8" t="s">
        <v>364</v>
      </c>
    </row>
    <row r="6958">
      <c r="H6958" s="8" t="s">
        <v>364</v>
      </c>
    </row>
    <row r="6959">
      <c r="H6959" s="8" t="s">
        <v>364</v>
      </c>
    </row>
    <row r="6960">
      <c r="H6960" s="8" t="s">
        <v>364</v>
      </c>
    </row>
    <row r="6961">
      <c r="H6961" s="8" t="s">
        <v>364</v>
      </c>
    </row>
    <row r="6962">
      <c r="H6962" s="8" t="s">
        <v>364</v>
      </c>
    </row>
    <row r="6963">
      <c r="H6963" s="8" t="s">
        <v>364</v>
      </c>
    </row>
    <row r="6964">
      <c r="H6964" s="8" t="s">
        <v>364</v>
      </c>
    </row>
    <row r="6965">
      <c r="H6965" s="8" t="s">
        <v>364</v>
      </c>
    </row>
    <row r="6966">
      <c r="H6966" s="8" t="s">
        <v>364</v>
      </c>
    </row>
    <row r="6967">
      <c r="H6967" s="8" t="s">
        <v>364</v>
      </c>
    </row>
    <row r="6968">
      <c r="H6968" s="8" t="s">
        <v>364</v>
      </c>
    </row>
    <row r="6969">
      <c r="H6969" s="8" t="s">
        <v>364</v>
      </c>
    </row>
    <row r="6970">
      <c r="H6970" s="8" t="s">
        <v>364</v>
      </c>
    </row>
    <row r="6971">
      <c r="H6971" s="8" t="s">
        <v>364</v>
      </c>
    </row>
    <row r="6972">
      <c r="H6972" s="8" t="s">
        <v>364</v>
      </c>
    </row>
    <row r="6973">
      <c r="H6973" s="8" t="s">
        <v>364</v>
      </c>
    </row>
    <row r="6974">
      <c r="H6974" s="8" t="s">
        <v>364</v>
      </c>
    </row>
    <row r="6975">
      <c r="H6975" s="8" t="s">
        <v>364</v>
      </c>
    </row>
    <row r="6976">
      <c r="H6976" s="8" t="s">
        <v>364</v>
      </c>
    </row>
    <row r="6977">
      <c r="H6977" s="8" t="s">
        <v>364</v>
      </c>
    </row>
    <row r="6978">
      <c r="H6978" s="8" t="s">
        <v>364</v>
      </c>
    </row>
    <row r="6979">
      <c r="H6979" s="8" t="s">
        <v>364</v>
      </c>
    </row>
    <row r="6980">
      <c r="H6980" s="8" t="s">
        <v>364</v>
      </c>
    </row>
    <row r="6981">
      <c r="H6981" s="8" t="s">
        <v>364</v>
      </c>
    </row>
    <row r="6982">
      <c r="H6982" s="8" t="s">
        <v>364</v>
      </c>
    </row>
    <row r="6983">
      <c r="H6983" s="8" t="s">
        <v>364</v>
      </c>
    </row>
    <row r="6984">
      <c r="H6984" s="8" t="s">
        <v>364</v>
      </c>
    </row>
    <row r="6985">
      <c r="H6985" s="8" t="s">
        <v>364</v>
      </c>
    </row>
    <row r="6986">
      <c r="H6986" s="8" t="s">
        <v>364</v>
      </c>
    </row>
    <row r="6987">
      <c r="H6987" s="8" t="s">
        <v>364</v>
      </c>
    </row>
    <row r="6988">
      <c r="H6988" s="8" t="s">
        <v>364</v>
      </c>
    </row>
    <row r="6989">
      <c r="H6989" s="8" t="s">
        <v>364</v>
      </c>
    </row>
    <row r="6990">
      <c r="H6990" s="8" t="s">
        <v>364</v>
      </c>
    </row>
    <row r="6991">
      <c r="H6991" s="8" t="s">
        <v>364</v>
      </c>
    </row>
    <row r="6992">
      <c r="H6992" s="8" t="s">
        <v>364</v>
      </c>
    </row>
    <row r="6993">
      <c r="H6993" s="8" t="s">
        <v>364</v>
      </c>
    </row>
    <row r="6994">
      <c r="H6994" s="8" t="s">
        <v>364</v>
      </c>
    </row>
    <row r="6995">
      <c r="H6995" s="8" t="s">
        <v>364</v>
      </c>
    </row>
    <row r="6996">
      <c r="H6996" s="8" t="s">
        <v>364</v>
      </c>
    </row>
    <row r="6997">
      <c r="H6997" s="8" t="s">
        <v>364</v>
      </c>
    </row>
    <row r="6998">
      <c r="H6998" s="8" t="s">
        <v>364</v>
      </c>
    </row>
    <row r="6999">
      <c r="H6999" s="8" t="s">
        <v>364</v>
      </c>
    </row>
    <row r="7000">
      <c r="H7000" s="8" t="s">
        <v>364</v>
      </c>
    </row>
    <row r="7001">
      <c r="H7001" s="8" t="s">
        <v>364</v>
      </c>
    </row>
    <row r="7002">
      <c r="H7002" s="8" t="s">
        <v>364</v>
      </c>
    </row>
    <row r="7003">
      <c r="H7003" s="8" t="s">
        <v>364</v>
      </c>
    </row>
    <row r="7004">
      <c r="H7004" s="8" t="s">
        <v>364</v>
      </c>
    </row>
    <row r="7005">
      <c r="H7005" s="8" t="s">
        <v>364</v>
      </c>
    </row>
    <row r="7006">
      <c r="H7006" s="8" t="s">
        <v>364</v>
      </c>
    </row>
    <row r="7007">
      <c r="H7007" s="8" t="s">
        <v>364</v>
      </c>
    </row>
    <row r="7008">
      <c r="H7008" s="8" t="s">
        <v>364</v>
      </c>
    </row>
    <row r="7009">
      <c r="H7009" s="8" t="s">
        <v>364</v>
      </c>
    </row>
    <row r="7010">
      <c r="H7010" s="8" t="s">
        <v>364</v>
      </c>
    </row>
    <row r="7011">
      <c r="H7011" s="8" t="s">
        <v>364</v>
      </c>
    </row>
    <row r="7012">
      <c r="H7012" s="8" t="s">
        <v>364</v>
      </c>
    </row>
    <row r="7013">
      <c r="H7013" s="8" t="s">
        <v>364</v>
      </c>
    </row>
    <row r="7014">
      <c r="H7014" s="8" t="s">
        <v>364</v>
      </c>
    </row>
    <row r="7015">
      <c r="H7015" s="8" t="s">
        <v>364</v>
      </c>
    </row>
    <row r="7016">
      <c r="H7016" s="8" t="s">
        <v>364</v>
      </c>
    </row>
    <row r="7017">
      <c r="H7017" s="8" t="s">
        <v>364</v>
      </c>
    </row>
    <row r="7018">
      <c r="H7018" s="8" t="s">
        <v>364</v>
      </c>
    </row>
    <row r="7019">
      <c r="H7019" s="8" t="s">
        <v>364</v>
      </c>
    </row>
    <row r="7020">
      <c r="H7020" s="8" t="s">
        <v>364</v>
      </c>
    </row>
    <row r="7021">
      <c r="H7021" s="8" t="s">
        <v>364</v>
      </c>
    </row>
    <row r="7022">
      <c r="H7022" s="8" t="s">
        <v>364</v>
      </c>
    </row>
    <row r="7023">
      <c r="H7023" s="8" t="s">
        <v>364</v>
      </c>
    </row>
    <row r="7024">
      <c r="H7024" s="8" t="s">
        <v>364</v>
      </c>
    </row>
    <row r="7025">
      <c r="H7025" s="8" t="s">
        <v>364</v>
      </c>
    </row>
    <row r="7026">
      <c r="H7026" s="8" t="s">
        <v>364</v>
      </c>
    </row>
    <row r="7027">
      <c r="H7027" s="8" t="s">
        <v>364</v>
      </c>
    </row>
    <row r="7028">
      <c r="H7028" s="8" t="s">
        <v>364</v>
      </c>
    </row>
    <row r="7029">
      <c r="H7029" s="8" t="s">
        <v>364</v>
      </c>
    </row>
    <row r="7030">
      <c r="H7030" s="8" t="s">
        <v>364</v>
      </c>
    </row>
    <row r="7031">
      <c r="H7031" s="8" t="s">
        <v>364</v>
      </c>
    </row>
    <row r="7032">
      <c r="H7032" s="8" t="s">
        <v>364</v>
      </c>
    </row>
    <row r="7033">
      <c r="H7033" s="8" t="s">
        <v>364</v>
      </c>
    </row>
    <row r="7034">
      <c r="H7034" s="8" t="s">
        <v>364</v>
      </c>
    </row>
    <row r="7035">
      <c r="H7035" s="8" t="s">
        <v>364</v>
      </c>
    </row>
    <row r="7036">
      <c r="H7036" s="8" t="s">
        <v>364</v>
      </c>
    </row>
    <row r="7037">
      <c r="H7037" s="8" t="s">
        <v>364</v>
      </c>
    </row>
    <row r="7038">
      <c r="H7038" s="8" t="s">
        <v>364</v>
      </c>
    </row>
    <row r="7039">
      <c r="H7039" s="8" t="s">
        <v>364</v>
      </c>
    </row>
    <row r="7040">
      <c r="H7040" s="8" t="s">
        <v>364</v>
      </c>
    </row>
    <row r="7041">
      <c r="H7041" s="8" t="s">
        <v>364</v>
      </c>
    </row>
    <row r="7042">
      <c r="H7042" s="8" t="s">
        <v>364</v>
      </c>
    </row>
    <row r="7043">
      <c r="H7043" s="8" t="s">
        <v>364</v>
      </c>
    </row>
    <row r="7044">
      <c r="H7044" s="8" t="s">
        <v>364</v>
      </c>
    </row>
    <row r="7045">
      <c r="H7045" s="8" t="s">
        <v>364</v>
      </c>
    </row>
    <row r="7046">
      <c r="H7046" s="8" t="s">
        <v>364</v>
      </c>
    </row>
    <row r="7047">
      <c r="H7047" s="8" t="s">
        <v>364</v>
      </c>
    </row>
    <row r="7048">
      <c r="H7048" s="8" t="s">
        <v>364</v>
      </c>
    </row>
    <row r="7049">
      <c r="H7049" s="8" t="s">
        <v>364</v>
      </c>
    </row>
    <row r="7050">
      <c r="H7050" s="8" t="s">
        <v>364</v>
      </c>
    </row>
    <row r="7051">
      <c r="H7051" s="8" t="s">
        <v>364</v>
      </c>
    </row>
    <row r="7052">
      <c r="H7052" s="8" t="s">
        <v>364</v>
      </c>
    </row>
    <row r="7053">
      <c r="H7053" s="8" t="s">
        <v>364</v>
      </c>
    </row>
    <row r="7054">
      <c r="H7054" s="8" t="s">
        <v>364</v>
      </c>
    </row>
    <row r="7055">
      <c r="H7055" s="8" t="s">
        <v>364</v>
      </c>
    </row>
    <row r="7056">
      <c r="H7056" s="8" t="s">
        <v>364</v>
      </c>
    </row>
    <row r="7057">
      <c r="H7057" s="8" t="s">
        <v>364</v>
      </c>
    </row>
    <row r="7058">
      <c r="H7058" s="8" t="s">
        <v>364</v>
      </c>
    </row>
    <row r="7059">
      <c r="H7059" s="8" t="s">
        <v>364</v>
      </c>
    </row>
    <row r="7060">
      <c r="H7060" s="8" t="s">
        <v>364</v>
      </c>
    </row>
    <row r="7061">
      <c r="H7061" s="8" t="s">
        <v>364</v>
      </c>
    </row>
    <row r="7062">
      <c r="H7062" s="8" t="s">
        <v>364</v>
      </c>
    </row>
    <row r="7063">
      <c r="H7063" s="8" t="s">
        <v>364</v>
      </c>
    </row>
    <row r="7064">
      <c r="H7064" s="8" t="s">
        <v>364</v>
      </c>
    </row>
    <row r="7065">
      <c r="H7065" s="8" t="s">
        <v>364</v>
      </c>
    </row>
    <row r="7066">
      <c r="H7066" s="8" t="s">
        <v>364</v>
      </c>
    </row>
    <row r="7067">
      <c r="H7067" s="8" t="s">
        <v>364</v>
      </c>
    </row>
    <row r="7068">
      <c r="H7068" s="8" t="s">
        <v>364</v>
      </c>
    </row>
    <row r="7069">
      <c r="H7069" s="8" t="s">
        <v>364</v>
      </c>
    </row>
    <row r="7070">
      <c r="H7070" s="8" t="s">
        <v>364</v>
      </c>
    </row>
    <row r="7071">
      <c r="H7071" s="8" t="s">
        <v>364</v>
      </c>
    </row>
    <row r="7072">
      <c r="H7072" s="8" t="s">
        <v>364</v>
      </c>
    </row>
    <row r="7073">
      <c r="H7073" s="8" t="s">
        <v>364</v>
      </c>
    </row>
    <row r="7074">
      <c r="H7074" s="8" t="s">
        <v>364</v>
      </c>
    </row>
    <row r="7075">
      <c r="H7075" s="8" t="s">
        <v>364</v>
      </c>
    </row>
    <row r="7076">
      <c r="H7076" s="8" t="s">
        <v>364</v>
      </c>
    </row>
    <row r="7077">
      <c r="H7077" s="8" t="s">
        <v>364</v>
      </c>
    </row>
    <row r="7078">
      <c r="H7078" s="8" t="s">
        <v>364</v>
      </c>
    </row>
    <row r="7079">
      <c r="H7079" s="8" t="s">
        <v>364</v>
      </c>
    </row>
    <row r="7080">
      <c r="H7080" s="8" t="s">
        <v>364</v>
      </c>
    </row>
    <row r="7081">
      <c r="H7081" s="8" t="s">
        <v>364</v>
      </c>
    </row>
    <row r="7082">
      <c r="H7082" s="8" t="s">
        <v>364</v>
      </c>
    </row>
    <row r="7083">
      <c r="H7083" s="8" t="s">
        <v>364</v>
      </c>
    </row>
    <row r="7084">
      <c r="H7084" s="8" t="s">
        <v>364</v>
      </c>
    </row>
    <row r="7085">
      <c r="H7085" s="8" t="s">
        <v>364</v>
      </c>
    </row>
    <row r="7086">
      <c r="H7086" s="8" t="s">
        <v>364</v>
      </c>
    </row>
    <row r="7087">
      <c r="H7087" s="8" t="s">
        <v>364</v>
      </c>
    </row>
    <row r="7088">
      <c r="H7088" s="8" t="s">
        <v>364</v>
      </c>
    </row>
    <row r="7089">
      <c r="H7089" s="8" t="s">
        <v>364</v>
      </c>
    </row>
    <row r="7090">
      <c r="H7090" s="8" t="s">
        <v>364</v>
      </c>
    </row>
    <row r="7091">
      <c r="H7091" s="8" t="s">
        <v>364</v>
      </c>
    </row>
    <row r="7092">
      <c r="H7092" s="8" t="s">
        <v>364</v>
      </c>
    </row>
    <row r="7093">
      <c r="H7093" s="8" t="s">
        <v>364</v>
      </c>
    </row>
    <row r="7094">
      <c r="H7094" s="8" t="s">
        <v>364</v>
      </c>
    </row>
    <row r="7095">
      <c r="H7095" s="8" t="s">
        <v>364</v>
      </c>
    </row>
    <row r="7096">
      <c r="H7096" s="8" t="s">
        <v>364</v>
      </c>
    </row>
    <row r="7097">
      <c r="H7097" s="8" t="s">
        <v>364</v>
      </c>
    </row>
    <row r="7098">
      <c r="H7098" s="8" t="s">
        <v>364</v>
      </c>
    </row>
    <row r="7099">
      <c r="H7099" s="8" t="s">
        <v>364</v>
      </c>
    </row>
    <row r="7100">
      <c r="H7100" s="8" t="s">
        <v>364</v>
      </c>
    </row>
    <row r="7101">
      <c r="H7101" s="8" t="s">
        <v>364</v>
      </c>
    </row>
    <row r="7102">
      <c r="H7102" s="8" t="s">
        <v>364</v>
      </c>
    </row>
    <row r="7103">
      <c r="H7103" s="8" t="s">
        <v>364</v>
      </c>
    </row>
    <row r="7104">
      <c r="H7104" s="8" t="s">
        <v>364</v>
      </c>
    </row>
    <row r="7105">
      <c r="H7105" s="8" t="s">
        <v>364</v>
      </c>
    </row>
    <row r="7106">
      <c r="H7106" s="8" t="s">
        <v>364</v>
      </c>
    </row>
    <row r="7107">
      <c r="H7107" s="8" t="s">
        <v>364</v>
      </c>
    </row>
    <row r="7108">
      <c r="H7108" s="8" t="s">
        <v>364</v>
      </c>
    </row>
    <row r="7109">
      <c r="H7109" s="8" t="s">
        <v>364</v>
      </c>
    </row>
    <row r="7110">
      <c r="H7110" s="8" t="s">
        <v>364</v>
      </c>
    </row>
    <row r="7111">
      <c r="H7111" s="8" t="s">
        <v>364</v>
      </c>
    </row>
    <row r="7112">
      <c r="H7112" s="8" t="s">
        <v>364</v>
      </c>
    </row>
    <row r="7113">
      <c r="H7113" s="8" t="s">
        <v>364</v>
      </c>
    </row>
    <row r="7114">
      <c r="H7114" s="8" t="s">
        <v>364</v>
      </c>
    </row>
    <row r="7115">
      <c r="H7115" s="8" t="s">
        <v>364</v>
      </c>
    </row>
    <row r="7116">
      <c r="H7116" s="8" t="s">
        <v>364</v>
      </c>
    </row>
    <row r="7117">
      <c r="H7117" s="8" t="s">
        <v>364</v>
      </c>
    </row>
    <row r="7118">
      <c r="H7118" s="8" t="s">
        <v>364</v>
      </c>
    </row>
    <row r="7119">
      <c r="H7119" s="8" t="s">
        <v>364</v>
      </c>
    </row>
    <row r="7120">
      <c r="H7120" s="8" t="s">
        <v>364</v>
      </c>
    </row>
    <row r="7121">
      <c r="H7121" s="8" t="s">
        <v>364</v>
      </c>
    </row>
    <row r="7122">
      <c r="H7122" s="8" t="s">
        <v>364</v>
      </c>
    </row>
    <row r="7123">
      <c r="H7123" s="8" t="s">
        <v>364</v>
      </c>
    </row>
    <row r="7124">
      <c r="H7124" s="8" t="s">
        <v>364</v>
      </c>
    </row>
    <row r="7125">
      <c r="H7125" s="8" t="s">
        <v>364</v>
      </c>
    </row>
    <row r="7126">
      <c r="H7126" s="8" t="s">
        <v>364</v>
      </c>
    </row>
    <row r="7127">
      <c r="H7127" s="8" t="s">
        <v>364</v>
      </c>
    </row>
    <row r="7128">
      <c r="H7128" s="8" t="s">
        <v>364</v>
      </c>
    </row>
    <row r="7129">
      <c r="H7129" s="8" t="s">
        <v>364</v>
      </c>
    </row>
    <row r="7130">
      <c r="H7130" s="8" t="s">
        <v>364</v>
      </c>
    </row>
    <row r="7131">
      <c r="H7131" s="8" t="s">
        <v>364</v>
      </c>
    </row>
    <row r="7132">
      <c r="H7132" s="8" t="s">
        <v>364</v>
      </c>
    </row>
    <row r="7133">
      <c r="H7133" s="8" t="s">
        <v>364</v>
      </c>
    </row>
    <row r="7134">
      <c r="H7134" s="8" t="s">
        <v>364</v>
      </c>
    </row>
    <row r="7135">
      <c r="H7135" s="8" t="s">
        <v>364</v>
      </c>
    </row>
    <row r="7136">
      <c r="H7136" s="8" t="s">
        <v>364</v>
      </c>
    </row>
    <row r="7137">
      <c r="H7137" s="8" t="s">
        <v>364</v>
      </c>
    </row>
    <row r="7138">
      <c r="H7138" s="8" t="s">
        <v>364</v>
      </c>
    </row>
    <row r="7139">
      <c r="H7139" s="8" t="s">
        <v>364</v>
      </c>
    </row>
    <row r="7140">
      <c r="H7140" s="8" t="s">
        <v>364</v>
      </c>
    </row>
    <row r="7141">
      <c r="H7141" s="8" t="s">
        <v>364</v>
      </c>
    </row>
    <row r="7142">
      <c r="H7142" s="8" t="s">
        <v>364</v>
      </c>
    </row>
    <row r="7143">
      <c r="H7143" s="8" t="s">
        <v>364</v>
      </c>
    </row>
    <row r="7144">
      <c r="H7144" s="8" t="s">
        <v>364</v>
      </c>
    </row>
    <row r="7145">
      <c r="H7145" s="8" t="s">
        <v>364</v>
      </c>
    </row>
    <row r="7146">
      <c r="H7146" s="8" t="s">
        <v>364</v>
      </c>
    </row>
    <row r="7147">
      <c r="H7147" s="8" t="s">
        <v>364</v>
      </c>
    </row>
    <row r="7148">
      <c r="H7148" s="8" t="s">
        <v>364</v>
      </c>
    </row>
    <row r="7149">
      <c r="H7149" s="8" t="s">
        <v>364</v>
      </c>
    </row>
    <row r="7150">
      <c r="H7150" s="8" t="s">
        <v>364</v>
      </c>
    </row>
    <row r="7151">
      <c r="H7151" s="8" t="s">
        <v>364</v>
      </c>
    </row>
    <row r="7152">
      <c r="H7152" s="8" t="s">
        <v>364</v>
      </c>
    </row>
    <row r="7153">
      <c r="H7153" s="8" t="s">
        <v>364</v>
      </c>
    </row>
    <row r="7154">
      <c r="H7154" s="8" t="s">
        <v>364</v>
      </c>
    </row>
    <row r="7155">
      <c r="H7155" s="8" t="s">
        <v>364</v>
      </c>
    </row>
    <row r="7156">
      <c r="H7156" s="8" t="s">
        <v>364</v>
      </c>
    </row>
    <row r="7157">
      <c r="H7157" s="8" t="s">
        <v>364</v>
      </c>
    </row>
    <row r="7158">
      <c r="H7158" s="8" t="s">
        <v>364</v>
      </c>
    </row>
    <row r="7159">
      <c r="H7159" s="8" t="s">
        <v>364</v>
      </c>
    </row>
    <row r="7160">
      <c r="H7160" s="8" t="s">
        <v>364</v>
      </c>
    </row>
    <row r="7161">
      <c r="H7161" s="8" t="s">
        <v>364</v>
      </c>
    </row>
    <row r="7162">
      <c r="H7162" s="8" t="s">
        <v>364</v>
      </c>
    </row>
    <row r="7163">
      <c r="H7163" s="8" t="s">
        <v>364</v>
      </c>
    </row>
    <row r="7164">
      <c r="H7164" s="8" t="s">
        <v>364</v>
      </c>
    </row>
    <row r="7165">
      <c r="H7165" s="8" t="s">
        <v>364</v>
      </c>
    </row>
    <row r="7166">
      <c r="H7166" s="8" t="s">
        <v>364</v>
      </c>
    </row>
    <row r="7167">
      <c r="H7167" s="8" t="s">
        <v>364</v>
      </c>
    </row>
    <row r="7168">
      <c r="H7168" s="8" t="s">
        <v>364</v>
      </c>
    </row>
    <row r="7169">
      <c r="H7169" s="8" t="s">
        <v>364</v>
      </c>
    </row>
    <row r="7170">
      <c r="H7170" s="8" t="s">
        <v>364</v>
      </c>
    </row>
    <row r="7171">
      <c r="H7171" s="8" t="s">
        <v>364</v>
      </c>
    </row>
    <row r="7172">
      <c r="H7172" s="8" t="s">
        <v>364</v>
      </c>
    </row>
    <row r="7173">
      <c r="H7173" s="8" t="s">
        <v>364</v>
      </c>
    </row>
    <row r="7174">
      <c r="H7174" s="8" t="s">
        <v>364</v>
      </c>
    </row>
    <row r="7175">
      <c r="H7175" s="8" t="s">
        <v>364</v>
      </c>
    </row>
    <row r="7176">
      <c r="H7176" s="8" t="s">
        <v>364</v>
      </c>
    </row>
    <row r="7177">
      <c r="H7177" s="8" t="s">
        <v>364</v>
      </c>
    </row>
    <row r="7178">
      <c r="H7178" s="8" t="s">
        <v>364</v>
      </c>
    </row>
    <row r="7179">
      <c r="H7179" s="8" t="s">
        <v>364</v>
      </c>
    </row>
    <row r="7180">
      <c r="H7180" s="8" t="s">
        <v>364</v>
      </c>
    </row>
    <row r="7181">
      <c r="H7181" s="8" t="s">
        <v>364</v>
      </c>
    </row>
    <row r="7182">
      <c r="H7182" s="8" t="s">
        <v>364</v>
      </c>
    </row>
    <row r="7183">
      <c r="H7183" s="8" t="s">
        <v>364</v>
      </c>
    </row>
    <row r="7184">
      <c r="H7184" s="8" t="s">
        <v>364</v>
      </c>
    </row>
    <row r="7185">
      <c r="H7185" s="8" t="s">
        <v>364</v>
      </c>
    </row>
    <row r="7186">
      <c r="H7186" s="8" t="s">
        <v>364</v>
      </c>
    </row>
    <row r="7187">
      <c r="H7187" s="8" t="s">
        <v>364</v>
      </c>
    </row>
    <row r="7188">
      <c r="H7188" s="8" t="s">
        <v>364</v>
      </c>
    </row>
    <row r="7189">
      <c r="H7189" s="8" t="s">
        <v>364</v>
      </c>
    </row>
    <row r="7190">
      <c r="H7190" s="8" t="s">
        <v>364</v>
      </c>
    </row>
    <row r="7191">
      <c r="H7191" s="8" t="s">
        <v>364</v>
      </c>
    </row>
    <row r="7192">
      <c r="H7192" s="8" t="s">
        <v>364</v>
      </c>
    </row>
    <row r="7193">
      <c r="H7193" s="8" t="s">
        <v>364</v>
      </c>
    </row>
    <row r="7194">
      <c r="H7194" s="8" t="s">
        <v>364</v>
      </c>
    </row>
    <row r="7195">
      <c r="H7195" s="8" t="s">
        <v>364</v>
      </c>
    </row>
    <row r="7196">
      <c r="H7196" s="8" t="s">
        <v>364</v>
      </c>
    </row>
    <row r="7197">
      <c r="H7197" s="8" t="s">
        <v>364</v>
      </c>
    </row>
    <row r="7198">
      <c r="H7198" s="8" t="s">
        <v>364</v>
      </c>
    </row>
    <row r="7199">
      <c r="H7199" s="8" t="s">
        <v>364</v>
      </c>
    </row>
    <row r="7200">
      <c r="H7200" s="8" t="s">
        <v>364</v>
      </c>
    </row>
    <row r="7201">
      <c r="H7201" s="8" t="s">
        <v>364</v>
      </c>
    </row>
    <row r="7202">
      <c r="H7202" s="8" t="s">
        <v>364</v>
      </c>
    </row>
    <row r="7203">
      <c r="H7203" s="8" t="s">
        <v>364</v>
      </c>
    </row>
    <row r="7204">
      <c r="H7204" s="8" t="s">
        <v>364</v>
      </c>
    </row>
    <row r="7205">
      <c r="H7205" s="8" t="s">
        <v>364</v>
      </c>
    </row>
    <row r="7206">
      <c r="H7206" s="8" t="s">
        <v>364</v>
      </c>
    </row>
    <row r="7207">
      <c r="H7207" s="8" t="s">
        <v>364</v>
      </c>
    </row>
    <row r="7208">
      <c r="H7208" s="8" t="s">
        <v>364</v>
      </c>
    </row>
    <row r="7209">
      <c r="H7209" s="8" t="s">
        <v>364</v>
      </c>
    </row>
    <row r="7210">
      <c r="H7210" s="8" t="s">
        <v>364</v>
      </c>
    </row>
    <row r="7211">
      <c r="H7211" s="8" t="s">
        <v>364</v>
      </c>
    </row>
    <row r="7212">
      <c r="H7212" s="8" t="s">
        <v>364</v>
      </c>
    </row>
    <row r="7213">
      <c r="H7213" s="8" t="s">
        <v>364</v>
      </c>
    </row>
    <row r="7214">
      <c r="H7214" s="8" t="s">
        <v>364</v>
      </c>
    </row>
    <row r="7215">
      <c r="H7215" s="8" t="s">
        <v>364</v>
      </c>
    </row>
    <row r="7216">
      <c r="H7216" s="8" t="s">
        <v>364</v>
      </c>
    </row>
    <row r="7217">
      <c r="H7217" s="8" t="s">
        <v>364</v>
      </c>
    </row>
    <row r="7218">
      <c r="H7218" s="8" t="s">
        <v>364</v>
      </c>
    </row>
    <row r="7219">
      <c r="H7219" s="8" t="s">
        <v>364</v>
      </c>
    </row>
    <row r="7220">
      <c r="H7220" s="8" t="s">
        <v>364</v>
      </c>
    </row>
    <row r="7221">
      <c r="H7221" s="8" t="s">
        <v>364</v>
      </c>
    </row>
    <row r="7222">
      <c r="H7222" s="8" t="s">
        <v>364</v>
      </c>
    </row>
    <row r="7223">
      <c r="H7223" s="8" t="s">
        <v>364</v>
      </c>
    </row>
    <row r="7224">
      <c r="H7224" s="8" t="s">
        <v>364</v>
      </c>
    </row>
    <row r="7225">
      <c r="H7225" s="8" t="s">
        <v>364</v>
      </c>
    </row>
    <row r="7226">
      <c r="H7226" s="8" t="s">
        <v>364</v>
      </c>
    </row>
    <row r="7227">
      <c r="H7227" s="8" t="s">
        <v>364</v>
      </c>
    </row>
    <row r="7228">
      <c r="H7228" s="8" t="s">
        <v>364</v>
      </c>
    </row>
    <row r="7229">
      <c r="H7229" s="8" t="s">
        <v>364</v>
      </c>
    </row>
    <row r="7230">
      <c r="H7230" s="8" t="s">
        <v>364</v>
      </c>
    </row>
    <row r="7231">
      <c r="H7231" s="8" t="s">
        <v>364</v>
      </c>
    </row>
    <row r="7232">
      <c r="H7232" s="8" t="s">
        <v>364</v>
      </c>
    </row>
    <row r="7233">
      <c r="H7233" s="8" t="s">
        <v>364</v>
      </c>
    </row>
    <row r="7234">
      <c r="H7234" s="8" t="s">
        <v>364</v>
      </c>
    </row>
    <row r="7235">
      <c r="H7235" s="8" t="s">
        <v>364</v>
      </c>
    </row>
    <row r="7236">
      <c r="H7236" s="8" t="s">
        <v>364</v>
      </c>
    </row>
    <row r="7237">
      <c r="H7237" s="8" t="s">
        <v>364</v>
      </c>
    </row>
    <row r="7238">
      <c r="H7238" s="8" t="s">
        <v>364</v>
      </c>
    </row>
    <row r="7239">
      <c r="H7239" s="8" t="s">
        <v>364</v>
      </c>
    </row>
    <row r="7240">
      <c r="H7240" s="8" t="s">
        <v>364</v>
      </c>
    </row>
    <row r="7241">
      <c r="H7241" s="8" t="s">
        <v>364</v>
      </c>
    </row>
    <row r="7242">
      <c r="H7242" s="8" t="s">
        <v>364</v>
      </c>
    </row>
    <row r="7243">
      <c r="H7243" s="8" t="s">
        <v>364</v>
      </c>
    </row>
    <row r="7244">
      <c r="H7244" s="8" t="s">
        <v>364</v>
      </c>
    </row>
    <row r="7245">
      <c r="H7245" s="8" t="s">
        <v>364</v>
      </c>
    </row>
    <row r="7246">
      <c r="H7246" s="8" t="s">
        <v>364</v>
      </c>
    </row>
    <row r="7247">
      <c r="H7247" s="8" t="s">
        <v>364</v>
      </c>
    </row>
    <row r="7248">
      <c r="H7248" s="8" t="s">
        <v>364</v>
      </c>
    </row>
    <row r="7249">
      <c r="H7249" s="8" t="s">
        <v>364</v>
      </c>
    </row>
    <row r="7250">
      <c r="H7250" s="8" t="s">
        <v>364</v>
      </c>
    </row>
    <row r="7251">
      <c r="H7251" s="8" t="s">
        <v>364</v>
      </c>
    </row>
    <row r="7252">
      <c r="H7252" s="8" t="s">
        <v>364</v>
      </c>
    </row>
    <row r="7253">
      <c r="H7253" s="8" t="s">
        <v>364</v>
      </c>
    </row>
    <row r="7254">
      <c r="H7254" s="8" t="s">
        <v>364</v>
      </c>
    </row>
    <row r="7255">
      <c r="H7255" s="8" t="s">
        <v>364</v>
      </c>
    </row>
    <row r="7256">
      <c r="H7256" s="8" t="s">
        <v>364</v>
      </c>
    </row>
    <row r="7257">
      <c r="H7257" s="8" t="s">
        <v>364</v>
      </c>
    </row>
    <row r="7258">
      <c r="H7258" s="8" t="s">
        <v>364</v>
      </c>
    </row>
    <row r="7259">
      <c r="H7259" s="8" t="s">
        <v>364</v>
      </c>
    </row>
    <row r="7260">
      <c r="H7260" s="8" t="s">
        <v>364</v>
      </c>
    </row>
    <row r="7261">
      <c r="H7261" s="8" t="s">
        <v>364</v>
      </c>
    </row>
    <row r="7262">
      <c r="H7262" s="8" t="s">
        <v>364</v>
      </c>
    </row>
    <row r="7263">
      <c r="H7263" s="8" t="s">
        <v>364</v>
      </c>
    </row>
    <row r="7264">
      <c r="H7264" s="8" t="s">
        <v>364</v>
      </c>
    </row>
    <row r="7265">
      <c r="H7265" s="8" t="s">
        <v>364</v>
      </c>
    </row>
    <row r="7266">
      <c r="H7266" s="8" t="s">
        <v>364</v>
      </c>
    </row>
    <row r="7267">
      <c r="H7267" s="8" t="s">
        <v>364</v>
      </c>
    </row>
    <row r="7268">
      <c r="H7268" s="8" t="s">
        <v>364</v>
      </c>
    </row>
    <row r="7269">
      <c r="H7269" s="8" t="s">
        <v>364</v>
      </c>
    </row>
    <row r="7270">
      <c r="H7270" s="8" t="s">
        <v>364</v>
      </c>
    </row>
    <row r="7271">
      <c r="H7271" s="8" t="s">
        <v>364</v>
      </c>
    </row>
    <row r="7272">
      <c r="H7272" s="8" t="s">
        <v>364</v>
      </c>
    </row>
    <row r="7273">
      <c r="H7273" s="8" t="s">
        <v>364</v>
      </c>
    </row>
    <row r="7274">
      <c r="H7274" s="8" t="s">
        <v>364</v>
      </c>
    </row>
    <row r="7275">
      <c r="H7275" s="8" t="s">
        <v>364</v>
      </c>
    </row>
    <row r="7276">
      <c r="H7276" s="8" t="s">
        <v>364</v>
      </c>
    </row>
    <row r="7277">
      <c r="H7277" s="8" t="s">
        <v>364</v>
      </c>
    </row>
    <row r="7278">
      <c r="H7278" s="8" t="s">
        <v>364</v>
      </c>
    </row>
    <row r="7279">
      <c r="H7279" s="8" t="s">
        <v>364</v>
      </c>
    </row>
    <row r="7280">
      <c r="H7280" s="8" t="s">
        <v>364</v>
      </c>
    </row>
    <row r="7281">
      <c r="H7281" s="8" t="s">
        <v>364</v>
      </c>
    </row>
    <row r="7282">
      <c r="H7282" s="8" t="s">
        <v>364</v>
      </c>
    </row>
    <row r="7283">
      <c r="H7283" s="8" t="s">
        <v>364</v>
      </c>
    </row>
    <row r="7284">
      <c r="H7284" s="8" t="s">
        <v>364</v>
      </c>
    </row>
    <row r="7285">
      <c r="H7285" s="8" t="s">
        <v>364</v>
      </c>
    </row>
    <row r="7286">
      <c r="H7286" s="8" t="s">
        <v>364</v>
      </c>
    </row>
    <row r="7287">
      <c r="H7287" s="8" t="s">
        <v>364</v>
      </c>
    </row>
    <row r="7288">
      <c r="H7288" s="8" t="s">
        <v>364</v>
      </c>
    </row>
    <row r="7289">
      <c r="H7289" s="8" t="s">
        <v>364</v>
      </c>
    </row>
    <row r="7290">
      <c r="H7290" s="8" t="s">
        <v>364</v>
      </c>
    </row>
    <row r="7291">
      <c r="H7291" s="8" t="s">
        <v>364</v>
      </c>
    </row>
    <row r="7292">
      <c r="H7292" s="8" t="s">
        <v>364</v>
      </c>
    </row>
    <row r="7293">
      <c r="H7293" s="8" t="s">
        <v>364</v>
      </c>
    </row>
    <row r="7294">
      <c r="H7294" s="8" t="s">
        <v>364</v>
      </c>
    </row>
    <row r="7295">
      <c r="H7295" s="8" t="s">
        <v>364</v>
      </c>
    </row>
    <row r="7296">
      <c r="H7296" s="8" t="s">
        <v>364</v>
      </c>
    </row>
    <row r="7297">
      <c r="H7297" s="8" t="s">
        <v>364</v>
      </c>
    </row>
    <row r="7298">
      <c r="H7298" s="8" t="s">
        <v>364</v>
      </c>
    </row>
    <row r="7299">
      <c r="H7299" s="8" t="s">
        <v>364</v>
      </c>
    </row>
    <row r="7300">
      <c r="H7300" s="8" t="s">
        <v>364</v>
      </c>
    </row>
    <row r="7301">
      <c r="H7301" s="8" t="s">
        <v>364</v>
      </c>
    </row>
    <row r="7302">
      <c r="H7302" s="8" t="s">
        <v>364</v>
      </c>
    </row>
    <row r="7303">
      <c r="H7303" s="8" t="s">
        <v>364</v>
      </c>
    </row>
    <row r="7304">
      <c r="H7304" s="8" t="s">
        <v>364</v>
      </c>
    </row>
    <row r="7305">
      <c r="H7305" s="8" t="s">
        <v>364</v>
      </c>
    </row>
    <row r="7306">
      <c r="H7306" s="8" t="s">
        <v>364</v>
      </c>
    </row>
    <row r="7307">
      <c r="H7307" s="8" t="s">
        <v>364</v>
      </c>
    </row>
    <row r="7308">
      <c r="H7308" s="8" t="s">
        <v>364</v>
      </c>
    </row>
    <row r="7309">
      <c r="H7309" s="8" t="s">
        <v>364</v>
      </c>
    </row>
    <row r="7310">
      <c r="H7310" s="8" t="s">
        <v>364</v>
      </c>
    </row>
    <row r="7311">
      <c r="H7311" s="8" t="s">
        <v>364</v>
      </c>
    </row>
    <row r="7312">
      <c r="H7312" s="8" t="s">
        <v>364</v>
      </c>
    </row>
    <row r="7313">
      <c r="H7313" s="8" t="s">
        <v>364</v>
      </c>
    </row>
    <row r="7314">
      <c r="H7314" s="8" t="s">
        <v>364</v>
      </c>
    </row>
    <row r="7315">
      <c r="H7315" s="8" t="s">
        <v>364</v>
      </c>
    </row>
    <row r="7316">
      <c r="H7316" s="8" t="s">
        <v>364</v>
      </c>
    </row>
    <row r="7317">
      <c r="H7317" s="8" t="s">
        <v>364</v>
      </c>
    </row>
    <row r="7318">
      <c r="H7318" s="8" t="s">
        <v>364</v>
      </c>
    </row>
    <row r="7319">
      <c r="H7319" s="8" t="s">
        <v>364</v>
      </c>
    </row>
    <row r="7320">
      <c r="H7320" s="8" t="s">
        <v>364</v>
      </c>
    </row>
    <row r="7321">
      <c r="H7321" s="8" t="s">
        <v>364</v>
      </c>
    </row>
    <row r="7322">
      <c r="H7322" s="8" t="s">
        <v>364</v>
      </c>
    </row>
    <row r="7323">
      <c r="H7323" s="8" t="s">
        <v>364</v>
      </c>
    </row>
    <row r="7324">
      <c r="H7324" s="8" t="s">
        <v>364</v>
      </c>
    </row>
    <row r="7325">
      <c r="H7325" s="8" t="s">
        <v>364</v>
      </c>
    </row>
    <row r="7326">
      <c r="H7326" s="8" t="s">
        <v>364</v>
      </c>
    </row>
    <row r="7327">
      <c r="H7327" s="8" t="s">
        <v>364</v>
      </c>
    </row>
    <row r="7328">
      <c r="H7328" s="8" t="s">
        <v>364</v>
      </c>
    </row>
    <row r="7329">
      <c r="H7329" s="8" t="s">
        <v>364</v>
      </c>
    </row>
    <row r="7330">
      <c r="H7330" s="8" t="s">
        <v>364</v>
      </c>
    </row>
    <row r="7331">
      <c r="H7331" s="8" t="s">
        <v>364</v>
      </c>
    </row>
    <row r="7332">
      <c r="H7332" s="8" t="s">
        <v>364</v>
      </c>
    </row>
    <row r="7333">
      <c r="H7333" s="8" t="s">
        <v>364</v>
      </c>
    </row>
    <row r="7334">
      <c r="H7334" s="8" t="s">
        <v>364</v>
      </c>
    </row>
    <row r="7335">
      <c r="H7335" s="8" t="s">
        <v>364</v>
      </c>
    </row>
    <row r="7336">
      <c r="H7336" s="8" t="s">
        <v>364</v>
      </c>
    </row>
    <row r="7337">
      <c r="H7337" s="8" t="s">
        <v>364</v>
      </c>
    </row>
    <row r="7338">
      <c r="H7338" s="8" t="s">
        <v>364</v>
      </c>
    </row>
    <row r="7339">
      <c r="H7339" s="8" t="s">
        <v>364</v>
      </c>
    </row>
    <row r="7340">
      <c r="H7340" s="8" t="s">
        <v>364</v>
      </c>
    </row>
    <row r="7341">
      <c r="H7341" s="8" t="s">
        <v>364</v>
      </c>
    </row>
    <row r="7342">
      <c r="H7342" s="8" t="s">
        <v>364</v>
      </c>
    </row>
    <row r="7343">
      <c r="H7343" s="8" t="s">
        <v>364</v>
      </c>
    </row>
    <row r="7344">
      <c r="H7344" s="8" t="s">
        <v>364</v>
      </c>
    </row>
    <row r="7345">
      <c r="H7345" s="8" t="s">
        <v>364</v>
      </c>
    </row>
    <row r="7346">
      <c r="H7346" s="8" t="s">
        <v>364</v>
      </c>
    </row>
    <row r="7347">
      <c r="H7347" s="8" t="s">
        <v>364</v>
      </c>
    </row>
    <row r="7348">
      <c r="H7348" s="8" t="s">
        <v>364</v>
      </c>
    </row>
    <row r="7349">
      <c r="H7349" s="8" t="s">
        <v>364</v>
      </c>
    </row>
    <row r="7350">
      <c r="H7350" s="8" t="s">
        <v>364</v>
      </c>
    </row>
    <row r="7351">
      <c r="H7351" s="8" t="s">
        <v>364</v>
      </c>
    </row>
    <row r="7352">
      <c r="H7352" s="8" t="s">
        <v>364</v>
      </c>
    </row>
    <row r="7353">
      <c r="H7353" s="8" t="s">
        <v>364</v>
      </c>
    </row>
    <row r="7354">
      <c r="H7354" s="8" t="s">
        <v>364</v>
      </c>
    </row>
    <row r="7355">
      <c r="H7355" s="8" t="s">
        <v>364</v>
      </c>
    </row>
    <row r="7356">
      <c r="H7356" s="8" t="s">
        <v>364</v>
      </c>
    </row>
    <row r="7357">
      <c r="H7357" s="8" t="s">
        <v>364</v>
      </c>
    </row>
    <row r="7358">
      <c r="H7358" s="8" t="s">
        <v>364</v>
      </c>
    </row>
    <row r="7359">
      <c r="H7359" s="8" t="s">
        <v>364</v>
      </c>
    </row>
    <row r="7360">
      <c r="H7360" s="8" t="s">
        <v>364</v>
      </c>
    </row>
    <row r="7361">
      <c r="H7361" s="8" t="s">
        <v>364</v>
      </c>
    </row>
    <row r="7362">
      <c r="H7362" s="8" t="s">
        <v>364</v>
      </c>
    </row>
    <row r="7363">
      <c r="H7363" s="8" t="s">
        <v>364</v>
      </c>
    </row>
    <row r="7364">
      <c r="H7364" s="8" t="s">
        <v>364</v>
      </c>
    </row>
    <row r="7365">
      <c r="H7365" s="8" t="s">
        <v>364</v>
      </c>
    </row>
    <row r="7366">
      <c r="H7366" s="8" t="s">
        <v>364</v>
      </c>
    </row>
    <row r="7367">
      <c r="H7367" s="8" t="s">
        <v>364</v>
      </c>
    </row>
    <row r="7368">
      <c r="H7368" s="8" t="s">
        <v>364</v>
      </c>
    </row>
    <row r="7369">
      <c r="H7369" s="8" t="s">
        <v>364</v>
      </c>
    </row>
    <row r="7370">
      <c r="H7370" s="8" t="s">
        <v>364</v>
      </c>
    </row>
    <row r="7371">
      <c r="H7371" s="8" t="s">
        <v>364</v>
      </c>
    </row>
    <row r="7372">
      <c r="H7372" s="8" t="s">
        <v>364</v>
      </c>
    </row>
    <row r="7373">
      <c r="H7373" s="8" t="s">
        <v>364</v>
      </c>
    </row>
    <row r="7374">
      <c r="H7374" s="8" t="s">
        <v>364</v>
      </c>
    </row>
    <row r="7375">
      <c r="H7375" s="8" t="s">
        <v>364</v>
      </c>
    </row>
    <row r="7376">
      <c r="H7376" s="8" t="s">
        <v>364</v>
      </c>
    </row>
    <row r="7377">
      <c r="H7377" s="8" t="s">
        <v>364</v>
      </c>
    </row>
    <row r="7378">
      <c r="H7378" s="8" t="s">
        <v>364</v>
      </c>
    </row>
    <row r="7379">
      <c r="H7379" s="8" t="s">
        <v>364</v>
      </c>
    </row>
    <row r="7380">
      <c r="H7380" s="8" t="s">
        <v>364</v>
      </c>
    </row>
    <row r="7381">
      <c r="H7381" s="8" t="s">
        <v>364</v>
      </c>
    </row>
    <row r="7382">
      <c r="H7382" s="8" t="s">
        <v>364</v>
      </c>
    </row>
    <row r="7383">
      <c r="H7383" s="8" t="s">
        <v>364</v>
      </c>
    </row>
    <row r="7384">
      <c r="H7384" s="8" t="s">
        <v>364</v>
      </c>
    </row>
    <row r="7385">
      <c r="H7385" s="8" t="s">
        <v>364</v>
      </c>
    </row>
    <row r="7386">
      <c r="H7386" s="8" t="s">
        <v>364</v>
      </c>
    </row>
    <row r="7387">
      <c r="H7387" s="8" t="s">
        <v>364</v>
      </c>
    </row>
    <row r="7388">
      <c r="H7388" s="8" t="s">
        <v>364</v>
      </c>
    </row>
    <row r="7389">
      <c r="H7389" s="8" t="s">
        <v>364</v>
      </c>
    </row>
    <row r="7390">
      <c r="H7390" s="8" t="s">
        <v>364</v>
      </c>
    </row>
    <row r="7391">
      <c r="H7391" s="8" t="s">
        <v>364</v>
      </c>
    </row>
    <row r="7392">
      <c r="H7392" s="8" t="s">
        <v>364</v>
      </c>
    </row>
    <row r="7393">
      <c r="H7393" s="8" t="s">
        <v>364</v>
      </c>
    </row>
    <row r="7394">
      <c r="H7394" s="8" t="s">
        <v>364</v>
      </c>
    </row>
    <row r="7395">
      <c r="H7395" s="8" t="s">
        <v>364</v>
      </c>
    </row>
    <row r="7396">
      <c r="H7396" s="8" t="s">
        <v>364</v>
      </c>
    </row>
    <row r="7397">
      <c r="H7397" s="8" t="s">
        <v>364</v>
      </c>
    </row>
    <row r="7398">
      <c r="H7398" s="8" t="s">
        <v>364</v>
      </c>
    </row>
    <row r="7399">
      <c r="H7399" s="8" t="s">
        <v>364</v>
      </c>
    </row>
    <row r="7400">
      <c r="H7400" s="8" t="s">
        <v>364</v>
      </c>
    </row>
    <row r="7401">
      <c r="H7401" s="8" t="s">
        <v>364</v>
      </c>
    </row>
    <row r="7402">
      <c r="H7402" s="8" t="s">
        <v>364</v>
      </c>
    </row>
    <row r="7403">
      <c r="H7403" s="8" t="s">
        <v>364</v>
      </c>
    </row>
    <row r="7404">
      <c r="H7404" s="8" t="s">
        <v>364</v>
      </c>
    </row>
    <row r="7405">
      <c r="H7405" s="8" t="s">
        <v>364</v>
      </c>
    </row>
    <row r="7406">
      <c r="H7406" s="8" t="s">
        <v>364</v>
      </c>
    </row>
    <row r="7407">
      <c r="H7407" s="8" t="s">
        <v>364</v>
      </c>
    </row>
    <row r="7408">
      <c r="H7408" s="8" t="s">
        <v>364</v>
      </c>
    </row>
    <row r="7409">
      <c r="H7409" s="8" t="s">
        <v>364</v>
      </c>
    </row>
    <row r="7410">
      <c r="H7410" s="8" t="s">
        <v>364</v>
      </c>
    </row>
    <row r="7411">
      <c r="H7411" s="8" t="s">
        <v>364</v>
      </c>
    </row>
    <row r="7412">
      <c r="H7412" s="8" t="s">
        <v>364</v>
      </c>
    </row>
    <row r="7413">
      <c r="H7413" s="8" t="s">
        <v>364</v>
      </c>
    </row>
    <row r="7414">
      <c r="H7414" s="8" t="s">
        <v>364</v>
      </c>
    </row>
    <row r="7415">
      <c r="H7415" s="8" t="s">
        <v>364</v>
      </c>
    </row>
    <row r="7416">
      <c r="H7416" s="8" t="s">
        <v>364</v>
      </c>
    </row>
    <row r="7417">
      <c r="H7417" s="8" t="s">
        <v>364</v>
      </c>
    </row>
    <row r="7418">
      <c r="H7418" s="8" t="s">
        <v>364</v>
      </c>
    </row>
    <row r="7419">
      <c r="H7419" s="8" t="s">
        <v>364</v>
      </c>
    </row>
    <row r="7420">
      <c r="H7420" s="8" t="s">
        <v>364</v>
      </c>
    </row>
    <row r="7421">
      <c r="H7421" s="8" t="s">
        <v>364</v>
      </c>
    </row>
    <row r="7422">
      <c r="H7422" s="8" t="s">
        <v>364</v>
      </c>
    </row>
    <row r="7423">
      <c r="H7423" s="8" t="s">
        <v>364</v>
      </c>
    </row>
    <row r="7424">
      <c r="H7424" s="8" t="s">
        <v>364</v>
      </c>
    </row>
    <row r="7425">
      <c r="H7425" s="8" t="s">
        <v>364</v>
      </c>
    </row>
    <row r="7426">
      <c r="H7426" s="8" t="s">
        <v>364</v>
      </c>
    </row>
    <row r="7427">
      <c r="H7427" s="8" t="s">
        <v>364</v>
      </c>
    </row>
    <row r="7428">
      <c r="H7428" s="8" t="s">
        <v>364</v>
      </c>
    </row>
    <row r="7429">
      <c r="H7429" s="8" t="s">
        <v>364</v>
      </c>
    </row>
    <row r="7430">
      <c r="H7430" s="8" t="s">
        <v>364</v>
      </c>
    </row>
    <row r="7431">
      <c r="H7431" s="8" t="s">
        <v>364</v>
      </c>
    </row>
    <row r="7432">
      <c r="H7432" s="8" t="s">
        <v>364</v>
      </c>
    </row>
    <row r="7433">
      <c r="H7433" s="8" t="s">
        <v>364</v>
      </c>
    </row>
    <row r="7434">
      <c r="H7434" s="8" t="s">
        <v>364</v>
      </c>
    </row>
    <row r="7435">
      <c r="H7435" s="8" t="s">
        <v>364</v>
      </c>
    </row>
    <row r="7436">
      <c r="H7436" s="8" t="s">
        <v>364</v>
      </c>
    </row>
    <row r="7437">
      <c r="H7437" s="8" t="s">
        <v>364</v>
      </c>
    </row>
    <row r="7438">
      <c r="H7438" s="8" t="s">
        <v>364</v>
      </c>
    </row>
    <row r="7439">
      <c r="H7439" s="8" t="s">
        <v>364</v>
      </c>
    </row>
    <row r="7440">
      <c r="H7440" s="8" t="s">
        <v>364</v>
      </c>
    </row>
    <row r="7441">
      <c r="H7441" s="8" t="s">
        <v>364</v>
      </c>
    </row>
    <row r="7442">
      <c r="H7442" s="8" t="s">
        <v>364</v>
      </c>
    </row>
    <row r="7443">
      <c r="H7443" s="8" t="s">
        <v>364</v>
      </c>
    </row>
    <row r="7444">
      <c r="H7444" s="8" t="s">
        <v>364</v>
      </c>
    </row>
    <row r="7445">
      <c r="H7445" s="8" t="s">
        <v>364</v>
      </c>
    </row>
    <row r="7446">
      <c r="H7446" s="8" t="s">
        <v>364</v>
      </c>
    </row>
    <row r="7447">
      <c r="H7447" s="8" t="s">
        <v>364</v>
      </c>
    </row>
    <row r="7448">
      <c r="H7448" s="8" t="s">
        <v>364</v>
      </c>
    </row>
    <row r="7449">
      <c r="H7449" s="8" t="s">
        <v>364</v>
      </c>
    </row>
    <row r="7450">
      <c r="H7450" s="8" t="s">
        <v>364</v>
      </c>
    </row>
    <row r="7451">
      <c r="H7451" s="8" t="s">
        <v>364</v>
      </c>
    </row>
    <row r="7452">
      <c r="H7452" s="8" t="s">
        <v>364</v>
      </c>
    </row>
    <row r="7453">
      <c r="H7453" s="8" t="s">
        <v>364</v>
      </c>
    </row>
    <row r="7454">
      <c r="H7454" s="8" t="s">
        <v>364</v>
      </c>
    </row>
    <row r="7455">
      <c r="H7455" s="8" t="s">
        <v>364</v>
      </c>
    </row>
    <row r="7456">
      <c r="H7456" s="8" t="s">
        <v>364</v>
      </c>
    </row>
    <row r="7457">
      <c r="H7457" s="8" t="s">
        <v>364</v>
      </c>
    </row>
    <row r="7458">
      <c r="H7458" s="8" t="s">
        <v>364</v>
      </c>
    </row>
    <row r="7459">
      <c r="H7459" s="8" t="s">
        <v>364</v>
      </c>
    </row>
    <row r="7460">
      <c r="H7460" s="8" t="s">
        <v>364</v>
      </c>
    </row>
    <row r="7461">
      <c r="H7461" s="8" t="s">
        <v>364</v>
      </c>
    </row>
    <row r="7462">
      <c r="H7462" s="8" t="s">
        <v>364</v>
      </c>
    </row>
    <row r="7463">
      <c r="H7463" s="8" t="s">
        <v>364</v>
      </c>
    </row>
    <row r="7464">
      <c r="H7464" s="8" t="s">
        <v>364</v>
      </c>
    </row>
    <row r="7465">
      <c r="H7465" s="8" t="s">
        <v>364</v>
      </c>
    </row>
    <row r="7466">
      <c r="H7466" s="8" t="s">
        <v>364</v>
      </c>
    </row>
    <row r="7467">
      <c r="H7467" s="8" t="s">
        <v>364</v>
      </c>
    </row>
    <row r="7468">
      <c r="H7468" s="8" t="s">
        <v>364</v>
      </c>
    </row>
    <row r="7469">
      <c r="H7469" s="8" t="s">
        <v>364</v>
      </c>
    </row>
    <row r="7470">
      <c r="H7470" s="8" t="s">
        <v>364</v>
      </c>
    </row>
    <row r="7471">
      <c r="H7471" s="8" t="s">
        <v>364</v>
      </c>
    </row>
    <row r="7472">
      <c r="H7472" s="8" t="s">
        <v>364</v>
      </c>
    </row>
    <row r="7473">
      <c r="H7473" s="8" t="s">
        <v>364</v>
      </c>
    </row>
    <row r="7474">
      <c r="H7474" s="8" t="s">
        <v>364</v>
      </c>
    </row>
    <row r="7475">
      <c r="H7475" s="8" t="s">
        <v>364</v>
      </c>
    </row>
    <row r="7476">
      <c r="H7476" s="8" t="s">
        <v>364</v>
      </c>
    </row>
    <row r="7477">
      <c r="H7477" s="8" t="s">
        <v>364</v>
      </c>
    </row>
    <row r="7478">
      <c r="H7478" s="8" t="s">
        <v>364</v>
      </c>
    </row>
    <row r="7479">
      <c r="H7479" s="8" t="s">
        <v>364</v>
      </c>
    </row>
    <row r="7480">
      <c r="H7480" s="8" t="s">
        <v>364</v>
      </c>
    </row>
    <row r="7481">
      <c r="H7481" s="8" t="s">
        <v>364</v>
      </c>
    </row>
    <row r="7482">
      <c r="H7482" s="8" t="s">
        <v>364</v>
      </c>
    </row>
    <row r="7483">
      <c r="H7483" s="8" t="s">
        <v>364</v>
      </c>
    </row>
    <row r="7484">
      <c r="H7484" s="8" t="s">
        <v>364</v>
      </c>
    </row>
    <row r="7485">
      <c r="H7485" s="8" t="s">
        <v>364</v>
      </c>
    </row>
    <row r="7486">
      <c r="H7486" s="8" t="s">
        <v>364</v>
      </c>
    </row>
    <row r="7487">
      <c r="H7487" s="8" t="s">
        <v>364</v>
      </c>
    </row>
    <row r="7488">
      <c r="H7488" s="8" t="s">
        <v>364</v>
      </c>
    </row>
    <row r="7489">
      <c r="H7489" s="8" t="s">
        <v>364</v>
      </c>
    </row>
    <row r="7490">
      <c r="H7490" s="8" t="s">
        <v>364</v>
      </c>
    </row>
    <row r="7491">
      <c r="H7491" s="8" t="s">
        <v>364</v>
      </c>
    </row>
    <row r="7492">
      <c r="H7492" s="8" t="s">
        <v>364</v>
      </c>
    </row>
    <row r="7493">
      <c r="H7493" s="8" t="s">
        <v>364</v>
      </c>
    </row>
    <row r="7494">
      <c r="H7494" s="8" t="s">
        <v>364</v>
      </c>
    </row>
    <row r="7495">
      <c r="H7495" s="8" t="s">
        <v>364</v>
      </c>
    </row>
    <row r="7496">
      <c r="H7496" s="8" t="s">
        <v>364</v>
      </c>
    </row>
    <row r="7497">
      <c r="H7497" s="8" t="s">
        <v>364</v>
      </c>
    </row>
    <row r="7498">
      <c r="H7498" s="8" t="s">
        <v>364</v>
      </c>
    </row>
    <row r="7499">
      <c r="H7499" s="8" t="s">
        <v>364</v>
      </c>
    </row>
    <row r="7500">
      <c r="H7500" s="8" t="s">
        <v>364</v>
      </c>
    </row>
    <row r="7501">
      <c r="H7501" s="8" t="s">
        <v>364</v>
      </c>
    </row>
    <row r="7502">
      <c r="H7502" s="8" t="s">
        <v>364</v>
      </c>
    </row>
    <row r="7503">
      <c r="H7503" s="8" t="s">
        <v>364</v>
      </c>
    </row>
    <row r="7504">
      <c r="H7504" s="8" t="s">
        <v>364</v>
      </c>
    </row>
    <row r="7505">
      <c r="H7505" s="8" t="s">
        <v>364</v>
      </c>
    </row>
    <row r="7506">
      <c r="H7506" s="8" t="s">
        <v>364</v>
      </c>
    </row>
    <row r="7507">
      <c r="H7507" s="8" t="s">
        <v>364</v>
      </c>
    </row>
    <row r="7508">
      <c r="H7508" s="8" t="s">
        <v>364</v>
      </c>
    </row>
    <row r="7509">
      <c r="H7509" s="8" t="s">
        <v>364</v>
      </c>
    </row>
    <row r="7510">
      <c r="H7510" s="8" t="s">
        <v>364</v>
      </c>
    </row>
    <row r="7511">
      <c r="H7511" s="8" t="s">
        <v>364</v>
      </c>
    </row>
    <row r="7512">
      <c r="H7512" s="8" t="s">
        <v>364</v>
      </c>
    </row>
    <row r="7513">
      <c r="H7513" s="8" t="s">
        <v>364</v>
      </c>
    </row>
    <row r="7514">
      <c r="H7514" s="8" t="s">
        <v>364</v>
      </c>
    </row>
    <row r="7515">
      <c r="H7515" s="8" t="s">
        <v>364</v>
      </c>
    </row>
    <row r="7516">
      <c r="H7516" s="8" t="s">
        <v>364</v>
      </c>
    </row>
    <row r="7517">
      <c r="H7517" s="8" t="s">
        <v>364</v>
      </c>
    </row>
    <row r="7518">
      <c r="H7518" s="8" t="s">
        <v>364</v>
      </c>
    </row>
    <row r="7519">
      <c r="H7519" s="8" t="s">
        <v>364</v>
      </c>
    </row>
    <row r="7520">
      <c r="H7520" s="8" t="s">
        <v>364</v>
      </c>
    </row>
    <row r="7521">
      <c r="H7521" s="8" t="s">
        <v>364</v>
      </c>
    </row>
    <row r="7522">
      <c r="H7522" s="8" t="s">
        <v>364</v>
      </c>
    </row>
    <row r="7523">
      <c r="H7523" s="8" t="s">
        <v>364</v>
      </c>
    </row>
    <row r="7524">
      <c r="H7524" s="8" t="s">
        <v>364</v>
      </c>
    </row>
    <row r="7525">
      <c r="H7525" s="8" t="s">
        <v>364</v>
      </c>
    </row>
    <row r="7526">
      <c r="H7526" s="8" t="s">
        <v>364</v>
      </c>
    </row>
    <row r="7527">
      <c r="H7527" s="8" t="s">
        <v>364</v>
      </c>
    </row>
    <row r="7528">
      <c r="H7528" s="8" t="s">
        <v>364</v>
      </c>
    </row>
    <row r="7529">
      <c r="H7529" s="8" t="s">
        <v>364</v>
      </c>
    </row>
    <row r="7530">
      <c r="H7530" s="8" t="s">
        <v>364</v>
      </c>
    </row>
    <row r="7531">
      <c r="H7531" s="8" t="s">
        <v>364</v>
      </c>
    </row>
    <row r="7532">
      <c r="H7532" s="8" t="s">
        <v>364</v>
      </c>
    </row>
    <row r="7533">
      <c r="H7533" s="8" t="s">
        <v>364</v>
      </c>
    </row>
    <row r="7534">
      <c r="H7534" s="8" t="s">
        <v>364</v>
      </c>
    </row>
    <row r="7535">
      <c r="H7535" s="8" t="s">
        <v>364</v>
      </c>
    </row>
    <row r="7536">
      <c r="H7536" s="8" t="s">
        <v>364</v>
      </c>
    </row>
    <row r="7537">
      <c r="H7537" s="8" t="s">
        <v>364</v>
      </c>
    </row>
    <row r="7538">
      <c r="H7538" s="8" t="s">
        <v>364</v>
      </c>
    </row>
    <row r="7539">
      <c r="H7539" s="8" t="s">
        <v>364</v>
      </c>
    </row>
    <row r="7540">
      <c r="H7540" s="8" t="s">
        <v>364</v>
      </c>
    </row>
    <row r="7541">
      <c r="H7541" s="8" t="s">
        <v>364</v>
      </c>
    </row>
    <row r="7542">
      <c r="H7542" s="8" t="s">
        <v>364</v>
      </c>
    </row>
    <row r="7543">
      <c r="H7543" s="8" t="s">
        <v>364</v>
      </c>
    </row>
    <row r="7544">
      <c r="H7544" s="8" t="s">
        <v>364</v>
      </c>
    </row>
    <row r="7545">
      <c r="H7545" s="8" t="s">
        <v>364</v>
      </c>
    </row>
    <row r="7546">
      <c r="H7546" s="8" t="s">
        <v>364</v>
      </c>
    </row>
    <row r="7547">
      <c r="H7547" s="8" t="s">
        <v>364</v>
      </c>
    </row>
    <row r="7548">
      <c r="H7548" s="8" t="s">
        <v>364</v>
      </c>
    </row>
    <row r="7549">
      <c r="H7549" s="8" t="s">
        <v>364</v>
      </c>
    </row>
    <row r="7550">
      <c r="H7550" s="8" t="s">
        <v>364</v>
      </c>
    </row>
    <row r="7551">
      <c r="H7551" s="8" t="s">
        <v>364</v>
      </c>
    </row>
    <row r="7552">
      <c r="H7552" s="8" t="s">
        <v>364</v>
      </c>
    </row>
    <row r="7553">
      <c r="H7553" s="8" t="s">
        <v>364</v>
      </c>
    </row>
    <row r="7554">
      <c r="H7554" s="8" t="s">
        <v>364</v>
      </c>
    </row>
    <row r="7555">
      <c r="H7555" s="8" t="s">
        <v>364</v>
      </c>
    </row>
    <row r="7556">
      <c r="H7556" s="8" t="s">
        <v>364</v>
      </c>
    </row>
    <row r="7557">
      <c r="H7557" s="8" t="s">
        <v>364</v>
      </c>
    </row>
    <row r="7558">
      <c r="H7558" s="8" t="s">
        <v>364</v>
      </c>
    </row>
    <row r="7559">
      <c r="H7559" s="8" t="s">
        <v>364</v>
      </c>
    </row>
    <row r="7560">
      <c r="H7560" s="8" t="s">
        <v>364</v>
      </c>
    </row>
    <row r="7561">
      <c r="H7561" s="8" t="s">
        <v>364</v>
      </c>
    </row>
    <row r="7562">
      <c r="H7562" s="8" t="s">
        <v>364</v>
      </c>
    </row>
    <row r="7563">
      <c r="H7563" s="8" t="s">
        <v>364</v>
      </c>
    </row>
    <row r="7564">
      <c r="H7564" s="8" t="s">
        <v>364</v>
      </c>
    </row>
    <row r="7565">
      <c r="H7565" s="8" t="s">
        <v>364</v>
      </c>
    </row>
    <row r="7566">
      <c r="H7566" s="8" t="s">
        <v>364</v>
      </c>
    </row>
    <row r="7567">
      <c r="H7567" s="8" t="s">
        <v>364</v>
      </c>
    </row>
    <row r="7568">
      <c r="H7568" s="8" t="s">
        <v>364</v>
      </c>
    </row>
    <row r="7569">
      <c r="H7569" s="8" t="s">
        <v>364</v>
      </c>
    </row>
    <row r="7570">
      <c r="H7570" s="8" t="s">
        <v>364</v>
      </c>
    </row>
    <row r="7571">
      <c r="H7571" s="8" t="s">
        <v>364</v>
      </c>
    </row>
    <row r="7572">
      <c r="H7572" s="8" t="s">
        <v>364</v>
      </c>
    </row>
    <row r="7573">
      <c r="H7573" s="8" t="s">
        <v>364</v>
      </c>
    </row>
    <row r="7574">
      <c r="H7574" s="8" t="s">
        <v>364</v>
      </c>
    </row>
    <row r="7575">
      <c r="H7575" s="8" t="s">
        <v>364</v>
      </c>
    </row>
    <row r="7576">
      <c r="H7576" s="8" t="s">
        <v>364</v>
      </c>
    </row>
    <row r="7577">
      <c r="H7577" s="8" t="s">
        <v>364</v>
      </c>
    </row>
    <row r="7578">
      <c r="H7578" s="8" t="s">
        <v>364</v>
      </c>
    </row>
    <row r="7579">
      <c r="H7579" s="8" t="s">
        <v>364</v>
      </c>
    </row>
    <row r="7580">
      <c r="H7580" s="8" t="s">
        <v>364</v>
      </c>
    </row>
    <row r="7581">
      <c r="H7581" s="8" t="s">
        <v>364</v>
      </c>
    </row>
    <row r="7582">
      <c r="H7582" s="8" t="s">
        <v>364</v>
      </c>
    </row>
    <row r="7583">
      <c r="H7583" s="8" t="s">
        <v>364</v>
      </c>
    </row>
    <row r="7584">
      <c r="H7584" s="8" t="s">
        <v>364</v>
      </c>
    </row>
    <row r="7585">
      <c r="H7585" s="8" t="s">
        <v>364</v>
      </c>
    </row>
    <row r="7586">
      <c r="H7586" s="8" t="s">
        <v>364</v>
      </c>
    </row>
    <row r="7587">
      <c r="H7587" s="8" t="s">
        <v>364</v>
      </c>
    </row>
    <row r="7588">
      <c r="H7588" s="8" t="s">
        <v>364</v>
      </c>
    </row>
    <row r="7589">
      <c r="H7589" s="8" t="s">
        <v>364</v>
      </c>
    </row>
    <row r="7590">
      <c r="H7590" s="8" t="s">
        <v>364</v>
      </c>
    </row>
    <row r="7591">
      <c r="H7591" s="8" t="s">
        <v>364</v>
      </c>
    </row>
    <row r="7592">
      <c r="H7592" s="8" t="s">
        <v>364</v>
      </c>
    </row>
    <row r="7593">
      <c r="H7593" s="8" t="s">
        <v>364</v>
      </c>
    </row>
    <row r="7594">
      <c r="H7594" s="8" t="s">
        <v>364</v>
      </c>
    </row>
    <row r="7595">
      <c r="H7595" s="8" t="s">
        <v>364</v>
      </c>
    </row>
    <row r="7596">
      <c r="H7596" s="8" t="s">
        <v>364</v>
      </c>
    </row>
    <row r="7597">
      <c r="H7597" s="8" t="s">
        <v>364</v>
      </c>
    </row>
    <row r="7598">
      <c r="H7598" s="8" t="s">
        <v>364</v>
      </c>
    </row>
    <row r="7599">
      <c r="H7599" s="8" t="s">
        <v>364</v>
      </c>
    </row>
    <row r="7600">
      <c r="H7600" s="8" t="s">
        <v>364</v>
      </c>
    </row>
    <row r="7601">
      <c r="H7601" s="8" t="s">
        <v>364</v>
      </c>
    </row>
    <row r="7602">
      <c r="H7602" s="8" t="s">
        <v>364</v>
      </c>
    </row>
    <row r="7603">
      <c r="H7603" s="8" t="s">
        <v>364</v>
      </c>
    </row>
    <row r="7604">
      <c r="H7604" s="8" t="s">
        <v>364</v>
      </c>
    </row>
    <row r="7605">
      <c r="H7605" s="8" t="s">
        <v>364</v>
      </c>
    </row>
    <row r="7606">
      <c r="H7606" s="8" t="s">
        <v>364</v>
      </c>
    </row>
    <row r="7607">
      <c r="H7607" s="8" t="s">
        <v>364</v>
      </c>
    </row>
    <row r="7608">
      <c r="H7608" s="8" t="s">
        <v>364</v>
      </c>
    </row>
    <row r="7609">
      <c r="H7609" s="8" t="s">
        <v>364</v>
      </c>
    </row>
    <row r="7610">
      <c r="H7610" s="8" t="s">
        <v>364</v>
      </c>
    </row>
    <row r="7611">
      <c r="H7611" s="8" t="s">
        <v>364</v>
      </c>
    </row>
    <row r="7612">
      <c r="H7612" s="8" t="s">
        <v>364</v>
      </c>
    </row>
    <row r="7613">
      <c r="H7613" s="8" t="s">
        <v>364</v>
      </c>
    </row>
    <row r="7614">
      <c r="H7614" s="8" t="s">
        <v>364</v>
      </c>
    </row>
    <row r="7615">
      <c r="H7615" s="8" t="s">
        <v>364</v>
      </c>
    </row>
    <row r="7616">
      <c r="H7616" s="8" t="s">
        <v>364</v>
      </c>
    </row>
    <row r="7617">
      <c r="H7617" s="8" t="s">
        <v>364</v>
      </c>
    </row>
    <row r="7618">
      <c r="H7618" s="8" t="s">
        <v>364</v>
      </c>
    </row>
    <row r="7619">
      <c r="H7619" s="8" t="s">
        <v>364</v>
      </c>
    </row>
    <row r="7620">
      <c r="H7620" s="8" t="s">
        <v>364</v>
      </c>
    </row>
    <row r="7621">
      <c r="H7621" s="8" t="s">
        <v>364</v>
      </c>
    </row>
    <row r="7622">
      <c r="H7622" s="8" t="s">
        <v>364</v>
      </c>
    </row>
    <row r="7623">
      <c r="H7623" s="8" t="s">
        <v>364</v>
      </c>
    </row>
    <row r="7624">
      <c r="H7624" s="8" t="s">
        <v>364</v>
      </c>
    </row>
    <row r="7625">
      <c r="H7625" s="8" t="s">
        <v>364</v>
      </c>
    </row>
    <row r="7626">
      <c r="H7626" s="8" t="s">
        <v>364</v>
      </c>
    </row>
    <row r="7627">
      <c r="H7627" s="8" t="s">
        <v>364</v>
      </c>
    </row>
    <row r="7628">
      <c r="H7628" s="8" t="s">
        <v>364</v>
      </c>
    </row>
    <row r="7629">
      <c r="H7629" s="8" t="s">
        <v>364</v>
      </c>
    </row>
    <row r="7630">
      <c r="H7630" s="8" t="s">
        <v>364</v>
      </c>
    </row>
    <row r="7631">
      <c r="H7631" s="8" t="s">
        <v>364</v>
      </c>
    </row>
    <row r="7632">
      <c r="H7632" s="8" t="s">
        <v>364</v>
      </c>
    </row>
    <row r="7633">
      <c r="H7633" s="8" t="s">
        <v>364</v>
      </c>
    </row>
    <row r="7634">
      <c r="H7634" s="8" t="s">
        <v>364</v>
      </c>
    </row>
    <row r="7635">
      <c r="H7635" s="8" t="s">
        <v>364</v>
      </c>
    </row>
    <row r="7636">
      <c r="H7636" s="8" t="s">
        <v>364</v>
      </c>
    </row>
    <row r="7637">
      <c r="H7637" s="8" t="s">
        <v>364</v>
      </c>
    </row>
    <row r="7638">
      <c r="H7638" s="8" t="s">
        <v>364</v>
      </c>
    </row>
    <row r="7639">
      <c r="H7639" s="8" t="s">
        <v>364</v>
      </c>
    </row>
    <row r="7640">
      <c r="H7640" s="8" t="s">
        <v>364</v>
      </c>
    </row>
    <row r="7641">
      <c r="H7641" s="8" t="s">
        <v>364</v>
      </c>
    </row>
    <row r="7642">
      <c r="H7642" s="8" t="s">
        <v>364</v>
      </c>
    </row>
    <row r="7643">
      <c r="H7643" s="8" t="s">
        <v>364</v>
      </c>
    </row>
    <row r="7644">
      <c r="H7644" s="8" t="s">
        <v>364</v>
      </c>
    </row>
    <row r="7645">
      <c r="H7645" s="8" t="s">
        <v>364</v>
      </c>
    </row>
    <row r="7646">
      <c r="H7646" s="8" t="s">
        <v>364</v>
      </c>
    </row>
    <row r="7647">
      <c r="H7647" s="8" t="s">
        <v>364</v>
      </c>
    </row>
    <row r="7648">
      <c r="H7648" s="8" t="s">
        <v>364</v>
      </c>
    </row>
    <row r="7649">
      <c r="H7649" s="8" t="s">
        <v>364</v>
      </c>
    </row>
    <row r="7650">
      <c r="H7650" s="8" t="s">
        <v>364</v>
      </c>
    </row>
    <row r="7651">
      <c r="H7651" s="8" t="s">
        <v>364</v>
      </c>
    </row>
    <row r="7652">
      <c r="H7652" s="8" t="s">
        <v>364</v>
      </c>
    </row>
    <row r="7653">
      <c r="H7653" s="8" t="s">
        <v>364</v>
      </c>
    </row>
    <row r="7654">
      <c r="H7654" s="8" t="s">
        <v>364</v>
      </c>
    </row>
    <row r="7655">
      <c r="H7655" s="8" t="s">
        <v>364</v>
      </c>
    </row>
    <row r="7656">
      <c r="H7656" s="8" t="s">
        <v>364</v>
      </c>
    </row>
    <row r="7657">
      <c r="H7657" s="8" t="s">
        <v>364</v>
      </c>
    </row>
    <row r="7658">
      <c r="H7658" s="8" t="s">
        <v>364</v>
      </c>
    </row>
    <row r="7659">
      <c r="H7659" s="8" t="s">
        <v>364</v>
      </c>
    </row>
    <row r="7660">
      <c r="H7660" s="8" t="s">
        <v>364</v>
      </c>
    </row>
    <row r="7661">
      <c r="H7661" s="8" t="s">
        <v>364</v>
      </c>
    </row>
    <row r="7662">
      <c r="H7662" s="8" t="s">
        <v>364</v>
      </c>
    </row>
    <row r="7663">
      <c r="H7663" s="8" t="s">
        <v>364</v>
      </c>
    </row>
    <row r="7664">
      <c r="H7664" s="8" t="s">
        <v>364</v>
      </c>
    </row>
    <row r="7665">
      <c r="H7665" s="8" t="s">
        <v>364</v>
      </c>
    </row>
    <row r="7666">
      <c r="H7666" s="8" t="s">
        <v>364</v>
      </c>
    </row>
    <row r="7667">
      <c r="H7667" s="8" t="s">
        <v>364</v>
      </c>
    </row>
    <row r="7668">
      <c r="H7668" s="8" t="s">
        <v>364</v>
      </c>
    </row>
    <row r="7669">
      <c r="H7669" s="8" t="s">
        <v>364</v>
      </c>
    </row>
    <row r="7670">
      <c r="H7670" s="8" t="s">
        <v>364</v>
      </c>
    </row>
    <row r="7671">
      <c r="H7671" s="8" t="s">
        <v>364</v>
      </c>
    </row>
    <row r="7672">
      <c r="H7672" s="8" t="s">
        <v>364</v>
      </c>
    </row>
    <row r="7673">
      <c r="H7673" s="8" t="s">
        <v>364</v>
      </c>
    </row>
    <row r="7674">
      <c r="H7674" s="8" t="s">
        <v>364</v>
      </c>
    </row>
    <row r="7675">
      <c r="H7675" s="8" t="s">
        <v>364</v>
      </c>
    </row>
    <row r="7676">
      <c r="H7676" s="8" t="s">
        <v>364</v>
      </c>
    </row>
    <row r="7677">
      <c r="H7677" s="8" t="s">
        <v>364</v>
      </c>
    </row>
    <row r="7678">
      <c r="H7678" s="8" t="s">
        <v>364</v>
      </c>
    </row>
    <row r="7679">
      <c r="H7679" s="8" t="s">
        <v>364</v>
      </c>
    </row>
    <row r="7680">
      <c r="H7680" s="8" t="s">
        <v>364</v>
      </c>
    </row>
    <row r="7681">
      <c r="H7681" s="8" t="s">
        <v>364</v>
      </c>
    </row>
    <row r="7682">
      <c r="H7682" s="8" t="s">
        <v>364</v>
      </c>
    </row>
    <row r="7683">
      <c r="H7683" s="8" t="s">
        <v>364</v>
      </c>
    </row>
    <row r="7684">
      <c r="H7684" s="8" t="s">
        <v>364</v>
      </c>
    </row>
    <row r="7685">
      <c r="H7685" s="8" t="s">
        <v>364</v>
      </c>
    </row>
    <row r="7686">
      <c r="H7686" s="8" t="s">
        <v>364</v>
      </c>
    </row>
    <row r="7687">
      <c r="H7687" s="8" t="s">
        <v>364</v>
      </c>
    </row>
    <row r="7688">
      <c r="H7688" s="8" t="s">
        <v>364</v>
      </c>
    </row>
    <row r="7689">
      <c r="H7689" s="8" t="s">
        <v>364</v>
      </c>
    </row>
    <row r="7690">
      <c r="H7690" s="8" t="s">
        <v>364</v>
      </c>
    </row>
    <row r="7691">
      <c r="H7691" s="8" t="s">
        <v>364</v>
      </c>
    </row>
    <row r="7692">
      <c r="H7692" s="8" t="s">
        <v>364</v>
      </c>
    </row>
    <row r="7693">
      <c r="H7693" s="8" t="s">
        <v>364</v>
      </c>
    </row>
    <row r="7694">
      <c r="H7694" s="8" t="s">
        <v>364</v>
      </c>
    </row>
    <row r="7695">
      <c r="H7695" s="8" t="s">
        <v>364</v>
      </c>
    </row>
    <row r="7696">
      <c r="H7696" s="8" t="s">
        <v>364</v>
      </c>
    </row>
    <row r="7697">
      <c r="H7697" s="8" t="s">
        <v>364</v>
      </c>
    </row>
    <row r="7698">
      <c r="H7698" s="8" t="s">
        <v>364</v>
      </c>
    </row>
    <row r="7699">
      <c r="H7699" s="8" t="s">
        <v>364</v>
      </c>
    </row>
    <row r="7700">
      <c r="H7700" s="8" t="s">
        <v>364</v>
      </c>
    </row>
    <row r="7701">
      <c r="H7701" s="8" t="s">
        <v>364</v>
      </c>
    </row>
    <row r="7702">
      <c r="H7702" s="8" t="s">
        <v>364</v>
      </c>
    </row>
    <row r="7703">
      <c r="H7703" s="8" t="s">
        <v>364</v>
      </c>
    </row>
    <row r="7704">
      <c r="H7704" s="8" t="s">
        <v>364</v>
      </c>
    </row>
    <row r="7705">
      <c r="H7705" s="8" t="s">
        <v>364</v>
      </c>
    </row>
    <row r="7706">
      <c r="H7706" s="8" t="s">
        <v>364</v>
      </c>
    </row>
    <row r="7707">
      <c r="H7707" s="8" t="s">
        <v>364</v>
      </c>
    </row>
    <row r="7708">
      <c r="H7708" s="8" t="s">
        <v>364</v>
      </c>
    </row>
    <row r="7709">
      <c r="H7709" s="8" t="s">
        <v>364</v>
      </c>
    </row>
    <row r="7710">
      <c r="H7710" s="8" t="s">
        <v>364</v>
      </c>
    </row>
    <row r="7711">
      <c r="H7711" s="8" t="s">
        <v>364</v>
      </c>
    </row>
    <row r="7712">
      <c r="H7712" s="8" t="s">
        <v>364</v>
      </c>
    </row>
    <row r="7713">
      <c r="H7713" s="8" t="s">
        <v>364</v>
      </c>
    </row>
    <row r="7714">
      <c r="H7714" s="8" t="s">
        <v>364</v>
      </c>
    </row>
    <row r="7715">
      <c r="H7715" s="8" t="s">
        <v>364</v>
      </c>
    </row>
    <row r="7716">
      <c r="H7716" s="8" t="s">
        <v>364</v>
      </c>
    </row>
    <row r="7717">
      <c r="H7717" s="8" t="s">
        <v>364</v>
      </c>
    </row>
    <row r="7718">
      <c r="H7718" s="8" t="s">
        <v>364</v>
      </c>
    </row>
    <row r="7719">
      <c r="H7719" s="8" t="s">
        <v>364</v>
      </c>
    </row>
    <row r="7720">
      <c r="H7720" s="8" t="s">
        <v>364</v>
      </c>
    </row>
    <row r="7721">
      <c r="H7721" s="8" t="s">
        <v>364</v>
      </c>
    </row>
    <row r="7722">
      <c r="H7722" s="8" t="s">
        <v>364</v>
      </c>
    </row>
    <row r="7723">
      <c r="H7723" s="8" t="s">
        <v>364</v>
      </c>
    </row>
    <row r="7724">
      <c r="H7724" s="8" t="s">
        <v>364</v>
      </c>
    </row>
    <row r="7725">
      <c r="H7725" s="8" t="s">
        <v>364</v>
      </c>
    </row>
    <row r="7726">
      <c r="H7726" s="8" t="s">
        <v>364</v>
      </c>
    </row>
    <row r="7727">
      <c r="H7727" s="8" t="s">
        <v>364</v>
      </c>
    </row>
    <row r="7728">
      <c r="H7728" s="8" t="s">
        <v>364</v>
      </c>
    </row>
    <row r="7729">
      <c r="H7729" s="8" t="s">
        <v>364</v>
      </c>
    </row>
    <row r="7730">
      <c r="H7730" s="8" t="s">
        <v>364</v>
      </c>
    </row>
    <row r="7731">
      <c r="H7731" s="8" t="s">
        <v>364</v>
      </c>
    </row>
    <row r="7732">
      <c r="H7732" s="8" t="s">
        <v>364</v>
      </c>
    </row>
    <row r="7733">
      <c r="H7733" s="8" t="s">
        <v>364</v>
      </c>
    </row>
    <row r="7734">
      <c r="H7734" s="8" t="s">
        <v>364</v>
      </c>
    </row>
    <row r="7735">
      <c r="H7735" s="8" t="s">
        <v>364</v>
      </c>
    </row>
    <row r="7736">
      <c r="H7736" s="8" t="s">
        <v>364</v>
      </c>
    </row>
    <row r="7737">
      <c r="H7737" s="8" t="s">
        <v>364</v>
      </c>
    </row>
    <row r="7738">
      <c r="H7738" s="8" t="s">
        <v>364</v>
      </c>
    </row>
    <row r="7739">
      <c r="H7739" s="8" t="s">
        <v>364</v>
      </c>
    </row>
    <row r="7740">
      <c r="H7740" s="8" t="s">
        <v>364</v>
      </c>
    </row>
    <row r="7741">
      <c r="H7741" s="8" t="s">
        <v>364</v>
      </c>
    </row>
    <row r="7742">
      <c r="H7742" s="8" t="s">
        <v>364</v>
      </c>
    </row>
    <row r="7743">
      <c r="H7743" s="8" t="s">
        <v>364</v>
      </c>
    </row>
    <row r="7744">
      <c r="H7744" s="8" t="s">
        <v>364</v>
      </c>
    </row>
    <row r="7745">
      <c r="H7745" s="8" t="s">
        <v>364</v>
      </c>
    </row>
    <row r="7746">
      <c r="H7746" s="8" t="s">
        <v>364</v>
      </c>
    </row>
    <row r="7747">
      <c r="H7747" s="8" t="s">
        <v>364</v>
      </c>
    </row>
    <row r="7748">
      <c r="H7748" s="8" t="s">
        <v>364</v>
      </c>
    </row>
    <row r="7749">
      <c r="H7749" s="8" t="s">
        <v>364</v>
      </c>
    </row>
    <row r="7750">
      <c r="H7750" s="8" t="s">
        <v>364</v>
      </c>
    </row>
    <row r="7751">
      <c r="H7751" s="8" t="s">
        <v>364</v>
      </c>
    </row>
    <row r="7752">
      <c r="H7752" s="8" t="s">
        <v>364</v>
      </c>
    </row>
    <row r="7753">
      <c r="H7753" s="8" t="s">
        <v>364</v>
      </c>
    </row>
    <row r="7754">
      <c r="H7754" s="8" t="s">
        <v>364</v>
      </c>
    </row>
    <row r="7755">
      <c r="H7755" s="8" t="s">
        <v>364</v>
      </c>
    </row>
    <row r="7756">
      <c r="H7756" s="8" t="s">
        <v>364</v>
      </c>
    </row>
    <row r="7757">
      <c r="H7757" s="8" t="s">
        <v>364</v>
      </c>
    </row>
    <row r="7758">
      <c r="H7758" s="8" t="s">
        <v>364</v>
      </c>
    </row>
    <row r="7759">
      <c r="H7759" s="8" t="s">
        <v>364</v>
      </c>
    </row>
    <row r="7760">
      <c r="H7760" s="8" t="s">
        <v>364</v>
      </c>
    </row>
    <row r="7761">
      <c r="H7761" s="8" t="s">
        <v>364</v>
      </c>
    </row>
    <row r="7762">
      <c r="H7762" s="8" t="s">
        <v>364</v>
      </c>
    </row>
    <row r="7763">
      <c r="H7763" s="8" t="s">
        <v>364</v>
      </c>
    </row>
    <row r="7764">
      <c r="H7764" s="8" t="s">
        <v>364</v>
      </c>
    </row>
    <row r="7765">
      <c r="H7765" s="8" t="s">
        <v>364</v>
      </c>
    </row>
    <row r="7766">
      <c r="H7766" s="8" t="s">
        <v>364</v>
      </c>
    </row>
    <row r="7767">
      <c r="H7767" s="8" t="s">
        <v>364</v>
      </c>
    </row>
    <row r="7768">
      <c r="H7768" s="8" t="s">
        <v>364</v>
      </c>
    </row>
    <row r="7769">
      <c r="H7769" s="8" t="s">
        <v>364</v>
      </c>
    </row>
    <row r="7770">
      <c r="H7770" s="8" t="s">
        <v>364</v>
      </c>
    </row>
    <row r="7771">
      <c r="H7771" s="8" t="s">
        <v>364</v>
      </c>
    </row>
    <row r="7772">
      <c r="H7772" s="8" t="s">
        <v>364</v>
      </c>
    </row>
    <row r="7773">
      <c r="H7773" s="8" t="s">
        <v>364</v>
      </c>
    </row>
    <row r="7774">
      <c r="H7774" s="8" t="s">
        <v>364</v>
      </c>
    </row>
    <row r="7775">
      <c r="H7775" s="8" t="s">
        <v>364</v>
      </c>
    </row>
    <row r="7776">
      <c r="H7776" s="8" t="s">
        <v>364</v>
      </c>
    </row>
    <row r="7777">
      <c r="H7777" s="8" t="s">
        <v>364</v>
      </c>
    </row>
    <row r="7778">
      <c r="H7778" s="8" t="s">
        <v>364</v>
      </c>
    </row>
    <row r="7779">
      <c r="H7779" s="8" t="s">
        <v>364</v>
      </c>
    </row>
    <row r="7780">
      <c r="H7780" s="8" t="s">
        <v>364</v>
      </c>
    </row>
    <row r="7781">
      <c r="H7781" s="8" t="s">
        <v>364</v>
      </c>
    </row>
    <row r="7782">
      <c r="H7782" s="8" t="s">
        <v>364</v>
      </c>
    </row>
    <row r="7783">
      <c r="H7783" s="8" t="s">
        <v>364</v>
      </c>
    </row>
    <row r="7784">
      <c r="H7784" s="8" t="s">
        <v>364</v>
      </c>
    </row>
    <row r="7785">
      <c r="H7785" s="8" t="s">
        <v>364</v>
      </c>
    </row>
    <row r="7786">
      <c r="H7786" s="8" t="s">
        <v>364</v>
      </c>
    </row>
    <row r="7787">
      <c r="H7787" s="8" t="s">
        <v>364</v>
      </c>
    </row>
    <row r="7788">
      <c r="H7788" s="8" t="s">
        <v>364</v>
      </c>
    </row>
    <row r="7789">
      <c r="H7789" s="8" t="s">
        <v>364</v>
      </c>
    </row>
    <row r="7790">
      <c r="H7790" s="8" t="s">
        <v>364</v>
      </c>
    </row>
    <row r="7791">
      <c r="H7791" s="8" t="s">
        <v>364</v>
      </c>
    </row>
    <row r="7792">
      <c r="H7792" s="8" t="s">
        <v>364</v>
      </c>
    </row>
    <row r="7793">
      <c r="H7793" s="8" t="s">
        <v>364</v>
      </c>
    </row>
    <row r="7794">
      <c r="H7794" s="8" t="s">
        <v>364</v>
      </c>
    </row>
    <row r="7795">
      <c r="H7795" s="8" t="s">
        <v>364</v>
      </c>
    </row>
    <row r="7796">
      <c r="H7796" s="8" t="s">
        <v>364</v>
      </c>
    </row>
    <row r="7797">
      <c r="H7797" s="8" t="s">
        <v>364</v>
      </c>
    </row>
    <row r="7798">
      <c r="H7798" s="8" t="s">
        <v>364</v>
      </c>
    </row>
    <row r="7799">
      <c r="H7799" s="8" t="s">
        <v>364</v>
      </c>
    </row>
    <row r="7800">
      <c r="H7800" s="8" t="s">
        <v>364</v>
      </c>
    </row>
    <row r="7801">
      <c r="H7801" s="8" t="s">
        <v>364</v>
      </c>
    </row>
    <row r="7802">
      <c r="H7802" s="8" t="s">
        <v>364</v>
      </c>
    </row>
    <row r="7803">
      <c r="H7803" s="8" t="s">
        <v>364</v>
      </c>
    </row>
    <row r="7804">
      <c r="H7804" s="8" t="s">
        <v>364</v>
      </c>
    </row>
    <row r="7805">
      <c r="H7805" s="8" t="s">
        <v>364</v>
      </c>
    </row>
    <row r="7806">
      <c r="H7806" s="8" t="s">
        <v>364</v>
      </c>
    </row>
    <row r="7807">
      <c r="H7807" s="8" t="s">
        <v>364</v>
      </c>
    </row>
    <row r="7808">
      <c r="H7808" s="8" t="s">
        <v>364</v>
      </c>
    </row>
    <row r="7809">
      <c r="H7809" s="8" t="s">
        <v>364</v>
      </c>
    </row>
    <row r="7810">
      <c r="H7810" s="8" t="s">
        <v>364</v>
      </c>
    </row>
    <row r="7811">
      <c r="H7811" s="8" t="s">
        <v>364</v>
      </c>
    </row>
    <row r="7812">
      <c r="H7812" s="8" t="s">
        <v>364</v>
      </c>
    </row>
    <row r="7813">
      <c r="H7813" s="8" t="s">
        <v>364</v>
      </c>
    </row>
    <row r="7814">
      <c r="H7814" s="8" t="s">
        <v>364</v>
      </c>
    </row>
    <row r="7815">
      <c r="H7815" s="8" t="s">
        <v>364</v>
      </c>
    </row>
    <row r="7816">
      <c r="H7816" s="8" t="s">
        <v>364</v>
      </c>
    </row>
    <row r="7817">
      <c r="H7817" s="8" t="s">
        <v>364</v>
      </c>
    </row>
    <row r="7818">
      <c r="H7818" s="8" t="s">
        <v>364</v>
      </c>
    </row>
    <row r="7819">
      <c r="H7819" s="8" t="s">
        <v>364</v>
      </c>
    </row>
    <row r="7820">
      <c r="H7820" s="8" t="s">
        <v>364</v>
      </c>
    </row>
    <row r="7821">
      <c r="H7821" s="8" t="s">
        <v>364</v>
      </c>
    </row>
    <row r="7822">
      <c r="H7822" s="8" t="s">
        <v>364</v>
      </c>
    </row>
    <row r="7823">
      <c r="H7823" s="8" t="s">
        <v>364</v>
      </c>
    </row>
    <row r="7824">
      <c r="H7824" s="8" t="s">
        <v>364</v>
      </c>
    </row>
    <row r="7825">
      <c r="H7825" s="8" t="s">
        <v>364</v>
      </c>
    </row>
    <row r="7826">
      <c r="H7826" s="8" t="s">
        <v>364</v>
      </c>
    </row>
    <row r="7827">
      <c r="H7827" s="8" t="s">
        <v>364</v>
      </c>
    </row>
    <row r="7828">
      <c r="H7828" s="8" t="s">
        <v>364</v>
      </c>
    </row>
    <row r="7829">
      <c r="H7829" s="8" t="s">
        <v>364</v>
      </c>
    </row>
    <row r="7830">
      <c r="H7830" s="8" t="s">
        <v>364</v>
      </c>
    </row>
    <row r="7831">
      <c r="H7831" s="8" t="s">
        <v>364</v>
      </c>
    </row>
    <row r="7832">
      <c r="H7832" s="8" t="s">
        <v>364</v>
      </c>
    </row>
    <row r="7833">
      <c r="H7833" s="8" t="s">
        <v>364</v>
      </c>
    </row>
    <row r="7834">
      <c r="H7834" s="8" t="s">
        <v>364</v>
      </c>
    </row>
    <row r="7835">
      <c r="H7835" s="8" t="s">
        <v>364</v>
      </c>
    </row>
    <row r="7836">
      <c r="H7836" s="8" t="s">
        <v>364</v>
      </c>
    </row>
    <row r="7837">
      <c r="H7837" s="8" t="s">
        <v>364</v>
      </c>
    </row>
    <row r="7838">
      <c r="H7838" s="8" t="s">
        <v>364</v>
      </c>
    </row>
    <row r="7839">
      <c r="H7839" s="8" t="s">
        <v>364</v>
      </c>
    </row>
    <row r="7840">
      <c r="H7840" s="8" t="s">
        <v>364</v>
      </c>
    </row>
    <row r="7841">
      <c r="H7841" s="8" t="s">
        <v>364</v>
      </c>
    </row>
    <row r="7842">
      <c r="H7842" s="8" t="s">
        <v>364</v>
      </c>
    </row>
    <row r="7843">
      <c r="H7843" s="8" t="s">
        <v>364</v>
      </c>
    </row>
    <row r="7844">
      <c r="H7844" s="8" t="s">
        <v>364</v>
      </c>
    </row>
    <row r="7845">
      <c r="H7845" s="8" t="s">
        <v>364</v>
      </c>
    </row>
    <row r="7846">
      <c r="H7846" s="8" t="s">
        <v>364</v>
      </c>
    </row>
    <row r="7847">
      <c r="H7847" s="8" t="s">
        <v>364</v>
      </c>
    </row>
    <row r="7848">
      <c r="H7848" s="8" t="s">
        <v>364</v>
      </c>
    </row>
    <row r="7849">
      <c r="H7849" s="8" t="s">
        <v>364</v>
      </c>
    </row>
    <row r="7850">
      <c r="H7850" s="8" t="s">
        <v>364</v>
      </c>
    </row>
    <row r="7851">
      <c r="H7851" s="8" t="s">
        <v>364</v>
      </c>
    </row>
    <row r="7852">
      <c r="H7852" s="8" t="s">
        <v>364</v>
      </c>
    </row>
    <row r="7853">
      <c r="H7853" s="8" t="s">
        <v>364</v>
      </c>
    </row>
    <row r="7854">
      <c r="H7854" s="8" t="s">
        <v>364</v>
      </c>
    </row>
    <row r="7855">
      <c r="H7855" s="8" t="s">
        <v>364</v>
      </c>
    </row>
    <row r="7856">
      <c r="H7856" s="8" t="s">
        <v>364</v>
      </c>
    </row>
    <row r="7857">
      <c r="H7857" s="8" t="s">
        <v>364</v>
      </c>
    </row>
    <row r="7858">
      <c r="H7858" s="8" t="s">
        <v>364</v>
      </c>
    </row>
    <row r="7859">
      <c r="H7859" s="8" t="s">
        <v>364</v>
      </c>
    </row>
    <row r="7860">
      <c r="H7860" s="8" t="s">
        <v>364</v>
      </c>
    </row>
    <row r="7861">
      <c r="H7861" s="8" t="s">
        <v>364</v>
      </c>
    </row>
    <row r="7862">
      <c r="H7862" s="8" t="s">
        <v>364</v>
      </c>
    </row>
    <row r="7863">
      <c r="H7863" s="8" t="s">
        <v>364</v>
      </c>
    </row>
    <row r="7864">
      <c r="H7864" s="8" t="s">
        <v>364</v>
      </c>
    </row>
    <row r="7865">
      <c r="H7865" s="8" t="s">
        <v>364</v>
      </c>
    </row>
    <row r="7866">
      <c r="H7866" s="8" t="s">
        <v>364</v>
      </c>
    </row>
    <row r="7867">
      <c r="H7867" s="8" t="s">
        <v>364</v>
      </c>
    </row>
    <row r="7868">
      <c r="H7868" s="8" t="s">
        <v>364</v>
      </c>
    </row>
    <row r="7869">
      <c r="H7869" s="8" t="s">
        <v>364</v>
      </c>
    </row>
    <row r="7870">
      <c r="H7870" s="8" t="s">
        <v>364</v>
      </c>
    </row>
    <row r="7871">
      <c r="H7871" s="8" t="s">
        <v>364</v>
      </c>
    </row>
    <row r="7872">
      <c r="H7872" s="8" t="s">
        <v>364</v>
      </c>
    </row>
    <row r="7873">
      <c r="H7873" s="8" t="s">
        <v>364</v>
      </c>
    </row>
    <row r="7874">
      <c r="H7874" s="8" t="s">
        <v>364</v>
      </c>
    </row>
    <row r="7875">
      <c r="H7875" s="8" t="s">
        <v>364</v>
      </c>
    </row>
    <row r="7876">
      <c r="H7876" s="8" t="s">
        <v>364</v>
      </c>
    </row>
    <row r="7877">
      <c r="H7877" s="8" t="s">
        <v>364</v>
      </c>
    </row>
    <row r="7878">
      <c r="H7878" s="8" t="s">
        <v>364</v>
      </c>
    </row>
    <row r="7879">
      <c r="H7879" s="8" t="s">
        <v>364</v>
      </c>
    </row>
    <row r="7880">
      <c r="H7880" s="8" t="s">
        <v>364</v>
      </c>
    </row>
    <row r="7881">
      <c r="H7881" s="8" t="s">
        <v>364</v>
      </c>
    </row>
    <row r="7882">
      <c r="H7882" s="8" t="s">
        <v>364</v>
      </c>
    </row>
    <row r="7883">
      <c r="H7883" s="8" t="s">
        <v>364</v>
      </c>
    </row>
    <row r="7884">
      <c r="H7884" s="8" t="s">
        <v>364</v>
      </c>
    </row>
    <row r="7885">
      <c r="H7885" s="8" t="s">
        <v>364</v>
      </c>
    </row>
    <row r="7886">
      <c r="H7886" s="8" t="s">
        <v>364</v>
      </c>
    </row>
    <row r="7887">
      <c r="H7887" s="8" t="s">
        <v>364</v>
      </c>
    </row>
    <row r="7888">
      <c r="H7888" s="8" t="s">
        <v>364</v>
      </c>
    </row>
    <row r="7889">
      <c r="H7889" s="8" t="s">
        <v>364</v>
      </c>
    </row>
    <row r="7890">
      <c r="H7890" s="8" t="s">
        <v>364</v>
      </c>
    </row>
    <row r="7891">
      <c r="H7891" s="8" t="s">
        <v>364</v>
      </c>
    </row>
    <row r="7892">
      <c r="H7892" s="8" t="s">
        <v>364</v>
      </c>
    </row>
    <row r="7893">
      <c r="H7893" s="8" t="s">
        <v>364</v>
      </c>
    </row>
    <row r="7894">
      <c r="H7894" s="8" t="s">
        <v>364</v>
      </c>
    </row>
    <row r="7895">
      <c r="H7895" s="8" t="s">
        <v>364</v>
      </c>
    </row>
    <row r="7896">
      <c r="H7896" s="8" t="s">
        <v>364</v>
      </c>
    </row>
    <row r="7897">
      <c r="H7897" s="8" t="s">
        <v>364</v>
      </c>
    </row>
    <row r="7898">
      <c r="H7898" s="8" t="s">
        <v>364</v>
      </c>
    </row>
    <row r="7899">
      <c r="H7899" s="8" t="s">
        <v>364</v>
      </c>
    </row>
    <row r="7900">
      <c r="H7900" s="8" t="s">
        <v>364</v>
      </c>
    </row>
    <row r="7901">
      <c r="H7901" s="8" t="s">
        <v>364</v>
      </c>
    </row>
    <row r="7902">
      <c r="H7902" s="8" t="s">
        <v>364</v>
      </c>
    </row>
    <row r="7903">
      <c r="H7903" s="8" t="s">
        <v>364</v>
      </c>
    </row>
    <row r="7904">
      <c r="H7904" s="8" t="s">
        <v>364</v>
      </c>
    </row>
    <row r="7905">
      <c r="H7905" s="8" t="s">
        <v>364</v>
      </c>
    </row>
    <row r="7906">
      <c r="H7906" s="8" t="s">
        <v>364</v>
      </c>
    </row>
    <row r="7907">
      <c r="H7907" s="8" t="s">
        <v>364</v>
      </c>
    </row>
    <row r="7908">
      <c r="H7908" s="8" t="s">
        <v>364</v>
      </c>
    </row>
    <row r="7909">
      <c r="H7909" s="8" t="s">
        <v>364</v>
      </c>
    </row>
    <row r="7910">
      <c r="H7910" s="8" t="s">
        <v>364</v>
      </c>
    </row>
    <row r="7911">
      <c r="H7911" s="8" t="s">
        <v>364</v>
      </c>
    </row>
    <row r="7912">
      <c r="H7912" s="8" t="s">
        <v>364</v>
      </c>
    </row>
    <row r="7913">
      <c r="H7913" s="8" t="s">
        <v>364</v>
      </c>
    </row>
    <row r="7914">
      <c r="H7914" s="8" t="s">
        <v>364</v>
      </c>
    </row>
    <row r="7915">
      <c r="H7915" s="8" t="s">
        <v>364</v>
      </c>
    </row>
    <row r="7916">
      <c r="H7916" s="8" t="s">
        <v>364</v>
      </c>
    </row>
    <row r="7917">
      <c r="H7917" s="8" t="s">
        <v>364</v>
      </c>
    </row>
    <row r="7918">
      <c r="H7918" s="8" t="s">
        <v>364</v>
      </c>
    </row>
    <row r="7919">
      <c r="H7919" s="8" t="s">
        <v>364</v>
      </c>
    </row>
    <row r="7920">
      <c r="H7920" s="8" t="s">
        <v>364</v>
      </c>
    </row>
    <row r="7921">
      <c r="H7921" s="8" t="s">
        <v>364</v>
      </c>
    </row>
    <row r="7922">
      <c r="H7922" s="8" t="s">
        <v>364</v>
      </c>
    </row>
    <row r="7923">
      <c r="H7923" s="8" t="s">
        <v>364</v>
      </c>
    </row>
    <row r="7924">
      <c r="H7924" s="8" t="s">
        <v>364</v>
      </c>
    </row>
    <row r="7925">
      <c r="H7925" s="8" t="s">
        <v>364</v>
      </c>
    </row>
    <row r="7926">
      <c r="H7926" s="8" t="s">
        <v>364</v>
      </c>
    </row>
    <row r="7927">
      <c r="H7927" s="8" t="s">
        <v>364</v>
      </c>
    </row>
    <row r="7928">
      <c r="H7928" s="8" t="s">
        <v>364</v>
      </c>
    </row>
    <row r="7929">
      <c r="H7929" s="8" t="s">
        <v>364</v>
      </c>
    </row>
    <row r="7930">
      <c r="H7930" s="8" t="s">
        <v>364</v>
      </c>
    </row>
    <row r="7931">
      <c r="H7931" s="8" t="s">
        <v>364</v>
      </c>
    </row>
    <row r="7932">
      <c r="H7932" s="8" t="s">
        <v>364</v>
      </c>
    </row>
    <row r="7933">
      <c r="H7933" s="8" t="s">
        <v>364</v>
      </c>
    </row>
    <row r="7934">
      <c r="H7934" s="8" t="s">
        <v>364</v>
      </c>
    </row>
    <row r="7935">
      <c r="H7935" s="8" t="s">
        <v>364</v>
      </c>
    </row>
    <row r="7936">
      <c r="H7936" s="8" t="s">
        <v>364</v>
      </c>
    </row>
    <row r="7937">
      <c r="H7937" s="8" t="s">
        <v>364</v>
      </c>
    </row>
    <row r="7938">
      <c r="H7938" s="8" t="s">
        <v>364</v>
      </c>
    </row>
    <row r="7939">
      <c r="H7939" s="8" t="s">
        <v>364</v>
      </c>
    </row>
    <row r="7940">
      <c r="H7940" s="8" t="s">
        <v>364</v>
      </c>
    </row>
    <row r="7941">
      <c r="H7941" s="8" t="s">
        <v>364</v>
      </c>
    </row>
    <row r="7942">
      <c r="H7942" s="8" t="s">
        <v>364</v>
      </c>
    </row>
    <row r="7943">
      <c r="H7943" s="8" t="s">
        <v>364</v>
      </c>
    </row>
    <row r="7944">
      <c r="H7944" s="8" t="s">
        <v>364</v>
      </c>
    </row>
    <row r="7945">
      <c r="H7945" s="8" t="s">
        <v>364</v>
      </c>
    </row>
    <row r="7946">
      <c r="H7946" s="8" t="s">
        <v>364</v>
      </c>
    </row>
    <row r="7947">
      <c r="H7947" s="8" t="s">
        <v>364</v>
      </c>
    </row>
    <row r="7948">
      <c r="H7948" s="8" t="s">
        <v>364</v>
      </c>
    </row>
    <row r="7949">
      <c r="H7949" s="8" t="s">
        <v>364</v>
      </c>
    </row>
    <row r="7950">
      <c r="H7950" s="8" t="s">
        <v>364</v>
      </c>
    </row>
    <row r="7951">
      <c r="H7951" s="8" t="s">
        <v>364</v>
      </c>
    </row>
    <row r="7952">
      <c r="H7952" s="8" t="s">
        <v>364</v>
      </c>
    </row>
    <row r="7953">
      <c r="H7953" s="8" t="s">
        <v>364</v>
      </c>
    </row>
    <row r="7954">
      <c r="H7954" s="8" t="s">
        <v>364</v>
      </c>
    </row>
    <row r="7955">
      <c r="H7955" s="8" t="s">
        <v>364</v>
      </c>
    </row>
    <row r="7956">
      <c r="H7956" s="8" t="s">
        <v>364</v>
      </c>
    </row>
    <row r="7957">
      <c r="H7957" s="8" t="s">
        <v>364</v>
      </c>
    </row>
    <row r="7958">
      <c r="H7958" s="8" t="s">
        <v>364</v>
      </c>
    </row>
    <row r="7959">
      <c r="H7959" s="8" t="s">
        <v>364</v>
      </c>
    </row>
    <row r="7960">
      <c r="H7960" s="8" t="s">
        <v>364</v>
      </c>
    </row>
    <row r="7961">
      <c r="H7961" s="8" t="s">
        <v>364</v>
      </c>
    </row>
    <row r="7962">
      <c r="H7962" s="8" t="s">
        <v>364</v>
      </c>
    </row>
    <row r="7963">
      <c r="H7963" s="8" t="s">
        <v>364</v>
      </c>
    </row>
    <row r="7964">
      <c r="H7964" s="8" t="s">
        <v>364</v>
      </c>
    </row>
    <row r="7965">
      <c r="H7965" s="8" t="s">
        <v>364</v>
      </c>
    </row>
    <row r="7966">
      <c r="H7966" s="8" t="s">
        <v>364</v>
      </c>
    </row>
    <row r="7967">
      <c r="H7967" s="8" t="s">
        <v>364</v>
      </c>
    </row>
    <row r="7968">
      <c r="H7968" s="8" t="s">
        <v>364</v>
      </c>
    </row>
    <row r="7969">
      <c r="H7969" s="8" t="s">
        <v>364</v>
      </c>
    </row>
    <row r="7970">
      <c r="H7970" s="8" t="s">
        <v>364</v>
      </c>
    </row>
    <row r="7971">
      <c r="H7971" s="8" t="s">
        <v>364</v>
      </c>
    </row>
    <row r="7972">
      <c r="H7972" s="8" t="s">
        <v>364</v>
      </c>
    </row>
    <row r="7973">
      <c r="H7973" s="8" t="s">
        <v>364</v>
      </c>
    </row>
    <row r="7974">
      <c r="H7974" s="8" t="s">
        <v>364</v>
      </c>
    </row>
    <row r="7975">
      <c r="H7975" s="8" t="s">
        <v>364</v>
      </c>
    </row>
    <row r="7976">
      <c r="H7976" s="8" t="s">
        <v>364</v>
      </c>
    </row>
    <row r="7977">
      <c r="H7977" s="8" t="s">
        <v>364</v>
      </c>
    </row>
    <row r="7978">
      <c r="H7978" s="8" t="s">
        <v>364</v>
      </c>
    </row>
    <row r="7979">
      <c r="H7979" s="8" t="s">
        <v>364</v>
      </c>
    </row>
    <row r="7980">
      <c r="H7980" s="8" t="s">
        <v>364</v>
      </c>
    </row>
    <row r="7981">
      <c r="H7981" s="8" t="s">
        <v>364</v>
      </c>
    </row>
    <row r="7982">
      <c r="H7982" s="8" t="s">
        <v>364</v>
      </c>
    </row>
    <row r="7983">
      <c r="H7983" s="8" t="s">
        <v>364</v>
      </c>
    </row>
    <row r="7984">
      <c r="H7984" s="8" t="s">
        <v>364</v>
      </c>
    </row>
    <row r="7985">
      <c r="H7985" s="8" t="s">
        <v>364</v>
      </c>
    </row>
    <row r="7986">
      <c r="H7986" s="8" t="s">
        <v>364</v>
      </c>
    </row>
    <row r="7987">
      <c r="H7987" s="8" t="s">
        <v>364</v>
      </c>
    </row>
    <row r="7988">
      <c r="H7988" s="8" t="s">
        <v>364</v>
      </c>
    </row>
    <row r="7989">
      <c r="H7989" s="8" t="s">
        <v>364</v>
      </c>
    </row>
    <row r="7990">
      <c r="H7990" s="8" t="s">
        <v>364</v>
      </c>
    </row>
    <row r="7991">
      <c r="H7991" s="8" t="s">
        <v>364</v>
      </c>
    </row>
    <row r="7992">
      <c r="H7992" s="8" t="s">
        <v>364</v>
      </c>
    </row>
    <row r="7993">
      <c r="H7993" s="8" t="s">
        <v>364</v>
      </c>
    </row>
    <row r="7994">
      <c r="H7994" s="8" t="s">
        <v>364</v>
      </c>
    </row>
    <row r="7995">
      <c r="H7995" s="8" t="s">
        <v>364</v>
      </c>
    </row>
    <row r="7996">
      <c r="H7996" s="8" t="s">
        <v>364</v>
      </c>
    </row>
    <row r="7997">
      <c r="H7997" s="8" t="s">
        <v>364</v>
      </c>
    </row>
    <row r="7998">
      <c r="H7998" s="8" t="s">
        <v>364</v>
      </c>
    </row>
    <row r="7999">
      <c r="H7999" s="8" t="s">
        <v>364</v>
      </c>
    </row>
    <row r="8000">
      <c r="H8000" s="8" t="s">
        <v>364</v>
      </c>
    </row>
    <row r="8001">
      <c r="H8001" s="8" t="s">
        <v>364</v>
      </c>
    </row>
    <row r="8002">
      <c r="H8002" s="8" t="s">
        <v>364</v>
      </c>
    </row>
    <row r="8003">
      <c r="H8003" s="8" t="s">
        <v>364</v>
      </c>
    </row>
    <row r="8004">
      <c r="H8004" s="8" t="s">
        <v>364</v>
      </c>
    </row>
    <row r="8005">
      <c r="H8005" s="8" t="s">
        <v>364</v>
      </c>
    </row>
    <row r="8006">
      <c r="H8006" s="8" t="s">
        <v>364</v>
      </c>
    </row>
    <row r="8007">
      <c r="H8007" s="8" t="s">
        <v>364</v>
      </c>
    </row>
    <row r="8008">
      <c r="H8008" s="8" t="s">
        <v>364</v>
      </c>
    </row>
    <row r="8009">
      <c r="H8009" s="8" t="s">
        <v>364</v>
      </c>
    </row>
    <row r="8010">
      <c r="H8010" s="8" t="s">
        <v>364</v>
      </c>
    </row>
    <row r="8011">
      <c r="H8011" s="8" t="s">
        <v>364</v>
      </c>
    </row>
    <row r="8012">
      <c r="H8012" s="8" t="s">
        <v>364</v>
      </c>
    </row>
    <row r="8013">
      <c r="H8013" s="8" t="s">
        <v>364</v>
      </c>
    </row>
    <row r="8014">
      <c r="H8014" s="8" t="s">
        <v>364</v>
      </c>
    </row>
    <row r="8015">
      <c r="H8015" s="8" t="s">
        <v>364</v>
      </c>
    </row>
    <row r="8016">
      <c r="H8016" s="8" t="s">
        <v>364</v>
      </c>
    </row>
    <row r="8017">
      <c r="H8017" s="8" t="s">
        <v>364</v>
      </c>
    </row>
    <row r="8018">
      <c r="H8018" s="8" t="s">
        <v>364</v>
      </c>
    </row>
    <row r="8019">
      <c r="H8019" s="8" t="s">
        <v>364</v>
      </c>
    </row>
    <row r="8020">
      <c r="H8020" s="8" t="s">
        <v>364</v>
      </c>
    </row>
    <row r="8021">
      <c r="H8021" s="8" t="s">
        <v>364</v>
      </c>
    </row>
    <row r="8022">
      <c r="H8022" s="8" t="s">
        <v>364</v>
      </c>
    </row>
    <row r="8023">
      <c r="H8023" s="8" t="s">
        <v>364</v>
      </c>
    </row>
    <row r="8024">
      <c r="H8024" s="8" t="s">
        <v>364</v>
      </c>
    </row>
    <row r="8025">
      <c r="H8025" s="8" t="s">
        <v>364</v>
      </c>
    </row>
    <row r="8026">
      <c r="H8026" s="8" t="s">
        <v>364</v>
      </c>
    </row>
    <row r="8027">
      <c r="H8027" s="8" t="s">
        <v>364</v>
      </c>
    </row>
    <row r="8028">
      <c r="H8028" s="8" t="s">
        <v>364</v>
      </c>
    </row>
    <row r="8029">
      <c r="H8029" s="8" t="s">
        <v>364</v>
      </c>
    </row>
    <row r="8030">
      <c r="H8030" s="8" t="s">
        <v>364</v>
      </c>
    </row>
    <row r="8031">
      <c r="H8031" s="8" t="s">
        <v>364</v>
      </c>
    </row>
    <row r="8032">
      <c r="H8032" s="8" t="s">
        <v>364</v>
      </c>
    </row>
    <row r="8033">
      <c r="H8033" s="8" t="s">
        <v>364</v>
      </c>
    </row>
    <row r="8034">
      <c r="H8034" s="8" t="s">
        <v>364</v>
      </c>
    </row>
    <row r="8035">
      <c r="H8035" s="8" t="s">
        <v>364</v>
      </c>
    </row>
    <row r="8036">
      <c r="H8036" s="8" t="s">
        <v>364</v>
      </c>
    </row>
    <row r="8037">
      <c r="H8037" s="8" t="s">
        <v>364</v>
      </c>
    </row>
    <row r="8038">
      <c r="H8038" s="8" t="s">
        <v>364</v>
      </c>
    </row>
    <row r="8039">
      <c r="H8039" s="8" t="s">
        <v>364</v>
      </c>
    </row>
    <row r="8040">
      <c r="H8040" s="8" t="s">
        <v>364</v>
      </c>
    </row>
    <row r="8041">
      <c r="H8041" s="8" t="s">
        <v>364</v>
      </c>
    </row>
    <row r="8042">
      <c r="H8042" s="8" t="s">
        <v>364</v>
      </c>
    </row>
    <row r="8043">
      <c r="H8043" s="8" t="s">
        <v>364</v>
      </c>
    </row>
    <row r="8044">
      <c r="H8044" s="8" t="s">
        <v>364</v>
      </c>
    </row>
    <row r="8045">
      <c r="H8045" s="8" t="s">
        <v>364</v>
      </c>
    </row>
    <row r="8046">
      <c r="H8046" s="8" t="s">
        <v>364</v>
      </c>
    </row>
    <row r="8047">
      <c r="H8047" s="8" t="s">
        <v>364</v>
      </c>
    </row>
    <row r="8048">
      <c r="H8048" s="8" t="s">
        <v>364</v>
      </c>
    </row>
    <row r="8049">
      <c r="H8049" s="8" t="s">
        <v>364</v>
      </c>
    </row>
    <row r="8050">
      <c r="H8050" s="8" t="s">
        <v>364</v>
      </c>
    </row>
    <row r="8051">
      <c r="H8051" s="8" t="s">
        <v>364</v>
      </c>
    </row>
    <row r="8052">
      <c r="H8052" s="8" t="s">
        <v>364</v>
      </c>
    </row>
    <row r="8053">
      <c r="H8053" s="8" t="s">
        <v>364</v>
      </c>
    </row>
    <row r="8054">
      <c r="H8054" s="8" t="s">
        <v>364</v>
      </c>
    </row>
    <row r="8055">
      <c r="H8055" s="8" t="s">
        <v>364</v>
      </c>
    </row>
    <row r="8056">
      <c r="H8056" s="8" t="s">
        <v>364</v>
      </c>
    </row>
    <row r="8057">
      <c r="H8057" s="8" t="s">
        <v>364</v>
      </c>
    </row>
    <row r="8058">
      <c r="H8058" s="8" t="s">
        <v>364</v>
      </c>
    </row>
    <row r="8059">
      <c r="H8059" s="8" t="s">
        <v>364</v>
      </c>
    </row>
    <row r="8060">
      <c r="H8060" s="8" t="s">
        <v>364</v>
      </c>
    </row>
    <row r="8061">
      <c r="H8061" s="8" t="s">
        <v>364</v>
      </c>
    </row>
    <row r="8062">
      <c r="H8062" s="8" t="s">
        <v>364</v>
      </c>
    </row>
    <row r="8063">
      <c r="H8063" s="8" t="s">
        <v>364</v>
      </c>
    </row>
    <row r="8064">
      <c r="H8064" s="8" t="s">
        <v>364</v>
      </c>
    </row>
    <row r="8065">
      <c r="H8065" s="8" t="s">
        <v>364</v>
      </c>
    </row>
    <row r="8066">
      <c r="H8066" s="8" t="s">
        <v>364</v>
      </c>
    </row>
    <row r="8067">
      <c r="H8067" s="8" t="s">
        <v>364</v>
      </c>
    </row>
    <row r="8068">
      <c r="H8068" s="8" t="s">
        <v>364</v>
      </c>
    </row>
    <row r="8069">
      <c r="H8069" s="8" t="s">
        <v>364</v>
      </c>
    </row>
    <row r="8070">
      <c r="H8070" s="8" t="s">
        <v>364</v>
      </c>
    </row>
    <row r="8071">
      <c r="H8071" s="8" t="s">
        <v>364</v>
      </c>
    </row>
    <row r="8072">
      <c r="H8072" s="8" t="s">
        <v>364</v>
      </c>
    </row>
    <row r="8073">
      <c r="H8073" s="8" t="s">
        <v>364</v>
      </c>
    </row>
    <row r="8074">
      <c r="H8074" s="8" t="s">
        <v>364</v>
      </c>
    </row>
    <row r="8075">
      <c r="H8075" s="8" t="s">
        <v>364</v>
      </c>
    </row>
    <row r="8076">
      <c r="H8076" s="8" t="s">
        <v>364</v>
      </c>
    </row>
    <row r="8077">
      <c r="H8077" s="8" t="s">
        <v>364</v>
      </c>
    </row>
    <row r="8078">
      <c r="H8078" s="8" t="s">
        <v>364</v>
      </c>
    </row>
    <row r="8079">
      <c r="H8079" s="8" t="s">
        <v>364</v>
      </c>
    </row>
    <row r="8080">
      <c r="H8080" s="8" t="s">
        <v>364</v>
      </c>
    </row>
    <row r="8081">
      <c r="H8081" s="8" t="s">
        <v>364</v>
      </c>
    </row>
    <row r="8082">
      <c r="H8082" s="8" t="s">
        <v>364</v>
      </c>
    </row>
    <row r="8083">
      <c r="H8083" s="8" t="s">
        <v>364</v>
      </c>
    </row>
    <row r="8084">
      <c r="H8084" s="8" t="s">
        <v>364</v>
      </c>
    </row>
    <row r="8085">
      <c r="H8085" s="8" t="s">
        <v>364</v>
      </c>
    </row>
    <row r="8086">
      <c r="H8086" s="8" t="s">
        <v>364</v>
      </c>
    </row>
    <row r="8087">
      <c r="H8087" s="8" t="s">
        <v>364</v>
      </c>
    </row>
    <row r="8088">
      <c r="H8088" s="8" t="s">
        <v>364</v>
      </c>
    </row>
    <row r="8089">
      <c r="H8089" s="8" t="s">
        <v>364</v>
      </c>
    </row>
    <row r="8090">
      <c r="H8090" s="8" t="s">
        <v>364</v>
      </c>
    </row>
    <row r="8091">
      <c r="H8091" s="8" t="s">
        <v>364</v>
      </c>
    </row>
    <row r="8092">
      <c r="H8092" s="8" t="s">
        <v>364</v>
      </c>
    </row>
    <row r="8093">
      <c r="H8093" s="8" t="s">
        <v>364</v>
      </c>
    </row>
    <row r="8094">
      <c r="H8094" s="8" t="s">
        <v>364</v>
      </c>
    </row>
    <row r="8095">
      <c r="H8095" s="8" t="s">
        <v>364</v>
      </c>
    </row>
    <row r="8096">
      <c r="H8096" s="8" t="s">
        <v>364</v>
      </c>
    </row>
    <row r="8097">
      <c r="H8097" s="8" t="s">
        <v>364</v>
      </c>
    </row>
    <row r="8098">
      <c r="H8098" s="8" t="s">
        <v>364</v>
      </c>
    </row>
    <row r="8099">
      <c r="H8099" s="8" t="s">
        <v>364</v>
      </c>
    </row>
    <row r="8100">
      <c r="H8100" s="8" t="s">
        <v>364</v>
      </c>
    </row>
    <row r="8101">
      <c r="H8101" s="8" t="s">
        <v>364</v>
      </c>
    </row>
    <row r="8102">
      <c r="H8102" s="8" t="s">
        <v>364</v>
      </c>
    </row>
    <row r="8103">
      <c r="H8103" s="8" t="s">
        <v>364</v>
      </c>
    </row>
    <row r="8104">
      <c r="H8104" s="8" t="s">
        <v>364</v>
      </c>
    </row>
    <row r="8105">
      <c r="H8105" s="8" t="s">
        <v>364</v>
      </c>
    </row>
    <row r="8106">
      <c r="H8106" s="8" t="s">
        <v>364</v>
      </c>
    </row>
    <row r="8107">
      <c r="H8107" s="8" t="s">
        <v>364</v>
      </c>
    </row>
    <row r="8108">
      <c r="H8108" s="8" t="s">
        <v>364</v>
      </c>
    </row>
    <row r="8109">
      <c r="H8109" s="8" t="s">
        <v>364</v>
      </c>
    </row>
    <row r="8110">
      <c r="H8110" s="8" t="s">
        <v>364</v>
      </c>
    </row>
    <row r="8111">
      <c r="H8111" s="8" t="s">
        <v>364</v>
      </c>
    </row>
    <row r="8112">
      <c r="H8112" s="8" t="s">
        <v>364</v>
      </c>
    </row>
    <row r="8113">
      <c r="H8113" s="8" t="s">
        <v>364</v>
      </c>
    </row>
    <row r="8114">
      <c r="H8114" s="8" t="s">
        <v>364</v>
      </c>
    </row>
    <row r="8115">
      <c r="H8115" s="8" t="s">
        <v>364</v>
      </c>
    </row>
    <row r="8116">
      <c r="H8116" s="8" t="s">
        <v>364</v>
      </c>
    </row>
    <row r="8117">
      <c r="H8117" s="8" t="s">
        <v>364</v>
      </c>
    </row>
    <row r="8118">
      <c r="H8118" s="8" t="s">
        <v>364</v>
      </c>
    </row>
    <row r="8119">
      <c r="H8119" s="8" t="s">
        <v>364</v>
      </c>
    </row>
    <row r="8120">
      <c r="H8120" s="8" t="s">
        <v>364</v>
      </c>
    </row>
    <row r="8121">
      <c r="H8121" s="8" t="s">
        <v>364</v>
      </c>
    </row>
    <row r="8122">
      <c r="H8122" s="8" t="s">
        <v>364</v>
      </c>
    </row>
    <row r="8123">
      <c r="H8123" s="8" t="s">
        <v>364</v>
      </c>
    </row>
    <row r="8124">
      <c r="H8124" s="8" t="s">
        <v>364</v>
      </c>
    </row>
    <row r="8125">
      <c r="H8125" s="8" t="s">
        <v>364</v>
      </c>
    </row>
    <row r="8126">
      <c r="H8126" s="8" t="s">
        <v>364</v>
      </c>
    </row>
    <row r="8127">
      <c r="H8127" s="8" t="s">
        <v>364</v>
      </c>
    </row>
    <row r="8128">
      <c r="H8128" s="8" t="s">
        <v>364</v>
      </c>
    </row>
    <row r="8129">
      <c r="H8129" s="8" t="s">
        <v>364</v>
      </c>
    </row>
    <row r="8130">
      <c r="H8130" s="8" t="s">
        <v>364</v>
      </c>
    </row>
    <row r="8131">
      <c r="H8131" s="8" t="s">
        <v>364</v>
      </c>
    </row>
    <row r="8132">
      <c r="H8132" s="8" t="s">
        <v>364</v>
      </c>
    </row>
    <row r="8133">
      <c r="H8133" s="8" t="s">
        <v>364</v>
      </c>
    </row>
    <row r="8134">
      <c r="H8134" s="8" t="s">
        <v>364</v>
      </c>
    </row>
    <row r="8135">
      <c r="H8135" s="8" t="s">
        <v>364</v>
      </c>
    </row>
    <row r="8136">
      <c r="H8136" s="8" t="s">
        <v>364</v>
      </c>
    </row>
    <row r="8137">
      <c r="H8137" s="8" t="s">
        <v>364</v>
      </c>
    </row>
    <row r="8138">
      <c r="H8138" s="8" t="s">
        <v>364</v>
      </c>
    </row>
    <row r="8139">
      <c r="H8139" s="8" t="s">
        <v>364</v>
      </c>
    </row>
    <row r="8140">
      <c r="H8140" s="8" t="s">
        <v>364</v>
      </c>
    </row>
    <row r="8141">
      <c r="H8141" s="8" t="s">
        <v>364</v>
      </c>
    </row>
    <row r="8142">
      <c r="H8142" s="8" t="s">
        <v>364</v>
      </c>
    </row>
    <row r="8143">
      <c r="H8143" s="8" t="s">
        <v>364</v>
      </c>
    </row>
    <row r="8144">
      <c r="H8144" s="8" t="s">
        <v>364</v>
      </c>
    </row>
    <row r="8145">
      <c r="H8145" s="8" t="s">
        <v>364</v>
      </c>
    </row>
    <row r="8146">
      <c r="H8146" s="8" t="s">
        <v>364</v>
      </c>
    </row>
    <row r="8147">
      <c r="H8147" s="8" t="s">
        <v>364</v>
      </c>
    </row>
    <row r="8148">
      <c r="H8148" s="8" t="s">
        <v>364</v>
      </c>
    </row>
    <row r="8149">
      <c r="H8149" s="8" t="s">
        <v>364</v>
      </c>
    </row>
    <row r="8150">
      <c r="H8150" s="8" t="s">
        <v>364</v>
      </c>
    </row>
    <row r="8151">
      <c r="H8151" s="8" t="s">
        <v>364</v>
      </c>
    </row>
    <row r="8152">
      <c r="H8152" s="8" t="s">
        <v>364</v>
      </c>
    </row>
    <row r="8153">
      <c r="H8153" s="8" t="s">
        <v>364</v>
      </c>
    </row>
    <row r="8154">
      <c r="H8154" s="8" t="s">
        <v>364</v>
      </c>
    </row>
    <row r="8155">
      <c r="H8155" s="8" t="s">
        <v>364</v>
      </c>
    </row>
    <row r="8156">
      <c r="H8156" s="8" t="s">
        <v>364</v>
      </c>
    </row>
    <row r="8157">
      <c r="H8157" s="8" t="s">
        <v>364</v>
      </c>
    </row>
    <row r="8158">
      <c r="H8158" s="8" t="s">
        <v>364</v>
      </c>
    </row>
    <row r="8159">
      <c r="H8159" s="8" t="s">
        <v>364</v>
      </c>
    </row>
    <row r="8160">
      <c r="H8160" s="8" t="s">
        <v>364</v>
      </c>
    </row>
    <row r="8161">
      <c r="H8161" s="8" t="s">
        <v>364</v>
      </c>
    </row>
    <row r="8162">
      <c r="H8162" s="8" t="s">
        <v>364</v>
      </c>
    </row>
    <row r="8163">
      <c r="H8163" s="8" t="s">
        <v>364</v>
      </c>
    </row>
    <row r="8164">
      <c r="H8164" s="8" t="s">
        <v>364</v>
      </c>
    </row>
    <row r="8165">
      <c r="H8165" s="8" t="s">
        <v>364</v>
      </c>
    </row>
    <row r="8166">
      <c r="H8166" s="8" t="s">
        <v>364</v>
      </c>
    </row>
    <row r="8167">
      <c r="H8167" s="8" t="s">
        <v>364</v>
      </c>
    </row>
    <row r="8168">
      <c r="H8168" s="8" t="s">
        <v>364</v>
      </c>
    </row>
    <row r="8169">
      <c r="H8169" s="8" t="s">
        <v>364</v>
      </c>
    </row>
    <row r="8170">
      <c r="H8170" s="8" t="s">
        <v>364</v>
      </c>
    </row>
    <row r="8171">
      <c r="H8171" s="8" t="s">
        <v>364</v>
      </c>
    </row>
    <row r="8172">
      <c r="H8172" s="8" t="s">
        <v>364</v>
      </c>
    </row>
    <row r="8173">
      <c r="H8173" s="8" t="s">
        <v>364</v>
      </c>
    </row>
    <row r="8174">
      <c r="H8174" s="8" t="s">
        <v>364</v>
      </c>
    </row>
    <row r="8175">
      <c r="H8175" s="8" t="s">
        <v>364</v>
      </c>
    </row>
    <row r="8176">
      <c r="H8176" s="8" t="s">
        <v>364</v>
      </c>
    </row>
    <row r="8177">
      <c r="H8177" s="8" t="s">
        <v>364</v>
      </c>
    </row>
    <row r="8178">
      <c r="H8178" s="8" t="s">
        <v>364</v>
      </c>
    </row>
    <row r="8179">
      <c r="H8179" s="8" t="s">
        <v>364</v>
      </c>
    </row>
    <row r="8180">
      <c r="H8180" s="8" t="s">
        <v>364</v>
      </c>
    </row>
    <row r="8181">
      <c r="H8181" s="8" t="s">
        <v>364</v>
      </c>
    </row>
    <row r="8182">
      <c r="H8182" s="8" t="s">
        <v>364</v>
      </c>
    </row>
    <row r="8183">
      <c r="H8183" s="8" t="s">
        <v>364</v>
      </c>
    </row>
    <row r="8184">
      <c r="H8184" s="8" t="s">
        <v>364</v>
      </c>
    </row>
    <row r="8185">
      <c r="H8185" s="8" t="s">
        <v>364</v>
      </c>
    </row>
    <row r="8186">
      <c r="H8186" s="8" t="s">
        <v>364</v>
      </c>
    </row>
    <row r="8187">
      <c r="H8187" s="8" t="s">
        <v>364</v>
      </c>
    </row>
    <row r="8188">
      <c r="H8188" s="8" t="s">
        <v>364</v>
      </c>
    </row>
    <row r="8189">
      <c r="H8189" s="8" t="s">
        <v>364</v>
      </c>
    </row>
    <row r="8190">
      <c r="H8190" s="8" t="s">
        <v>364</v>
      </c>
    </row>
    <row r="8191">
      <c r="H8191" s="8" t="s">
        <v>364</v>
      </c>
    </row>
    <row r="8192">
      <c r="H8192" s="8" t="s">
        <v>364</v>
      </c>
    </row>
    <row r="8193">
      <c r="H8193" s="8" t="s">
        <v>364</v>
      </c>
    </row>
    <row r="8194">
      <c r="H8194" s="8" t="s">
        <v>364</v>
      </c>
    </row>
    <row r="8195">
      <c r="H8195" s="8" t="s">
        <v>364</v>
      </c>
    </row>
    <row r="8196">
      <c r="H8196" s="8" t="s">
        <v>364</v>
      </c>
    </row>
    <row r="8197">
      <c r="H8197" s="8" t="s">
        <v>364</v>
      </c>
    </row>
    <row r="8198">
      <c r="H8198" s="8" t="s">
        <v>364</v>
      </c>
    </row>
    <row r="8199">
      <c r="H8199" s="8" t="s">
        <v>364</v>
      </c>
    </row>
    <row r="8200">
      <c r="H8200" s="8" t="s">
        <v>364</v>
      </c>
    </row>
    <row r="8201">
      <c r="H8201" s="8" t="s">
        <v>364</v>
      </c>
    </row>
    <row r="8202">
      <c r="H8202" s="8" t="s">
        <v>364</v>
      </c>
    </row>
    <row r="8203">
      <c r="H8203" s="8" t="s">
        <v>364</v>
      </c>
    </row>
    <row r="8204">
      <c r="H8204" s="8" t="s">
        <v>364</v>
      </c>
    </row>
    <row r="8205">
      <c r="H8205" s="8" t="s">
        <v>364</v>
      </c>
    </row>
    <row r="8206">
      <c r="H8206" s="8" t="s">
        <v>364</v>
      </c>
    </row>
    <row r="8207">
      <c r="H8207" s="8" t="s">
        <v>364</v>
      </c>
    </row>
    <row r="8208">
      <c r="H8208" s="8" t="s">
        <v>364</v>
      </c>
    </row>
    <row r="8209">
      <c r="H8209" s="8" t="s">
        <v>364</v>
      </c>
    </row>
    <row r="8210">
      <c r="H8210" s="8" t="s">
        <v>364</v>
      </c>
    </row>
    <row r="8211">
      <c r="H8211" s="8" t="s">
        <v>364</v>
      </c>
    </row>
    <row r="8212">
      <c r="H8212" s="8" t="s">
        <v>364</v>
      </c>
    </row>
    <row r="8213">
      <c r="H8213" s="8" t="s">
        <v>364</v>
      </c>
    </row>
    <row r="8214">
      <c r="H8214" s="8" t="s">
        <v>364</v>
      </c>
    </row>
    <row r="8215">
      <c r="H8215" s="8" t="s">
        <v>364</v>
      </c>
    </row>
    <row r="8216">
      <c r="H8216" s="8" t="s">
        <v>364</v>
      </c>
    </row>
    <row r="8217">
      <c r="H8217" s="8" t="s">
        <v>364</v>
      </c>
    </row>
    <row r="8218">
      <c r="H8218" s="8" t="s">
        <v>364</v>
      </c>
    </row>
    <row r="8219">
      <c r="H8219" s="8" t="s">
        <v>364</v>
      </c>
    </row>
    <row r="8220">
      <c r="H8220" s="8" t="s">
        <v>364</v>
      </c>
    </row>
    <row r="8221">
      <c r="H8221" s="8" t="s">
        <v>364</v>
      </c>
    </row>
    <row r="8222">
      <c r="H8222" s="8" t="s">
        <v>364</v>
      </c>
    </row>
    <row r="8223">
      <c r="H8223" s="8" t="s">
        <v>364</v>
      </c>
    </row>
    <row r="8224">
      <c r="H8224" s="8" t="s">
        <v>364</v>
      </c>
    </row>
    <row r="8225">
      <c r="H8225" s="8" t="s">
        <v>364</v>
      </c>
    </row>
    <row r="8226">
      <c r="H8226" s="8" t="s">
        <v>364</v>
      </c>
    </row>
    <row r="8227">
      <c r="H8227" s="8" t="s">
        <v>364</v>
      </c>
    </row>
    <row r="8228">
      <c r="H8228" s="8" t="s">
        <v>364</v>
      </c>
    </row>
    <row r="8229">
      <c r="H8229" s="8" t="s">
        <v>364</v>
      </c>
    </row>
    <row r="8230">
      <c r="H8230" s="8" t="s">
        <v>364</v>
      </c>
    </row>
    <row r="8231">
      <c r="H8231" s="8" t="s">
        <v>364</v>
      </c>
    </row>
    <row r="8232">
      <c r="H8232" s="8" t="s">
        <v>364</v>
      </c>
    </row>
    <row r="8233">
      <c r="H8233" s="8" t="s">
        <v>364</v>
      </c>
    </row>
    <row r="8234">
      <c r="H8234" s="8" t="s">
        <v>364</v>
      </c>
    </row>
    <row r="8235">
      <c r="H8235" s="8" t="s">
        <v>364</v>
      </c>
    </row>
    <row r="8236">
      <c r="H8236" s="8" t="s">
        <v>364</v>
      </c>
    </row>
    <row r="8237">
      <c r="H8237" s="8" t="s">
        <v>364</v>
      </c>
    </row>
    <row r="8238">
      <c r="H8238" s="8" t="s">
        <v>364</v>
      </c>
    </row>
    <row r="8239">
      <c r="H8239" s="8" t="s">
        <v>364</v>
      </c>
    </row>
    <row r="8240">
      <c r="H8240" s="8" t="s">
        <v>364</v>
      </c>
    </row>
    <row r="8241">
      <c r="H8241" s="8" t="s">
        <v>364</v>
      </c>
    </row>
    <row r="8242">
      <c r="H8242" s="8" t="s">
        <v>364</v>
      </c>
    </row>
    <row r="8243">
      <c r="H8243" s="8" t="s">
        <v>364</v>
      </c>
    </row>
    <row r="8244">
      <c r="H8244" s="8" t="s">
        <v>364</v>
      </c>
    </row>
    <row r="8245">
      <c r="H8245" s="8" t="s">
        <v>364</v>
      </c>
    </row>
    <row r="8246">
      <c r="H8246" s="8" t="s">
        <v>364</v>
      </c>
    </row>
    <row r="8247">
      <c r="H8247" s="8" t="s">
        <v>364</v>
      </c>
    </row>
    <row r="8248">
      <c r="H8248" s="8" t="s">
        <v>364</v>
      </c>
    </row>
    <row r="8249">
      <c r="H8249" s="8" t="s">
        <v>364</v>
      </c>
    </row>
    <row r="8250">
      <c r="H8250" s="8" t="s">
        <v>364</v>
      </c>
    </row>
    <row r="8251">
      <c r="H8251" s="8" t="s">
        <v>364</v>
      </c>
    </row>
    <row r="8252">
      <c r="H8252" s="8" t="s">
        <v>364</v>
      </c>
    </row>
    <row r="8253">
      <c r="H8253" s="8" t="s">
        <v>364</v>
      </c>
    </row>
    <row r="8254">
      <c r="H8254" s="8" t="s">
        <v>364</v>
      </c>
    </row>
    <row r="8255">
      <c r="H8255" s="8" t="s">
        <v>364</v>
      </c>
    </row>
    <row r="8256">
      <c r="H8256" s="8" t="s">
        <v>364</v>
      </c>
    </row>
    <row r="8257">
      <c r="H8257" s="8" t="s">
        <v>364</v>
      </c>
    </row>
    <row r="8258">
      <c r="H8258" s="8" t="s">
        <v>364</v>
      </c>
    </row>
    <row r="8259">
      <c r="H8259" s="8" t="s">
        <v>364</v>
      </c>
    </row>
    <row r="8260">
      <c r="H8260" s="8" t="s">
        <v>364</v>
      </c>
    </row>
    <row r="8261">
      <c r="H8261" s="8" t="s">
        <v>364</v>
      </c>
    </row>
    <row r="8262">
      <c r="H8262" s="8" t="s">
        <v>364</v>
      </c>
    </row>
    <row r="8263">
      <c r="H8263" s="8" t="s">
        <v>364</v>
      </c>
    </row>
    <row r="8264">
      <c r="H8264" s="8" t="s">
        <v>364</v>
      </c>
    </row>
    <row r="8265">
      <c r="H8265" s="8" t="s">
        <v>364</v>
      </c>
    </row>
    <row r="8266">
      <c r="H8266" s="8" t="s">
        <v>364</v>
      </c>
    </row>
    <row r="8267">
      <c r="H8267" s="8" t="s">
        <v>364</v>
      </c>
    </row>
    <row r="8268">
      <c r="H8268" s="8" t="s">
        <v>364</v>
      </c>
    </row>
    <row r="8269">
      <c r="H8269" s="8" t="s">
        <v>364</v>
      </c>
    </row>
    <row r="8270">
      <c r="H8270" s="8" t="s">
        <v>364</v>
      </c>
    </row>
    <row r="8271">
      <c r="H8271" s="8" t="s">
        <v>364</v>
      </c>
    </row>
    <row r="8272">
      <c r="H8272" s="8" t="s">
        <v>364</v>
      </c>
    </row>
    <row r="8273">
      <c r="H8273" s="8" t="s">
        <v>364</v>
      </c>
    </row>
    <row r="8274">
      <c r="H8274" s="8" t="s">
        <v>364</v>
      </c>
    </row>
    <row r="8275">
      <c r="H8275" s="8" t="s">
        <v>364</v>
      </c>
    </row>
    <row r="8276">
      <c r="H8276" s="8" t="s">
        <v>364</v>
      </c>
    </row>
    <row r="8277">
      <c r="H8277" s="8" t="s">
        <v>364</v>
      </c>
    </row>
    <row r="8278">
      <c r="H8278" s="8" t="s">
        <v>364</v>
      </c>
    </row>
    <row r="8279">
      <c r="H8279" s="8" t="s">
        <v>364</v>
      </c>
    </row>
    <row r="8280">
      <c r="H8280" s="8" t="s">
        <v>364</v>
      </c>
    </row>
    <row r="8281">
      <c r="H8281" s="8" t="s">
        <v>364</v>
      </c>
    </row>
    <row r="8282">
      <c r="H8282" s="8" t="s">
        <v>364</v>
      </c>
    </row>
    <row r="8283">
      <c r="H8283" s="8" t="s">
        <v>364</v>
      </c>
    </row>
    <row r="8284">
      <c r="H8284" s="8" t="s">
        <v>364</v>
      </c>
    </row>
    <row r="8285">
      <c r="H8285" s="8" t="s">
        <v>364</v>
      </c>
    </row>
    <row r="8286">
      <c r="H8286" s="8" t="s">
        <v>364</v>
      </c>
    </row>
    <row r="8287">
      <c r="H8287" s="8" t="s">
        <v>364</v>
      </c>
    </row>
    <row r="8288">
      <c r="H8288" s="8" t="s">
        <v>364</v>
      </c>
    </row>
    <row r="8289">
      <c r="H8289" s="8" t="s">
        <v>364</v>
      </c>
    </row>
    <row r="8290">
      <c r="H8290" s="8" t="s">
        <v>364</v>
      </c>
    </row>
    <row r="8291">
      <c r="H8291" s="8" t="s">
        <v>364</v>
      </c>
    </row>
    <row r="8292">
      <c r="H8292" s="8" t="s">
        <v>364</v>
      </c>
    </row>
    <row r="8293">
      <c r="H8293" s="8" t="s">
        <v>364</v>
      </c>
    </row>
    <row r="8294">
      <c r="H8294" s="8" t="s">
        <v>364</v>
      </c>
    </row>
    <row r="8295">
      <c r="H8295" s="8" t="s">
        <v>364</v>
      </c>
    </row>
    <row r="8296">
      <c r="H8296" s="8" t="s">
        <v>364</v>
      </c>
    </row>
    <row r="8297">
      <c r="H8297" s="8" t="s">
        <v>364</v>
      </c>
    </row>
    <row r="8298">
      <c r="H8298" s="8" t="s">
        <v>364</v>
      </c>
    </row>
    <row r="8299">
      <c r="H8299" s="8" t="s">
        <v>364</v>
      </c>
    </row>
    <row r="8300">
      <c r="H8300" s="8" t="s">
        <v>364</v>
      </c>
    </row>
    <row r="8301">
      <c r="H8301" s="8" t="s">
        <v>364</v>
      </c>
    </row>
    <row r="8302">
      <c r="H8302" s="8" t="s">
        <v>364</v>
      </c>
    </row>
    <row r="8303">
      <c r="H8303" s="8" t="s">
        <v>364</v>
      </c>
    </row>
    <row r="8304">
      <c r="H8304" s="8" t="s">
        <v>364</v>
      </c>
    </row>
    <row r="8305">
      <c r="H8305" s="8" t="s">
        <v>364</v>
      </c>
    </row>
    <row r="8306">
      <c r="H8306" s="8" t="s">
        <v>364</v>
      </c>
    </row>
    <row r="8307">
      <c r="H8307" s="8" t="s">
        <v>364</v>
      </c>
    </row>
    <row r="8308">
      <c r="H8308" s="8" t="s">
        <v>364</v>
      </c>
    </row>
    <row r="8309">
      <c r="H8309" s="8" t="s">
        <v>364</v>
      </c>
    </row>
    <row r="8310">
      <c r="H8310" s="8" t="s">
        <v>364</v>
      </c>
    </row>
    <row r="8311">
      <c r="H8311" s="8" t="s">
        <v>364</v>
      </c>
    </row>
    <row r="8312">
      <c r="H8312" s="8" t="s">
        <v>364</v>
      </c>
    </row>
    <row r="8313">
      <c r="H8313" s="8" t="s">
        <v>364</v>
      </c>
    </row>
    <row r="8314">
      <c r="H8314" s="8" t="s">
        <v>364</v>
      </c>
    </row>
    <row r="8315">
      <c r="H8315" s="8" t="s">
        <v>364</v>
      </c>
    </row>
    <row r="8316">
      <c r="H8316" s="8" t="s">
        <v>364</v>
      </c>
    </row>
    <row r="8317">
      <c r="H8317" s="8" t="s">
        <v>364</v>
      </c>
    </row>
    <row r="8318">
      <c r="H8318" s="8" t="s">
        <v>364</v>
      </c>
    </row>
    <row r="8319">
      <c r="H8319" s="8" t="s">
        <v>364</v>
      </c>
    </row>
    <row r="8320">
      <c r="H8320" s="8" t="s">
        <v>364</v>
      </c>
    </row>
    <row r="8321">
      <c r="H8321" s="8" t="s">
        <v>364</v>
      </c>
    </row>
    <row r="8322">
      <c r="H8322" s="8" t="s">
        <v>364</v>
      </c>
    </row>
    <row r="8323">
      <c r="H8323" s="8" t="s">
        <v>364</v>
      </c>
    </row>
    <row r="8324">
      <c r="H8324" s="8" t="s">
        <v>364</v>
      </c>
    </row>
    <row r="8325">
      <c r="H8325" s="8" t="s">
        <v>364</v>
      </c>
    </row>
    <row r="8326">
      <c r="H8326" s="8" t="s">
        <v>364</v>
      </c>
    </row>
    <row r="8327">
      <c r="H8327" s="8" t="s">
        <v>364</v>
      </c>
    </row>
    <row r="8328">
      <c r="H8328" s="8" t="s">
        <v>364</v>
      </c>
    </row>
    <row r="8329">
      <c r="H8329" s="8" t="s">
        <v>364</v>
      </c>
    </row>
    <row r="8330">
      <c r="H8330" s="8" t="s">
        <v>364</v>
      </c>
    </row>
    <row r="8331">
      <c r="H8331" s="8" t="s">
        <v>364</v>
      </c>
    </row>
    <row r="8332">
      <c r="H8332" s="8" t="s">
        <v>364</v>
      </c>
    </row>
    <row r="8333">
      <c r="H8333" s="8" t="s">
        <v>364</v>
      </c>
    </row>
    <row r="8334">
      <c r="H8334" s="8" t="s">
        <v>364</v>
      </c>
    </row>
    <row r="8335">
      <c r="H8335" s="8" t="s">
        <v>364</v>
      </c>
    </row>
    <row r="8336">
      <c r="H8336" s="8" t="s">
        <v>364</v>
      </c>
    </row>
    <row r="8337">
      <c r="H8337" s="8" t="s">
        <v>364</v>
      </c>
    </row>
    <row r="8338">
      <c r="H8338" s="8" t="s">
        <v>364</v>
      </c>
    </row>
    <row r="8339">
      <c r="H8339" s="8" t="s">
        <v>364</v>
      </c>
    </row>
    <row r="8340">
      <c r="H8340" s="8" t="s">
        <v>364</v>
      </c>
    </row>
    <row r="8341">
      <c r="H8341" s="8" t="s">
        <v>364</v>
      </c>
    </row>
    <row r="8342">
      <c r="H8342" s="8" t="s">
        <v>364</v>
      </c>
    </row>
    <row r="8343">
      <c r="H8343" s="8" t="s">
        <v>364</v>
      </c>
    </row>
    <row r="8344">
      <c r="H8344" s="8" t="s">
        <v>364</v>
      </c>
    </row>
    <row r="8345">
      <c r="H8345" s="8" t="s">
        <v>364</v>
      </c>
    </row>
    <row r="8346">
      <c r="H8346" s="8" t="s">
        <v>364</v>
      </c>
    </row>
    <row r="8347">
      <c r="H8347" s="8" t="s">
        <v>364</v>
      </c>
    </row>
    <row r="8348">
      <c r="H8348" s="8" t="s">
        <v>364</v>
      </c>
    </row>
    <row r="8349">
      <c r="H8349" s="8" t="s">
        <v>364</v>
      </c>
    </row>
    <row r="8350">
      <c r="H8350" s="8" t="s">
        <v>364</v>
      </c>
    </row>
    <row r="8351">
      <c r="H8351" s="8" t="s">
        <v>364</v>
      </c>
    </row>
    <row r="8352">
      <c r="H8352" s="8" t="s">
        <v>364</v>
      </c>
    </row>
    <row r="8353">
      <c r="H8353" s="8" t="s">
        <v>364</v>
      </c>
    </row>
    <row r="8354">
      <c r="H8354" s="8" t="s">
        <v>364</v>
      </c>
    </row>
    <row r="8355">
      <c r="H8355" s="8" t="s">
        <v>364</v>
      </c>
    </row>
    <row r="8356">
      <c r="H8356" s="8" t="s">
        <v>364</v>
      </c>
    </row>
    <row r="8357">
      <c r="H8357" s="8" t="s">
        <v>364</v>
      </c>
    </row>
    <row r="8358">
      <c r="H8358" s="8" t="s">
        <v>364</v>
      </c>
    </row>
    <row r="8359">
      <c r="H8359" s="8" t="s">
        <v>364</v>
      </c>
    </row>
    <row r="8360">
      <c r="H8360" s="8" t="s">
        <v>364</v>
      </c>
    </row>
    <row r="8361">
      <c r="H8361" s="8" t="s">
        <v>364</v>
      </c>
    </row>
    <row r="8362">
      <c r="H8362" s="8" t="s">
        <v>364</v>
      </c>
    </row>
    <row r="8363">
      <c r="H8363" s="8" t="s">
        <v>364</v>
      </c>
    </row>
    <row r="8364">
      <c r="H8364" s="8" t="s">
        <v>364</v>
      </c>
    </row>
    <row r="8365">
      <c r="H8365" s="8" t="s">
        <v>364</v>
      </c>
    </row>
    <row r="8366">
      <c r="H8366" s="8" t="s">
        <v>364</v>
      </c>
    </row>
    <row r="8367">
      <c r="H8367" s="8" t="s">
        <v>364</v>
      </c>
    </row>
    <row r="8368">
      <c r="H8368" s="8" t="s">
        <v>364</v>
      </c>
    </row>
    <row r="8369">
      <c r="H8369" s="8" t="s">
        <v>364</v>
      </c>
    </row>
    <row r="8370">
      <c r="H8370" s="8" t="s">
        <v>364</v>
      </c>
    </row>
    <row r="8371">
      <c r="H8371" s="8" t="s">
        <v>364</v>
      </c>
    </row>
    <row r="8372">
      <c r="H8372" s="8" t="s">
        <v>364</v>
      </c>
    </row>
    <row r="8373">
      <c r="H8373" s="8" t="s">
        <v>364</v>
      </c>
    </row>
    <row r="8374">
      <c r="H8374" s="8" t="s">
        <v>364</v>
      </c>
    </row>
    <row r="8375">
      <c r="H8375" s="8" t="s">
        <v>364</v>
      </c>
    </row>
    <row r="8376">
      <c r="H8376" s="8" t="s">
        <v>364</v>
      </c>
    </row>
    <row r="8377">
      <c r="H8377" s="8" t="s">
        <v>364</v>
      </c>
    </row>
    <row r="8378">
      <c r="H8378" s="8" t="s">
        <v>364</v>
      </c>
    </row>
    <row r="8379">
      <c r="H8379" s="8" t="s">
        <v>364</v>
      </c>
    </row>
    <row r="8380">
      <c r="H8380" s="8" t="s">
        <v>364</v>
      </c>
    </row>
    <row r="8381">
      <c r="H8381" s="8" t="s">
        <v>364</v>
      </c>
    </row>
    <row r="8382">
      <c r="H8382" s="8" t="s">
        <v>364</v>
      </c>
    </row>
    <row r="8383">
      <c r="H8383" s="8" t="s">
        <v>364</v>
      </c>
    </row>
    <row r="8384">
      <c r="H8384" s="8" t="s">
        <v>364</v>
      </c>
    </row>
    <row r="8385">
      <c r="H8385" s="8" t="s">
        <v>364</v>
      </c>
    </row>
    <row r="8386">
      <c r="H8386" s="8" t="s">
        <v>364</v>
      </c>
    </row>
    <row r="8387">
      <c r="H8387" s="8" t="s">
        <v>364</v>
      </c>
    </row>
    <row r="8388">
      <c r="H8388" s="8" t="s">
        <v>364</v>
      </c>
    </row>
    <row r="8389">
      <c r="H8389" s="8" t="s">
        <v>364</v>
      </c>
    </row>
    <row r="8390">
      <c r="H8390" s="8" t="s">
        <v>364</v>
      </c>
    </row>
    <row r="8391">
      <c r="H8391" s="8" t="s">
        <v>364</v>
      </c>
    </row>
    <row r="8392">
      <c r="H8392" s="8" t="s">
        <v>364</v>
      </c>
    </row>
    <row r="8393">
      <c r="H8393" s="8" t="s">
        <v>364</v>
      </c>
    </row>
    <row r="8394">
      <c r="H8394" s="8" t="s">
        <v>364</v>
      </c>
    </row>
    <row r="8395">
      <c r="H8395" s="8" t="s">
        <v>364</v>
      </c>
    </row>
    <row r="8396">
      <c r="H8396" s="8" t="s">
        <v>364</v>
      </c>
    </row>
    <row r="8397">
      <c r="H8397" s="8" t="s">
        <v>364</v>
      </c>
    </row>
    <row r="8398">
      <c r="H8398" s="8" t="s">
        <v>364</v>
      </c>
    </row>
    <row r="8399">
      <c r="H8399" s="8" t="s">
        <v>364</v>
      </c>
    </row>
    <row r="8400">
      <c r="H8400" s="8" t="s">
        <v>364</v>
      </c>
    </row>
    <row r="8401">
      <c r="H8401" s="8" t="s">
        <v>364</v>
      </c>
    </row>
    <row r="8402">
      <c r="H8402" s="8" t="s">
        <v>364</v>
      </c>
    </row>
    <row r="8403">
      <c r="H8403" s="8" t="s">
        <v>364</v>
      </c>
    </row>
    <row r="8404">
      <c r="H8404" s="8" t="s">
        <v>364</v>
      </c>
    </row>
    <row r="8405">
      <c r="H8405" s="8" t="s">
        <v>364</v>
      </c>
    </row>
    <row r="8406">
      <c r="H8406" s="8" t="s">
        <v>364</v>
      </c>
    </row>
    <row r="8407">
      <c r="H8407" s="8" t="s">
        <v>364</v>
      </c>
    </row>
    <row r="8408">
      <c r="H8408" s="8" t="s">
        <v>364</v>
      </c>
    </row>
    <row r="8409">
      <c r="H8409" s="8" t="s">
        <v>364</v>
      </c>
    </row>
    <row r="8410">
      <c r="H8410" s="8" t="s">
        <v>364</v>
      </c>
    </row>
    <row r="8411">
      <c r="H8411" s="8" t="s">
        <v>364</v>
      </c>
    </row>
    <row r="8412">
      <c r="H8412" s="8" t="s">
        <v>364</v>
      </c>
    </row>
    <row r="8413">
      <c r="H8413" s="8" t="s">
        <v>364</v>
      </c>
    </row>
    <row r="8414">
      <c r="H8414" s="8" t="s">
        <v>364</v>
      </c>
    </row>
    <row r="8415">
      <c r="H8415" s="8" t="s">
        <v>364</v>
      </c>
    </row>
    <row r="8416">
      <c r="H8416" s="8" t="s">
        <v>364</v>
      </c>
    </row>
    <row r="8417">
      <c r="H8417" s="8" t="s">
        <v>364</v>
      </c>
    </row>
    <row r="8418">
      <c r="H8418" s="8" t="s">
        <v>364</v>
      </c>
    </row>
    <row r="8419">
      <c r="H8419" s="8" t="s">
        <v>364</v>
      </c>
    </row>
    <row r="8420">
      <c r="H8420" s="8" t="s">
        <v>364</v>
      </c>
    </row>
    <row r="8421">
      <c r="H8421" s="8" t="s">
        <v>364</v>
      </c>
    </row>
    <row r="8422">
      <c r="H8422" s="8" t="s">
        <v>364</v>
      </c>
    </row>
    <row r="8423">
      <c r="H8423" s="8" t="s">
        <v>364</v>
      </c>
    </row>
    <row r="8424">
      <c r="H8424" s="8" t="s">
        <v>364</v>
      </c>
    </row>
    <row r="8425">
      <c r="H8425" s="8" t="s">
        <v>364</v>
      </c>
    </row>
    <row r="8426">
      <c r="H8426" s="8" t="s">
        <v>364</v>
      </c>
    </row>
    <row r="8427">
      <c r="H8427" s="8" t="s">
        <v>364</v>
      </c>
    </row>
    <row r="8428">
      <c r="H8428" s="8" t="s">
        <v>364</v>
      </c>
    </row>
    <row r="8429">
      <c r="H8429" s="8" t="s">
        <v>364</v>
      </c>
    </row>
    <row r="8430">
      <c r="H8430" s="8" t="s">
        <v>364</v>
      </c>
    </row>
    <row r="8431">
      <c r="H8431" s="8" t="s">
        <v>364</v>
      </c>
    </row>
    <row r="8432">
      <c r="H8432" s="8" t="s">
        <v>364</v>
      </c>
    </row>
    <row r="8433">
      <c r="H8433" s="8" t="s">
        <v>364</v>
      </c>
    </row>
    <row r="8434">
      <c r="H8434" s="8" t="s">
        <v>364</v>
      </c>
    </row>
    <row r="8435">
      <c r="H8435" s="8" t="s">
        <v>364</v>
      </c>
    </row>
    <row r="8436">
      <c r="H8436" s="8" t="s">
        <v>364</v>
      </c>
    </row>
    <row r="8437">
      <c r="H8437" s="8" t="s">
        <v>364</v>
      </c>
    </row>
    <row r="8438">
      <c r="H8438" s="8" t="s">
        <v>364</v>
      </c>
    </row>
    <row r="8439">
      <c r="H8439" s="8" t="s">
        <v>364</v>
      </c>
    </row>
    <row r="8440">
      <c r="H8440" s="8" t="s">
        <v>364</v>
      </c>
    </row>
    <row r="8441">
      <c r="H8441" s="8" t="s">
        <v>364</v>
      </c>
    </row>
    <row r="8442">
      <c r="H8442" s="8" t="s">
        <v>364</v>
      </c>
    </row>
    <row r="8443">
      <c r="H8443" s="8" t="s">
        <v>364</v>
      </c>
    </row>
    <row r="8444">
      <c r="H8444" s="8" t="s">
        <v>364</v>
      </c>
    </row>
    <row r="8445">
      <c r="H8445" s="8" t="s">
        <v>364</v>
      </c>
    </row>
    <row r="8446">
      <c r="H8446" s="8" t="s">
        <v>364</v>
      </c>
    </row>
    <row r="8447">
      <c r="H8447" s="8" t="s">
        <v>364</v>
      </c>
    </row>
    <row r="8448">
      <c r="H8448" s="8" t="s">
        <v>364</v>
      </c>
    </row>
    <row r="8449">
      <c r="H8449" s="8" t="s">
        <v>364</v>
      </c>
    </row>
    <row r="8450">
      <c r="H8450" s="8" t="s">
        <v>364</v>
      </c>
    </row>
    <row r="8451">
      <c r="H8451" s="8" t="s">
        <v>364</v>
      </c>
    </row>
    <row r="8452">
      <c r="H8452" s="8" t="s">
        <v>364</v>
      </c>
    </row>
    <row r="8453">
      <c r="H8453" s="8" t="s">
        <v>364</v>
      </c>
    </row>
    <row r="8454">
      <c r="H8454" s="8" t="s">
        <v>364</v>
      </c>
    </row>
    <row r="8455">
      <c r="H8455" s="8" t="s">
        <v>364</v>
      </c>
    </row>
    <row r="8456">
      <c r="H8456" s="8" t="s">
        <v>364</v>
      </c>
    </row>
    <row r="8457">
      <c r="H8457" s="8" t="s">
        <v>364</v>
      </c>
    </row>
    <row r="8458">
      <c r="H8458" s="8" t="s">
        <v>364</v>
      </c>
    </row>
    <row r="8459">
      <c r="H8459" s="8" t="s">
        <v>364</v>
      </c>
    </row>
    <row r="8460">
      <c r="H8460" s="8" t="s">
        <v>364</v>
      </c>
    </row>
    <row r="8461">
      <c r="H8461" s="8" t="s">
        <v>364</v>
      </c>
    </row>
    <row r="8462">
      <c r="H8462" s="8" t="s">
        <v>364</v>
      </c>
    </row>
    <row r="8463">
      <c r="H8463" s="8" t="s">
        <v>364</v>
      </c>
    </row>
    <row r="8464">
      <c r="H8464" s="8" t="s">
        <v>364</v>
      </c>
    </row>
    <row r="8465">
      <c r="H8465" s="8" t="s">
        <v>364</v>
      </c>
    </row>
    <row r="8466">
      <c r="H8466" s="8" t="s">
        <v>364</v>
      </c>
    </row>
    <row r="8467">
      <c r="H8467" s="8" t="s">
        <v>364</v>
      </c>
    </row>
    <row r="8468">
      <c r="H8468" s="8" t="s">
        <v>364</v>
      </c>
    </row>
    <row r="8469">
      <c r="H8469" s="8" t="s">
        <v>364</v>
      </c>
    </row>
    <row r="8470">
      <c r="H8470" s="8" t="s">
        <v>364</v>
      </c>
    </row>
    <row r="8471">
      <c r="H8471" s="8" t="s">
        <v>364</v>
      </c>
    </row>
    <row r="8472">
      <c r="H8472" s="8" t="s">
        <v>364</v>
      </c>
    </row>
    <row r="8473">
      <c r="H8473" s="8" t="s">
        <v>364</v>
      </c>
    </row>
    <row r="8474">
      <c r="H8474" s="8" t="s">
        <v>364</v>
      </c>
    </row>
    <row r="8475">
      <c r="H8475" s="8" t="s">
        <v>364</v>
      </c>
    </row>
    <row r="8476">
      <c r="H8476" s="8" t="s">
        <v>364</v>
      </c>
    </row>
    <row r="8477">
      <c r="H8477" s="8" t="s">
        <v>364</v>
      </c>
    </row>
    <row r="8478">
      <c r="H8478" s="8" t="s">
        <v>364</v>
      </c>
    </row>
    <row r="8479">
      <c r="H8479" s="8" t="s">
        <v>364</v>
      </c>
    </row>
    <row r="8480">
      <c r="H8480" s="8" t="s">
        <v>364</v>
      </c>
    </row>
    <row r="8481">
      <c r="H8481" s="8" t="s">
        <v>364</v>
      </c>
    </row>
    <row r="8482">
      <c r="H8482" s="8" t="s">
        <v>364</v>
      </c>
    </row>
    <row r="8483">
      <c r="H8483" s="8" t="s">
        <v>364</v>
      </c>
    </row>
    <row r="8484">
      <c r="H8484" s="8" t="s">
        <v>364</v>
      </c>
    </row>
    <row r="8485">
      <c r="H8485" s="8" t="s">
        <v>364</v>
      </c>
    </row>
    <row r="8486">
      <c r="H8486" s="8" t="s">
        <v>364</v>
      </c>
    </row>
    <row r="8487">
      <c r="H8487" s="8" t="s">
        <v>364</v>
      </c>
    </row>
    <row r="8488">
      <c r="H8488" s="8" t="s">
        <v>364</v>
      </c>
    </row>
    <row r="8489">
      <c r="H8489" s="8" t="s">
        <v>364</v>
      </c>
    </row>
    <row r="8490">
      <c r="H8490" s="8" t="s">
        <v>364</v>
      </c>
    </row>
    <row r="8491">
      <c r="H8491" s="8" t="s">
        <v>364</v>
      </c>
    </row>
    <row r="8492">
      <c r="H8492" s="8" t="s">
        <v>364</v>
      </c>
    </row>
    <row r="8493">
      <c r="H8493" s="8" t="s">
        <v>364</v>
      </c>
    </row>
    <row r="8494">
      <c r="H8494" s="8" t="s">
        <v>364</v>
      </c>
    </row>
    <row r="8495">
      <c r="H8495" s="8" t="s">
        <v>364</v>
      </c>
    </row>
    <row r="8496">
      <c r="H8496" s="8" t="s">
        <v>364</v>
      </c>
    </row>
    <row r="8497">
      <c r="H8497" s="8" t="s">
        <v>364</v>
      </c>
    </row>
    <row r="8498">
      <c r="H8498" s="8" t="s">
        <v>364</v>
      </c>
    </row>
    <row r="8499">
      <c r="H8499" s="8" t="s">
        <v>364</v>
      </c>
    </row>
    <row r="8500">
      <c r="H8500" s="8" t="s">
        <v>364</v>
      </c>
    </row>
    <row r="8501">
      <c r="H8501" s="8" t="s">
        <v>364</v>
      </c>
    </row>
    <row r="8502">
      <c r="H8502" s="8" t="s">
        <v>364</v>
      </c>
    </row>
    <row r="8503">
      <c r="H8503" s="8" t="s">
        <v>364</v>
      </c>
    </row>
    <row r="8504">
      <c r="H8504" s="8" t="s">
        <v>364</v>
      </c>
    </row>
    <row r="8505">
      <c r="H8505" s="8" t="s">
        <v>364</v>
      </c>
    </row>
    <row r="8506">
      <c r="H8506" s="8" t="s">
        <v>364</v>
      </c>
    </row>
    <row r="8507">
      <c r="H8507" s="8" t="s">
        <v>364</v>
      </c>
    </row>
    <row r="8508">
      <c r="H8508" s="8" t="s">
        <v>364</v>
      </c>
    </row>
    <row r="8509">
      <c r="H8509" s="8" t="s">
        <v>364</v>
      </c>
    </row>
    <row r="8510">
      <c r="H8510" s="8" t="s">
        <v>364</v>
      </c>
    </row>
    <row r="8511">
      <c r="H8511" s="8" t="s">
        <v>364</v>
      </c>
    </row>
    <row r="8512">
      <c r="H8512" s="8" t="s">
        <v>364</v>
      </c>
    </row>
    <row r="8513">
      <c r="H8513" s="8" t="s">
        <v>364</v>
      </c>
    </row>
    <row r="8514">
      <c r="H8514" s="8" t="s">
        <v>364</v>
      </c>
    </row>
    <row r="8515">
      <c r="H8515" s="8" t="s">
        <v>364</v>
      </c>
    </row>
    <row r="8516">
      <c r="H8516" s="8" t="s">
        <v>364</v>
      </c>
    </row>
    <row r="8517">
      <c r="H8517" s="8" t="s">
        <v>364</v>
      </c>
    </row>
    <row r="8518">
      <c r="H8518" s="8" t="s">
        <v>364</v>
      </c>
    </row>
    <row r="8519">
      <c r="H8519" s="8" t="s">
        <v>364</v>
      </c>
    </row>
    <row r="8520">
      <c r="H8520" s="8" t="s">
        <v>364</v>
      </c>
    </row>
    <row r="8521">
      <c r="H8521" s="8" t="s">
        <v>364</v>
      </c>
    </row>
    <row r="8522">
      <c r="H8522" s="8" t="s">
        <v>364</v>
      </c>
    </row>
    <row r="8523">
      <c r="H8523" s="8" t="s">
        <v>364</v>
      </c>
    </row>
    <row r="8524">
      <c r="H8524" s="8" t="s">
        <v>364</v>
      </c>
    </row>
    <row r="8525">
      <c r="H8525" s="8" t="s">
        <v>364</v>
      </c>
    </row>
    <row r="8526">
      <c r="H8526" s="8" t="s">
        <v>364</v>
      </c>
    </row>
    <row r="8527">
      <c r="H8527" s="8" t="s">
        <v>364</v>
      </c>
    </row>
    <row r="8528">
      <c r="H8528" s="8" t="s">
        <v>364</v>
      </c>
    </row>
    <row r="8529">
      <c r="H8529" s="8" t="s">
        <v>364</v>
      </c>
    </row>
    <row r="8530">
      <c r="H8530" s="8" t="s">
        <v>364</v>
      </c>
    </row>
    <row r="8531">
      <c r="H8531" s="8" t="s">
        <v>364</v>
      </c>
    </row>
    <row r="8532">
      <c r="H8532" s="8" t="s">
        <v>364</v>
      </c>
    </row>
    <row r="8533">
      <c r="H8533" s="8" t="s">
        <v>364</v>
      </c>
    </row>
    <row r="8534">
      <c r="H8534" s="8" t="s">
        <v>364</v>
      </c>
    </row>
    <row r="8535">
      <c r="H8535" s="8" t="s">
        <v>364</v>
      </c>
    </row>
    <row r="8536">
      <c r="H8536" s="8" t="s">
        <v>364</v>
      </c>
    </row>
    <row r="8537">
      <c r="H8537" s="8" t="s">
        <v>364</v>
      </c>
    </row>
    <row r="8538">
      <c r="H8538" s="8" t="s">
        <v>364</v>
      </c>
    </row>
    <row r="8539">
      <c r="H8539" s="8" t="s">
        <v>364</v>
      </c>
    </row>
    <row r="8540">
      <c r="H8540" s="8" t="s">
        <v>364</v>
      </c>
    </row>
    <row r="8541">
      <c r="H8541" s="8" t="s">
        <v>364</v>
      </c>
    </row>
    <row r="8542">
      <c r="H8542" s="8" t="s">
        <v>364</v>
      </c>
    </row>
    <row r="8543">
      <c r="H8543" s="8" t="s">
        <v>364</v>
      </c>
    </row>
    <row r="8544">
      <c r="H8544" s="8" t="s">
        <v>364</v>
      </c>
    </row>
    <row r="8545">
      <c r="H8545" s="8" t="s">
        <v>364</v>
      </c>
    </row>
    <row r="8546">
      <c r="H8546" s="8" t="s">
        <v>364</v>
      </c>
    </row>
    <row r="8547">
      <c r="H8547" s="8" t="s">
        <v>364</v>
      </c>
    </row>
    <row r="8548">
      <c r="H8548" s="8" t="s">
        <v>364</v>
      </c>
    </row>
    <row r="8549">
      <c r="H8549" s="8" t="s">
        <v>364</v>
      </c>
    </row>
    <row r="8550">
      <c r="H8550" s="8" t="s">
        <v>364</v>
      </c>
    </row>
    <row r="8551">
      <c r="H8551" s="8" t="s">
        <v>364</v>
      </c>
    </row>
    <row r="8552">
      <c r="H8552" s="8" t="s">
        <v>364</v>
      </c>
    </row>
    <row r="8553">
      <c r="H8553" s="8" t="s">
        <v>364</v>
      </c>
    </row>
    <row r="8554">
      <c r="H8554" s="8" t="s">
        <v>364</v>
      </c>
    </row>
    <row r="8555">
      <c r="H8555" s="8" t="s">
        <v>364</v>
      </c>
    </row>
    <row r="8556">
      <c r="H8556" s="8" t="s">
        <v>364</v>
      </c>
    </row>
    <row r="8557">
      <c r="H8557" s="8" t="s">
        <v>364</v>
      </c>
    </row>
    <row r="8558">
      <c r="H8558" s="8" t="s">
        <v>364</v>
      </c>
    </row>
    <row r="8559">
      <c r="H8559" s="8" t="s">
        <v>364</v>
      </c>
    </row>
    <row r="8560">
      <c r="H8560" s="8" t="s">
        <v>364</v>
      </c>
    </row>
    <row r="8561">
      <c r="H8561" s="8" t="s">
        <v>364</v>
      </c>
    </row>
    <row r="8562">
      <c r="H8562" s="8" t="s">
        <v>364</v>
      </c>
    </row>
    <row r="8563">
      <c r="H8563" s="8" t="s">
        <v>364</v>
      </c>
    </row>
    <row r="8564">
      <c r="H8564" s="8" t="s">
        <v>364</v>
      </c>
    </row>
    <row r="8565">
      <c r="H8565" s="8" t="s">
        <v>364</v>
      </c>
    </row>
    <row r="8566">
      <c r="H8566" s="8" t="s">
        <v>364</v>
      </c>
    </row>
    <row r="8567">
      <c r="H8567" s="8" t="s">
        <v>364</v>
      </c>
    </row>
    <row r="8568">
      <c r="H8568" s="8" t="s">
        <v>364</v>
      </c>
    </row>
    <row r="8569">
      <c r="H8569" s="8" t="s">
        <v>364</v>
      </c>
    </row>
    <row r="8570">
      <c r="H8570" s="8" t="s">
        <v>364</v>
      </c>
    </row>
    <row r="8571">
      <c r="H8571" s="8" t="s">
        <v>364</v>
      </c>
    </row>
    <row r="8572">
      <c r="H8572" s="8" t="s">
        <v>364</v>
      </c>
    </row>
    <row r="8573">
      <c r="H8573" s="8" t="s">
        <v>364</v>
      </c>
    </row>
    <row r="8574">
      <c r="H8574" s="8" t="s">
        <v>364</v>
      </c>
    </row>
    <row r="8575">
      <c r="H8575" s="8" t="s">
        <v>364</v>
      </c>
    </row>
    <row r="8576">
      <c r="H8576" s="8" t="s">
        <v>364</v>
      </c>
    </row>
    <row r="8577">
      <c r="H8577" s="8" t="s">
        <v>364</v>
      </c>
    </row>
    <row r="8578">
      <c r="H8578" s="8" t="s">
        <v>364</v>
      </c>
    </row>
    <row r="8579">
      <c r="H8579" s="8" t="s">
        <v>364</v>
      </c>
    </row>
    <row r="8580">
      <c r="H8580" s="8" t="s">
        <v>364</v>
      </c>
    </row>
    <row r="8581">
      <c r="H8581" s="8" t="s">
        <v>364</v>
      </c>
    </row>
    <row r="8582">
      <c r="H8582" s="8" t="s">
        <v>364</v>
      </c>
    </row>
    <row r="8583">
      <c r="H8583" s="8" t="s">
        <v>364</v>
      </c>
    </row>
    <row r="8584">
      <c r="H8584" s="8" t="s">
        <v>364</v>
      </c>
    </row>
    <row r="8585">
      <c r="H8585" s="8" t="s">
        <v>364</v>
      </c>
    </row>
    <row r="8586">
      <c r="H8586" s="8" t="s">
        <v>364</v>
      </c>
    </row>
    <row r="8587">
      <c r="H8587" s="8" t="s">
        <v>364</v>
      </c>
    </row>
    <row r="8588">
      <c r="H8588" s="8" t="s">
        <v>364</v>
      </c>
    </row>
    <row r="8589">
      <c r="H8589" s="8" t="s">
        <v>364</v>
      </c>
    </row>
    <row r="8590">
      <c r="H8590" s="8" t="s">
        <v>364</v>
      </c>
    </row>
    <row r="8591">
      <c r="H8591" s="8" t="s">
        <v>364</v>
      </c>
    </row>
    <row r="8592">
      <c r="H8592" s="8" t="s">
        <v>364</v>
      </c>
    </row>
    <row r="8593">
      <c r="H8593" s="8" t="s">
        <v>364</v>
      </c>
    </row>
    <row r="8594">
      <c r="H8594" s="8" t="s">
        <v>364</v>
      </c>
    </row>
    <row r="8595">
      <c r="H8595" s="8" t="s">
        <v>364</v>
      </c>
    </row>
    <row r="8596">
      <c r="H8596" s="8" t="s">
        <v>364</v>
      </c>
    </row>
    <row r="8597">
      <c r="H8597" s="8" t="s">
        <v>364</v>
      </c>
    </row>
    <row r="8598">
      <c r="H8598" s="8" t="s">
        <v>364</v>
      </c>
    </row>
    <row r="8599">
      <c r="H8599" s="8" t="s">
        <v>364</v>
      </c>
    </row>
    <row r="8600">
      <c r="H8600" s="8" t="s">
        <v>364</v>
      </c>
    </row>
    <row r="8601">
      <c r="H8601" s="8" t="s">
        <v>364</v>
      </c>
    </row>
    <row r="8602">
      <c r="H8602" s="8" t="s">
        <v>364</v>
      </c>
    </row>
    <row r="8603">
      <c r="H8603" s="8" t="s">
        <v>364</v>
      </c>
    </row>
    <row r="8604">
      <c r="H8604" s="8" t="s">
        <v>364</v>
      </c>
    </row>
    <row r="8605">
      <c r="H8605" s="8" t="s">
        <v>364</v>
      </c>
    </row>
    <row r="8606">
      <c r="H8606" s="8" t="s">
        <v>364</v>
      </c>
    </row>
    <row r="8607">
      <c r="H8607" s="8" t="s">
        <v>364</v>
      </c>
    </row>
    <row r="8608">
      <c r="H8608" s="8" t="s">
        <v>364</v>
      </c>
    </row>
    <row r="8609">
      <c r="H8609" s="8" t="s">
        <v>364</v>
      </c>
    </row>
    <row r="8610">
      <c r="H8610" s="8" t="s">
        <v>364</v>
      </c>
    </row>
    <row r="8611">
      <c r="H8611" s="8" t="s">
        <v>364</v>
      </c>
    </row>
    <row r="8612">
      <c r="H8612" s="8" t="s">
        <v>364</v>
      </c>
    </row>
    <row r="8613">
      <c r="H8613" s="8" t="s">
        <v>364</v>
      </c>
    </row>
    <row r="8614">
      <c r="H8614" s="8" t="s">
        <v>364</v>
      </c>
    </row>
    <row r="8615">
      <c r="H8615" s="8" t="s">
        <v>364</v>
      </c>
    </row>
    <row r="8616">
      <c r="H8616" s="8" t="s">
        <v>364</v>
      </c>
    </row>
    <row r="8617">
      <c r="H8617" s="8" t="s">
        <v>364</v>
      </c>
    </row>
    <row r="8618">
      <c r="H8618" s="8" t="s">
        <v>364</v>
      </c>
    </row>
    <row r="8619">
      <c r="H8619" s="8" t="s">
        <v>364</v>
      </c>
    </row>
    <row r="8620">
      <c r="H8620" s="8" t="s">
        <v>364</v>
      </c>
    </row>
    <row r="8621">
      <c r="H8621" s="8" t="s">
        <v>364</v>
      </c>
    </row>
    <row r="8622">
      <c r="H8622" s="8" t="s">
        <v>364</v>
      </c>
    </row>
    <row r="8623">
      <c r="H8623" s="8" t="s">
        <v>364</v>
      </c>
    </row>
    <row r="8624">
      <c r="H8624" s="8" t="s">
        <v>364</v>
      </c>
    </row>
    <row r="8625">
      <c r="H8625" s="8" t="s">
        <v>364</v>
      </c>
    </row>
    <row r="8626">
      <c r="H8626" s="8" t="s">
        <v>364</v>
      </c>
    </row>
    <row r="8627">
      <c r="H8627" s="8" t="s">
        <v>364</v>
      </c>
    </row>
    <row r="8628">
      <c r="H8628" s="8" t="s">
        <v>364</v>
      </c>
    </row>
    <row r="8629">
      <c r="H8629" s="8" t="s">
        <v>364</v>
      </c>
    </row>
    <row r="8630">
      <c r="H8630" s="8" t="s">
        <v>364</v>
      </c>
    </row>
    <row r="8631">
      <c r="H8631" s="8" t="s">
        <v>364</v>
      </c>
    </row>
    <row r="8632">
      <c r="H8632" s="8" t="s">
        <v>364</v>
      </c>
    </row>
    <row r="8633">
      <c r="H8633" s="8" t="s">
        <v>364</v>
      </c>
    </row>
    <row r="8634">
      <c r="H8634" s="8" t="s">
        <v>364</v>
      </c>
    </row>
    <row r="8635">
      <c r="H8635" s="8" t="s">
        <v>364</v>
      </c>
    </row>
    <row r="8636">
      <c r="H8636" s="8" t="s">
        <v>364</v>
      </c>
    </row>
    <row r="8637">
      <c r="H8637" s="8" t="s">
        <v>364</v>
      </c>
    </row>
    <row r="8638">
      <c r="H8638" s="8" t="s">
        <v>364</v>
      </c>
    </row>
    <row r="8639">
      <c r="H8639" s="8" t="s">
        <v>364</v>
      </c>
    </row>
    <row r="8640">
      <c r="H8640" s="8" t="s">
        <v>364</v>
      </c>
    </row>
    <row r="8641">
      <c r="H8641" s="8" t="s">
        <v>364</v>
      </c>
    </row>
    <row r="8642">
      <c r="H8642" s="8" t="s">
        <v>364</v>
      </c>
    </row>
    <row r="8643">
      <c r="H8643" s="8" t="s">
        <v>364</v>
      </c>
    </row>
    <row r="8644">
      <c r="H8644" s="8" t="s">
        <v>364</v>
      </c>
    </row>
    <row r="8645">
      <c r="H8645" s="8" t="s">
        <v>364</v>
      </c>
    </row>
    <row r="8646">
      <c r="H8646" s="8" t="s">
        <v>364</v>
      </c>
    </row>
    <row r="8647">
      <c r="H8647" s="8" t="s">
        <v>364</v>
      </c>
    </row>
    <row r="8648">
      <c r="H8648" s="8" t="s">
        <v>364</v>
      </c>
    </row>
    <row r="8649">
      <c r="H8649" s="8" t="s">
        <v>364</v>
      </c>
    </row>
    <row r="8650">
      <c r="H8650" s="8" t="s">
        <v>364</v>
      </c>
    </row>
    <row r="8651">
      <c r="H8651" s="8" t="s">
        <v>364</v>
      </c>
    </row>
    <row r="8652">
      <c r="H8652" s="8" t="s">
        <v>364</v>
      </c>
    </row>
    <row r="8653">
      <c r="H8653" s="8" t="s">
        <v>364</v>
      </c>
    </row>
    <row r="8654">
      <c r="H8654" s="8" t="s">
        <v>364</v>
      </c>
    </row>
    <row r="8655">
      <c r="H8655" s="8" t="s">
        <v>364</v>
      </c>
    </row>
    <row r="8656">
      <c r="H8656" s="8" t="s">
        <v>364</v>
      </c>
    </row>
    <row r="8657">
      <c r="H8657" s="8" t="s">
        <v>364</v>
      </c>
    </row>
    <row r="8658">
      <c r="H8658" s="8" t="s">
        <v>364</v>
      </c>
    </row>
    <row r="8659">
      <c r="H8659" s="8" t="s">
        <v>364</v>
      </c>
    </row>
    <row r="8660">
      <c r="H8660" s="8" t="s">
        <v>364</v>
      </c>
    </row>
    <row r="8661">
      <c r="H8661" s="8" t="s">
        <v>364</v>
      </c>
    </row>
    <row r="8662">
      <c r="H8662" s="8" t="s">
        <v>364</v>
      </c>
    </row>
    <row r="8663">
      <c r="H8663" s="8" t="s">
        <v>364</v>
      </c>
    </row>
    <row r="8664">
      <c r="H8664" s="8" t="s">
        <v>364</v>
      </c>
    </row>
    <row r="8665">
      <c r="H8665" s="8" t="s">
        <v>364</v>
      </c>
    </row>
    <row r="8666">
      <c r="H8666" s="8" t="s">
        <v>364</v>
      </c>
    </row>
    <row r="8667">
      <c r="H8667" s="8" t="s">
        <v>364</v>
      </c>
    </row>
    <row r="8668">
      <c r="H8668" s="8" t="s">
        <v>364</v>
      </c>
    </row>
    <row r="8669">
      <c r="H8669" s="8" t="s">
        <v>364</v>
      </c>
    </row>
    <row r="8670">
      <c r="H8670" s="8" t="s">
        <v>364</v>
      </c>
    </row>
    <row r="8671">
      <c r="H8671" s="8" t="s">
        <v>364</v>
      </c>
    </row>
    <row r="8672">
      <c r="H8672" s="8" t="s">
        <v>364</v>
      </c>
    </row>
    <row r="8673">
      <c r="H8673" s="8" t="s">
        <v>364</v>
      </c>
    </row>
    <row r="8674">
      <c r="H8674" s="8" t="s">
        <v>364</v>
      </c>
    </row>
    <row r="8675">
      <c r="H8675" s="8" t="s">
        <v>364</v>
      </c>
    </row>
    <row r="8676">
      <c r="H8676" s="8" t="s">
        <v>364</v>
      </c>
    </row>
    <row r="8677">
      <c r="H8677" s="8" t="s">
        <v>364</v>
      </c>
    </row>
    <row r="8678">
      <c r="H8678" s="8" t="s">
        <v>364</v>
      </c>
    </row>
    <row r="8679">
      <c r="H8679" s="8" t="s">
        <v>364</v>
      </c>
    </row>
    <row r="8680">
      <c r="H8680" s="8" t="s">
        <v>364</v>
      </c>
    </row>
    <row r="8681">
      <c r="H8681" s="8" t="s">
        <v>364</v>
      </c>
    </row>
    <row r="8682">
      <c r="H8682" s="8" t="s">
        <v>364</v>
      </c>
    </row>
    <row r="8683">
      <c r="H8683" s="8" t="s">
        <v>364</v>
      </c>
    </row>
    <row r="8684">
      <c r="H8684" s="8" t="s">
        <v>364</v>
      </c>
    </row>
    <row r="8685">
      <c r="H8685" s="8" t="s">
        <v>364</v>
      </c>
    </row>
    <row r="8686">
      <c r="H8686" s="8" t="s">
        <v>364</v>
      </c>
    </row>
    <row r="8687">
      <c r="H8687" s="8" t="s">
        <v>364</v>
      </c>
    </row>
    <row r="8688">
      <c r="H8688" s="8" t="s">
        <v>364</v>
      </c>
    </row>
    <row r="8689">
      <c r="H8689" s="8" t="s">
        <v>364</v>
      </c>
    </row>
    <row r="8690">
      <c r="H8690" s="8" t="s">
        <v>364</v>
      </c>
    </row>
    <row r="8691">
      <c r="H8691" s="8" t="s">
        <v>364</v>
      </c>
    </row>
    <row r="8692">
      <c r="H8692" s="8" t="s">
        <v>364</v>
      </c>
    </row>
    <row r="8693">
      <c r="H8693" s="8" t="s">
        <v>364</v>
      </c>
    </row>
    <row r="8694">
      <c r="H8694" s="8" t="s">
        <v>364</v>
      </c>
    </row>
    <row r="8695">
      <c r="H8695" s="8" t="s">
        <v>364</v>
      </c>
    </row>
    <row r="8696">
      <c r="H8696" s="8" t="s">
        <v>364</v>
      </c>
    </row>
    <row r="8697">
      <c r="H8697" s="8" t="s">
        <v>364</v>
      </c>
    </row>
    <row r="8698">
      <c r="H8698" s="8" t="s">
        <v>364</v>
      </c>
    </row>
    <row r="8699">
      <c r="H8699" s="8" t="s">
        <v>364</v>
      </c>
    </row>
    <row r="8700">
      <c r="H8700" s="8" t="s">
        <v>364</v>
      </c>
    </row>
    <row r="8701">
      <c r="H8701" s="8" t="s">
        <v>364</v>
      </c>
    </row>
    <row r="8702">
      <c r="H8702" s="8" t="s">
        <v>364</v>
      </c>
    </row>
    <row r="8703">
      <c r="H8703" s="8" t="s">
        <v>364</v>
      </c>
    </row>
    <row r="8704">
      <c r="H8704" s="8" t="s">
        <v>364</v>
      </c>
    </row>
    <row r="8705">
      <c r="H8705" s="8" t="s">
        <v>364</v>
      </c>
    </row>
    <row r="8706">
      <c r="H8706" s="8" t="s">
        <v>364</v>
      </c>
    </row>
    <row r="8707">
      <c r="H8707" s="8" t="s">
        <v>364</v>
      </c>
    </row>
    <row r="8708">
      <c r="H8708" s="8" t="s">
        <v>364</v>
      </c>
    </row>
    <row r="8709">
      <c r="H8709" s="8" t="s">
        <v>364</v>
      </c>
    </row>
    <row r="8710">
      <c r="H8710" s="8" t="s">
        <v>364</v>
      </c>
    </row>
    <row r="8711">
      <c r="H8711" s="8" t="s">
        <v>364</v>
      </c>
    </row>
    <row r="8712">
      <c r="H8712" s="8" t="s">
        <v>364</v>
      </c>
    </row>
    <row r="8713">
      <c r="H8713" s="8" t="s">
        <v>364</v>
      </c>
    </row>
    <row r="8714">
      <c r="H8714" s="8" t="s">
        <v>364</v>
      </c>
    </row>
    <row r="8715">
      <c r="H8715" s="8" t="s">
        <v>364</v>
      </c>
    </row>
    <row r="8716">
      <c r="H8716" s="8" t="s">
        <v>364</v>
      </c>
    </row>
    <row r="8717">
      <c r="H8717" s="8" t="s">
        <v>364</v>
      </c>
    </row>
    <row r="8718">
      <c r="H8718" s="8" t="s">
        <v>364</v>
      </c>
    </row>
    <row r="8719">
      <c r="H8719" s="8" t="s">
        <v>364</v>
      </c>
    </row>
    <row r="8720">
      <c r="H8720" s="8" t="s">
        <v>364</v>
      </c>
    </row>
    <row r="8721">
      <c r="H8721" s="8" t="s">
        <v>364</v>
      </c>
    </row>
    <row r="8722">
      <c r="H8722" s="8" t="s">
        <v>364</v>
      </c>
    </row>
    <row r="8723">
      <c r="H8723" s="8" t="s">
        <v>364</v>
      </c>
    </row>
    <row r="8724">
      <c r="H8724" s="8" t="s">
        <v>364</v>
      </c>
    </row>
    <row r="8725">
      <c r="H8725" s="8" t="s">
        <v>364</v>
      </c>
    </row>
    <row r="8726">
      <c r="H8726" s="8" t="s">
        <v>364</v>
      </c>
    </row>
    <row r="8727">
      <c r="H8727" s="8" t="s">
        <v>364</v>
      </c>
    </row>
    <row r="8728">
      <c r="H8728" s="8" t="s">
        <v>364</v>
      </c>
    </row>
    <row r="8729">
      <c r="H8729" s="8" t="s">
        <v>364</v>
      </c>
    </row>
    <row r="8730">
      <c r="H8730" s="8" t="s">
        <v>364</v>
      </c>
    </row>
    <row r="8731">
      <c r="H8731" s="8" t="s">
        <v>364</v>
      </c>
    </row>
    <row r="8732">
      <c r="H8732" s="8" t="s">
        <v>364</v>
      </c>
    </row>
    <row r="8733">
      <c r="H8733" s="8" t="s">
        <v>364</v>
      </c>
    </row>
    <row r="8734">
      <c r="H8734" s="8" t="s">
        <v>364</v>
      </c>
    </row>
    <row r="8735">
      <c r="H8735" s="8" t="s">
        <v>364</v>
      </c>
    </row>
    <row r="8736">
      <c r="H8736" s="8" t="s">
        <v>364</v>
      </c>
    </row>
    <row r="8737">
      <c r="H8737" s="8" t="s">
        <v>364</v>
      </c>
    </row>
    <row r="8738">
      <c r="H8738" s="8" t="s">
        <v>364</v>
      </c>
    </row>
    <row r="8739">
      <c r="H8739" s="8" t="s">
        <v>364</v>
      </c>
    </row>
    <row r="8740">
      <c r="H8740" s="8" t="s">
        <v>364</v>
      </c>
    </row>
    <row r="8741">
      <c r="H8741" s="8" t="s">
        <v>364</v>
      </c>
    </row>
    <row r="8742">
      <c r="H8742" s="8" t="s">
        <v>364</v>
      </c>
    </row>
    <row r="8743">
      <c r="H8743" s="8" t="s">
        <v>364</v>
      </c>
    </row>
    <row r="8744">
      <c r="H8744" s="8" t="s">
        <v>364</v>
      </c>
    </row>
    <row r="8745">
      <c r="H8745" s="8" t="s">
        <v>364</v>
      </c>
    </row>
    <row r="8746">
      <c r="H8746" s="8" t="s">
        <v>364</v>
      </c>
    </row>
    <row r="8747">
      <c r="H8747" s="8" t="s">
        <v>364</v>
      </c>
    </row>
    <row r="8748">
      <c r="H8748" s="8" t="s">
        <v>364</v>
      </c>
    </row>
    <row r="8749">
      <c r="H8749" s="8" t="s">
        <v>364</v>
      </c>
    </row>
    <row r="8750">
      <c r="H8750" s="8" t="s">
        <v>364</v>
      </c>
    </row>
    <row r="8751">
      <c r="H8751" s="8" t="s">
        <v>364</v>
      </c>
    </row>
    <row r="8752">
      <c r="H8752" s="8" t="s">
        <v>364</v>
      </c>
    </row>
    <row r="8753">
      <c r="H8753" s="8" t="s">
        <v>364</v>
      </c>
    </row>
    <row r="8754">
      <c r="H8754" s="8" t="s">
        <v>364</v>
      </c>
    </row>
    <row r="8755">
      <c r="H8755" s="8" t="s">
        <v>364</v>
      </c>
    </row>
    <row r="8756">
      <c r="H8756" s="8" t="s">
        <v>364</v>
      </c>
    </row>
    <row r="8757">
      <c r="H8757" s="8" t="s">
        <v>364</v>
      </c>
    </row>
    <row r="8758">
      <c r="H8758" s="8" t="s">
        <v>364</v>
      </c>
    </row>
    <row r="8759">
      <c r="H8759" s="8" t="s">
        <v>364</v>
      </c>
    </row>
    <row r="8760">
      <c r="H8760" s="8" t="s">
        <v>364</v>
      </c>
    </row>
    <row r="8761">
      <c r="H8761" s="8" t="s">
        <v>364</v>
      </c>
    </row>
    <row r="8762">
      <c r="H8762" s="8" t="s">
        <v>364</v>
      </c>
    </row>
    <row r="8763">
      <c r="H8763" s="8" t="s">
        <v>364</v>
      </c>
    </row>
    <row r="8764">
      <c r="H8764" s="8" t="s">
        <v>364</v>
      </c>
    </row>
    <row r="8765">
      <c r="H8765" s="8" t="s">
        <v>364</v>
      </c>
    </row>
    <row r="8766">
      <c r="H8766" s="8" t="s">
        <v>364</v>
      </c>
    </row>
    <row r="8767">
      <c r="H8767" s="8" t="s">
        <v>364</v>
      </c>
    </row>
    <row r="8768">
      <c r="H8768" s="8" t="s">
        <v>364</v>
      </c>
    </row>
    <row r="8769">
      <c r="H8769" s="8" t="s">
        <v>364</v>
      </c>
    </row>
    <row r="8770">
      <c r="H8770" s="8" t="s">
        <v>364</v>
      </c>
    </row>
    <row r="8771">
      <c r="H8771" s="8" t="s">
        <v>364</v>
      </c>
    </row>
    <row r="8772">
      <c r="H8772" s="8" t="s">
        <v>364</v>
      </c>
    </row>
    <row r="8773">
      <c r="H8773" s="8" t="s">
        <v>364</v>
      </c>
    </row>
    <row r="8774">
      <c r="H8774" s="8" t="s">
        <v>364</v>
      </c>
    </row>
    <row r="8775">
      <c r="H8775" s="8" t="s">
        <v>364</v>
      </c>
    </row>
    <row r="8776">
      <c r="H8776" s="8" t="s">
        <v>364</v>
      </c>
    </row>
    <row r="8777">
      <c r="H8777" s="8" t="s">
        <v>364</v>
      </c>
    </row>
    <row r="8778">
      <c r="H8778" s="8" t="s">
        <v>364</v>
      </c>
    </row>
    <row r="8779">
      <c r="H8779" s="8" t="s">
        <v>364</v>
      </c>
    </row>
    <row r="8780">
      <c r="H8780" s="8" t="s">
        <v>364</v>
      </c>
    </row>
    <row r="8781">
      <c r="H8781" s="8" t="s">
        <v>364</v>
      </c>
    </row>
    <row r="8782">
      <c r="H8782" s="8" t="s">
        <v>364</v>
      </c>
    </row>
    <row r="8783">
      <c r="H8783" s="8" t="s">
        <v>364</v>
      </c>
    </row>
    <row r="8784">
      <c r="H8784" s="8" t="s">
        <v>364</v>
      </c>
    </row>
    <row r="8785">
      <c r="H8785" s="8" t="s">
        <v>364</v>
      </c>
    </row>
    <row r="8786">
      <c r="H8786" s="8" t="s">
        <v>364</v>
      </c>
    </row>
    <row r="8787">
      <c r="H8787" s="8" t="s">
        <v>364</v>
      </c>
    </row>
    <row r="8788">
      <c r="H8788" s="8" t="s">
        <v>364</v>
      </c>
    </row>
    <row r="8789">
      <c r="H8789" s="8" t="s">
        <v>364</v>
      </c>
    </row>
    <row r="8790">
      <c r="H8790" s="8" t="s">
        <v>364</v>
      </c>
    </row>
    <row r="8791">
      <c r="H8791" s="8" t="s">
        <v>364</v>
      </c>
    </row>
    <row r="8792">
      <c r="H8792" s="8" t="s">
        <v>364</v>
      </c>
    </row>
    <row r="8793">
      <c r="H8793" s="8" t="s">
        <v>364</v>
      </c>
    </row>
    <row r="8794">
      <c r="H8794" s="8" t="s">
        <v>364</v>
      </c>
    </row>
    <row r="8795">
      <c r="H8795" s="8" t="s">
        <v>364</v>
      </c>
    </row>
    <row r="8796">
      <c r="H8796" s="8" t="s">
        <v>364</v>
      </c>
    </row>
    <row r="8797">
      <c r="H8797" s="8" t="s">
        <v>364</v>
      </c>
    </row>
    <row r="8798">
      <c r="H8798" s="8" t="s">
        <v>364</v>
      </c>
    </row>
    <row r="8799">
      <c r="H8799" s="8" t="s">
        <v>364</v>
      </c>
    </row>
    <row r="8800">
      <c r="H8800" s="8" t="s">
        <v>364</v>
      </c>
    </row>
    <row r="8801">
      <c r="H8801" s="8" t="s">
        <v>364</v>
      </c>
    </row>
    <row r="8802">
      <c r="H8802" s="8" t="s">
        <v>364</v>
      </c>
    </row>
    <row r="8803">
      <c r="H8803" s="8" t="s">
        <v>364</v>
      </c>
    </row>
    <row r="8804">
      <c r="H8804" s="8" t="s">
        <v>364</v>
      </c>
    </row>
    <row r="8805">
      <c r="H8805" s="8" t="s">
        <v>364</v>
      </c>
    </row>
    <row r="8806">
      <c r="H8806" s="8" t="s">
        <v>364</v>
      </c>
    </row>
    <row r="8807">
      <c r="H8807" s="8" t="s">
        <v>364</v>
      </c>
    </row>
    <row r="8808">
      <c r="H8808" s="8" t="s">
        <v>364</v>
      </c>
    </row>
    <row r="8809">
      <c r="H8809" s="8" t="s">
        <v>364</v>
      </c>
    </row>
    <row r="8810">
      <c r="H8810" s="8" t="s">
        <v>364</v>
      </c>
    </row>
    <row r="8811">
      <c r="H8811" s="8" t="s">
        <v>364</v>
      </c>
    </row>
    <row r="8812">
      <c r="H8812" s="8" t="s">
        <v>364</v>
      </c>
    </row>
    <row r="8813">
      <c r="H8813" s="8" t="s">
        <v>364</v>
      </c>
    </row>
    <row r="8814">
      <c r="H8814" s="8" t="s">
        <v>364</v>
      </c>
    </row>
    <row r="8815">
      <c r="H8815" s="8" t="s">
        <v>364</v>
      </c>
    </row>
    <row r="8816">
      <c r="H8816" s="8" t="s">
        <v>364</v>
      </c>
    </row>
    <row r="8817">
      <c r="H8817" s="8" t="s">
        <v>364</v>
      </c>
    </row>
    <row r="8818">
      <c r="H8818" s="8" t="s">
        <v>364</v>
      </c>
    </row>
    <row r="8819">
      <c r="H8819" s="8" t="s">
        <v>364</v>
      </c>
    </row>
    <row r="8820">
      <c r="H8820" s="8" t="s">
        <v>364</v>
      </c>
    </row>
    <row r="8821">
      <c r="H8821" s="8" t="s">
        <v>364</v>
      </c>
    </row>
    <row r="8822">
      <c r="H8822" s="8" t="s">
        <v>364</v>
      </c>
    </row>
    <row r="8823">
      <c r="H8823" s="8" t="s">
        <v>364</v>
      </c>
    </row>
    <row r="8824">
      <c r="H8824" s="8" t="s">
        <v>364</v>
      </c>
    </row>
    <row r="8825">
      <c r="H8825" s="8" t="s">
        <v>364</v>
      </c>
    </row>
    <row r="8826">
      <c r="H8826" s="8" t="s">
        <v>364</v>
      </c>
    </row>
    <row r="8827">
      <c r="H8827" s="8" t="s">
        <v>364</v>
      </c>
    </row>
    <row r="8828">
      <c r="H8828" s="8" t="s">
        <v>364</v>
      </c>
    </row>
    <row r="8829">
      <c r="H8829" s="8" t="s">
        <v>364</v>
      </c>
    </row>
    <row r="8830">
      <c r="H8830" s="8" t="s">
        <v>364</v>
      </c>
    </row>
    <row r="8831">
      <c r="H8831" s="8" t="s">
        <v>364</v>
      </c>
    </row>
    <row r="8832">
      <c r="H8832" s="8" t="s">
        <v>364</v>
      </c>
    </row>
    <row r="8833">
      <c r="H8833" s="8" t="s">
        <v>364</v>
      </c>
    </row>
    <row r="8834">
      <c r="H8834" s="8" t="s">
        <v>364</v>
      </c>
    </row>
    <row r="8835">
      <c r="H8835" s="8" t="s">
        <v>364</v>
      </c>
    </row>
    <row r="8836">
      <c r="H8836" s="8" t="s">
        <v>364</v>
      </c>
    </row>
    <row r="8837">
      <c r="H8837" s="8" t="s">
        <v>364</v>
      </c>
    </row>
    <row r="8838">
      <c r="H8838" s="8" t="s">
        <v>364</v>
      </c>
    </row>
    <row r="8839">
      <c r="H8839" s="8" t="s">
        <v>364</v>
      </c>
    </row>
    <row r="8840">
      <c r="H8840" s="8" t="s">
        <v>364</v>
      </c>
    </row>
    <row r="8841">
      <c r="H8841" s="8" t="s">
        <v>364</v>
      </c>
    </row>
    <row r="8842">
      <c r="H8842" s="8" t="s">
        <v>364</v>
      </c>
    </row>
    <row r="8843">
      <c r="H8843" s="8" t="s">
        <v>364</v>
      </c>
    </row>
    <row r="8844">
      <c r="H8844" s="8" t="s">
        <v>364</v>
      </c>
    </row>
    <row r="8845">
      <c r="H8845" s="8" t="s">
        <v>364</v>
      </c>
    </row>
    <row r="8846">
      <c r="H8846" s="8" t="s">
        <v>364</v>
      </c>
    </row>
    <row r="8847">
      <c r="H8847" s="8" t="s">
        <v>364</v>
      </c>
    </row>
    <row r="8848">
      <c r="H8848" s="8" t="s">
        <v>364</v>
      </c>
    </row>
    <row r="8849">
      <c r="H8849" s="8" t="s">
        <v>364</v>
      </c>
    </row>
    <row r="8850">
      <c r="H8850" s="8" t="s">
        <v>364</v>
      </c>
    </row>
    <row r="8851">
      <c r="H8851" s="8" t="s">
        <v>364</v>
      </c>
    </row>
    <row r="8852">
      <c r="H8852" s="8" t="s">
        <v>364</v>
      </c>
    </row>
    <row r="8853">
      <c r="H8853" s="8" t="s">
        <v>364</v>
      </c>
    </row>
    <row r="8854">
      <c r="H8854" s="8" t="s">
        <v>364</v>
      </c>
    </row>
    <row r="8855">
      <c r="H8855" s="8" t="s">
        <v>364</v>
      </c>
    </row>
    <row r="8856">
      <c r="H8856" s="8" t="s">
        <v>364</v>
      </c>
    </row>
    <row r="8857">
      <c r="H8857" s="8" t="s">
        <v>364</v>
      </c>
    </row>
    <row r="8858">
      <c r="H8858" s="8" t="s">
        <v>364</v>
      </c>
    </row>
    <row r="8859">
      <c r="H8859" s="8" t="s">
        <v>364</v>
      </c>
    </row>
    <row r="8860">
      <c r="H8860" s="8" t="s">
        <v>364</v>
      </c>
    </row>
    <row r="8861">
      <c r="H8861" s="8" t="s">
        <v>364</v>
      </c>
    </row>
    <row r="8862">
      <c r="H8862" s="8" t="s">
        <v>364</v>
      </c>
    </row>
    <row r="8863">
      <c r="H8863" s="8" t="s">
        <v>364</v>
      </c>
    </row>
    <row r="8864">
      <c r="H8864" s="8" t="s">
        <v>364</v>
      </c>
    </row>
    <row r="8865">
      <c r="H8865" s="8" t="s">
        <v>364</v>
      </c>
    </row>
    <row r="8866">
      <c r="H8866" s="8" t="s">
        <v>364</v>
      </c>
    </row>
    <row r="8867">
      <c r="H8867" s="8" t="s">
        <v>364</v>
      </c>
    </row>
    <row r="8868">
      <c r="H8868" s="8" t="s">
        <v>364</v>
      </c>
    </row>
    <row r="8869">
      <c r="H8869" s="8" t="s">
        <v>364</v>
      </c>
    </row>
    <row r="8870">
      <c r="H8870" s="8" t="s">
        <v>364</v>
      </c>
    </row>
    <row r="8871">
      <c r="H8871" s="8" t="s">
        <v>364</v>
      </c>
    </row>
    <row r="8872">
      <c r="H8872" s="8" t="s">
        <v>364</v>
      </c>
    </row>
    <row r="8873">
      <c r="H8873" s="8" t="s">
        <v>364</v>
      </c>
    </row>
    <row r="8874">
      <c r="H8874" s="8" t="s">
        <v>364</v>
      </c>
    </row>
    <row r="8875">
      <c r="H8875" s="8" t="s">
        <v>364</v>
      </c>
    </row>
    <row r="8876">
      <c r="H8876" s="8" t="s">
        <v>364</v>
      </c>
    </row>
    <row r="8877">
      <c r="H8877" s="8" t="s">
        <v>364</v>
      </c>
    </row>
    <row r="8878">
      <c r="H8878" s="8" t="s">
        <v>364</v>
      </c>
    </row>
    <row r="8879">
      <c r="H8879" s="8" t="s">
        <v>364</v>
      </c>
    </row>
    <row r="8880">
      <c r="H8880" s="8" t="s">
        <v>364</v>
      </c>
    </row>
    <row r="8881">
      <c r="H8881" s="8" t="s">
        <v>364</v>
      </c>
    </row>
    <row r="8882">
      <c r="H8882" s="8" t="s">
        <v>364</v>
      </c>
    </row>
    <row r="8883">
      <c r="H8883" s="8" t="s">
        <v>364</v>
      </c>
    </row>
    <row r="8884">
      <c r="H8884" s="8" t="s">
        <v>364</v>
      </c>
    </row>
    <row r="8885">
      <c r="H8885" s="8" t="s">
        <v>364</v>
      </c>
    </row>
    <row r="8886">
      <c r="H8886" s="8" t="s">
        <v>364</v>
      </c>
    </row>
    <row r="8887">
      <c r="H8887" s="8" t="s">
        <v>364</v>
      </c>
    </row>
    <row r="8888">
      <c r="H8888" s="8" t="s">
        <v>364</v>
      </c>
    </row>
    <row r="8889">
      <c r="H8889" s="8" t="s">
        <v>364</v>
      </c>
    </row>
    <row r="8890">
      <c r="H8890" s="8" t="s">
        <v>364</v>
      </c>
    </row>
    <row r="8891">
      <c r="H8891" s="8" t="s">
        <v>364</v>
      </c>
    </row>
    <row r="8892">
      <c r="H8892" s="8" t="s">
        <v>364</v>
      </c>
    </row>
    <row r="8893">
      <c r="H8893" s="8" t="s">
        <v>364</v>
      </c>
    </row>
    <row r="8894">
      <c r="H8894" s="8" t="s">
        <v>364</v>
      </c>
    </row>
    <row r="8895">
      <c r="H8895" s="8" t="s">
        <v>364</v>
      </c>
    </row>
    <row r="8896">
      <c r="H8896" s="8" t="s">
        <v>364</v>
      </c>
    </row>
    <row r="8897">
      <c r="H8897" s="8" t="s">
        <v>364</v>
      </c>
    </row>
    <row r="8898">
      <c r="H8898" s="8" t="s">
        <v>364</v>
      </c>
    </row>
    <row r="8899">
      <c r="H8899" s="8" t="s">
        <v>364</v>
      </c>
    </row>
    <row r="8900">
      <c r="H8900" s="8" t="s">
        <v>364</v>
      </c>
    </row>
    <row r="8901">
      <c r="H8901" s="8" t="s">
        <v>364</v>
      </c>
    </row>
    <row r="8902">
      <c r="H8902" s="8" t="s">
        <v>364</v>
      </c>
    </row>
    <row r="8903">
      <c r="H8903" s="8" t="s">
        <v>364</v>
      </c>
    </row>
    <row r="8904">
      <c r="H8904" s="8" t="s">
        <v>364</v>
      </c>
    </row>
    <row r="8905">
      <c r="H8905" s="8" t="s">
        <v>364</v>
      </c>
    </row>
    <row r="8906">
      <c r="H8906" s="8" t="s">
        <v>364</v>
      </c>
    </row>
    <row r="8907">
      <c r="H8907" s="8" t="s">
        <v>364</v>
      </c>
    </row>
    <row r="8908">
      <c r="H8908" s="8" t="s">
        <v>364</v>
      </c>
    </row>
    <row r="8909">
      <c r="H8909" s="8" t="s">
        <v>364</v>
      </c>
    </row>
    <row r="8910">
      <c r="H8910" s="8" t="s">
        <v>364</v>
      </c>
    </row>
    <row r="8911">
      <c r="H8911" s="8" t="s">
        <v>364</v>
      </c>
    </row>
    <row r="8912">
      <c r="H8912" s="8" t="s">
        <v>364</v>
      </c>
    </row>
    <row r="8913">
      <c r="H8913" s="8" t="s">
        <v>364</v>
      </c>
    </row>
    <row r="8914">
      <c r="H8914" s="8" t="s">
        <v>364</v>
      </c>
    </row>
    <row r="8915">
      <c r="H8915" s="8" t="s">
        <v>364</v>
      </c>
    </row>
    <row r="8916">
      <c r="H8916" s="8" t="s">
        <v>364</v>
      </c>
    </row>
    <row r="8917">
      <c r="H8917" s="8" t="s">
        <v>364</v>
      </c>
    </row>
    <row r="8918">
      <c r="H8918" s="8" t="s">
        <v>364</v>
      </c>
    </row>
    <row r="8919">
      <c r="H8919" s="8" t="s">
        <v>364</v>
      </c>
    </row>
    <row r="8920">
      <c r="H8920" s="8" t="s">
        <v>364</v>
      </c>
    </row>
    <row r="8921">
      <c r="H8921" s="8" t="s">
        <v>364</v>
      </c>
    </row>
    <row r="8922">
      <c r="H8922" s="8" t="s">
        <v>364</v>
      </c>
    </row>
    <row r="8923">
      <c r="H8923" s="8" t="s">
        <v>364</v>
      </c>
    </row>
    <row r="8924">
      <c r="H8924" s="8" t="s">
        <v>364</v>
      </c>
    </row>
    <row r="8925">
      <c r="H8925" s="8" t="s">
        <v>364</v>
      </c>
    </row>
    <row r="8926">
      <c r="H8926" s="8" t="s">
        <v>364</v>
      </c>
    </row>
    <row r="8927">
      <c r="H8927" s="8" t="s">
        <v>364</v>
      </c>
    </row>
    <row r="8928">
      <c r="H8928" s="8" t="s">
        <v>364</v>
      </c>
    </row>
    <row r="8929">
      <c r="H8929" s="8" t="s">
        <v>364</v>
      </c>
    </row>
    <row r="8930">
      <c r="H8930" s="8" t="s">
        <v>364</v>
      </c>
    </row>
    <row r="8931">
      <c r="H8931" s="8" t="s">
        <v>364</v>
      </c>
    </row>
    <row r="8932">
      <c r="H8932" s="8" t="s">
        <v>364</v>
      </c>
    </row>
    <row r="8933">
      <c r="H8933" s="8" t="s">
        <v>364</v>
      </c>
    </row>
    <row r="8934">
      <c r="H8934" s="8" t="s">
        <v>364</v>
      </c>
    </row>
    <row r="8935">
      <c r="H8935" s="8" t="s">
        <v>364</v>
      </c>
    </row>
    <row r="8936">
      <c r="H8936" s="8" t="s">
        <v>364</v>
      </c>
    </row>
    <row r="8937">
      <c r="H8937" s="8" t="s">
        <v>364</v>
      </c>
    </row>
    <row r="8938">
      <c r="H8938" s="8" t="s">
        <v>364</v>
      </c>
    </row>
    <row r="8939">
      <c r="H8939" s="8" t="s">
        <v>364</v>
      </c>
    </row>
    <row r="8940">
      <c r="H8940" s="8" t="s">
        <v>364</v>
      </c>
    </row>
    <row r="8941">
      <c r="H8941" s="8" t="s">
        <v>364</v>
      </c>
    </row>
    <row r="8942">
      <c r="H8942" s="8" t="s">
        <v>364</v>
      </c>
    </row>
    <row r="8943">
      <c r="H8943" s="8" t="s">
        <v>364</v>
      </c>
    </row>
    <row r="8944">
      <c r="H8944" s="8" t="s">
        <v>364</v>
      </c>
    </row>
    <row r="8945">
      <c r="H8945" s="8" t="s">
        <v>364</v>
      </c>
    </row>
    <row r="8946">
      <c r="H8946" s="8" t="s">
        <v>364</v>
      </c>
    </row>
    <row r="8947">
      <c r="H8947" s="8" t="s">
        <v>364</v>
      </c>
    </row>
    <row r="8948">
      <c r="H8948" s="8" t="s">
        <v>364</v>
      </c>
    </row>
    <row r="8949">
      <c r="H8949" s="8" t="s">
        <v>364</v>
      </c>
    </row>
    <row r="8950">
      <c r="H8950" s="8" t="s">
        <v>364</v>
      </c>
    </row>
    <row r="8951">
      <c r="H8951" s="8" t="s">
        <v>364</v>
      </c>
    </row>
    <row r="8952">
      <c r="H8952" s="8" t="s">
        <v>364</v>
      </c>
    </row>
    <row r="8953">
      <c r="H8953" s="8" t="s">
        <v>364</v>
      </c>
    </row>
    <row r="8954">
      <c r="H8954" s="8" t="s">
        <v>364</v>
      </c>
    </row>
    <row r="8955">
      <c r="H8955" s="8" t="s">
        <v>364</v>
      </c>
    </row>
    <row r="8956">
      <c r="H8956" s="8" t="s">
        <v>364</v>
      </c>
    </row>
    <row r="8957">
      <c r="H8957" s="8" t="s">
        <v>364</v>
      </c>
    </row>
    <row r="8958">
      <c r="H8958" s="8" t="s">
        <v>364</v>
      </c>
    </row>
    <row r="8959">
      <c r="H8959" s="8" t="s">
        <v>364</v>
      </c>
    </row>
    <row r="8960">
      <c r="H8960" s="8" t="s">
        <v>364</v>
      </c>
    </row>
    <row r="8961">
      <c r="H8961" s="8" t="s">
        <v>364</v>
      </c>
    </row>
    <row r="8962">
      <c r="H8962" s="8" t="s">
        <v>364</v>
      </c>
    </row>
    <row r="8963">
      <c r="H8963" s="8" t="s">
        <v>364</v>
      </c>
    </row>
    <row r="8964">
      <c r="H8964" s="8" t="s">
        <v>364</v>
      </c>
    </row>
    <row r="8965">
      <c r="H8965" s="8" t="s">
        <v>364</v>
      </c>
    </row>
    <row r="8966">
      <c r="H8966" s="8" t="s">
        <v>364</v>
      </c>
    </row>
    <row r="8967">
      <c r="H8967" s="8" t="s">
        <v>364</v>
      </c>
    </row>
    <row r="8968">
      <c r="H8968" s="8" t="s">
        <v>364</v>
      </c>
    </row>
    <row r="8969">
      <c r="H8969" s="8" t="s">
        <v>364</v>
      </c>
    </row>
    <row r="8970">
      <c r="H8970" s="8" t="s">
        <v>364</v>
      </c>
    </row>
    <row r="8971">
      <c r="H8971" s="8" t="s">
        <v>364</v>
      </c>
    </row>
    <row r="8972">
      <c r="H8972" s="8" t="s">
        <v>364</v>
      </c>
    </row>
    <row r="8973">
      <c r="H8973" s="8" t="s">
        <v>364</v>
      </c>
    </row>
    <row r="8974">
      <c r="H8974" s="8" t="s">
        <v>364</v>
      </c>
    </row>
    <row r="8975">
      <c r="H8975" s="8" t="s">
        <v>364</v>
      </c>
    </row>
    <row r="8976">
      <c r="H8976" s="8" t="s">
        <v>364</v>
      </c>
    </row>
    <row r="8977">
      <c r="H8977" s="8" t="s">
        <v>364</v>
      </c>
    </row>
    <row r="8978">
      <c r="H8978" s="8" t="s">
        <v>364</v>
      </c>
    </row>
    <row r="8979">
      <c r="H8979" s="8" t="s">
        <v>364</v>
      </c>
    </row>
    <row r="8980">
      <c r="H8980" s="8" t="s">
        <v>364</v>
      </c>
    </row>
    <row r="8981">
      <c r="H8981" s="8" t="s">
        <v>364</v>
      </c>
    </row>
    <row r="8982">
      <c r="H8982" s="8" t="s">
        <v>364</v>
      </c>
    </row>
    <row r="8983">
      <c r="H8983" s="8" t="s">
        <v>364</v>
      </c>
    </row>
    <row r="8984">
      <c r="H8984" s="8" t="s">
        <v>364</v>
      </c>
    </row>
    <row r="8985">
      <c r="H8985" s="8" t="s">
        <v>364</v>
      </c>
    </row>
    <row r="8986">
      <c r="H8986" s="8" t="s">
        <v>364</v>
      </c>
    </row>
    <row r="8987">
      <c r="H8987" s="8" t="s">
        <v>364</v>
      </c>
    </row>
    <row r="8988">
      <c r="H8988" s="8" t="s">
        <v>364</v>
      </c>
    </row>
    <row r="8989">
      <c r="H8989" s="8" t="s">
        <v>364</v>
      </c>
    </row>
    <row r="8990">
      <c r="H8990" s="8" t="s">
        <v>364</v>
      </c>
    </row>
    <row r="8991">
      <c r="H8991" s="8" t="s">
        <v>364</v>
      </c>
    </row>
    <row r="8992">
      <c r="H8992" s="8" t="s">
        <v>364</v>
      </c>
    </row>
    <row r="8993">
      <c r="H8993" s="8" t="s">
        <v>364</v>
      </c>
    </row>
    <row r="8994">
      <c r="H8994" s="8" t="s">
        <v>364</v>
      </c>
    </row>
    <row r="8995">
      <c r="H8995" s="8" t="s">
        <v>364</v>
      </c>
    </row>
    <row r="8996">
      <c r="H8996" s="8" t="s">
        <v>364</v>
      </c>
    </row>
    <row r="8997">
      <c r="H8997" s="8" t="s">
        <v>364</v>
      </c>
    </row>
    <row r="8998">
      <c r="H8998" s="8" t="s">
        <v>364</v>
      </c>
    </row>
    <row r="8999">
      <c r="H8999" s="8" t="s">
        <v>364</v>
      </c>
    </row>
    <row r="9000">
      <c r="H9000" s="8" t="s">
        <v>364</v>
      </c>
    </row>
    <row r="9001">
      <c r="H9001" s="8" t="s">
        <v>364</v>
      </c>
    </row>
    <row r="9002">
      <c r="H9002" s="8" t="s">
        <v>364</v>
      </c>
    </row>
    <row r="9003">
      <c r="H9003" s="8" t="s">
        <v>364</v>
      </c>
    </row>
    <row r="9004">
      <c r="H9004" s="8" t="s">
        <v>364</v>
      </c>
    </row>
    <row r="9005">
      <c r="H9005" s="8" t="s">
        <v>364</v>
      </c>
    </row>
    <row r="9006">
      <c r="H9006" s="8" t="s">
        <v>364</v>
      </c>
    </row>
    <row r="9007">
      <c r="H9007" s="8" t="s">
        <v>364</v>
      </c>
    </row>
    <row r="9008">
      <c r="H9008" s="8" t="s">
        <v>364</v>
      </c>
    </row>
    <row r="9009">
      <c r="H9009" s="8" t="s">
        <v>364</v>
      </c>
    </row>
    <row r="9010">
      <c r="H9010" s="8" t="s">
        <v>364</v>
      </c>
    </row>
    <row r="9011">
      <c r="H9011" s="8" t="s">
        <v>364</v>
      </c>
    </row>
    <row r="9012">
      <c r="H9012" s="8" t="s">
        <v>364</v>
      </c>
    </row>
    <row r="9013">
      <c r="H9013" s="8" t="s">
        <v>364</v>
      </c>
    </row>
    <row r="9014">
      <c r="H9014" s="8" t="s">
        <v>364</v>
      </c>
    </row>
    <row r="9015">
      <c r="H9015" s="8" t="s">
        <v>364</v>
      </c>
    </row>
    <row r="9016">
      <c r="H9016" s="8" t="s">
        <v>364</v>
      </c>
    </row>
    <row r="9017">
      <c r="H9017" s="8" t="s">
        <v>364</v>
      </c>
    </row>
    <row r="9018">
      <c r="H9018" s="8" t="s">
        <v>364</v>
      </c>
    </row>
    <row r="9019">
      <c r="H9019" s="8" t="s">
        <v>364</v>
      </c>
    </row>
    <row r="9020">
      <c r="H9020" s="8" t="s">
        <v>364</v>
      </c>
    </row>
    <row r="9021">
      <c r="H9021" s="8" t="s">
        <v>364</v>
      </c>
    </row>
    <row r="9022">
      <c r="H9022" s="8" t="s">
        <v>364</v>
      </c>
    </row>
    <row r="9023">
      <c r="H9023" s="8" t="s">
        <v>364</v>
      </c>
    </row>
    <row r="9024">
      <c r="H9024" s="8" t="s">
        <v>364</v>
      </c>
    </row>
    <row r="9025">
      <c r="H9025" s="8" t="s">
        <v>364</v>
      </c>
    </row>
    <row r="9026">
      <c r="H9026" s="8" t="s">
        <v>364</v>
      </c>
    </row>
    <row r="9027">
      <c r="H9027" s="8" t="s">
        <v>364</v>
      </c>
    </row>
    <row r="9028">
      <c r="H9028" s="8" t="s">
        <v>364</v>
      </c>
    </row>
    <row r="9029">
      <c r="H9029" s="8" t="s">
        <v>364</v>
      </c>
    </row>
    <row r="9030">
      <c r="H9030" s="8" t="s">
        <v>364</v>
      </c>
    </row>
    <row r="9031">
      <c r="H9031" s="8" t="s">
        <v>364</v>
      </c>
    </row>
    <row r="9032">
      <c r="H9032" s="8" t="s">
        <v>364</v>
      </c>
    </row>
    <row r="9033">
      <c r="H9033" s="8" t="s">
        <v>364</v>
      </c>
    </row>
    <row r="9034">
      <c r="H9034" s="8" t="s">
        <v>364</v>
      </c>
    </row>
    <row r="9035">
      <c r="H9035" s="8" t="s">
        <v>364</v>
      </c>
    </row>
    <row r="9036">
      <c r="H9036" s="8" t="s">
        <v>364</v>
      </c>
    </row>
    <row r="9037">
      <c r="H9037" s="8" t="s">
        <v>364</v>
      </c>
    </row>
    <row r="9038">
      <c r="H9038" s="8" t="s">
        <v>364</v>
      </c>
    </row>
    <row r="9039">
      <c r="H9039" s="8" t="s">
        <v>364</v>
      </c>
    </row>
    <row r="9040">
      <c r="H9040" s="8" t="s">
        <v>364</v>
      </c>
    </row>
    <row r="9041">
      <c r="H9041" s="8" t="s">
        <v>364</v>
      </c>
    </row>
    <row r="9042">
      <c r="H9042" s="8" t="s">
        <v>364</v>
      </c>
    </row>
    <row r="9043">
      <c r="H9043" s="8" t="s">
        <v>364</v>
      </c>
    </row>
    <row r="9044">
      <c r="H9044" s="8" t="s">
        <v>364</v>
      </c>
    </row>
    <row r="9045">
      <c r="H9045" s="8" t="s">
        <v>364</v>
      </c>
    </row>
    <row r="9046">
      <c r="H9046" s="8" t="s">
        <v>364</v>
      </c>
    </row>
    <row r="9047">
      <c r="H9047" s="8" t="s">
        <v>364</v>
      </c>
    </row>
    <row r="9048">
      <c r="H9048" s="8" t="s">
        <v>364</v>
      </c>
    </row>
    <row r="9049">
      <c r="H9049" s="8" t="s">
        <v>364</v>
      </c>
    </row>
    <row r="9050">
      <c r="H9050" s="8" t="s">
        <v>364</v>
      </c>
    </row>
    <row r="9051">
      <c r="H9051" s="8" t="s">
        <v>364</v>
      </c>
    </row>
    <row r="9052">
      <c r="H9052" s="8" t="s">
        <v>364</v>
      </c>
    </row>
    <row r="9053">
      <c r="H9053" s="8" t="s">
        <v>364</v>
      </c>
    </row>
    <row r="9054">
      <c r="H9054" s="8" t="s">
        <v>364</v>
      </c>
    </row>
    <row r="9055">
      <c r="H9055" s="8" t="s">
        <v>364</v>
      </c>
    </row>
    <row r="9056">
      <c r="H9056" s="8" t="s">
        <v>364</v>
      </c>
    </row>
    <row r="9057">
      <c r="H9057" s="8" t="s">
        <v>364</v>
      </c>
    </row>
    <row r="9058">
      <c r="H9058" s="8" t="s">
        <v>364</v>
      </c>
    </row>
    <row r="9059">
      <c r="H9059" s="8" t="s">
        <v>364</v>
      </c>
    </row>
    <row r="9060">
      <c r="H9060" s="8" t="s">
        <v>364</v>
      </c>
    </row>
    <row r="9061">
      <c r="H9061" s="8" t="s">
        <v>364</v>
      </c>
    </row>
    <row r="9062">
      <c r="H9062" s="8" t="s">
        <v>364</v>
      </c>
    </row>
    <row r="9063">
      <c r="H9063" s="8" t="s">
        <v>364</v>
      </c>
    </row>
    <row r="9064">
      <c r="H9064" s="8" t="s">
        <v>364</v>
      </c>
    </row>
    <row r="9065">
      <c r="H9065" s="8" t="s">
        <v>364</v>
      </c>
    </row>
    <row r="9066">
      <c r="H9066" s="8" t="s">
        <v>364</v>
      </c>
    </row>
    <row r="9067">
      <c r="H9067" s="8" t="s">
        <v>364</v>
      </c>
    </row>
    <row r="9068">
      <c r="H9068" s="8" t="s">
        <v>364</v>
      </c>
    </row>
    <row r="9069">
      <c r="H9069" s="8" t="s">
        <v>364</v>
      </c>
    </row>
    <row r="9070">
      <c r="H9070" s="8" t="s">
        <v>364</v>
      </c>
    </row>
    <row r="9071">
      <c r="H9071" s="8" t="s">
        <v>364</v>
      </c>
    </row>
    <row r="9072">
      <c r="H9072" s="8" t="s">
        <v>364</v>
      </c>
    </row>
    <row r="9073">
      <c r="H9073" s="8" t="s">
        <v>364</v>
      </c>
    </row>
    <row r="9074">
      <c r="H9074" s="8" t="s">
        <v>364</v>
      </c>
    </row>
    <row r="9075">
      <c r="H9075" s="8" t="s">
        <v>364</v>
      </c>
    </row>
    <row r="9076">
      <c r="H9076" s="8" t="s">
        <v>364</v>
      </c>
    </row>
    <row r="9077">
      <c r="H9077" s="8" t="s">
        <v>364</v>
      </c>
    </row>
    <row r="9078">
      <c r="H9078" s="8" t="s">
        <v>364</v>
      </c>
    </row>
    <row r="9079">
      <c r="H9079" s="8" t="s">
        <v>364</v>
      </c>
    </row>
    <row r="9080">
      <c r="H9080" s="8" t="s">
        <v>364</v>
      </c>
    </row>
    <row r="9081">
      <c r="H9081" s="8" t="s">
        <v>364</v>
      </c>
    </row>
    <row r="9082">
      <c r="H9082" s="8" t="s">
        <v>364</v>
      </c>
    </row>
    <row r="9083">
      <c r="H9083" s="8" t="s">
        <v>364</v>
      </c>
    </row>
    <row r="9084">
      <c r="H9084" s="8" t="s">
        <v>364</v>
      </c>
    </row>
    <row r="9085">
      <c r="H9085" s="8" t="s">
        <v>364</v>
      </c>
    </row>
    <row r="9086">
      <c r="H9086" s="8" t="s">
        <v>364</v>
      </c>
    </row>
    <row r="9087">
      <c r="H9087" s="8" t="s">
        <v>364</v>
      </c>
    </row>
    <row r="9088">
      <c r="H9088" s="8" t="s">
        <v>364</v>
      </c>
    </row>
    <row r="9089">
      <c r="H9089" s="8" t="s">
        <v>364</v>
      </c>
    </row>
    <row r="9090">
      <c r="H9090" s="8" t="s">
        <v>364</v>
      </c>
    </row>
    <row r="9091">
      <c r="H9091" s="8" t="s">
        <v>364</v>
      </c>
    </row>
    <row r="9092">
      <c r="H9092" s="8" t="s">
        <v>364</v>
      </c>
    </row>
    <row r="9093">
      <c r="H9093" s="8" t="s">
        <v>364</v>
      </c>
    </row>
    <row r="9094">
      <c r="H9094" s="8" t="s">
        <v>364</v>
      </c>
    </row>
    <row r="9095">
      <c r="H9095" s="8" t="s">
        <v>364</v>
      </c>
    </row>
    <row r="9096">
      <c r="H9096" s="8" t="s">
        <v>364</v>
      </c>
    </row>
    <row r="9097">
      <c r="H9097" s="8" t="s">
        <v>364</v>
      </c>
    </row>
    <row r="9098">
      <c r="H9098" s="8" t="s">
        <v>364</v>
      </c>
    </row>
    <row r="9099">
      <c r="H9099" s="8" t="s">
        <v>364</v>
      </c>
    </row>
    <row r="9100">
      <c r="H9100" s="8" t="s">
        <v>364</v>
      </c>
    </row>
    <row r="9101">
      <c r="H9101" s="8" t="s">
        <v>364</v>
      </c>
    </row>
    <row r="9102">
      <c r="H9102" s="8" t="s">
        <v>364</v>
      </c>
    </row>
    <row r="9103">
      <c r="H9103" s="8" t="s">
        <v>364</v>
      </c>
    </row>
    <row r="9104">
      <c r="H9104" s="8" t="s">
        <v>364</v>
      </c>
    </row>
    <row r="9105">
      <c r="H9105" s="8" t="s">
        <v>364</v>
      </c>
    </row>
    <row r="9106">
      <c r="H9106" s="8" t="s">
        <v>364</v>
      </c>
    </row>
    <row r="9107">
      <c r="H9107" s="8" t="s">
        <v>364</v>
      </c>
    </row>
    <row r="9108">
      <c r="H9108" s="8" t="s">
        <v>364</v>
      </c>
    </row>
    <row r="9109">
      <c r="H9109" s="8" t="s">
        <v>364</v>
      </c>
    </row>
    <row r="9110">
      <c r="H9110" s="8" t="s">
        <v>364</v>
      </c>
    </row>
    <row r="9111">
      <c r="H9111" s="8" t="s">
        <v>364</v>
      </c>
    </row>
    <row r="9112">
      <c r="H9112" s="8" t="s">
        <v>364</v>
      </c>
    </row>
    <row r="9113">
      <c r="H9113" s="8" t="s">
        <v>364</v>
      </c>
    </row>
    <row r="9114">
      <c r="H9114" s="8" t="s">
        <v>364</v>
      </c>
    </row>
    <row r="9115">
      <c r="H9115" s="8" t="s">
        <v>364</v>
      </c>
    </row>
    <row r="9116">
      <c r="H9116" s="8" t="s">
        <v>364</v>
      </c>
    </row>
    <row r="9117">
      <c r="H9117" s="8" t="s">
        <v>364</v>
      </c>
    </row>
    <row r="9118">
      <c r="H9118" s="8" t="s">
        <v>364</v>
      </c>
    </row>
    <row r="9119">
      <c r="H9119" s="8" t="s">
        <v>364</v>
      </c>
    </row>
    <row r="9120">
      <c r="H9120" s="8" t="s">
        <v>364</v>
      </c>
    </row>
    <row r="9121">
      <c r="H9121" s="8" t="s">
        <v>364</v>
      </c>
    </row>
    <row r="9122">
      <c r="H9122" s="8" t="s">
        <v>364</v>
      </c>
    </row>
    <row r="9123">
      <c r="H9123" s="8" t="s">
        <v>364</v>
      </c>
    </row>
    <row r="9124">
      <c r="H9124" s="8" t="s">
        <v>364</v>
      </c>
    </row>
    <row r="9125">
      <c r="H9125" s="8" t="s">
        <v>364</v>
      </c>
    </row>
    <row r="9126">
      <c r="H9126" s="8" t="s">
        <v>364</v>
      </c>
    </row>
    <row r="9127">
      <c r="H9127" s="8" t="s">
        <v>364</v>
      </c>
    </row>
    <row r="9128">
      <c r="H9128" s="8" t="s">
        <v>364</v>
      </c>
    </row>
    <row r="9129">
      <c r="H9129" s="8" t="s">
        <v>364</v>
      </c>
    </row>
    <row r="9130">
      <c r="H9130" s="8" t="s">
        <v>364</v>
      </c>
    </row>
    <row r="9131">
      <c r="H9131" s="8" t="s">
        <v>364</v>
      </c>
    </row>
    <row r="9132">
      <c r="H9132" s="8" t="s">
        <v>364</v>
      </c>
    </row>
    <row r="9133">
      <c r="H9133" s="8" t="s">
        <v>364</v>
      </c>
    </row>
    <row r="9134">
      <c r="H9134" s="8" t="s">
        <v>364</v>
      </c>
    </row>
    <row r="9135">
      <c r="H9135" s="8" t="s">
        <v>364</v>
      </c>
    </row>
    <row r="9136">
      <c r="H9136" s="8" t="s">
        <v>364</v>
      </c>
    </row>
    <row r="9137">
      <c r="H9137" s="8" t="s">
        <v>364</v>
      </c>
    </row>
    <row r="9138">
      <c r="H9138" s="8" t="s">
        <v>364</v>
      </c>
    </row>
    <row r="9139">
      <c r="H9139" s="8" t="s">
        <v>364</v>
      </c>
    </row>
    <row r="9140">
      <c r="H9140" s="8" t="s">
        <v>364</v>
      </c>
    </row>
    <row r="9141">
      <c r="H9141" s="8" t="s">
        <v>364</v>
      </c>
    </row>
    <row r="9142">
      <c r="H9142" s="8" t="s">
        <v>364</v>
      </c>
    </row>
    <row r="9143">
      <c r="H9143" s="8" t="s">
        <v>364</v>
      </c>
    </row>
    <row r="9144">
      <c r="H9144" s="8" t="s">
        <v>364</v>
      </c>
    </row>
    <row r="9145">
      <c r="H9145" s="8" t="s">
        <v>364</v>
      </c>
    </row>
    <row r="9146">
      <c r="H9146" s="8" t="s">
        <v>364</v>
      </c>
    </row>
    <row r="9147">
      <c r="H9147" s="8" t="s">
        <v>364</v>
      </c>
    </row>
    <row r="9148">
      <c r="H9148" s="8" t="s">
        <v>364</v>
      </c>
    </row>
    <row r="9149">
      <c r="H9149" s="8" t="s">
        <v>364</v>
      </c>
    </row>
    <row r="9150">
      <c r="H9150" s="8" t="s">
        <v>364</v>
      </c>
    </row>
    <row r="9151">
      <c r="H9151" s="8" t="s">
        <v>364</v>
      </c>
    </row>
    <row r="9152">
      <c r="H9152" s="8" t="s">
        <v>364</v>
      </c>
    </row>
    <row r="9153">
      <c r="H9153" s="8" t="s">
        <v>364</v>
      </c>
    </row>
    <row r="9154">
      <c r="H9154" s="8" t="s">
        <v>364</v>
      </c>
    </row>
    <row r="9155">
      <c r="H9155" s="8" t="s">
        <v>364</v>
      </c>
    </row>
    <row r="9156">
      <c r="H9156" s="8" t="s">
        <v>364</v>
      </c>
    </row>
    <row r="9157">
      <c r="H9157" s="8" t="s">
        <v>364</v>
      </c>
    </row>
    <row r="9158">
      <c r="H9158" s="8" t="s">
        <v>364</v>
      </c>
    </row>
    <row r="9159">
      <c r="H9159" s="8" t="s">
        <v>364</v>
      </c>
    </row>
    <row r="9160">
      <c r="H9160" s="8" t="s">
        <v>364</v>
      </c>
    </row>
    <row r="9161">
      <c r="H9161" s="8" t="s">
        <v>364</v>
      </c>
    </row>
    <row r="9162">
      <c r="H9162" s="8" t="s">
        <v>364</v>
      </c>
    </row>
    <row r="9163">
      <c r="H9163" s="8" t="s">
        <v>364</v>
      </c>
    </row>
    <row r="9164">
      <c r="H9164" s="8" t="s">
        <v>364</v>
      </c>
    </row>
    <row r="9165">
      <c r="H9165" s="8" t="s">
        <v>364</v>
      </c>
    </row>
    <row r="9166">
      <c r="H9166" s="8" t="s">
        <v>364</v>
      </c>
    </row>
    <row r="9167">
      <c r="H9167" s="8" t="s">
        <v>364</v>
      </c>
    </row>
    <row r="9168">
      <c r="H9168" s="8" t="s">
        <v>364</v>
      </c>
    </row>
    <row r="9169">
      <c r="H9169" s="8" t="s">
        <v>364</v>
      </c>
    </row>
    <row r="9170">
      <c r="H9170" s="8" t="s">
        <v>364</v>
      </c>
    </row>
    <row r="9171">
      <c r="H9171" s="8" t="s">
        <v>364</v>
      </c>
    </row>
    <row r="9172">
      <c r="H9172" s="8" t="s">
        <v>364</v>
      </c>
    </row>
    <row r="9173">
      <c r="H9173" s="8" t="s">
        <v>364</v>
      </c>
    </row>
    <row r="9174">
      <c r="H9174" s="8" t="s">
        <v>364</v>
      </c>
    </row>
    <row r="9175">
      <c r="H9175" s="8" t="s">
        <v>364</v>
      </c>
    </row>
    <row r="9176">
      <c r="H9176" s="8" t="s">
        <v>364</v>
      </c>
    </row>
    <row r="9177">
      <c r="H9177" s="8" t="s">
        <v>364</v>
      </c>
    </row>
    <row r="9178">
      <c r="H9178" s="8" t="s">
        <v>364</v>
      </c>
    </row>
    <row r="9179">
      <c r="H9179" s="8" t="s">
        <v>364</v>
      </c>
    </row>
    <row r="9180">
      <c r="H9180" s="8" t="s">
        <v>364</v>
      </c>
    </row>
    <row r="9181">
      <c r="H9181" s="8" t="s">
        <v>364</v>
      </c>
    </row>
    <row r="9182">
      <c r="H9182" s="8" t="s">
        <v>364</v>
      </c>
    </row>
    <row r="9183">
      <c r="H9183" s="8" t="s">
        <v>364</v>
      </c>
    </row>
    <row r="9184">
      <c r="H9184" s="8" t="s">
        <v>364</v>
      </c>
    </row>
    <row r="9185">
      <c r="H9185" s="8" t="s">
        <v>364</v>
      </c>
    </row>
    <row r="9186">
      <c r="H9186" s="8" t="s">
        <v>364</v>
      </c>
    </row>
    <row r="9187">
      <c r="H9187" s="8" t="s">
        <v>364</v>
      </c>
    </row>
    <row r="9188">
      <c r="H9188" s="8" t="s">
        <v>364</v>
      </c>
    </row>
    <row r="9189">
      <c r="H9189" s="8" t="s">
        <v>364</v>
      </c>
    </row>
    <row r="9190">
      <c r="H9190" s="8" t="s">
        <v>364</v>
      </c>
    </row>
    <row r="9191">
      <c r="H9191" s="8" t="s">
        <v>364</v>
      </c>
    </row>
    <row r="9192">
      <c r="H9192" s="8" t="s">
        <v>364</v>
      </c>
    </row>
    <row r="9193">
      <c r="H9193" s="8" t="s">
        <v>364</v>
      </c>
    </row>
    <row r="9194">
      <c r="H9194" s="8" t="s">
        <v>364</v>
      </c>
    </row>
    <row r="9195">
      <c r="H9195" s="8" t="s">
        <v>364</v>
      </c>
    </row>
    <row r="9196">
      <c r="H9196" s="8" t="s">
        <v>364</v>
      </c>
    </row>
    <row r="9197">
      <c r="H9197" s="8" t="s">
        <v>364</v>
      </c>
    </row>
    <row r="9198">
      <c r="H9198" s="8" t="s">
        <v>364</v>
      </c>
    </row>
    <row r="9199">
      <c r="H9199" s="8" t="s">
        <v>364</v>
      </c>
    </row>
    <row r="9200">
      <c r="H9200" s="8" t="s">
        <v>364</v>
      </c>
    </row>
    <row r="9201">
      <c r="H9201" s="8" t="s">
        <v>364</v>
      </c>
    </row>
    <row r="9202">
      <c r="H9202" s="8" t="s">
        <v>364</v>
      </c>
    </row>
    <row r="9203">
      <c r="H9203" s="8" t="s">
        <v>364</v>
      </c>
    </row>
    <row r="9204">
      <c r="H9204" s="8" t="s">
        <v>364</v>
      </c>
    </row>
    <row r="9205">
      <c r="H9205" s="8" t="s">
        <v>364</v>
      </c>
    </row>
    <row r="9206">
      <c r="H9206" s="8" t="s">
        <v>364</v>
      </c>
    </row>
    <row r="9207">
      <c r="H9207" s="8" t="s">
        <v>364</v>
      </c>
    </row>
    <row r="9208">
      <c r="H9208" s="8" t="s">
        <v>364</v>
      </c>
    </row>
    <row r="9209">
      <c r="H9209" s="8" t="s">
        <v>364</v>
      </c>
    </row>
    <row r="9210">
      <c r="H9210" s="8" t="s">
        <v>364</v>
      </c>
    </row>
    <row r="9211">
      <c r="H9211" s="8" t="s">
        <v>364</v>
      </c>
    </row>
    <row r="9212">
      <c r="H9212" s="8" t="s">
        <v>364</v>
      </c>
    </row>
    <row r="9213">
      <c r="H9213" s="8" t="s">
        <v>364</v>
      </c>
    </row>
    <row r="9214">
      <c r="H9214" s="8" t="s">
        <v>364</v>
      </c>
    </row>
    <row r="9215">
      <c r="H9215" s="8" t="s">
        <v>364</v>
      </c>
    </row>
    <row r="9216">
      <c r="H9216" s="8" t="s">
        <v>364</v>
      </c>
    </row>
    <row r="9217">
      <c r="H9217" s="8" t="s">
        <v>364</v>
      </c>
    </row>
    <row r="9218">
      <c r="H9218" s="8" t="s">
        <v>364</v>
      </c>
    </row>
    <row r="9219">
      <c r="H9219" s="8" t="s">
        <v>364</v>
      </c>
    </row>
    <row r="9220">
      <c r="H9220" s="8" t="s">
        <v>364</v>
      </c>
    </row>
    <row r="9221">
      <c r="H9221" s="8" t="s">
        <v>364</v>
      </c>
    </row>
    <row r="9222">
      <c r="H9222" s="8" t="s">
        <v>364</v>
      </c>
    </row>
    <row r="9223">
      <c r="H9223" s="8" t="s">
        <v>364</v>
      </c>
    </row>
    <row r="9224">
      <c r="H9224" s="8" t="s">
        <v>364</v>
      </c>
    </row>
    <row r="9225">
      <c r="H9225" s="8" t="s">
        <v>364</v>
      </c>
    </row>
    <row r="9226">
      <c r="H9226" s="8" t="s">
        <v>364</v>
      </c>
    </row>
    <row r="9227">
      <c r="H9227" s="8" t="s">
        <v>364</v>
      </c>
    </row>
    <row r="9228">
      <c r="H9228" s="8" t="s">
        <v>364</v>
      </c>
    </row>
    <row r="9229">
      <c r="H9229" s="8" t="s">
        <v>364</v>
      </c>
    </row>
    <row r="9230">
      <c r="H9230" s="8" t="s">
        <v>364</v>
      </c>
    </row>
    <row r="9231">
      <c r="H9231" s="8" t="s">
        <v>364</v>
      </c>
    </row>
    <row r="9232">
      <c r="H9232" s="8" t="s">
        <v>364</v>
      </c>
    </row>
    <row r="9233">
      <c r="H9233" s="8" t="s">
        <v>364</v>
      </c>
    </row>
    <row r="9234">
      <c r="H9234" s="8" t="s">
        <v>364</v>
      </c>
    </row>
    <row r="9235">
      <c r="H9235" s="8" t="s">
        <v>364</v>
      </c>
    </row>
    <row r="9236">
      <c r="H9236" s="8" t="s">
        <v>364</v>
      </c>
    </row>
    <row r="9237">
      <c r="H9237" s="8" t="s">
        <v>364</v>
      </c>
    </row>
    <row r="9238">
      <c r="H9238" s="8" t="s">
        <v>364</v>
      </c>
    </row>
    <row r="9239">
      <c r="H9239" s="8" t="s">
        <v>364</v>
      </c>
    </row>
    <row r="9240">
      <c r="H9240" s="8" t="s">
        <v>364</v>
      </c>
    </row>
    <row r="9241">
      <c r="H9241" s="8" t="s">
        <v>364</v>
      </c>
    </row>
    <row r="9242">
      <c r="H9242" s="8" t="s">
        <v>364</v>
      </c>
    </row>
    <row r="9243">
      <c r="H9243" s="8" t="s">
        <v>364</v>
      </c>
    </row>
    <row r="9244">
      <c r="H9244" s="8" t="s">
        <v>364</v>
      </c>
    </row>
    <row r="9245">
      <c r="H9245" s="8" t="s">
        <v>364</v>
      </c>
    </row>
    <row r="9246">
      <c r="H9246" s="8" t="s">
        <v>364</v>
      </c>
    </row>
    <row r="9247">
      <c r="H9247" s="8" t="s">
        <v>364</v>
      </c>
    </row>
    <row r="9248">
      <c r="H9248" s="8" t="s">
        <v>364</v>
      </c>
    </row>
    <row r="9249">
      <c r="H9249" s="8" t="s">
        <v>364</v>
      </c>
    </row>
    <row r="9250">
      <c r="H9250" s="8" t="s">
        <v>364</v>
      </c>
    </row>
    <row r="9251">
      <c r="H9251" s="8" t="s">
        <v>364</v>
      </c>
    </row>
    <row r="9252">
      <c r="H9252" s="8" t="s">
        <v>364</v>
      </c>
    </row>
    <row r="9253">
      <c r="H9253" s="8" t="s">
        <v>364</v>
      </c>
    </row>
    <row r="9254">
      <c r="H9254" s="8" t="s">
        <v>364</v>
      </c>
    </row>
    <row r="9255">
      <c r="H9255" s="8" t="s">
        <v>364</v>
      </c>
    </row>
    <row r="9256">
      <c r="H9256" s="8" t="s">
        <v>364</v>
      </c>
    </row>
    <row r="9257">
      <c r="H9257" s="8" t="s">
        <v>364</v>
      </c>
    </row>
    <row r="9258">
      <c r="H9258" s="8" t="s">
        <v>364</v>
      </c>
    </row>
    <row r="9259">
      <c r="H9259" s="8" t="s">
        <v>364</v>
      </c>
    </row>
    <row r="9260">
      <c r="H9260" s="8" t="s">
        <v>364</v>
      </c>
    </row>
    <row r="9261">
      <c r="H9261" s="8" t="s">
        <v>364</v>
      </c>
    </row>
    <row r="9262">
      <c r="H9262" s="8" t="s">
        <v>364</v>
      </c>
    </row>
    <row r="9263">
      <c r="H9263" s="8" t="s">
        <v>364</v>
      </c>
    </row>
    <row r="9264">
      <c r="H9264" s="8" t="s">
        <v>364</v>
      </c>
    </row>
    <row r="9265">
      <c r="H9265" s="8" t="s">
        <v>364</v>
      </c>
    </row>
    <row r="9266">
      <c r="H9266" s="8" t="s">
        <v>364</v>
      </c>
    </row>
    <row r="9267">
      <c r="H9267" s="8" t="s">
        <v>364</v>
      </c>
    </row>
    <row r="9268">
      <c r="H9268" s="8" t="s">
        <v>364</v>
      </c>
    </row>
    <row r="9269">
      <c r="H9269" s="8" t="s">
        <v>364</v>
      </c>
    </row>
    <row r="9270">
      <c r="H9270" s="8" t="s">
        <v>364</v>
      </c>
    </row>
    <row r="9271">
      <c r="H9271" s="8" t="s">
        <v>364</v>
      </c>
    </row>
    <row r="9272">
      <c r="H9272" s="8" t="s">
        <v>364</v>
      </c>
    </row>
    <row r="9273">
      <c r="H9273" s="8" t="s">
        <v>364</v>
      </c>
    </row>
    <row r="9274">
      <c r="H9274" s="8" t="s">
        <v>364</v>
      </c>
    </row>
    <row r="9275">
      <c r="H9275" s="8" t="s">
        <v>364</v>
      </c>
    </row>
    <row r="9276">
      <c r="H9276" s="8" t="s">
        <v>364</v>
      </c>
    </row>
    <row r="9277">
      <c r="H9277" s="8" t="s">
        <v>364</v>
      </c>
    </row>
    <row r="9278">
      <c r="H9278" s="8" t="s">
        <v>364</v>
      </c>
    </row>
    <row r="9279">
      <c r="H9279" s="8" t="s">
        <v>364</v>
      </c>
    </row>
    <row r="9280">
      <c r="H9280" s="8" t="s">
        <v>364</v>
      </c>
    </row>
    <row r="9281">
      <c r="H9281" s="8" t="s">
        <v>364</v>
      </c>
    </row>
    <row r="9282">
      <c r="H9282" s="8" t="s">
        <v>364</v>
      </c>
    </row>
    <row r="9283">
      <c r="H9283" s="8" t="s">
        <v>364</v>
      </c>
    </row>
    <row r="9284">
      <c r="H9284" s="8" t="s">
        <v>364</v>
      </c>
    </row>
    <row r="9285">
      <c r="H9285" s="8" t="s">
        <v>364</v>
      </c>
    </row>
    <row r="9286">
      <c r="H9286" s="8" t="s">
        <v>364</v>
      </c>
    </row>
    <row r="9287">
      <c r="H9287" s="8" t="s">
        <v>364</v>
      </c>
    </row>
    <row r="9288">
      <c r="H9288" s="8" t="s">
        <v>364</v>
      </c>
    </row>
    <row r="9289">
      <c r="H9289" s="8" t="s">
        <v>364</v>
      </c>
    </row>
    <row r="9290">
      <c r="H9290" s="8" t="s">
        <v>364</v>
      </c>
    </row>
    <row r="9291">
      <c r="H9291" s="8" t="s">
        <v>364</v>
      </c>
    </row>
    <row r="9292">
      <c r="H9292" s="8" t="s">
        <v>364</v>
      </c>
    </row>
    <row r="9293">
      <c r="H9293" s="8" t="s">
        <v>364</v>
      </c>
    </row>
    <row r="9294">
      <c r="H9294" s="8" t="s">
        <v>364</v>
      </c>
    </row>
    <row r="9295">
      <c r="H9295" s="8" t="s">
        <v>364</v>
      </c>
    </row>
    <row r="9296">
      <c r="H9296" s="8" t="s">
        <v>364</v>
      </c>
    </row>
    <row r="9297">
      <c r="H9297" s="8" t="s">
        <v>364</v>
      </c>
    </row>
    <row r="9298">
      <c r="H9298" s="8" t="s">
        <v>364</v>
      </c>
    </row>
    <row r="9299">
      <c r="H9299" s="8" t="s">
        <v>364</v>
      </c>
    </row>
    <row r="9300">
      <c r="H9300" s="8" t="s">
        <v>364</v>
      </c>
    </row>
    <row r="9301">
      <c r="H9301" s="8" t="s">
        <v>364</v>
      </c>
    </row>
    <row r="9302">
      <c r="H9302" s="8" t="s">
        <v>364</v>
      </c>
    </row>
    <row r="9303">
      <c r="H9303" s="8" t="s">
        <v>364</v>
      </c>
    </row>
    <row r="9304">
      <c r="H9304" s="8" t="s">
        <v>364</v>
      </c>
    </row>
    <row r="9305">
      <c r="H9305" s="8" t="s">
        <v>364</v>
      </c>
    </row>
    <row r="9306">
      <c r="H9306" s="8" t="s">
        <v>364</v>
      </c>
    </row>
    <row r="9307">
      <c r="H9307" s="8" t="s">
        <v>364</v>
      </c>
    </row>
    <row r="9308">
      <c r="H9308" s="8" t="s">
        <v>364</v>
      </c>
    </row>
    <row r="9309">
      <c r="H9309" s="8" t="s">
        <v>364</v>
      </c>
    </row>
    <row r="9310">
      <c r="H9310" s="8" t="s">
        <v>364</v>
      </c>
    </row>
    <row r="9311">
      <c r="H9311" s="8" t="s">
        <v>364</v>
      </c>
    </row>
    <row r="9312">
      <c r="H9312" s="8" t="s">
        <v>364</v>
      </c>
    </row>
    <row r="9313">
      <c r="H9313" s="8" t="s">
        <v>364</v>
      </c>
    </row>
    <row r="9314">
      <c r="H9314" s="8" t="s">
        <v>364</v>
      </c>
    </row>
    <row r="9315">
      <c r="H9315" s="8" t="s">
        <v>364</v>
      </c>
    </row>
    <row r="9316">
      <c r="H9316" s="8" t="s">
        <v>364</v>
      </c>
    </row>
    <row r="9317">
      <c r="H9317" s="8" t="s">
        <v>364</v>
      </c>
    </row>
    <row r="9318">
      <c r="H9318" s="8" t="s">
        <v>364</v>
      </c>
    </row>
    <row r="9319">
      <c r="H9319" s="8" t="s">
        <v>364</v>
      </c>
    </row>
    <row r="9320">
      <c r="H9320" s="8" t="s">
        <v>364</v>
      </c>
    </row>
    <row r="9321">
      <c r="H9321" s="8" t="s">
        <v>364</v>
      </c>
    </row>
    <row r="9322">
      <c r="H9322" s="8" t="s">
        <v>364</v>
      </c>
    </row>
    <row r="9323">
      <c r="H9323" s="8" t="s">
        <v>364</v>
      </c>
    </row>
    <row r="9324">
      <c r="H9324" s="8" t="s">
        <v>364</v>
      </c>
    </row>
    <row r="9325">
      <c r="H9325" s="8" t="s">
        <v>364</v>
      </c>
    </row>
    <row r="9326">
      <c r="H9326" s="8" t="s">
        <v>364</v>
      </c>
    </row>
    <row r="9327">
      <c r="H9327" s="8" t="s">
        <v>364</v>
      </c>
    </row>
    <row r="9328">
      <c r="H9328" s="8" t="s">
        <v>364</v>
      </c>
    </row>
    <row r="9329">
      <c r="H9329" s="8" t="s">
        <v>364</v>
      </c>
    </row>
    <row r="9330">
      <c r="H9330" s="8" t="s">
        <v>364</v>
      </c>
    </row>
    <row r="9331">
      <c r="H9331" s="8" t="s">
        <v>364</v>
      </c>
    </row>
    <row r="9332">
      <c r="H9332" s="8" t="s">
        <v>364</v>
      </c>
    </row>
    <row r="9333">
      <c r="H9333" s="8" t="s">
        <v>364</v>
      </c>
    </row>
    <row r="9334">
      <c r="H9334" s="8" t="s">
        <v>364</v>
      </c>
    </row>
    <row r="9335">
      <c r="H9335" s="8" t="s">
        <v>364</v>
      </c>
    </row>
    <row r="9336">
      <c r="H9336" s="8" t="s">
        <v>364</v>
      </c>
    </row>
    <row r="9337">
      <c r="H9337" s="8" t="s">
        <v>364</v>
      </c>
    </row>
    <row r="9338">
      <c r="H9338" s="8" t="s">
        <v>364</v>
      </c>
    </row>
    <row r="9339">
      <c r="H9339" s="8" t="s">
        <v>364</v>
      </c>
    </row>
    <row r="9340">
      <c r="H9340" s="8" t="s">
        <v>364</v>
      </c>
    </row>
    <row r="9341">
      <c r="H9341" s="8" t="s">
        <v>364</v>
      </c>
    </row>
    <row r="9342">
      <c r="H9342" s="8" t="s">
        <v>364</v>
      </c>
    </row>
    <row r="9343">
      <c r="H9343" s="8" t="s">
        <v>364</v>
      </c>
    </row>
    <row r="9344">
      <c r="H9344" s="8" t="s">
        <v>364</v>
      </c>
    </row>
    <row r="9345">
      <c r="H9345" s="8" t="s">
        <v>364</v>
      </c>
    </row>
    <row r="9346">
      <c r="H9346" s="8" t="s">
        <v>364</v>
      </c>
    </row>
    <row r="9347">
      <c r="H9347" s="8" t="s">
        <v>364</v>
      </c>
    </row>
    <row r="9348">
      <c r="H9348" s="8" t="s">
        <v>364</v>
      </c>
    </row>
    <row r="9349">
      <c r="H9349" s="8" t="s">
        <v>364</v>
      </c>
    </row>
    <row r="9350">
      <c r="H9350" s="8" t="s">
        <v>364</v>
      </c>
    </row>
    <row r="9351">
      <c r="H9351" s="8" t="s">
        <v>364</v>
      </c>
    </row>
    <row r="9352">
      <c r="H9352" s="8" t="s">
        <v>364</v>
      </c>
    </row>
    <row r="9353">
      <c r="H9353" s="8" t="s">
        <v>364</v>
      </c>
    </row>
    <row r="9354">
      <c r="H9354" s="8" t="s">
        <v>364</v>
      </c>
    </row>
    <row r="9355">
      <c r="H9355" s="8" t="s">
        <v>364</v>
      </c>
    </row>
    <row r="9356">
      <c r="H9356" s="8" t="s">
        <v>364</v>
      </c>
    </row>
    <row r="9357">
      <c r="H9357" s="8" t="s">
        <v>364</v>
      </c>
    </row>
    <row r="9358">
      <c r="H9358" s="8" t="s">
        <v>364</v>
      </c>
    </row>
    <row r="9359">
      <c r="H9359" s="8" t="s">
        <v>364</v>
      </c>
    </row>
    <row r="9360">
      <c r="H9360" s="8" t="s">
        <v>364</v>
      </c>
    </row>
    <row r="9361">
      <c r="H9361" s="8" t="s">
        <v>364</v>
      </c>
    </row>
    <row r="9362">
      <c r="H9362" s="8" t="s">
        <v>364</v>
      </c>
    </row>
    <row r="9363">
      <c r="H9363" s="8" t="s">
        <v>364</v>
      </c>
    </row>
    <row r="9364">
      <c r="H9364" s="8" t="s">
        <v>364</v>
      </c>
    </row>
    <row r="9365">
      <c r="H9365" s="8" t="s">
        <v>364</v>
      </c>
    </row>
    <row r="9366">
      <c r="H9366" s="8" t="s">
        <v>364</v>
      </c>
    </row>
    <row r="9367">
      <c r="H9367" s="8" t="s">
        <v>364</v>
      </c>
    </row>
    <row r="9368">
      <c r="H9368" s="8" t="s">
        <v>364</v>
      </c>
    </row>
    <row r="9369">
      <c r="H9369" s="8" t="s">
        <v>364</v>
      </c>
    </row>
    <row r="9370">
      <c r="H9370" s="8" t="s">
        <v>364</v>
      </c>
    </row>
    <row r="9371">
      <c r="H9371" s="8" t="s">
        <v>364</v>
      </c>
    </row>
    <row r="9372">
      <c r="H9372" s="8" t="s">
        <v>364</v>
      </c>
    </row>
    <row r="9373">
      <c r="H9373" s="8" t="s">
        <v>364</v>
      </c>
    </row>
    <row r="9374">
      <c r="H9374" s="8" t="s">
        <v>364</v>
      </c>
    </row>
    <row r="9375">
      <c r="H9375" s="8" t="s">
        <v>364</v>
      </c>
    </row>
    <row r="9376">
      <c r="H9376" s="8" t="s">
        <v>364</v>
      </c>
    </row>
    <row r="9377">
      <c r="H9377" s="8" t="s">
        <v>364</v>
      </c>
    </row>
    <row r="9378">
      <c r="H9378" s="8" t="s">
        <v>364</v>
      </c>
    </row>
    <row r="9379">
      <c r="H9379" s="8" t="s">
        <v>364</v>
      </c>
    </row>
    <row r="9380">
      <c r="H9380" s="8" t="s">
        <v>364</v>
      </c>
    </row>
    <row r="9381">
      <c r="H9381" s="8" t="s">
        <v>364</v>
      </c>
    </row>
    <row r="9382">
      <c r="H9382" s="8" t="s">
        <v>364</v>
      </c>
    </row>
    <row r="9383">
      <c r="H9383" s="8" t="s">
        <v>364</v>
      </c>
    </row>
    <row r="9384">
      <c r="H9384" s="8" t="s">
        <v>364</v>
      </c>
    </row>
    <row r="9385">
      <c r="H9385" s="8" t="s">
        <v>364</v>
      </c>
    </row>
    <row r="9386">
      <c r="H9386" s="8" t="s">
        <v>364</v>
      </c>
    </row>
    <row r="9387">
      <c r="H9387" s="8" t="s">
        <v>364</v>
      </c>
    </row>
    <row r="9388">
      <c r="H9388" s="8" t="s">
        <v>364</v>
      </c>
    </row>
    <row r="9389">
      <c r="H9389" s="8" t="s">
        <v>364</v>
      </c>
    </row>
    <row r="9390">
      <c r="H9390" s="8" t="s">
        <v>364</v>
      </c>
    </row>
    <row r="9391">
      <c r="H9391" s="8" t="s">
        <v>364</v>
      </c>
    </row>
    <row r="9392">
      <c r="H9392" s="8" t="s">
        <v>364</v>
      </c>
    </row>
    <row r="9393">
      <c r="H9393" s="8" t="s">
        <v>364</v>
      </c>
    </row>
    <row r="9394">
      <c r="H9394" s="8" t="s">
        <v>364</v>
      </c>
    </row>
    <row r="9395">
      <c r="H9395" s="8" t="s">
        <v>364</v>
      </c>
    </row>
    <row r="9396">
      <c r="H9396" s="8" t="s">
        <v>364</v>
      </c>
    </row>
    <row r="9397">
      <c r="H9397" s="8" t="s">
        <v>364</v>
      </c>
    </row>
    <row r="9398">
      <c r="H9398" s="8" t="s">
        <v>364</v>
      </c>
    </row>
    <row r="9399">
      <c r="H9399" s="8" t="s">
        <v>364</v>
      </c>
    </row>
    <row r="9400">
      <c r="H9400" s="8" t="s">
        <v>364</v>
      </c>
    </row>
    <row r="9401">
      <c r="H9401" s="8" t="s">
        <v>364</v>
      </c>
    </row>
    <row r="9402">
      <c r="H9402" s="8" t="s">
        <v>364</v>
      </c>
    </row>
    <row r="9403">
      <c r="H9403" s="8" t="s">
        <v>364</v>
      </c>
    </row>
    <row r="9404">
      <c r="H9404" s="8" t="s">
        <v>364</v>
      </c>
    </row>
    <row r="9405">
      <c r="H9405" s="8" t="s">
        <v>364</v>
      </c>
    </row>
    <row r="9406">
      <c r="H9406" s="8" t="s">
        <v>364</v>
      </c>
    </row>
    <row r="9407">
      <c r="H9407" s="8" t="s">
        <v>364</v>
      </c>
    </row>
    <row r="9408">
      <c r="H9408" s="8" t="s">
        <v>364</v>
      </c>
    </row>
    <row r="9409">
      <c r="H9409" s="8" t="s">
        <v>364</v>
      </c>
    </row>
    <row r="9410">
      <c r="H9410" s="8" t="s">
        <v>364</v>
      </c>
    </row>
    <row r="9411">
      <c r="H9411" s="8" t="s">
        <v>364</v>
      </c>
    </row>
    <row r="9412">
      <c r="H9412" s="8" t="s">
        <v>364</v>
      </c>
    </row>
    <row r="9413">
      <c r="H9413" s="8" t="s">
        <v>364</v>
      </c>
    </row>
    <row r="9414">
      <c r="H9414" s="8" t="s">
        <v>364</v>
      </c>
    </row>
    <row r="9415">
      <c r="H9415" s="8" t="s">
        <v>364</v>
      </c>
    </row>
    <row r="9416">
      <c r="H9416" s="8" t="s">
        <v>364</v>
      </c>
    </row>
    <row r="9417">
      <c r="H9417" s="8" t="s">
        <v>364</v>
      </c>
    </row>
    <row r="9418">
      <c r="H9418" s="8" t="s">
        <v>364</v>
      </c>
    </row>
    <row r="9419">
      <c r="H9419" s="8" t="s">
        <v>364</v>
      </c>
    </row>
    <row r="9420">
      <c r="H9420" s="8" t="s">
        <v>364</v>
      </c>
    </row>
    <row r="9421">
      <c r="H9421" s="8" t="s">
        <v>364</v>
      </c>
    </row>
    <row r="9422">
      <c r="H9422" s="8" t="s">
        <v>364</v>
      </c>
    </row>
    <row r="9423">
      <c r="H9423" s="8" t="s">
        <v>364</v>
      </c>
    </row>
    <row r="9424">
      <c r="H9424" s="8" t="s">
        <v>364</v>
      </c>
    </row>
    <row r="9425">
      <c r="H9425" s="8" t="s">
        <v>364</v>
      </c>
    </row>
    <row r="9426">
      <c r="H9426" s="8" t="s">
        <v>364</v>
      </c>
    </row>
    <row r="9427">
      <c r="H9427" s="8" t="s">
        <v>364</v>
      </c>
    </row>
    <row r="9428">
      <c r="H9428" s="8" t="s">
        <v>364</v>
      </c>
    </row>
    <row r="9429">
      <c r="H9429" s="8" t="s">
        <v>364</v>
      </c>
    </row>
    <row r="9430">
      <c r="H9430" s="8" t="s">
        <v>364</v>
      </c>
    </row>
    <row r="9431">
      <c r="H9431" s="8" t="s">
        <v>364</v>
      </c>
    </row>
    <row r="9432">
      <c r="H9432" s="8" t="s">
        <v>364</v>
      </c>
    </row>
    <row r="9433">
      <c r="H9433" s="8" t="s">
        <v>364</v>
      </c>
    </row>
    <row r="9434">
      <c r="H9434" s="8" t="s">
        <v>364</v>
      </c>
    </row>
    <row r="9435">
      <c r="H9435" s="8" t="s">
        <v>364</v>
      </c>
    </row>
    <row r="9436">
      <c r="H9436" s="8" t="s">
        <v>364</v>
      </c>
    </row>
    <row r="9437">
      <c r="H9437" s="8" t="s">
        <v>364</v>
      </c>
    </row>
    <row r="9438">
      <c r="H9438" s="8" t="s">
        <v>364</v>
      </c>
    </row>
    <row r="9439">
      <c r="H9439" s="8" t="s">
        <v>364</v>
      </c>
    </row>
    <row r="9440">
      <c r="H9440" s="8" t="s">
        <v>364</v>
      </c>
    </row>
    <row r="9441">
      <c r="H9441" s="8" t="s">
        <v>364</v>
      </c>
    </row>
    <row r="9442">
      <c r="H9442" s="8" t="s">
        <v>364</v>
      </c>
    </row>
    <row r="9443">
      <c r="H9443" s="8" t="s">
        <v>364</v>
      </c>
    </row>
    <row r="9444">
      <c r="H9444" s="8" t="s">
        <v>364</v>
      </c>
    </row>
    <row r="9445">
      <c r="H9445" s="8" t="s">
        <v>364</v>
      </c>
    </row>
    <row r="9446">
      <c r="H9446" s="8" t="s">
        <v>364</v>
      </c>
    </row>
    <row r="9447">
      <c r="H9447" s="8" t="s">
        <v>364</v>
      </c>
    </row>
    <row r="9448">
      <c r="H9448" s="8" t="s">
        <v>364</v>
      </c>
    </row>
    <row r="9449">
      <c r="H9449" s="8" t="s">
        <v>364</v>
      </c>
    </row>
    <row r="9450">
      <c r="H9450" s="8" t="s">
        <v>364</v>
      </c>
    </row>
    <row r="9451">
      <c r="H9451" s="8" t="s">
        <v>364</v>
      </c>
    </row>
    <row r="9452">
      <c r="H9452" s="8" t="s">
        <v>364</v>
      </c>
    </row>
    <row r="9453">
      <c r="H9453" s="8" t="s">
        <v>364</v>
      </c>
    </row>
    <row r="9454">
      <c r="H9454" s="8" t="s">
        <v>364</v>
      </c>
    </row>
    <row r="9455">
      <c r="H9455" s="8" t="s">
        <v>364</v>
      </c>
    </row>
    <row r="9456">
      <c r="H9456" s="8" t="s">
        <v>364</v>
      </c>
    </row>
    <row r="9457">
      <c r="H9457" s="8" t="s">
        <v>364</v>
      </c>
    </row>
    <row r="9458">
      <c r="H9458" s="8" t="s">
        <v>364</v>
      </c>
    </row>
    <row r="9459">
      <c r="H9459" s="8" t="s">
        <v>364</v>
      </c>
    </row>
    <row r="9460">
      <c r="H9460" s="8" t="s">
        <v>364</v>
      </c>
    </row>
    <row r="9461">
      <c r="H9461" s="8" t="s">
        <v>364</v>
      </c>
    </row>
    <row r="9462">
      <c r="H9462" s="8" t="s">
        <v>364</v>
      </c>
    </row>
    <row r="9463">
      <c r="H9463" s="8" t="s">
        <v>364</v>
      </c>
    </row>
    <row r="9464">
      <c r="H9464" s="8" t="s">
        <v>364</v>
      </c>
    </row>
    <row r="9465">
      <c r="H9465" s="8" t="s">
        <v>364</v>
      </c>
    </row>
    <row r="9466">
      <c r="H9466" s="8" t="s">
        <v>364</v>
      </c>
    </row>
    <row r="9467">
      <c r="H9467" s="8" t="s">
        <v>364</v>
      </c>
    </row>
    <row r="9468">
      <c r="H9468" s="8" t="s">
        <v>364</v>
      </c>
    </row>
    <row r="9469">
      <c r="H9469" s="8" t="s">
        <v>364</v>
      </c>
    </row>
    <row r="9470">
      <c r="H9470" s="8" t="s">
        <v>364</v>
      </c>
    </row>
    <row r="9471">
      <c r="H9471" s="8" t="s">
        <v>364</v>
      </c>
    </row>
    <row r="9472">
      <c r="H9472" s="8" t="s">
        <v>364</v>
      </c>
    </row>
    <row r="9473">
      <c r="H9473" s="8" t="s">
        <v>364</v>
      </c>
    </row>
    <row r="9474">
      <c r="H9474" s="8" t="s">
        <v>364</v>
      </c>
    </row>
    <row r="9475">
      <c r="H9475" s="8" t="s">
        <v>364</v>
      </c>
    </row>
    <row r="9476">
      <c r="H9476" s="8" t="s">
        <v>364</v>
      </c>
    </row>
    <row r="9477">
      <c r="H9477" s="8" t="s">
        <v>364</v>
      </c>
    </row>
    <row r="9478">
      <c r="H9478" s="8" t="s">
        <v>364</v>
      </c>
    </row>
    <row r="9479">
      <c r="H9479" s="8" t="s">
        <v>364</v>
      </c>
    </row>
    <row r="9480">
      <c r="H9480" s="8" t="s">
        <v>364</v>
      </c>
    </row>
    <row r="9481">
      <c r="H9481" s="8" t="s">
        <v>364</v>
      </c>
    </row>
    <row r="9482">
      <c r="H9482" s="8" t="s">
        <v>364</v>
      </c>
    </row>
    <row r="9483">
      <c r="H9483" s="8" t="s">
        <v>364</v>
      </c>
    </row>
    <row r="9484">
      <c r="H9484" s="8" t="s">
        <v>364</v>
      </c>
    </row>
    <row r="9485">
      <c r="H9485" s="8" t="s">
        <v>364</v>
      </c>
    </row>
    <row r="9486">
      <c r="H9486" s="8" t="s">
        <v>364</v>
      </c>
    </row>
    <row r="9487">
      <c r="H9487" s="8" t="s">
        <v>364</v>
      </c>
    </row>
    <row r="9488">
      <c r="H9488" s="8" t="s">
        <v>364</v>
      </c>
    </row>
    <row r="9489">
      <c r="H9489" s="8" t="s">
        <v>364</v>
      </c>
    </row>
    <row r="9490">
      <c r="H9490" s="8" t="s">
        <v>364</v>
      </c>
    </row>
    <row r="9491">
      <c r="H9491" s="8" t="s">
        <v>364</v>
      </c>
    </row>
    <row r="9492">
      <c r="H9492" s="8" t="s">
        <v>364</v>
      </c>
    </row>
    <row r="9493">
      <c r="H9493" s="8" t="s">
        <v>364</v>
      </c>
    </row>
    <row r="9494">
      <c r="H9494" s="8" t="s">
        <v>364</v>
      </c>
    </row>
    <row r="9495">
      <c r="H9495" s="8" t="s">
        <v>364</v>
      </c>
    </row>
    <row r="9496">
      <c r="H9496" s="8" t="s">
        <v>364</v>
      </c>
    </row>
    <row r="9497">
      <c r="H9497" s="8" t="s">
        <v>364</v>
      </c>
    </row>
    <row r="9498">
      <c r="H9498" s="8" t="s">
        <v>364</v>
      </c>
    </row>
    <row r="9499">
      <c r="H9499" s="8" t="s">
        <v>364</v>
      </c>
    </row>
    <row r="9500">
      <c r="H9500" s="8" t="s">
        <v>364</v>
      </c>
    </row>
    <row r="9501">
      <c r="H9501" s="8" t="s">
        <v>364</v>
      </c>
    </row>
    <row r="9502">
      <c r="H9502" s="8" t="s">
        <v>364</v>
      </c>
    </row>
    <row r="9503">
      <c r="H9503" s="8" t="s">
        <v>364</v>
      </c>
    </row>
    <row r="9504">
      <c r="H9504" s="8" t="s">
        <v>364</v>
      </c>
    </row>
    <row r="9505">
      <c r="H9505" s="8" t="s">
        <v>364</v>
      </c>
    </row>
    <row r="9506">
      <c r="H9506" s="8" t="s">
        <v>364</v>
      </c>
    </row>
    <row r="9507">
      <c r="H9507" s="8" t="s">
        <v>364</v>
      </c>
    </row>
    <row r="9508">
      <c r="H9508" s="8" t="s">
        <v>364</v>
      </c>
    </row>
    <row r="9509">
      <c r="H9509" s="8" t="s">
        <v>364</v>
      </c>
    </row>
    <row r="9510">
      <c r="H9510" s="8" t="s">
        <v>364</v>
      </c>
    </row>
    <row r="9511">
      <c r="H9511" s="8" t="s">
        <v>364</v>
      </c>
    </row>
    <row r="9512">
      <c r="H9512" s="8" t="s">
        <v>364</v>
      </c>
    </row>
    <row r="9513">
      <c r="H9513" s="8" t="s">
        <v>364</v>
      </c>
    </row>
    <row r="9514">
      <c r="H9514" s="8" t="s">
        <v>364</v>
      </c>
    </row>
    <row r="9515">
      <c r="H9515" s="8" t="s">
        <v>364</v>
      </c>
    </row>
    <row r="9516">
      <c r="H9516" s="8" t="s">
        <v>364</v>
      </c>
    </row>
    <row r="9517">
      <c r="H9517" s="8" t="s">
        <v>364</v>
      </c>
    </row>
    <row r="9518">
      <c r="H9518" s="8" t="s">
        <v>364</v>
      </c>
    </row>
    <row r="9519">
      <c r="H9519" s="8" t="s">
        <v>364</v>
      </c>
    </row>
    <row r="9520">
      <c r="H9520" s="8" t="s">
        <v>364</v>
      </c>
    </row>
    <row r="9521">
      <c r="H9521" s="8" t="s">
        <v>364</v>
      </c>
    </row>
    <row r="9522">
      <c r="H9522" s="8" t="s">
        <v>364</v>
      </c>
    </row>
    <row r="9523">
      <c r="H9523" s="8" t="s">
        <v>364</v>
      </c>
    </row>
    <row r="9524">
      <c r="H9524" s="8" t="s">
        <v>364</v>
      </c>
    </row>
    <row r="9525">
      <c r="H9525" s="8" t="s">
        <v>364</v>
      </c>
    </row>
    <row r="9526">
      <c r="H9526" s="8" t="s">
        <v>364</v>
      </c>
    </row>
    <row r="9527">
      <c r="H9527" s="8" t="s">
        <v>364</v>
      </c>
    </row>
    <row r="9528">
      <c r="H9528" s="8" t="s">
        <v>364</v>
      </c>
    </row>
    <row r="9529">
      <c r="H9529" s="8" t="s">
        <v>364</v>
      </c>
    </row>
    <row r="9530">
      <c r="H9530" s="8" t="s">
        <v>364</v>
      </c>
    </row>
    <row r="9531">
      <c r="H9531" s="8" t="s">
        <v>364</v>
      </c>
    </row>
    <row r="9532">
      <c r="H9532" s="8" t="s">
        <v>364</v>
      </c>
    </row>
    <row r="9533">
      <c r="H9533" s="8" t="s">
        <v>364</v>
      </c>
    </row>
    <row r="9534">
      <c r="H9534" s="8" t="s">
        <v>364</v>
      </c>
    </row>
    <row r="9535">
      <c r="H9535" s="8" t="s">
        <v>364</v>
      </c>
    </row>
    <row r="9536">
      <c r="H9536" s="8" t="s">
        <v>364</v>
      </c>
    </row>
    <row r="9537">
      <c r="H9537" s="8" t="s">
        <v>364</v>
      </c>
    </row>
    <row r="9538">
      <c r="H9538" s="8" t="s">
        <v>364</v>
      </c>
    </row>
    <row r="9539">
      <c r="H9539" s="8" t="s">
        <v>364</v>
      </c>
    </row>
    <row r="9540">
      <c r="H9540" s="8" t="s">
        <v>364</v>
      </c>
    </row>
    <row r="9541">
      <c r="H9541" s="8" t="s">
        <v>364</v>
      </c>
    </row>
    <row r="9542">
      <c r="H9542" s="8" t="s">
        <v>364</v>
      </c>
    </row>
    <row r="9543">
      <c r="H9543" s="8" t="s">
        <v>364</v>
      </c>
    </row>
    <row r="9544">
      <c r="H9544" s="8" t="s">
        <v>364</v>
      </c>
    </row>
    <row r="9545">
      <c r="H9545" s="8" t="s">
        <v>364</v>
      </c>
    </row>
    <row r="9546">
      <c r="H9546" s="8" t="s">
        <v>364</v>
      </c>
    </row>
    <row r="9547">
      <c r="H9547" s="8" t="s">
        <v>364</v>
      </c>
    </row>
    <row r="9548">
      <c r="H9548" s="8" t="s">
        <v>364</v>
      </c>
    </row>
    <row r="9549">
      <c r="H9549" s="8" t="s">
        <v>364</v>
      </c>
    </row>
    <row r="9550">
      <c r="H9550" s="8" t="s">
        <v>364</v>
      </c>
    </row>
    <row r="9551">
      <c r="H9551" s="8" t="s">
        <v>364</v>
      </c>
    </row>
    <row r="9552">
      <c r="H9552" s="8" t="s">
        <v>364</v>
      </c>
    </row>
    <row r="9553">
      <c r="H9553" s="8" t="s">
        <v>364</v>
      </c>
    </row>
    <row r="9554">
      <c r="H9554" s="8" t="s">
        <v>364</v>
      </c>
    </row>
    <row r="9555">
      <c r="H9555" s="8" t="s">
        <v>364</v>
      </c>
    </row>
    <row r="9556">
      <c r="H9556" s="8" t="s">
        <v>364</v>
      </c>
    </row>
    <row r="9557">
      <c r="H9557" s="8" t="s">
        <v>364</v>
      </c>
    </row>
    <row r="9558">
      <c r="H9558" s="8" t="s">
        <v>364</v>
      </c>
    </row>
    <row r="9559">
      <c r="H9559" s="8" t="s">
        <v>364</v>
      </c>
    </row>
    <row r="9560">
      <c r="H9560" s="8" t="s">
        <v>364</v>
      </c>
    </row>
    <row r="9561">
      <c r="H9561" s="8" t="s">
        <v>364</v>
      </c>
    </row>
    <row r="9562">
      <c r="H9562" s="8" t="s">
        <v>364</v>
      </c>
    </row>
    <row r="9563">
      <c r="H9563" s="8" t="s">
        <v>364</v>
      </c>
    </row>
    <row r="9564">
      <c r="H9564" s="8" t="s">
        <v>364</v>
      </c>
    </row>
    <row r="9565">
      <c r="H9565" s="8" t="s">
        <v>364</v>
      </c>
    </row>
    <row r="9566">
      <c r="H9566" s="8" t="s">
        <v>364</v>
      </c>
    </row>
    <row r="9567">
      <c r="H9567" s="8" t="s">
        <v>364</v>
      </c>
    </row>
    <row r="9568">
      <c r="H9568" s="8" t="s">
        <v>364</v>
      </c>
    </row>
    <row r="9569">
      <c r="H9569" s="8" t="s">
        <v>364</v>
      </c>
    </row>
    <row r="9570">
      <c r="H9570" s="8" t="s">
        <v>364</v>
      </c>
    </row>
    <row r="9571">
      <c r="H9571" s="8" t="s">
        <v>364</v>
      </c>
    </row>
    <row r="9572">
      <c r="H9572" s="8" t="s">
        <v>364</v>
      </c>
    </row>
    <row r="9573">
      <c r="H9573" s="8" t="s">
        <v>364</v>
      </c>
    </row>
    <row r="9574">
      <c r="H9574" s="8" t="s">
        <v>364</v>
      </c>
    </row>
    <row r="9575">
      <c r="H9575" s="8" t="s">
        <v>364</v>
      </c>
    </row>
    <row r="9576">
      <c r="H9576" s="8" t="s">
        <v>364</v>
      </c>
    </row>
    <row r="9577">
      <c r="H9577" s="8" t="s">
        <v>364</v>
      </c>
    </row>
    <row r="9578">
      <c r="H9578" s="8" t="s">
        <v>364</v>
      </c>
    </row>
    <row r="9579">
      <c r="H9579" s="8" t="s">
        <v>364</v>
      </c>
    </row>
    <row r="9580">
      <c r="H9580" s="8" t="s">
        <v>364</v>
      </c>
    </row>
    <row r="9581">
      <c r="H9581" s="8" t="s">
        <v>364</v>
      </c>
    </row>
    <row r="9582">
      <c r="H9582" s="8" t="s">
        <v>364</v>
      </c>
    </row>
    <row r="9583">
      <c r="H9583" s="8" t="s">
        <v>364</v>
      </c>
    </row>
    <row r="9584">
      <c r="H9584" s="8" t="s">
        <v>364</v>
      </c>
    </row>
    <row r="9585">
      <c r="H9585" s="8" t="s">
        <v>364</v>
      </c>
    </row>
    <row r="9586">
      <c r="H9586" s="8" t="s">
        <v>364</v>
      </c>
    </row>
    <row r="9587">
      <c r="H9587" s="8" t="s">
        <v>364</v>
      </c>
    </row>
    <row r="9588">
      <c r="H9588" s="8" t="s">
        <v>364</v>
      </c>
    </row>
    <row r="9589">
      <c r="H9589" s="8" t="s">
        <v>364</v>
      </c>
    </row>
    <row r="9590">
      <c r="H9590" s="8" t="s">
        <v>364</v>
      </c>
    </row>
    <row r="9591">
      <c r="H9591" s="8" t="s">
        <v>364</v>
      </c>
    </row>
    <row r="9592">
      <c r="H9592" s="8" t="s">
        <v>364</v>
      </c>
    </row>
    <row r="9593">
      <c r="H9593" s="8" t="s">
        <v>364</v>
      </c>
    </row>
    <row r="9594">
      <c r="H9594" s="8" t="s">
        <v>364</v>
      </c>
    </row>
    <row r="9595">
      <c r="H9595" s="8" t="s">
        <v>364</v>
      </c>
    </row>
    <row r="9596">
      <c r="H9596" s="8" t="s">
        <v>364</v>
      </c>
    </row>
    <row r="9597">
      <c r="H9597" s="8" t="s">
        <v>364</v>
      </c>
    </row>
    <row r="9598">
      <c r="H9598" s="8" t="s">
        <v>364</v>
      </c>
    </row>
    <row r="9599">
      <c r="H9599" s="8" t="s">
        <v>364</v>
      </c>
    </row>
    <row r="9600">
      <c r="H9600" s="8" t="s">
        <v>364</v>
      </c>
    </row>
    <row r="9601">
      <c r="H9601" s="8" t="s">
        <v>364</v>
      </c>
    </row>
    <row r="9602">
      <c r="H9602" s="8" t="s">
        <v>364</v>
      </c>
    </row>
    <row r="9603">
      <c r="H9603" s="8" t="s">
        <v>364</v>
      </c>
    </row>
    <row r="9604">
      <c r="H9604" s="8" t="s">
        <v>364</v>
      </c>
    </row>
    <row r="9605">
      <c r="H9605" s="8" t="s">
        <v>364</v>
      </c>
    </row>
    <row r="9606">
      <c r="H9606" s="8" t="s">
        <v>364</v>
      </c>
    </row>
    <row r="9607">
      <c r="H9607" s="8" t="s">
        <v>364</v>
      </c>
    </row>
    <row r="9608">
      <c r="H9608" s="8" t="s">
        <v>364</v>
      </c>
    </row>
    <row r="9609">
      <c r="H9609" s="8" t="s">
        <v>364</v>
      </c>
    </row>
    <row r="9610">
      <c r="H9610" s="8" t="s">
        <v>364</v>
      </c>
    </row>
    <row r="9611">
      <c r="H9611" s="8" t="s">
        <v>364</v>
      </c>
    </row>
    <row r="9612">
      <c r="H9612" s="8" t="s">
        <v>364</v>
      </c>
    </row>
    <row r="9613">
      <c r="H9613" s="8" t="s">
        <v>364</v>
      </c>
    </row>
    <row r="9614">
      <c r="H9614" s="8" t="s">
        <v>364</v>
      </c>
    </row>
    <row r="9615">
      <c r="H9615" s="8" t="s">
        <v>364</v>
      </c>
    </row>
    <row r="9616">
      <c r="H9616" s="8" t="s">
        <v>364</v>
      </c>
    </row>
    <row r="9617">
      <c r="H9617" s="8" t="s">
        <v>364</v>
      </c>
    </row>
    <row r="9618">
      <c r="H9618" s="8" t="s">
        <v>364</v>
      </c>
    </row>
    <row r="9619">
      <c r="H9619" s="8" t="s">
        <v>364</v>
      </c>
    </row>
    <row r="9620">
      <c r="H9620" s="8" t="s">
        <v>364</v>
      </c>
    </row>
    <row r="9621">
      <c r="H9621" s="8" t="s">
        <v>364</v>
      </c>
    </row>
    <row r="9622">
      <c r="H9622" s="8" t="s">
        <v>364</v>
      </c>
    </row>
    <row r="9623">
      <c r="H9623" s="8" t="s">
        <v>364</v>
      </c>
    </row>
    <row r="9624">
      <c r="H9624" s="8" t="s">
        <v>364</v>
      </c>
    </row>
    <row r="9625">
      <c r="H9625" s="8" t="s">
        <v>364</v>
      </c>
    </row>
    <row r="9626">
      <c r="H9626" s="8" t="s">
        <v>364</v>
      </c>
    </row>
    <row r="9627">
      <c r="H9627" s="8" t="s">
        <v>364</v>
      </c>
    </row>
    <row r="9628">
      <c r="H9628" s="8" t="s">
        <v>364</v>
      </c>
    </row>
    <row r="9629">
      <c r="H9629" s="8" t="s">
        <v>364</v>
      </c>
    </row>
    <row r="9630">
      <c r="H9630" s="8" t="s">
        <v>364</v>
      </c>
    </row>
    <row r="9631">
      <c r="H9631" s="8" t="s">
        <v>364</v>
      </c>
    </row>
    <row r="9632">
      <c r="H9632" s="8" t="s">
        <v>364</v>
      </c>
    </row>
    <row r="9633">
      <c r="H9633" s="8" t="s">
        <v>364</v>
      </c>
    </row>
    <row r="9634">
      <c r="H9634" s="8" t="s">
        <v>364</v>
      </c>
    </row>
    <row r="9635">
      <c r="H9635" s="8" t="s">
        <v>364</v>
      </c>
    </row>
    <row r="9636">
      <c r="H9636" s="8" t="s">
        <v>364</v>
      </c>
    </row>
    <row r="9637">
      <c r="H9637" s="8" t="s">
        <v>364</v>
      </c>
    </row>
    <row r="9638">
      <c r="H9638" s="8" t="s">
        <v>364</v>
      </c>
    </row>
    <row r="9639">
      <c r="H9639" s="8" t="s">
        <v>364</v>
      </c>
    </row>
    <row r="9640">
      <c r="H9640" s="8" t="s">
        <v>364</v>
      </c>
    </row>
    <row r="9641">
      <c r="H9641" s="8" t="s">
        <v>364</v>
      </c>
    </row>
    <row r="9642">
      <c r="H9642" s="8" t="s">
        <v>364</v>
      </c>
    </row>
    <row r="9643">
      <c r="H9643" s="8" t="s">
        <v>364</v>
      </c>
    </row>
    <row r="9644">
      <c r="H9644" s="8" t="s">
        <v>364</v>
      </c>
    </row>
    <row r="9645">
      <c r="H9645" s="8" t="s">
        <v>364</v>
      </c>
    </row>
    <row r="9646">
      <c r="H9646" s="8" t="s">
        <v>364</v>
      </c>
    </row>
    <row r="9647">
      <c r="H9647" s="8" t="s">
        <v>364</v>
      </c>
    </row>
    <row r="9648">
      <c r="H9648" s="8" t="s">
        <v>364</v>
      </c>
    </row>
    <row r="9649">
      <c r="H9649" s="8" t="s">
        <v>364</v>
      </c>
    </row>
    <row r="9650">
      <c r="H9650" s="8" t="s">
        <v>364</v>
      </c>
    </row>
    <row r="9651">
      <c r="H9651" s="8" t="s">
        <v>364</v>
      </c>
    </row>
    <row r="9652">
      <c r="H9652" s="8" t="s">
        <v>364</v>
      </c>
    </row>
    <row r="9653">
      <c r="H9653" s="8" t="s">
        <v>364</v>
      </c>
    </row>
    <row r="9654">
      <c r="H9654" s="8" t="s">
        <v>364</v>
      </c>
    </row>
    <row r="9655">
      <c r="H9655" s="8" t="s">
        <v>364</v>
      </c>
    </row>
    <row r="9656">
      <c r="H9656" s="8" t="s">
        <v>364</v>
      </c>
    </row>
    <row r="9657">
      <c r="H9657" s="8" t="s">
        <v>364</v>
      </c>
    </row>
    <row r="9658">
      <c r="H9658" s="8" t="s">
        <v>364</v>
      </c>
    </row>
    <row r="9659">
      <c r="H9659" s="8" t="s">
        <v>364</v>
      </c>
    </row>
    <row r="9660">
      <c r="H9660" s="8" t="s">
        <v>364</v>
      </c>
    </row>
    <row r="9661">
      <c r="H9661" s="8" t="s">
        <v>364</v>
      </c>
    </row>
    <row r="9662">
      <c r="H9662" s="8" t="s">
        <v>364</v>
      </c>
    </row>
    <row r="9663">
      <c r="H9663" s="8" t="s">
        <v>364</v>
      </c>
    </row>
    <row r="9664">
      <c r="H9664" s="8" t="s">
        <v>364</v>
      </c>
    </row>
    <row r="9665">
      <c r="H9665" s="8" t="s">
        <v>364</v>
      </c>
    </row>
    <row r="9666">
      <c r="H9666" s="8" t="s">
        <v>364</v>
      </c>
    </row>
    <row r="9667">
      <c r="H9667" s="8" t="s">
        <v>364</v>
      </c>
    </row>
    <row r="9668">
      <c r="H9668" s="8" t="s">
        <v>364</v>
      </c>
    </row>
    <row r="9669">
      <c r="H9669" s="8" t="s">
        <v>364</v>
      </c>
    </row>
    <row r="9670">
      <c r="H9670" s="8" t="s">
        <v>364</v>
      </c>
    </row>
    <row r="9671">
      <c r="H9671" s="8" t="s">
        <v>364</v>
      </c>
    </row>
    <row r="9672">
      <c r="H9672" s="8" t="s">
        <v>364</v>
      </c>
    </row>
    <row r="9673">
      <c r="H9673" s="8" t="s">
        <v>364</v>
      </c>
    </row>
    <row r="9674">
      <c r="H9674" s="8" t="s">
        <v>364</v>
      </c>
    </row>
    <row r="9675">
      <c r="H9675" s="8" t="s">
        <v>364</v>
      </c>
    </row>
    <row r="9676">
      <c r="H9676" s="8" t="s">
        <v>364</v>
      </c>
    </row>
    <row r="9677">
      <c r="H9677" s="8" t="s">
        <v>364</v>
      </c>
    </row>
    <row r="9678">
      <c r="H9678" s="8" t="s">
        <v>364</v>
      </c>
    </row>
    <row r="9679">
      <c r="H9679" s="8" t="s">
        <v>364</v>
      </c>
    </row>
    <row r="9680">
      <c r="H9680" s="8" t="s">
        <v>364</v>
      </c>
    </row>
    <row r="9681">
      <c r="H9681" s="8" t="s">
        <v>364</v>
      </c>
    </row>
    <row r="9682">
      <c r="H9682" s="8" t="s">
        <v>364</v>
      </c>
    </row>
    <row r="9683">
      <c r="H9683" s="8" t="s">
        <v>364</v>
      </c>
    </row>
    <row r="9684">
      <c r="H9684" s="8" t="s">
        <v>364</v>
      </c>
    </row>
    <row r="9685">
      <c r="H9685" s="8" t="s">
        <v>364</v>
      </c>
    </row>
    <row r="9686">
      <c r="H9686" s="8" t="s">
        <v>364</v>
      </c>
    </row>
    <row r="9687">
      <c r="H9687" s="8" t="s">
        <v>364</v>
      </c>
    </row>
    <row r="9688">
      <c r="H9688" s="8" t="s">
        <v>364</v>
      </c>
    </row>
    <row r="9689">
      <c r="H9689" s="8" t="s">
        <v>364</v>
      </c>
    </row>
    <row r="9690">
      <c r="H9690" s="8" t="s">
        <v>364</v>
      </c>
    </row>
    <row r="9691">
      <c r="H9691" s="8" t="s">
        <v>364</v>
      </c>
    </row>
    <row r="9692">
      <c r="H9692" s="8" t="s">
        <v>364</v>
      </c>
    </row>
    <row r="9693">
      <c r="H9693" s="8" t="s">
        <v>364</v>
      </c>
    </row>
    <row r="9694">
      <c r="H9694" s="8" t="s">
        <v>364</v>
      </c>
    </row>
    <row r="9695">
      <c r="H9695" s="8" t="s">
        <v>364</v>
      </c>
    </row>
    <row r="9696">
      <c r="H9696" s="8" t="s">
        <v>364</v>
      </c>
    </row>
    <row r="9697">
      <c r="H9697" s="8" t="s">
        <v>364</v>
      </c>
    </row>
    <row r="9698">
      <c r="H9698" s="8" t="s">
        <v>364</v>
      </c>
    </row>
    <row r="9699">
      <c r="H9699" s="8" t="s">
        <v>364</v>
      </c>
    </row>
    <row r="9700">
      <c r="H9700" s="8" t="s">
        <v>364</v>
      </c>
    </row>
    <row r="9701">
      <c r="H9701" s="8" t="s">
        <v>364</v>
      </c>
    </row>
    <row r="9702">
      <c r="H9702" s="8" t="s">
        <v>364</v>
      </c>
    </row>
    <row r="9703">
      <c r="H9703" s="8" t="s">
        <v>364</v>
      </c>
    </row>
    <row r="9704">
      <c r="H9704" s="8" t="s">
        <v>364</v>
      </c>
    </row>
    <row r="9705">
      <c r="H9705" s="8" t="s">
        <v>364</v>
      </c>
    </row>
    <row r="9706">
      <c r="H9706" s="8" t="s">
        <v>364</v>
      </c>
    </row>
    <row r="9707">
      <c r="H9707" s="8" t="s">
        <v>364</v>
      </c>
    </row>
    <row r="9708">
      <c r="H9708" s="8" t="s">
        <v>364</v>
      </c>
    </row>
    <row r="9709">
      <c r="H9709" s="8" t="s">
        <v>364</v>
      </c>
    </row>
    <row r="9710">
      <c r="H9710" s="8" t="s">
        <v>364</v>
      </c>
    </row>
    <row r="9711">
      <c r="H9711" s="8" t="s">
        <v>364</v>
      </c>
    </row>
    <row r="9712">
      <c r="H9712" s="8" t="s">
        <v>364</v>
      </c>
    </row>
    <row r="9713">
      <c r="H9713" s="8" t="s">
        <v>364</v>
      </c>
    </row>
    <row r="9714">
      <c r="H9714" s="8" t="s">
        <v>364</v>
      </c>
    </row>
    <row r="9715">
      <c r="H9715" s="8" t="s">
        <v>364</v>
      </c>
    </row>
    <row r="9716">
      <c r="H9716" s="8" t="s">
        <v>364</v>
      </c>
    </row>
    <row r="9717">
      <c r="H9717" s="8" t="s">
        <v>364</v>
      </c>
    </row>
    <row r="9718">
      <c r="H9718" s="8" t="s">
        <v>364</v>
      </c>
    </row>
    <row r="9719">
      <c r="H9719" s="8" t="s">
        <v>364</v>
      </c>
    </row>
    <row r="9720">
      <c r="H9720" s="8" t="s">
        <v>364</v>
      </c>
    </row>
    <row r="9721">
      <c r="H9721" s="8" t="s">
        <v>364</v>
      </c>
    </row>
    <row r="9722">
      <c r="H9722" s="8" t="s">
        <v>364</v>
      </c>
    </row>
    <row r="9723">
      <c r="H9723" s="8" t="s">
        <v>364</v>
      </c>
    </row>
    <row r="9724">
      <c r="H9724" s="8" t="s">
        <v>364</v>
      </c>
    </row>
    <row r="9725">
      <c r="H9725" s="8" t="s">
        <v>364</v>
      </c>
    </row>
    <row r="9726">
      <c r="H9726" s="8" t="s">
        <v>364</v>
      </c>
    </row>
    <row r="9727">
      <c r="H9727" s="8" t="s">
        <v>364</v>
      </c>
    </row>
    <row r="9728">
      <c r="H9728" s="8" t="s">
        <v>364</v>
      </c>
    </row>
    <row r="9729">
      <c r="H9729" s="8" t="s">
        <v>364</v>
      </c>
    </row>
    <row r="9730">
      <c r="H9730" s="8" t="s">
        <v>364</v>
      </c>
    </row>
    <row r="9731">
      <c r="H9731" s="8" t="s">
        <v>364</v>
      </c>
    </row>
    <row r="9732">
      <c r="H9732" s="8" t="s">
        <v>364</v>
      </c>
    </row>
    <row r="9733">
      <c r="H9733" s="8" t="s">
        <v>364</v>
      </c>
    </row>
    <row r="9734">
      <c r="H9734" s="8" t="s">
        <v>364</v>
      </c>
    </row>
    <row r="9735">
      <c r="H9735" s="8" t="s">
        <v>364</v>
      </c>
    </row>
    <row r="9736">
      <c r="H9736" s="8" t="s">
        <v>364</v>
      </c>
    </row>
    <row r="9737">
      <c r="H9737" s="8" t="s">
        <v>364</v>
      </c>
    </row>
    <row r="9738">
      <c r="H9738" s="8" t="s">
        <v>364</v>
      </c>
    </row>
    <row r="9739">
      <c r="H9739" s="8" t="s">
        <v>364</v>
      </c>
    </row>
    <row r="9740">
      <c r="H9740" s="8" t="s">
        <v>364</v>
      </c>
    </row>
    <row r="9741">
      <c r="H9741" s="8" t="s">
        <v>364</v>
      </c>
    </row>
    <row r="9742">
      <c r="H9742" s="8" t="s">
        <v>364</v>
      </c>
    </row>
    <row r="9743">
      <c r="H9743" s="8" t="s">
        <v>364</v>
      </c>
    </row>
    <row r="9744">
      <c r="H9744" s="8" t="s">
        <v>364</v>
      </c>
    </row>
    <row r="9745">
      <c r="H9745" s="8" t="s">
        <v>364</v>
      </c>
    </row>
    <row r="9746">
      <c r="H9746" s="8" t="s">
        <v>364</v>
      </c>
    </row>
    <row r="9747">
      <c r="H9747" s="8" t="s">
        <v>364</v>
      </c>
    </row>
    <row r="9748">
      <c r="H9748" s="8" t="s">
        <v>364</v>
      </c>
    </row>
    <row r="9749">
      <c r="H9749" s="8" t="s">
        <v>364</v>
      </c>
    </row>
    <row r="9750">
      <c r="H9750" s="8" t="s">
        <v>364</v>
      </c>
    </row>
    <row r="9751">
      <c r="H9751" s="8" t="s">
        <v>364</v>
      </c>
    </row>
    <row r="9752">
      <c r="H9752" s="8" t="s">
        <v>364</v>
      </c>
    </row>
    <row r="9753">
      <c r="H9753" s="8" t="s">
        <v>364</v>
      </c>
    </row>
    <row r="9754">
      <c r="H9754" s="8" t="s">
        <v>364</v>
      </c>
    </row>
    <row r="9755">
      <c r="H9755" s="8" t="s">
        <v>364</v>
      </c>
    </row>
    <row r="9756">
      <c r="H9756" s="8" t="s">
        <v>364</v>
      </c>
    </row>
    <row r="9757">
      <c r="H9757" s="8" t="s">
        <v>364</v>
      </c>
    </row>
    <row r="9758">
      <c r="H9758" s="8" t="s">
        <v>364</v>
      </c>
    </row>
    <row r="9759">
      <c r="H9759" s="8" t="s">
        <v>364</v>
      </c>
    </row>
    <row r="9760">
      <c r="H9760" s="8" t="s">
        <v>364</v>
      </c>
    </row>
    <row r="9761">
      <c r="H9761" s="8" t="s">
        <v>364</v>
      </c>
    </row>
    <row r="9762">
      <c r="H9762" s="8" t="s">
        <v>364</v>
      </c>
    </row>
    <row r="9763">
      <c r="H9763" s="8" t="s">
        <v>364</v>
      </c>
    </row>
    <row r="9764">
      <c r="H9764" s="8" t="s">
        <v>364</v>
      </c>
    </row>
    <row r="9765">
      <c r="H9765" s="8" t="s">
        <v>364</v>
      </c>
    </row>
    <row r="9766">
      <c r="H9766" s="8" t="s">
        <v>364</v>
      </c>
    </row>
    <row r="9767">
      <c r="H9767" s="8" t="s">
        <v>364</v>
      </c>
    </row>
    <row r="9768">
      <c r="H9768" s="8" t="s">
        <v>364</v>
      </c>
    </row>
    <row r="9769">
      <c r="H9769" s="8" t="s">
        <v>364</v>
      </c>
    </row>
    <row r="9770">
      <c r="H9770" s="8" t="s">
        <v>364</v>
      </c>
    </row>
    <row r="9771">
      <c r="H9771" s="8" t="s">
        <v>364</v>
      </c>
    </row>
    <row r="9772">
      <c r="H9772" s="8" t="s">
        <v>364</v>
      </c>
    </row>
    <row r="9773">
      <c r="H9773" s="8" t="s">
        <v>364</v>
      </c>
    </row>
    <row r="9774">
      <c r="H9774" s="8" t="s">
        <v>364</v>
      </c>
    </row>
    <row r="9775">
      <c r="H9775" s="8" t="s">
        <v>364</v>
      </c>
    </row>
    <row r="9776">
      <c r="H9776" s="8" t="s">
        <v>364</v>
      </c>
    </row>
    <row r="9777">
      <c r="H9777" s="8" t="s">
        <v>364</v>
      </c>
    </row>
    <row r="9778">
      <c r="H9778" s="8" t="s">
        <v>364</v>
      </c>
    </row>
    <row r="9779">
      <c r="H9779" s="8" t="s">
        <v>364</v>
      </c>
    </row>
    <row r="9780">
      <c r="H9780" s="8" t="s">
        <v>364</v>
      </c>
    </row>
    <row r="9781">
      <c r="H9781" s="8" t="s">
        <v>364</v>
      </c>
    </row>
    <row r="9782">
      <c r="H9782" s="8" t="s">
        <v>364</v>
      </c>
    </row>
    <row r="9783">
      <c r="H9783" s="8" t="s">
        <v>364</v>
      </c>
    </row>
    <row r="9784">
      <c r="H9784" s="8" t="s">
        <v>364</v>
      </c>
    </row>
    <row r="9785">
      <c r="H9785" s="8" t="s">
        <v>364</v>
      </c>
    </row>
    <row r="9786">
      <c r="H9786" s="8" t="s">
        <v>364</v>
      </c>
    </row>
    <row r="9787">
      <c r="H9787" s="8" t="s">
        <v>364</v>
      </c>
    </row>
    <row r="9788">
      <c r="H9788" s="8" t="s">
        <v>364</v>
      </c>
    </row>
    <row r="9789">
      <c r="H9789" s="8" t="s">
        <v>364</v>
      </c>
    </row>
    <row r="9790">
      <c r="H9790" s="8" t="s">
        <v>364</v>
      </c>
    </row>
    <row r="9791">
      <c r="H9791" s="8" t="s">
        <v>364</v>
      </c>
    </row>
    <row r="9792">
      <c r="H9792" s="8" t="s">
        <v>364</v>
      </c>
    </row>
    <row r="9793">
      <c r="H9793" s="8" t="s">
        <v>364</v>
      </c>
    </row>
    <row r="9794">
      <c r="H9794" s="8" t="s">
        <v>364</v>
      </c>
    </row>
    <row r="9795">
      <c r="H9795" s="8" t="s">
        <v>364</v>
      </c>
    </row>
    <row r="9796">
      <c r="H9796" s="8" t="s">
        <v>364</v>
      </c>
    </row>
    <row r="9797">
      <c r="H9797" s="8" t="s">
        <v>364</v>
      </c>
    </row>
    <row r="9798">
      <c r="H9798" s="8" t="s">
        <v>364</v>
      </c>
    </row>
    <row r="9799">
      <c r="H9799" s="8" t="s">
        <v>364</v>
      </c>
    </row>
    <row r="9800">
      <c r="H9800" s="8" t="s">
        <v>364</v>
      </c>
    </row>
    <row r="9801">
      <c r="H9801" s="8" t="s">
        <v>364</v>
      </c>
    </row>
    <row r="9802">
      <c r="H9802" s="8" t="s">
        <v>364</v>
      </c>
    </row>
    <row r="9803">
      <c r="H9803" s="8" t="s">
        <v>364</v>
      </c>
    </row>
    <row r="9804">
      <c r="H9804" s="8" t="s">
        <v>364</v>
      </c>
    </row>
    <row r="9805">
      <c r="H9805" s="8" t="s">
        <v>364</v>
      </c>
    </row>
    <row r="9806">
      <c r="H9806" s="8" t="s">
        <v>364</v>
      </c>
    </row>
    <row r="9807">
      <c r="H9807" s="8" t="s">
        <v>364</v>
      </c>
    </row>
    <row r="9808">
      <c r="H9808" s="8" t="s">
        <v>364</v>
      </c>
    </row>
    <row r="9809">
      <c r="H9809" s="8" t="s">
        <v>364</v>
      </c>
    </row>
    <row r="9810">
      <c r="H9810" s="8" t="s">
        <v>364</v>
      </c>
    </row>
    <row r="9811">
      <c r="H9811" s="8" t="s">
        <v>364</v>
      </c>
    </row>
    <row r="9812">
      <c r="H9812" s="8" t="s">
        <v>364</v>
      </c>
    </row>
    <row r="9813">
      <c r="H9813" s="8" t="s">
        <v>364</v>
      </c>
    </row>
    <row r="9814">
      <c r="H9814" s="8" t="s">
        <v>364</v>
      </c>
    </row>
    <row r="9815">
      <c r="H9815" s="8" t="s">
        <v>364</v>
      </c>
    </row>
    <row r="9816">
      <c r="H9816" s="8" t="s">
        <v>364</v>
      </c>
    </row>
    <row r="9817">
      <c r="H9817" s="8" t="s">
        <v>364</v>
      </c>
    </row>
    <row r="9818">
      <c r="H9818" s="8" t="s">
        <v>364</v>
      </c>
    </row>
    <row r="9819">
      <c r="H9819" s="8" t="s">
        <v>364</v>
      </c>
    </row>
    <row r="9820">
      <c r="H9820" s="8" t="s">
        <v>364</v>
      </c>
    </row>
    <row r="9821">
      <c r="H9821" s="8" t="s">
        <v>364</v>
      </c>
    </row>
    <row r="9822">
      <c r="H9822" s="8" t="s">
        <v>364</v>
      </c>
    </row>
    <row r="9823">
      <c r="H9823" s="8" t="s">
        <v>364</v>
      </c>
    </row>
    <row r="9824">
      <c r="H9824" s="8" t="s">
        <v>364</v>
      </c>
    </row>
    <row r="9825">
      <c r="H9825" s="8" t="s">
        <v>364</v>
      </c>
    </row>
    <row r="9826">
      <c r="H9826" s="8" t="s">
        <v>364</v>
      </c>
    </row>
    <row r="9827">
      <c r="H9827" s="8" t="s">
        <v>364</v>
      </c>
    </row>
    <row r="9828">
      <c r="H9828" s="8" t="s">
        <v>364</v>
      </c>
    </row>
    <row r="9829">
      <c r="H9829" s="8" t="s">
        <v>364</v>
      </c>
    </row>
    <row r="9830">
      <c r="H9830" s="8" t="s">
        <v>364</v>
      </c>
    </row>
    <row r="9831">
      <c r="H9831" s="8" t="s">
        <v>364</v>
      </c>
    </row>
    <row r="9832">
      <c r="H9832" s="8" t="s">
        <v>364</v>
      </c>
    </row>
    <row r="9833">
      <c r="H9833" s="8" t="s">
        <v>364</v>
      </c>
    </row>
    <row r="9834">
      <c r="H9834" s="8" t="s">
        <v>364</v>
      </c>
    </row>
    <row r="9835">
      <c r="H9835" s="8" t="s">
        <v>364</v>
      </c>
    </row>
    <row r="9836">
      <c r="H9836" s="8" t="s">
        <v>364</v>
      </c>
    </row>
    <row r="9837">
      <c r="H9837" s="8" t="s">
        <v>364</v>
      </c>
    </row>
    <row r="9838">
      <c r="H9838" s="8" t="s">
        <v>364</v>
      </c>
    </row>
    <row r="9839">
      <c r="H9839" s="8" t="s">
        <v>364</v>
      </c>
    </row>
    <row r="9840">
      <c r="H9840" s="8" t="s">
        <v>364</v>
      </c>
    </row>
    <row r="9841">
      <c r="H9841" s="8" t="s">
        <v>364</v>
      </c>
    </row>
    <row r="9842">
      <c r="H9842" s="8" t="s">
        <v>364</v>
      </c>
    </row>
    <row r="9843">
      <c r="H9843" s="8" t="s">
        <v>364</v>
      </c>
    </row>
    <row r="9844">
      <c r="H9844" s="8" t="s">
        <v>364</v>
      </c>
    </row>
    <row r="9845">
      <c r="H9845" s="8" t="s">
        <v>364</v>
      </c>
    </row>
    <row r="9846">
      <c r="H9846" s="8" t="s">
        <v>364</v>
      </c>
    </row>
    <row r="9847">
      <c r="H9847" s="8" t="s">
        <v>364</v>
      </c>
    </row>
    <row r="9848">
      <c r="H9848" s="8" t="s">
        <v>364</v>
      </c>
    </row>
    <row r="9849">
      <c r="H9849" s="8" t="s">
        <v>364</v>
      </c>
    </row>
    <row r="9850">
      <c r="H9850" s="8" t="s">
        <v>364</v>
      </c>
    </row>
    <row r="9851">
      <c r="H9851" s="8" t="s">
        <v>364</v>
      </c>
    </row>
    <row r="9852">
      <c r="H9852" s="8" t="s">
        <v>364</v>
      </c>
    </row>
    <row r="9853">
      <c r="H9853" s="8" t="s">
        <v>364</v>
      </c>
    </row>
    <row r="9854">
      <c r="H9854" s="8" t="s">
        <v>364</v>
      </c>
    </row>
    <row r="9855">
      <c r="H9855" s="8" t="s">
        <v>364</v>
      </c>
    </row>
    <row r="9856">
      <c r="H9856" s="8" t="s">
        <v>364</v>
      </c>
    </row>
    <row r="9857">
      <c r="H9857" s="8" t="s">
        <v>364</v>
      </c>
    </row>
    <row r="9858">
      <c r="H9858" s="8" t="s">
        <v>364</v>
      </c>
    </row>
    <row r="9859">
      <c r="H9859" s="8" t="s">
        <v>364</v>
      </c>
    </row>
    <row r="9860">
      <c r="H9860" s="8" t="s">
        <v>364</v>
      </c>
    </row>
    <row r="9861">
      <c r="H9861" s="8" t="s">
        <v>364</v>
      </c>
    </row>
    <row r="9862">
      <c r="H9862" s="8" t="s">
        <v>364</v>
      </c>
    </row>
    <row r="9863">
      <c r="H9863" s="8" t="s">
        <v>364</v>
      </c>
    </row>
    <row r="9864">
      <c r="H9864" s="8" t="s">
        <v>364</v>
      </c>
    </row>
    <row r="9865">
      <c r="H9865" s="8" t="s">
        <v>364</v>
      </c>
    </row>
    <row r="9866">
      <c r="H9866" s="8" t="s">
        <v>364</v>
      </c>
    </row>
    <row r="9867">
      <c r="H9867" s="8" t="s">
        <v>364</v>
      </c>
    </row>
    <row r="9868">
      <c r="H9868" s="8" t="s">
        <v>364</v>
      </c>
    </row>
    <row r="9869">
      <c r="H9869" s="8" t="s">
        <v>364</v>
      </c>
    </row>
    <row r="9870">
      <c r="H9870" s="8" t="s">
        <v>364</v>
      </c>
    </row>
    <row r="9871">
      <c r="H9871" s="8" t="s">
        <v>364</v>
      </c>
    </row>
    <row r="9872">
      <c r="H9872" s="8" t="s">
        <v>364</v>
      </c>
    </row>
    <row r="9873">
      <c r="H9873" s="8" t="s">
        <v>364</v>
      </c>
    </row>
    <row r="9874">
      <c r="H9874" s="8" t="s">
        <v>364</v>
      </c>
    </row>
    <row r="9875">
      <c r="H9875" s="8" t="s">
        <v>364</v>
      </c>
    </row>
    <row r="9876">
      <c r="H9876" s="8" t="s">
        <v>364</v>
      </c>
    </row>
    <row r="9877">
      <c r="H9877" s="8" t="s">
        <v>364</v>
      </c>
    </row>
    <row r="9878">
      <c r="H9878" s="8" t="s">
        <v>364</v>
      </c>
    </row>
    <row r="9879">
      <c r="H9879" s="8" t="s">
        <v>364</v>
      </c>
    </row>
    <row r="9880">
      <c r="H9880" s="8" t="s">
        <v>364</v>
      </c>
    </row>
    <row r="9881">
      <c r="H9881" s="8" t="s">
        <v>364</v>
      </c>
    </row>
    <row r="9882">
      <c r="H9882" s="8" t="s">
        <v>364</v>
      </c>
    </row>
    <row r="9883">
      <c r="H9883" s="8" t="s">
        <v>364</v>
      </c>
    </row>
    <row r="9884">
      <c r="H9884" s="8" t="s">
        <v>364</v>
      </c>
    </row>
    <row r="9885">
      <c r="H9885" s="8" t="s">
        <v>364</v>
      </c>
    </row>
    <row r="9886">
      <c r="H9886" s="8" t="s">
        <v>364</v>
      </c>
    </row>
    <row r="9887">
      <c r="H9887" s="8" t="s">
        <v>364</v>
      </c>
    </row>
    <row r="9888">
      <c r="H9888" s="8" t="s">
        <v>364</v>
      </c>
    </row>
    <row r="9889">
      <c r="H9889" s="8" t="s">
        <v>364</v>
      </c>
    </row>
    <row r="9890">
      <c r="H9890" s="8" t="s">
        <v>364</v>
      </c>
    </row>
    <row r="9891">
      <c r="H9891" s="8" t="s">
        <v>364</v>
      </c>
    </row>
    <row r="9892">
      <c r="H9892" s="8" t="s">
        <v>364</v>
      </c>
    </row>
    <row r="9893">
      <c r="H9893" s="8" t="s">
        <v>364</v>
      </c>
    </row>
    <row r="9894">
      <c r="H9894" s="8" t="s">
        <v>364</v>
      </c>
    </row>
    <row r="9895">
      <c r="H9895" s="8" t="s">
        <v>364</v>
      </c>
    </row>
    <row r="9896">
      <c r="H9896" s="8" t="s">
        <v>364</v>
      </c>
    </row>
    <row r="9897">
      <c r="H9897" s="8" t="s">
        <v>364</v>
      </c>
    </row>
    <row r="9898">
      <c r="H9898" s="8" t="s">
        <v>364</v>
      </c>
    </row>
    <row r="9899">
      <c r="H9899" s="8" t="s">
        <v>364</v>
      </c>
    </row>
    <row r="9900">
      <c r="H9900" s="8" t="s">
        <v>364</v>
      </c>
    </row>
    <row r="9901">
      <c r="H9901" s="8" t="s">
        <v>364</v>
      </c>
    </row>
    <row r="9902">
      <c r="H9902" s="8" t="s">
        <v>364</v>
      </c>
    </row>
    <row r="9903">
      <c r="H9903" s="8" t="s">
        <v>364</v>
      </c>
    </row>
    <row r="9904">
      <c r="H9904" s="8" t="s">
        <v>364</v>
      </c>
    </row>
    <row r="9905">
      <c r="H9905" s="8" t="s">
        <v>364</v>
      </c>
    </row>
    <row r="9906">
      <c r="H9906" s="8" t="s">
        <v>364</v>
      </c>
    </row>
    <row r="9907">
      <c r="H9907" s="8" t="s">
        <v>364</v>
      </c>
    </row>
    <row r="9908">
      <c r="H9908" s="8" t="s">
        <v>364</v>
      </c>
    </row>
    <row r="9909">
      <c r="H9909" s="8" t="s">
        <v>364</v>
      </c>
    </row>
    <row r="9910">
      <c r="H9910" s="8" t="s">
        <v>364</v>
      </c>
    </row>
    <row r="9911">
      <c r="H9911" s="8" t="s">
        <v>364</v>
      </c>
    </row>
    <row r="9912">
      <c r="H9912" s="8" t="s">
        <v>364</v>
      </c>
    </row>
    <row r="9913">
      <c r="H9913" s="8" t="s">
        <v>364</v>
      </c>
    </row>
    <row r="9914">
      <c r="H9914" s="8" t="s">
        <v>364</v>
      </c>
    </row>
    <row r="9915">
      <c r="H9915" s="8" t="s">
        <v>364</v>
      </c>
    </row>
    <row r="9916">
      <c r="H9916" s="8" t="s">
        <v>364</v>
      </c>
    </row>
    <row r="9917">
      <c r="H9917" s="8" t="s">
        <v>364</v>
      </c>
    </row>
    <row r="9918">
      <c r="H9918" s="8" t="s">
        <v>364</v>
      </c>
    </row>
    <row r="9919">
      <c r="H9919" s="8" t="s">
        <v>364</v>
      </c>
    </row>
    <row r="9920">
      <c r="H9920" s="8" t="s">
        <v>364</v>
      </c>
    </row>
    <row r="9921">
      <c r="H9921" s="8" t="s">
        <v>364</v>
      </c>
    </row>
    <row r="9922">
      <c r="H9922" s="8" t="s">
        <v>364</v>
      </c>
    </row>
    <row r="9923">
      <c r="H9923" s="8" t="s">
        <v>364</v>
      </c>
    </row>
    <row r="9924">
      <c r="H9924" s="8" t="s">
        <v>364</v>
      </c>
    </row>
    <row r="9925">
      <c r="H9925" s="8" t="s">
        <v>364</v>
      </c>
    </row>
    <row r="9926">
      <c r="H9926" s="8" t="s">
        <v>364</v>
      </c>
    </row>
    <row r="9927">
      <c r="H9927" s="8" t="s">
        <v>364</v>
      </c>
    </row>
    <row r="9928">
      <c r="H9928" s="8" t="s">
        <v>364</v>
      </c>
    </row>
    <row r="9929">
      <c r="H9929" s="8" t="s">
        <v>364</v>
      </c>
    </row>
    <row r="9930">
      <c r="H9930" s="8" t="s">
        <v>364</v>
      </c>
    </row>
    <row r="9931">
      <c r="H9931" s="8" t="s">
        <v>364</v>
      </c>
    </row>
    <row r="9932">
      <c r="H9932" s="8" t="s">
        <v>364</v>
      </c>
    </row>
    <row r="9933">
      <c r="H9933" s="8" t="s">
        <v>364</v>
      </c>
    </row>
    <row r="9934">
      <c r="H9934" s="8" t="s">
        <v>364</v>
      </c>
    </row>
    <row r="9935">
      <c r="H9935" s="8" t="s">
        <v>364</v>
      </c>
    </row>
    <row r="9936">
      <c r="H9936" s="8" t="s">
        <v>364</v>
      </c>
    </row>
    <row r="9937">
      <c r="H9937" s="8" t="s">
        <v>364</v>
      </c>
    </row>
    <row r="9938">
      <c r="H9938" s="8" t="s">
        <v>364</v>
      </c>
    </row>
    <row r="9939">
      <c r="H9939" s="8" t="s">
        <v>364</v>
      </c>
    </row>
    <row r="9940">
      <c r="H9940" s="8" t="s">
        <v>364</v>
      </c>
    </row>
    <row r="9941">
      <c r="H9941" s="8" t="s">
        <v>364</v>
      </c>
    </row>
    <row r="9942">
      <c r="H9942" s="8" t="s">
        <v>364</v>
      </c>
    </row>
    <row r="9943">
      <c r="H9943" s="8" t="s">
        <v>364</v>
      </c>
    </row>
    <row r="9944">
      <c r="H9944" s="8" t="s">
        <v>364</v>
      </c>
    </row>
    <row r="9945">
      <c r="H9945" s="8" t="s">
        <v>364</v>
      </c>
    </row>
    <row r="9946">
      <c r="H9946" s="8" t="s">
        <v>364</v>
      </c>
    </row>
    <row r="9947">
      <c r="H9947" s="8" t="s">
        <v>364</v>
      </c>
    </row>
    <row r="9948">
      <c r="H9948" s="8" t="s">
        <v>364</v>
      </c>
    </row>
    <row r="9949">
      <c r="H9949" s="8" t="s">
        <v>364</v>
      </c>
    </row>
    <row r="9950">
      <c r="H9950" s="8" t="s">
        <v>364</v>
      </c>
    </row>
    <row r="9951">
      <c r="H9951" s="8" t="s">
        <v>364</v>
      </c>
    </row>
    <row r="9952">
      <c r="H9952" s="8" t="s">
        <v>364</v>
      </c>
    </row>
    <row r="9953">
      <c r="H9953" s="8" t="s">
        <v>364</v>
      </c>
    </row>
    <row r="9954">
      <c r="H9954" s="8" t="s">
        <v>364</v>
      </c>
    </row>
    <row r="9955">
      <c r="H9955" s="8" t="s">
        <v>364</v>
      </c>
    </row>
    <row r="9956">
      <c r="H9956" s="8" t="s">
        <v>364</v>
      </c>
    </row>
    <row r="9957">
      <c r="H9957" s="8" t="s">
        <v>364</v>
      </c>
    </row>
    <row r="9958">
      <c r="H9958" s="8" t="s">
        <v>364</v>
      </c>
    </row>
    <row r="9959">
      <c r="H9959" s="8" t="s">
        <v>364</v>
      </c>
    </row>
    <row r="9960">
      <c r="H9960" s="8" t="s">
        <v>364</v>
      </c>
    </row>
    <row r="9961">
      <c r="H9961" s="8" t="s">
        <v>364</v>
      </c>
    </row>
    <row r="9962">
      <c r="H9962" s="8" t="s">
        <v>364</v>
      </c>
    </row>
    <row r="9963">
      <c r="H9963" s="8" t="s">
        <v>364</v>
      </c>
    </row>
    <row r="9964">
      <c r="H9964" s="8" t="s">
        <v>364</v>
      </c>
    </row>
    <row r="9965">
      <c r="H9965" s="8" t="s">
        <v>364</v>
      </c>
    </row>
    <row r="9966">
      <c r="H9966" s="8" t="s">
        <v>364</v>
      </c>
    </row>
    <row r="9967">
      <c r="H9967" s="8" t="s">
        <v>364</v>
      </c>
    </row>
    <row r="9968">
      <c r="H9968" s="8" t="s">
        <v>364</v>
      </c>
    </row>
    <row r="9969">
      <c r="H9969" s="8" t="s">
        <v>364</v>
      </c>
    </row>
    <row r="9970">
      <c r="H9970" s="8" t="s">
        <v>364</v>
      </c>
    </row>
    <row r="9971">
      <c r="H9971" s="8" t="s">
        <v>364</v>
      </c>
    </row>
    <row r="9972">
      <c r="H9972" s="8" t="s">
        <v>364</v>
      </c>
    </row>
    <row r="9973">
      <c r="H9973" s="8" t="s">
        <v>364</v>
      </c>
    </row>
    <row r="9974">
      <c r="H9974" s="8" t="s">
        <v>364</v>
      </c>
    </row>
    <row r="9975">
      <c r="H9975" s="8" t="s">
        <v>364</v>
      </c>
    </row>
    <row r="9976">
      <c r="H9976" s="8" t="s">
        <v>364</v>
      </c>
    </row>
    <row r="9977">
      <c r="H9977" s="8" t="s">
        <v>364</v>
      </c>
    </row>
    <row r="9978">
      <c r="H9978" s="8" t="s">
        <v>364</v>
      </c>
    </row>
    <row r="9979">
      <c r="H9979" s="8" t="s">
        <v>364</v>
      </c>
    </row>
    <row r="9980">
      <c r="H9980" s="8" t="s">
        <v>364</v>
      </c>
    </row>
    <row r="9981">
      <c r="H9981" s="8" t="s">
        <v>364</v>
      </c>
    </row>
    <row r="9982">
      <c r="H9982" s="8" t="s">
        <v>364</v>
      </c>
    </row>
    <row r="9983">
      <c r="H9983" s="8" t="s">
        <v>364</v>
      </c>
    </row>
    <row r="9984">
      <c r="H9984" s="8" t="s">
        <v>364</v>
      </c>
    </row>
    <row r="9985">
      <c r="H9985" s="8" t="s">
        <v>364</v>
      </c>
    </row>
    <row r="9986">
      <c r="H9986" s="8" t="s">
        <v>364</v>
      </c>
    </row>
    <row r="9987">
      <c r="H9987" s="8" t="s">
        <v>364</v>
      </c>
    </row>
    <row r="9988">
      <c r="H9988" s="8" t="s">
        <v>364</v>
      </c>
    </row>
    <row r="9989">
      <c r="H9989" s="8" t="s">
        <v>364</v>
      </c>
    </row>
    <row r="9990">
      <c r="H9990" s="8" t="s">
        <v>364</v>
      </c>
    </row>
    <row r="9991">
      <c r="H9991" s="8" t="s">
        <v>364</v>
      </c>
    </row>
    <row r="9992">
      <c r="H9992" s="8" t="s">
        <v>364</v>
      </c>
    </row>
    <row r="9993">
      <c r="H9993" s="8" t="s">
        <v>364</v>
      </c>
    </row>
    <row r="9994">
      <c r="H9994" s="8" t="s">
        <v>364</v>
      </c>
    </row>
    <row r="9995">
      <c r="H9995" s="8" t="s">
        <v>364</v>
      </c>
    </row>
    <row r="9996">
      <c r="H9996" s="8" t="s">
        <v>364</v>
      </c>
    </row>
    <row r="9997">
      <c r="H9997" s="8" t="s">
        <v>364</v>
      </c>
    </row>
    <row r="9998">
      <c r="H9998" s="8" t="s">
        <v>364</v>
      </c>
    </row>
    <row r="9999">
      <c r="H9999" s="8" t="s">
        <v>364</v>
      </c>
    </row>
    <row r="10000">
      <c r="H10000" s="8" t="s">
        <v>364</v>
      </c>
    </row>
    <row r="10001">
      <c r="H10001" s="8" t="s">
        <v>364</v>
      </c>
    </row>
    <row r="10002">
      <c r="H10002" s="8" t="s">
        <v>364</v>
      </c>
    </row>
    <row r="10003">
      <c r="H10003" s="8" t="s">
        <v>364</v>
      </c>
    </row>
    <row r="10004">
      <c r="H10004" s="8" t="s">
        <v>364</v>
      </c>
    </row>
    <row r="10005">
      <c r="H10005" s="8" t="s">
        <v>364</v>
      </c>
    </row>
    <row r="10006">
      <c r="H10006" s="8" t="s">
        <v>364</v>
      </c>
    </row>
    <row r="10007">
      <c r="H10007" s="8" t="s">
        <v>364</v>
      </c>
    </row>
    <row r="10008">
      <c r="H10008" s="8" t="s">
        <v>364</v>
      </c>
    </row>
    <row r="10009">
      <c r="H10009" s="8" t="s">
        <v>364</v>
      </c>
    </row>
    <row r="10010">
      <c r="H10010" s="8" t="s">
        <v>364</v>
      </c>
    </row>
    <row r="10011">
      <c r="H10011" s="8" t="s">
        <v>364</v>
      </c>
    </row>
    <row r="10012">
      <c r="H10012" s="8" t="s">
        <v>364</v>
      </c>
    </row>
    <row r="10013">
      <c r="H10013" s="8" t="s">
        <v>364</v>
      </c>
    </row>
    <row r="10014">
      <c r="H10014" s="8" t="s">
        <v>364</v>
      </c>
    </row>
    <row r="10015">
      <c r="H10015" s="8" t="s">
        <v>364</v>
      </c>
    </row>
    <row r="10016">
      <c r="H10016" s="8" t="s">
        <v>364</v>
      </c>
    </row>
    <row r="10017">
      <c r="H10017" s="8" t="s">
        <v>364</v>
      </c>
    </row>
    <row r="10018">
      <c r="H10018" s="8" t="s">
        <v>364</v>
      </c>
    </row>
    <row r="10019">
      <c r="H10019" s="8" t="s">
        <v>364</v>
      </c>
    </row>
    <row r="10020">
      <c r="H10020" s="8" t="s">
        <v>364</v>
      </c>
    </row>
    <row r="10021">
      <c r="H10021" s="8" t="s">
        <v>364</v>
      </c>
    </row>
    <row r="10022">
      <c r="H10022" s="8" t="s">
        <v>364</v>
      </c>
    </row>
    <row r="10023">
      <c r="H10023" s="8" t="s">
        <v>364</v>
      </c>
    </row>
    <row r="10024">
      <c r="H10024" s="8" t="s">
        <v>364</v>
      </c>
    </row>
    <row r="10025">
      <c r="H10025" s="8" t="s">
        <v>364</v>
      </c>
    </row>
    <row r="10026">
      <c r="H10026" s="8" t="s">
        <v>364</v>
      </c>
    </row>
    <row r="10027">
      <c r="H10027" s="8" t="s">
        <v>364</v>
      </c>
    </row>
    <row r="10028">
      <c r="H10028" s="8" t="s">
        <v>364</v>
      </c>
    </row>
    <row r="10029">
      <c r="H10029" s="8" t="s">
        <v>364</v>
      </c>
    </row>
    <row r="10030">
      <c r="H10030" s="8" t="s">
        <v>364</v>
      </c>
    </row>
    <row r="10031">
      <c r="H10031" s="8" t="s">
        <v>364</v>
      </c>
    </row>
    <row r="10032">
      <c r="H10032" s="8" t="s">
        <v>364</v>
      </c>
    </row>
    <row r="10033">
      <c r="H10033" s="8" t="s">
        <v>364</v>
      </c>
    </row>
    <row r="10034">
      <c r="H10034" s="8" t="s">
        <v>364</v>
      </c>
    </row>
    <row r="10035">
      <c r="H10035" s="8" t="s">
        <v>364</v>
      </c>
    </row>
    <row r="10036">
      <c r="H10036" s="8" t="s">
        <v>364</v>
      </c>
    </row>
    <row r="10037">
      <c r="H10037" s="8" t="s">
        <v>364</v>
      </c>
    </row>
    <row r="10038">
      <c r="H10038" s="8" t="s">
        <v>364</v>
      </c>
    </row>
    <row r="10039">
      <c r="H10039" s="8" t="s">
        <v>364</v>
      </c>
    </row>
    <row r="10040">
      <c r="H10040" s="8" t="s">
        <v>364</v>
      </c>
    </row>
    <row r="10041">
      <c r="H10041" s="8" t="s">
        <v>364</v>
      </c>
    </row>
    <row r="10042">
      <c r="H10042" s="8" t="s">
        <v>364</v>
      </c>
    </row>
    <row r="10043">
      <c r="H10043" s="8" t="s">
        <v>364</v>
      </c>
    </row>
    <row r="10044">
      <c r="H10044" s="8" t="s">
        <v>364</v>
      </c>
    </row>
    <row r="10045">
      <c r="H10045" s="8" t="s">
        <v>364</v>
      </c>
    </row>
    <row r="10046">
      <c r="H10046" s="8" t="s">
        <v>364</v>
      </c>
    </row>
    <row r="10047">
      <c r="H10047" s="8" t="s">
        <v>364</v>
      </c>
    </row>
    <row r="10048">
      <c r="H10048" s="8" t="s">
        <v>364</v>
      </c>
    </row>
    <row r="10049">
      <c r="H10049" s="8" t="s">
        <v>364</v>
      </c>
    </row>
    <row r="10050">
      <c r="H10050" s="8" t="s">
        <v>364</v>
      </c>
    </row>
    <row r="10051">
      <c r="H10051" s="8" t="s">
        <v>364</v>
      </c>
    </row>
    <row r="10052">
      <c r="H10052" s="8" t="s">
        <v>364</v>
      </c>
    </row>
    <row r="10053">
      <c r="H10053" s="8" t="s">
        <v>364</v>
      </c>
    </row>
    <row r="10054">
      <c r="H10054" s="8" t="s">
        <v>364</v>
      </c>
    </row>
    <row r="10055">
      <c r="H10055" s="8" t="s">
        <v>364</v>
      </c>
    </row>
    <row r="10056">
      <c r="H10056" s="8" t="s">
        <v>364</v>
      </c>
    </row>
    <row r="10057">
      <c r="H10057" s="8" t="s">
        <v>364</v>
      </c>
    </row>
    <row r="10058">
      <c r="H10058" s="8" t="s">
        <v>364</v>
      </c>
    </row>
    <row r="10059">
      <c r="H10059" s="8" t="s">
        <v>364</v>
      </c>
    </row>
    <row r="10060">
      <c r="H10060" s="8" t="s">
        <v>364</v>
      </c>
    </row>
    <row r="10061">
      <c r="H10061" s="8" t="s">
        <v>364</v>
      </c>
    </row>
    <row r="10062">
      <c r="H10062" s="8" t="s">
        <v>364</v>
      </c>
    </row>
    <row r="10063">
      <c r="H10063" s="8" t="s">
        <v>364</v>
      </c>
    </row>
    <row r="10064">
      <c r="H10064" s="8" t="s">
        <v>364</v>
      </c>
    </row>
    <row r="10065">
      <c r="H10065" s="8" t="s">
        <v>364</v>
      </c>
    </row>
    <row r="10066">
      <c r="H10066" s="8" t="s">
        <v>364</v>
      </c>
    </row>
    <row r="10067">
      <c r="H10067" s="8" t="s">
        <v>364</v>
      </c>
    </row>
    <row r="10068">
      <c r="H10068" s="8" t="s">
        <v>364</v>
      </c>
    </row>
    <row r="10069">
      <c r="H10069" s="8" t="s">
        <v>364</v>
      </c>
    </row>
    <row r="10070">
      <c r="H10070" s="8" t="s">
        <v>364</v>
      </c>
    </row>
    <row r="10071">
      <c r="H10071" s="8" t="s">
        <v>364</v>
      </c>
    </row>
    <row r="10072">
      <c r="H10072" s="8" t="s">
        <v>364</v>
      </c>
    </row>
    <row r="10073">
      <c r="H10073" s="8" t="s">
        <v>364</v>
      </c>
    </row>
    <row r="10074">
      <c r="H10074" s="8" t="s">
        <v>364</v>
      </c>
    </row>
    <row r="10075">
      <c r="H10075" s="8" t="s">
        <v>364</v>
      </c>
    </row>
    <row r="10076">
      <c r="H10076" s="8" t="s">
        <v>364</v>
      </c>
    </row>
    <row r="10077">
      <c r="H10077" s="8" t="s">
        <v>364</v>
      </c>
    </row>
    <row r="10078">
      <c r="H10078" s="8" t="s">
        <v>364</v>
      </c>
    </row>
    <row r="10079">
      <c r="H10079" s="8" t="s">
        <v>364</v>
      </c>
    </row>
    <row r="10080">
      <c r="H10080" s="8" t="s">
        <v>364</v>
      </c>
    </row>
    <row r="10081">
      <c r="H10081" s="8" t="s">
        <v>364</v>
      </c>
    </row>
    <row r="10082">
      <c r="H10082" s="8" t="s">
        <v>364</v>
      </c>
    </row>
    <row r="10083">
      <c r="H10083" s="8" t="s">
        <v>364</v>
      </c>
    </row>
    <row r="10084">
      <c r="H10084" s="8" t="s">
        <v>364</v>
      </c>
    </row>
    <row r="10085">
      <c r="H10085" s="8" t="s">
        <v>364</v>
      </c>
    </row>
    <row r="10086">
      <c r="H10086" s="8" t="s">
        <v>364</v>
      </c>
    </row>
    <row r="10087">
      <c r="H10087" s="8" t="s">
        <v>364</v>
      </c>
    </row>
    <row r="10088">
      <c r="H10088" s="8" t="s">
        <v>364</v>
      </c>
    </row>
    <row r="10089">
      <c r="H10089" s="8" t="s">
        <v>364</v>
      </c>
    </row>
    <row r="10090">
      <c r="H10090" s="8" t="s">
        <v>364</v>
      </c>
    </row>
    <row r="10091">
      <c r="H10091" s="8" t="s">
        <v>364</v>
      </c>
    </row>
    <row r="10092">
      <c r="H10092" s="8" t="s">
        <v>364</v>
      </c>
    </row>
    <row r="10093">
      <c r="H10093" s="8" t="s">
        <v>364</v>
      </c>
    </row>
    <row r="10094">
      <c r="H10094" s="8" t="s">
        <v>364</v>
      </c>
    </row>
    <row r="10095">
      <c r="H10095" s="8" t="s">
        <v>364</v>
      </c>
    </row>
    <row r="10096">
      <c r="H10096" s="8" t="s">
        <v>364</v>
      </c>
    </row>
    <row r="10097">
      <c r="H10097" s="8" t="s">
        <v>364</v>
      </c>
    </row>
    <row r="10098">
      <c r="H10098" s="8" t="s">
        <v>364</v>
      </c>
    </row>
    <row r="10099">
      <c r="H10099" s="8" t="s">
        <v>364</v>
      </c>
    </row>
    <row r="10100">
      <c r="H10100" s="8" t="s">
        <v>364</v>
      </c>
    </row>
    <row r="10101">
      <c r="H10101" s="8" t="s">
        <v>364</v>
      </c>
    </row>
    <row r="10102">
      <c r="H10102" s="8" t="s">
        <v>364</v>
      </c>
    </row>
    <row r="10103">
      <c r="H10103" s="8" t="s">
        <v>364</v>
      </c>
    </row>
    <row r="10104">
      <c r="H10104" s="8" t="s">
        <v>364</v>
      </c>
    </row>
    <row r="10105">
      <c r="H10105" s="8" t="s">
        <v>364</v>
      </c>
    </row>
    <row r="10106">
      <c r="H10106" s="8" t="s">
        <v>364</v>
      </c>
    </row>
    <row r="10107">
      <c r="H10107" s="8" t="s">
        <v>364</v>
      </c>
    </row>
    <row r="10108">
      <c r="H10108" s="8" t="s">
        <v>364</v>
      </c>
    </row>
    <row r="10109">
      <c r="H10109" s="8" t="s">
        <v>364</v>
      </c>
    </row>
    <row r="10110">
      <c r="H10110" s="8" t="s">
        <v>364</v>
      </c>
    </row>
    <row r="10111">
      <c r="H10111" s="8" t="s">
        <v>364</v>
      </c>
    </row>
    <row r="10112">
      <c r="H10112" s="8" t="s">
        <v>364</v>
      </c>
    </row>
    <row r="10113">
      <c r="H10113" s="8" t="s">
        <v>364</v>
      </c>
    </row>
    <row r="10114">
      <c r="H10114" s="8" t="s">
        <v>364</v>
      </c>
    </row>
    <row r="10115">
      <c r="H10115" s="8" t="s">
        <v>364</v>
      </c>
    </row>
    <row r="10116">
      <c r="H10116" s="8" t="s">
        <v>364</v>
      </c>
    </row>
    <row r="10117">
      <c r="H10117" s="8" t="s">
        <v>364</v>
      </c>
    </row>
    <row r="10118">
      <c r="H10118" s="8" t="s">
        <v>364</v>
      </c>
    </row>
    <row r="10119">
      <c r="H10119" s="8" t="s">
        <v>364</v>
      </c>
    </row>
    <row r="10120">
      <c r="H10120" s="8" t="s">
        <v>364</v>
      </c>
    </row>
    <row r="10121">
      <c r="H10121" s="8" t="s">
        <v>364</v>
      </c>
    </row>
    <row r="10122">
      <c r="H10122" s="8" t="s">
        <v>364</v>
      </c>
    </row>
    <row r="10123">
      <c r="H10123" s="8" t="s">
        <v>364</v>
      </c>
    </row>
    <row r="10124">
      <c r="H10124" s="8" t="s">
        <v>364</v>
      </c>
    </row>
    <row r="10125">
      <c r="H10125" s="8" t="s">
        <v>364</v>
      </c>
    </row>
    <row r="10126">
      <c r="H10126" s="8" t="s">
        <v>364</v>
      </c>
    </row>
    <row r="10127">
      <c r="H10127" s="8" t="s">
        <v>364</v>
      </c>
    </row>
    <row r="10128">
      <c r="H10128" s="8" t="s">
        <v>364</v>
      </c>
    </row>
    <row r="10129">
      <c r="H10129" s="8" t="s">
        <v>364</v>
      </c>
    </row>
    <row r="10130">
      <c r="H10130" s="8" t="s">
        <v>364</v>
      </c>
    </row>
    <row r="10131">
      <c r="H10131" s="8" t="s">
        <v>364</v>
      </c>
    </row>
    <row r="10132">
      <c r="H10132" s="8" t="s">
        <v>364</v>
      </c>
    </row>
    <row r="10133">
      <c r="H10133" s="8" t="s">
        <v>364</v>
      </c>
    </row>
    <row r="10134">
      <c r="H10134" s="8" t="s">
        <v>364</v>
      </c>
    </row>
    <row r="10135">
      <c r="H10135" s="8" t="s">
        <v>364</v>
      </c>
    </row>
    <row r="10136">
      <c r="H10136" s="8" t="s">
        <v>364</v>
      </c>
    </row>
    <row r="10137">
      <c r="H10137" s="8" t="s">
        <v>364</v>
      </c>
    </row>
    <row r="10138">
      <c r="H10138" s="8" t="s">
        <v>364</v>
      </c>
    </row>
    <row r="10139">
      <c r="H10139" s="8" t="s">
        <v>364</v>
      </c>
    </row>
    <row r="10140">
      <c r="H10140" s="8" t="s">
        <v>364</v>
      </c>
    </row>
    <row r="10141">
      <c r="H10141" s="8" t="s">
        <v>364</v>
      </c>
    </row>
    <row r="10142">
      <c r="H10142" s="8" t="s">
        <v>364</v>
      </c>
    </row>
    <row r="10143">
      <c r="H10143" s="8" t="s">
        <v>364</v>
      </c>
    </row>
    <row r="10144">
      <c r="H10144" s="8" t="s">
        <v>364</v>
      </c>
    </row>
    <row r="10145">
      <c r="H10145" s="8" t="s">
        <v>364</v>
      </c>
    </row>
    <row r="10146">
      <c r="H10146" s="8" t="s">
        <v>364</v>
      </c>
    </row>
    <row r="10147">
      <c r="H10147" s="8" t="s">
        <v>364</v>
      </c>
    </row>
    <row r="10148">
      <c r="H10148" s="8" t="s">
        <v>364</v>
      </c>
    </row>
    <row r="10149">
      <c r="H10149" s="8" t="s">
        <v>364</v>
      </c>
    </row>
    <row r="10150">
      <c r="H10150" s="8" t="s">
        <v>364</v>
      </c>
    </row>
    <row r="10151">
      <c r="H10151" s="8" t="s">
        <v>364</v>
      </c>
    </row>
    <row r="10152">
      <c r="H10152" s="8" t="s">
        <v>364</v>
      </c>
    </row>
    <row r="10153">
      <c r="H10153" s="8" t="s">
        <v>364</v>
      </c>
    </row>
    <row r="10154">
      <c r="H10154" s="8" t="s">
        <v>364</v>
      </c>
    </row>
    <row r="10155">
      <c r="H10155" s="8" t="s">
        <v>364</v>
      </c>
    </row>
    <row r="10156">
      <c r="H10156" s="8" t="s">
        <v>364</v>
      </c>
    </row>
    <row r="10157">
      <c r="H10157" s="8" t="s">
        <v>364</v>
      </c>
    </row>
    <row r="10158">
      <c r="H10158" s="8" t="s">
        <v>364</v>
      </c>
    </row>
    <row r="10159">
      <c r="H10159" s="8" t="s">
        <v>364</v>
      </c>
    </row>
    <row r="10160">
      <c r="H10160" s="8" t="s">
        <v>364</v>
      </c>
    </row>
    <row r="10161">
      <c r="H10161" s="8" t="s">
        <v>364</v>
      </c>
    </row>
    <row r="10162">
      <c r="H10162" s="8" t="s">
        <v>364</v>
      </c>
    </row>
    <row r="10163">
      <c r="H10163" s="8" t="s">
        <v>364</v>
      </c>
    </row>
    <row r="10164">
      <c r="H10164" s="8" t="s">
        <v>364</v>
      </c>
    </row>
    <row r="10165">
      <c r="H10165" s="8" t="s">
        <v>364</v>
      </c>
    </row>
    <row r="10166">
      <c r="H10166" s="8" t="s">
        <v>364</v>
      </c>
    </row>
    <row r="10167">
      <c r="H10167" s="8" t="s">
        <v>364</v>
      </c>
    </row>
    <row r="10168">
      <c r="H10168" s="8" t="s">
        <v>364</v>
      </c>
    </row>
    <row r="10169">
      <c r="H10169" s="8" t="s">
        <v>364</v>
      </c>
    </row>
    <row r="10170">
      <c r="H10170" s="8" t="s">
        <v>364</v>
      </c>
    </row>
    <row r="10171">
      <c r="H10171" s="8" t="s">
        <v>364</v>
      </c>
    </row>
    <row r="10172">
      <c r="H10172" s="8" t="s">
        <v>364</v>
      </c>
    </row>
    <row r="10173">
      <c r="H10173" s="8" t="s">
        <v>364</v>
      </c>
    </row>
    <row r="10174">
      <c r="H10174" s="8" t="s">
        <v>364</v>
      </c>
    </row>
    <row r="10175">
      <c r="H10175" s="8" t="s">
        <v>364</v>
      </c>
    </row>
    <row r="10176">
      <c r="H10176" s="8" t="s">
        <v>364</v>
      </c>
    </row>
    <row r="10177">
      <c r="H10177" s="8" t="s">
        <v>364</v>
      </c>
    </row>
    <row r="10178">
      <c r="H10178" s="8" t="s">
        <v>364</v>
      </c>
    </row>
    <row r="10179">
      <c r="H10179" s="8" t="s">
        <v>364</v>
      </c>
    </row>
    <row r="10180">
      <c r="H10180" s="8" t="s">
        <v>364</v>
      </c>
    </row>
    <row r="10181">
      <c r="H10181" s="8" t="s">
        <v>364</v>
      </c>
    </row>
    <row r="10182">
      <c r="H10182" s="8" t="s">
        <v>364</v>
      </c>
    </row>
    <row r="10183">
      <c r="H10183" s="8" t="s">
        <v>364</v>
      </c>
    </row>
    <row r="10184">
      <c r="H10184" s="8" t="s">
        <v>364</v>
      </c>
    </row>
    <row r="10185">
      <c r="H10185" s="8" t="s">
        <v>364</v>
      </c>
    </row>
    <row r="10186">
      <c r="H10186" s="8" t="s">
        <v>364</v>
      </c>
    </row>
    <row r="10187">
      <c r="H10187" s="8" t="s">
        <v>364</v>
      </c>
    </row>
    <row r="10188">
      <c r="H10188" s="8" t="s">
        <v>364</v>
      </c>
    </row>
    <row r="10189">
      <c r="H10189" s="8" t="s">
        <v>364</v>
      </c>
    </row>
    <row r="10190">
      <c r="H10190" s="8" t="s">
        <v>364</v>
      </c>
    </row>
    <row r="10191">
      <c r="H10191" s="8" t="s">
        <v>364</v>
      </c>
    </row>
    <row r="10192">
      <c r="H10192" s="8" t="s">
        <v>364</v>
      </c>
    </row>
    <row r="10193">
      <c r="H10193" s="8" t="s">
        <v>364</v>
      </c>
    </row>
    <row r="10194">
      <c r="H10194" s="8" t="s">
        <v>364</v>
      </c>
    </row>
    <row r="10195">
      <c r="H10195" s="8" t="s">
        <v>364</v>
      </c>
    </row>
    <row r="10196">
      <c r="H10196" s="8" t="s">
        <v>364</v>
      </c>
    </row>
    <row r="10197">
      <c r="H10197" s="8" t="s">
        <v>364</v>
      </c>
    </row>
    <row r="10198">
      <c r="H10198" s="8" t="s">
        <v>364</v>
      </c>
    </row>
    <row r="10199">
      <c r="H10199" s="8" t="s">
        <v>364</v>
      </c>
    </row>
    <row r="10200">
      <c r="H10200" s="8" t="s">
        <v>364</v>
      </c>
    </row>
    <row r="10201">
      <c r="H10201" s="8" t="s">
        <v>364</v>
      </c>
    </row>
    <row r="10202">
      <c r="H10202" s="8" t="s">
        <v>364</v>
      </c>
    </row>
    <row r="10203">
      <c r="H10203" s="8" t="s">
        <v>364</v>
      </c>
    </row>
    <row r="10204">
      <c r="H10204" s="8" t="s">
        <v>364</v>
      </c>
    </row>
    <row r="10205">
      <c r="H10205" s="8" t="s">
        <v>364</v>
      </c>
    </row>
    <row r="10206">
      <c r="H10206" s="8" t="s">
        <v>364</v>
      </c>
    </row>
    <row r="10207">
      <c r="H10207" s="8" t="s">
        <v>364</v>
      </c>
    </row>
    <row r="10208">
      <c r="H10208" s="8" t="s">
        <v>364</v>
      </c>
    </row>
    <row r="10209">
      <c r="H10209" s="8" t="s">
        <v>364</v>
      </c>
    </row>
    <row r="10210">
      <c r="H10210" s="8" t="s">
        <v>364</v>
      </c>
    </row>
    <row r="10211">
      <c r="H10211" s="8" t="s">
        <v>364</v>
      </c>
    </row>
    <row r="10212">
      <c r="H10212" s="8" t="s">
        <v>364</v>
      </c>
    </row>
    <row r="10213">
      <c r="H10213" s="8" t="s">
        <v>364</v>
      </c>
    </row>
    <row r="10214">
      <c r="H10214" s="8" t="s">
        <v>364</v>
      </c>
    </row>
    <row r="10215">
      <c r="H10215" s="8" t="s">
        <v>364</v>
      </c>
    </row>
    <row r="10216">
      <c r="H10216" s="8" t="s">
        <v>364</v>
      </c>
    </row>
    <row r="10217">
      <c r="H10217" s="8" t="s">
        <v>364</v>
      </c>
    </row>
    <row r="10218">
      <c r="H10218" s="8" t="s">
        <v>364</v>
      </c>
    </row>
    <row r="10219">
      <c r="H10219" s="8" t="s">
        <v>364</v>
      </c>
    </row>
    <row r="10220">
      <c r="H10220" s="8" t="s">
        <v>364</v>
      </c>
    </row>
    <row r="10221">
      <c r="H10221" s="8" t="s">
        <v>364</v>
      </c>
    </row>
    <row r="10222">
      <c r="H10222" s="8" t="s">
        <v>364</v>
      </c>
    </row>
    <row r="10223">
      <c r="H10223" s="8" t="s">
        <v>364</v>
      </c>
    </row>
    <row r="10224">
      <c r="H10224" s="8" t="s">
        <v>364</v>
      </c>
    </row>
    <row r="10225">
      <c r="H10225" s="8" t="s">
        <v>364</v>
      </c>
    </row>
    <row r="10226">
      <c r="H10226" s="8" t="s">
        <v>364</v>
      </c>
    </row>
    <row r="10227">
      <c r="H10227" s="8" t="s">
        <v>364</v>
      </c>
    </row>
    <row r="10228">
      <c r="H10228" s="8" t="s">
        <v>364</v>
      </c>
    </row>
    <row r="10229">
      <c r="H10229" s="8" t="s">
        <v>364</v>
      </c>
    </row>
    <row r="10230">
      <c r="H10230" s="8" t="s">
        <v>364</v>
      </c>
    </row>
    <row r="10231">
      <c r="H10231" s="8" t="s">
        <v>364</v>
      </c>
    </row>
    <row r="10232">
      <c r="H10232" s="8" t="s">
        <v>364</v>
      </c>
    </row>
    <row r="10233">
      <c r="H10233" s="8" t="s">
        <v>364</v>
      </c>
    </row>
    <row r="10234">
      <c r="H10234" s="8" t="s">
        <v>364</v>
      </c>
    </row>
    <row r="10235">
      <c r="H10235" s="8" t="s">
        <v>364</v>
      </c>
    </row>
    <row r="10236">
      <c r="H10236" s="8" t="s">
        <v>364</v>
      </c>
    </row>
    <row r="10237">
      <c r="H10237" s="8" t="s">
        <v>364</v>
      </c>
    </row>
    <row r="10238">
      <c r="H10238" s="8" t="s">
        <v>364</v>
      </c>
    </row>
    <row r="10239">
      <c r="H10239" s="8" t="s">
        <v>364</v>
      </c>
    </row>
    <row r="10240">
      <c r="H10240" s="8" t="s">
        <v>364</v>
      </c>
    </row>
    <row r="10241">
      <c r="H10241" s="8" t="s">
        <v>364</v>
      </c>
    </row>
    <row r="10242">
      <c r="H10242" s="8" t="s">
        <v>364</v>
      </c>
    </row>
    <row r="10243">
      <c r="H10243" s="8" t="s">
        <v>364</v>
      </c>
    </row>
    <row r="10244">
      <c r="H10244" s="8" t="s">
        <v>364</v>
      </c>
    </row>
    <row r="10245">
      <c r="H10245" s="8" t="s">
        <v>364</v>
      </c>
    </row>
    <row r="10246">
      <c r="H10246" s="8" t="s">
        <v>364</v>
      </c>
    </row>
    <row r="10247">
      <c r="H10247" s="8" t="s">
        <v>364</v>
      </c>
    </row>
    <row r="10248">
      <c r="H10248" s="8" t="s">
        <v>364</v>
      </c>
    </row>
    <row r="10249">
      <c r="H10249" s="8" t="s">
        <v>364</v>
      </c>
    </row>
    <row r="10250">
      <c r="H10250" s="8" t="s">
        <v>364</v>
      </c>
    </row>
    <row r="10251">
      <c r="H10251" s="8" t="s">
        <v>364</v>
      </c>
    </row>
    <row r="10252">
      <c r="H10252" s="8" t="s">
        <v>364</v>
      </c>
    </row>
    <row r="10253">
      <c r="H10253" s="8" t="s">
        <v>364</v>
      </c>
    </row>
    <row r="10254">
      <c r="H10254" s="8" t="s">
        <v>364</v>
      </c>
    </row>
    <row r="10255">
      <c r="H10255" s="8" t="s">
        <v>364</v>
      </c>
    </row>
    <row r="10256">
      <c r="H10256" s="8" t="s">
        <v>364</v>
      </c>
    </row>
    <row r="10257">
      <c r="H10257" s="8" t="s">
        <v>364</v>
      </c>
    </row>
    <row r="10258">
      <c r="H10258" s="8" t="s">
        <v>364</v>
      </c>
    </row>
    <row r="10259">
      <c r="H10259" s="8" t="s">
        <v>364</v>
      </c>
    </row>
    <row r="10260">
      <c r="H10260" s="8" t="s">
        <v>364</v>
      </c>
    </row>
    <row r="10261">
      <c r="H10261" s="8" t="s">
        <v>364</v>
      </c>
    </row>
    <row r="10262">
      <c r="H10262" s="8" t="s">
        <v>364</v>
      </c>
    </row>
    <row r="10263">
      <c r="H10263" s="8" t="s">
        <v>364</v>
      </c>
    </row>
    <row r="10264">
      <c r="H10264" s="8" t="s">
        <v>364</v>
      </c>
    </row>
    <row r="10265">
      <c r="H10265" s="8" t="s">
        <v>364</v>
      </c>
    </row>
    <row r="10266">
      <c r="H10266" s="8" t="s">
        <v>364</v>
      </c>
    </row>
    <row r="10267">
      <c r="H10267" s="8" t="s">
        <v>364</v>
      </c>
    </row>
    <row r="10268">
      <c r="H10268" s="8" t="s">
        <v>364</v>
      </c>
    </row>
    <row r="10269">
      <c r="H10269" s="8" t="s">
        <v>364</v>
      </c>
    </row>
    <row r="10270">
      <c r="H10270" s="8" t="s">
        <v>364</v>
      </c>
    </row>
    <row r="10271">
      <c r="H10271" s="8" t="s">
        <v>364</v>
      </c>
    </row>
    <row r="10272">
      <c r="H10272" s="8" t="s">
        <v>364</v>
      </c>
    </row>
    <row r="10273">
      <c r="H10273" s="8" t="s">
        <v>364</v>
      </c>
    </row>
    <row r="10274">
      <c r="H10274" s="8" t="s">
        <v>364</v>
      </c>
    </row>
    <row r="10275">
      <c r="H10275" s="8" t="s">
        <v>364</v>
      </c>
    </row>
    <row r="10276">
      <c r="H10276" s="8" t="s">
        <v>364</v>
      </c>
    </row>
    <row r="10277">
      <c r="H10277" s="8" t="s">
        <v>364</v>
      </c>
    </row>
    <row r="10278">
      <c r="H10278" s="8" t="s">
        <v>364</v>
      </c>
    </row>
    <row r="10279">
      <c r="H10279" s="8" t="s">
        <v>364</v>
      </c>
    </row>
    <row r="10280">
      <c r="H10280" s="8" t="s">
        <v>364</v>
      </c>
    </row>
    <row r="10281">
      <c r="H10281" s="8" t="s">
        <v>364</v>
      </c>
    </row>
    <row r="10282">
      <c r="H10282" s="8" t="s">
        <v>364</v>
      </c>
    </row>
    <row r="10283">
      <c r="H10283" s="8" t="s">
        <v>364</v>
      </c>
    </row>
    <row r="10284">
      <c r="H10284" s="8" t="s">
        <v>364</v>
      </c>
    </row>
    <row r="10285">
      <c r="H10285" s="8" t="s">
        <v>364</v>
      </c>
    </row>
    <row r="10286">
      <c r="H10286" s="8" t="s">
        <v>364</v>
      </c>
    </row>
    <row r="10287">
      <c r="H10287" s="8" t="s">
        <v>364</v>
      </c>
    </row>
    <row r="10288">
      <c r="H10288" s="8" t="s">
        <v>364</v>
      </c>
    </row>
    <row r="10289">
      <c r="H10289" s="8" t="s">
        <v>364</v>
      </c>
    </row>
    <row r="10290">
      <c r="H10290" s="8" t="s">
        <v>364</v>
      </c>
    </row>
    <row r="10291">
      <c r="H10291" s="8" t="s">
        <v>364</v>
      </c>
    </row>
    <row r="10292">
      <c r="H10292" s="8" t="s">
        <v>364</v>
      </c>
    </row>
    <row r="10293">
      <c r="H10293" s="8" t="s">
        <v>364</v>
      </c>
    </row>
    <row r="10294">
      <c r="H10294" s="8" t="s">
        <v>364</v>
      </c>
    </row>
    <row r="10295">
      <c r="H10295" s="8" t="s">
        <v>364</v>
      </c>
    </row>
    <row r="10296">
      <c r="H10296" s="8" t="s">
        <v>364</v>
      </c>
    </row>
    <row r="10297">
      <c r="H10297" s="8" t="s">
        <v>364</v>
      </c>
    </row>
    <row r="10298">
      <c r="H10298" s="8" t="s">
        <v>364</v>
      </c>
    </row>
    <row r="10299">
      <c r="H10299" s="8" t="s">
        <v>364</v>
      </c>
    </row>
    <row r="10300">
      <c r="H10300" s="8" t="s">
        <v>364</v>
      </c>
    </row>
    <row r="10301">
      <c r="H10301" s="8" t="s">
        <v>364</v>
      </c>
    </row>
    <row r="10302">
      <c r="H10302" s="8" t="s">
        <v>364</v>
      </c>
    </row>
    <row r="10303">
      <c r="H10303" s="8" t="s">
        <v>364</v>
      </c>
    </row>
    <row r="10304">
      <c r="H10304" s="8" t="s">
        <v>364</v>
      </c>
    </row>
    <row r="10305">
      <c r="H10305" s="8" t="s">
        <v>364</v>
      </c>
    </row>
    <row r="10306">
      <c r="H10306" s="8" t="s">
        <v>364</v>
      </c>
    </row>
    <row r="10307">
      <c r="H10307" s="8" t="s">
        <v>364</v>
      </c>
    </row>
    <row r="10308">
      <c r="H10308" s="8" t="s">
        <v>364</v>
      </c>
    </row>
    <row r="10309">
      <c r="H10309" s="8" t="s">
        <v>364</v>
      </c>
    </row>
    <row r="10310">
      <c r="H10310" s="8" t="s">
        <v>364</v>
      </c>
    </row>
    <row r="10311">
      <c r="H10311" s="8" t="s">
        <v>364</v>
      </c>
    </row>
    <row r="10312">
      <c r="H10312" s="8" t="s">
        <v>364</v>
      </c>
    </row>
    <row r="10313">
      <c r="H10313" s="8" t="s">
        <v>364</v>
      </c>
    </row>
    <row r="10314">
      <c r="H10314" s="8" t="s">
        <v>364</v>
      </c>
    </row>
    <row r="10315">
      <c r="H10315" s="8" t="s">
        <v>364</v>
      </c>
    </row>
    <row r="10316">
      <c r="H10316" s="8" t="s">
        <v>364</v>
      </c>
    </row>
    <row r="10317">
      <c r="H10317" s="8" t="s">
        <v>364</v>
      </c>
    </row>
    <row r="10318">
      <c r="H10318" s="8" t="s">
        <v>364</v>
      </c>
    </row>
    <row r="10319">
      <c r="H10319" s="8" t="s">
        <v>364</v>
      </c>
    </row>
    <row r="10320">
      <c r="H10320" s="8" t="s">
        <v>364</v>
      </c>
    </row>
    <row r="10321">
      <c r="H10321" s="8" t="s">
        <v>364</v>
      </c>
    </row>
    <row r="10322">
      <c r="H10322" s="8" t="s">
        <v>364</v>
      </c>
    </row>
    <row r="10323">
      <c r="H10323" s="8" t="s">
        <v>364</v>
      </c>
    </row>
    <row r="10324">
      <c r="H10324" s="8" t="s">
        <v>364</v>
      </c>
    </row>
    <row r="10325">
      <c r="H10325" s="8" t="s">
        <v>364</v>
      </c>
    </row>
    <row r="10326">
      <c r="H10326" s="8" t="s">
        <v>364</v>
      </c>
    </row>
    <row r="10327">
      <c r="H10327" s="8" t="s">
        <v>364</v>
      </c>
    </row>
    <row r="10328">
      <c r="H10328" s="8" t="s">
        <v>364</v>
      </c>
    </row>
    <row r="10329">
      <c r="H10329" s="8" t="s">
        <v>364</v>
      </c>
    </row>
    <row r="10330">
      <c r="H10330" s="8" t="s">
        <v>364</v>
      </c>
    </row>
    <row r="10331">
      <c r="H10331" s="8" t="s">
        <v>364</v>
      </c>
    </row>
    <row r="10332">
      <c r="H10332" s="8" t="s">
        <v>364</v>
      </c>
    </row>
    <row r="10333">
      <c r="H10333" s="8" t="s">
        <v>364</v>
      </c>
    </row>
    <row r="10334">
      <c r="H10334" s="8" t="s">
        <v>364</v>
      </c>
    </row>
    <row r="10335">
      <c r="H10335" s="8" t="s">
        <v>364</v>
      </c>
    </row>
    <row r="10336">
      <c r="H10336" s="8" t="s">
        <v>364</v>
      </c>
    </row>
    <row r="10337">
      <c r="H10337" s="8" t="s">
        <v>364</v>
      </c>
    </row>
    <row r="10338">
      <c r="H10338" s="8" t="s">
        <v>364</v>
      </c>
    </row>
    <row r="10339">
      <c r="H10339" s="8" t="s">
        <v>364</v>
      </c>
    </row>
    <row r="10340">
      <c r="H10340" s="8" t="s">
        <v>364</v>
      </c>
    </row>
    <row r="10341">
      <c r="H10341" s="8" t="s">
        <v>364</v>
      </c>
    </row>
    <row r="10342">
      <c r="H10342" s="8" t="s">
        <v>364</v>
      </c>
    </row>
    <row r="10343">
      <c r="H10343" s="8" t="s">
        <v>364</v>
      </c>
    </row>
    <row r="10344">
      <c r="H10344" s="8" t="s">
        <v>364</v>
      </c>
    </row>
    <row r="10345">
      <c r="H10345" s="8" t="s">
        <v>364</v>
      </c>
    </row>
    <row r="10346">
      <c r="H10346" s="8" t="s">
        <v>364</v>
      </c>
    </row>
    <row r="10347">
      <c r="H10347" s="8" t="s">
        <v>364</v>
      </c>
    </row>
    <row r="10348">
      <c r="H10348" s="8" t="s">
        <v>364</v>
      </c>
    </row>
    <row r="10349">
      <c r="H10349" s="8" t="s">
        <v>364</v>
      </c>
    </row>
    <row r="10350">
      <c r="H10350" s="8" t="s">
        <v>364</v>
      </c>
    </row>
    <row r="10351">
      <c r="H10351" s="8" t="s">
        <v>364</v>
      </c>
    </row>
    <row r="10352">
      <c r="H10352" s="8" t="s">
        <v>364</v>
      </c>
    </row>
    <row r="10353">
      <c r="H10353" s="8" t="s">
        <v>364</v>
      </c>
    </row>
    <row r="10354">
      <c r="H10354" s="8" t="s">
        <v>364</v>
      </c>
    </row>
    <row r="10355">
      <c r="H10355" s="8" t="s">
        <v>364</v>
      </c>
    </row>
    <row r="10356">
      <c r="H10356" s="8" t="s">
        <v>364</v>
      </c>
    </row>
    <row r="10357">
      <c r="H10357" s="8" t="s">
        <v>364</v>
      </c>
    </row>
    <row r="10358">
      <c r="H10358" s="8" t="s">
        <v>364</v>
      </c>
    </row>
    <row r="10359">
      <c r="H10359" s="8" t="s">
        <v>364</v>
      </c>
    </row>
    <row r="10360">
      <c r="H10360" s="8" t="s">
        <v>364</v>
      </c>
    </row>
    <row r="10361">
      <c r="H10361" s="8" t="s">
        <v>364</v>
      </c>
    </row>
    <row r="10362">
      <c r="H10362" s="8" t="s">
        <v>364</v>
      </c>
    </row>
    <row r="10363">
      <c r="H10363" s="8" t="s">
        <v>364</v>
      </c>
    </row>
    <row r="10364">
      <c r="H10364" s="8" t="s">
        <v>364</v>
      </c>
    </row>
    <row r="10365">
      <c r="H10365" s="8" t="s">
        <v>364</v>
      </c>
    </row>
    <row r="10366">
      <c r="H10366" s="8" t="s">
        <v>364</v>
      </c>
    </row>
    <row r="10367">
      <c r="H10367" s="8" t="s">
        <v>364</v>
      </c>
    </row>
    <row r="10368">
      <c r="H10368" s="8" t="s">
        <v>364</v>
      </c>
    </row>
    <row r="10369">
      <c r="H10369" s="8" t="s">
        <v>364</v>
      </c>
    </row>
    <row r="10370">
      <c r="H10370" s="8" t="s">
        <v>364</v>
      </c>
    </row>
    <row r="10371">
      <c r="H10371" s="8" t="s">
        <v>364</v>
      </c>
    </row>
    <row r="10372">
      <c r="H10372" s="8" t="s">
        <v>364</v>
      </c>
    </row>
    <row r="10373">
      <c r="H10373" s="8" t="s">
        <v>364</v>
      </c>
    </row>
    <row r="10374">
      <c r="H10374" s="8" t="s">
        <v>364</v>
      </c>
    </row>
    <row r="10375">
      <c r="H10375" s="8" t="s">
        <v>364</v>
      </c>
    </row>
    <row r="10376">
      <c r="H10376" s="8" t="s">
        <v>364</v>
      </c>
    </row>
    <row r="10377">
      <c r="H10377" s="8" t="s">
        <v>364</v>
      </c>
    </row>
    <row r="10378">
      <c r="H10378" s="8" t="s">
        <v>364</v>
      </c>
    </row>
    <row r="10379">
      <c r="H10379" s="8" t="s">
        <v>364</v>
      </c>
    </row>
    <row r="10380">
      <c r="H10380" s="8" t="s">
        <v>364</v>
      </c>
    </row>
    <row r="10381">
      <c r="H10381" s="8" t="s">
        <v>364</v>
      </c>
    </row>
    <row r="10382">
      <c r="H10382" s="8" t="s">
        <v>364</v>
      </c>
    </row>
    <row r="10383">
      <c r="H10383" s="8" t="s">
        <v>364</v>
      </c>
    </row>
    <row r="10384">
      <c r="H10384" s="8" t="s">
        <v>364</v>
      </c>
    </row>
    <row r="10385">
      <c r="H10385" s="8" t="s">
        <v>364</v>
      </c>
    </row>
    <row r="10386">
      <c r="H10386" s="8" t="s">
        <v>364</v>
      </c>
    </row>
    <row r="10387">
      <c r="H10387" s="8" t="s">
        <v>364</v>
      </c>
    </row>
    <row r="10388">
      <c r="H10388" s="8" t="s">
        <v>364</v>
      </c>
    </row>
    <row r="10389">
      <c r="H10389" s="8" t="s">
        <v>364</v>
      </c>
    </row>
    <row r="10390">
      <c r="H10390" s="8" t="s">
        <v>364</v>
      </c>
    </row>
    <row r="10391">
      <c r="H10391" s="8" t="s">
        <v>364</v>
      </c>
    </row>
    <row r="10392">
      <c r="H10392" s="8" t="s">
        <v>364</v>
      </c>
    </row>
    <row r="10393">
      <c r="H10393" s="8" t="s">
        <v>364</v>
      </c>
    </row>
    <row r="10394">
      <c r="H10394" s="8" t="s">
        <v>364</v>
      </c>
    </row>
    <row r="10395">
      <c r="H10395" s="8" t="s">
        <v>364</v>
      </c>
    </row>
    <row r="10396">
      <c r="H10396" s="8" t="s">
        <v>364</v>
      </c>
    </row>
    <row r="10397">
      <c r="H10397" s="8" t="s">
        <v>364</v>
      </c>
    </row>
    <row r="10398">
      <c r="H10398" s="8" t="s">
        <v>364</v>
      </c>
    </row>
    <row r="10399">
      <c r="H10399" s="8" t="s">
        <v>364</v>
      </c>
    </row>
    <row r="10400">
      <c r="H10400" s="8" t="s">
        <v>364</v>
      </c>
    </row>
    <row r="10401">
      <c r="H10401" s="8" t="s">
        <v>364</v>
      </c>
    </row>
    <row r="10402">
      <c r="H10402" s="8" t="s">
        <v>364</v>
      </c>
    </row>
    <row r="10403">
      <c r="H10403" s="8" t="s">
        <v>364</v>
      </c>
    </row>
    <row r="10404">
      <c r="H10404" s="8" t="s">
        <v>364</v>
      </c>
    </row>
    <row r="10405">
      <c r="H10405" s="8" t="s">
        <v>364</v>
      </c>
    </row>
    <row r="10406">
      <c r="H10406" s="8" t="s">
        <v>364</v>
      </c>
    </row>
    <row r="10407">
      <c r="H10407" s="8" t="s">
        <v>364</v>
      </c>
    </row>
    <row r="10408">
      <c r="H10408" s="8" t="s">
        <v>364</v>
      </c>
    </row>
    <row r="10409">
      <c r="H10409" s="8" t="s">
        <v>364</v>
      </c>
    </row>
    <row r="10410">
      <c r="H10410" s="8" t="s">
        <v>364</v>
      </c>
    </row>
    <row r="10411">
      <c r="H10411" s="8" t="s">
        <v>364</v>
      </c>
    </row>
    <row r="10412">
      <c r="H10412" s="8" t="s">
        <v>364</v>
      </c>
    </row>
    <row r="10413">
      <c r="H10413" s="8" t="s">
        <v>364</v>
      </c>
    </row>
    <row r="10414">
      <c r="H10414" s="8" t="s">
        <v>364</v>
      </c>
    </row>
    <row r="10415">
      <c r="H10415" s="8" t="s">
        <v>364</v>
      </c>
    </row>
    <row r="10416">
      <c r="H10416" s="8" t="s">
        <v>364</v>
      </c>
    </row>
    <row r="10417">
      <c r="H10417" s="8" t="s">
        <v>364</v>
      </c>
    </row>
    <row r="10418">
      <c r="H10418" s="8" t="s">
        <v>364</v>
      </c>
    </row>
    <row r="10419">
      <c r="H10419" s="8" t="s">
        <v>364</v>
      </c>
    </row>
    <row r="10420">
      <c r="H10420" s="8" t="s">
        <v>364</v>
      </c>
    </row>
    <row r="10421">
      <c r="H10421" s="8" t="s">
        <v>364</v>
      </c>
    </row>
    <row r="10422">
      <c r="H10422" s="8" t="s">
        <v>364</v>
      </c>
    </row>
    <row r="10423">
      <c r="H10423" s="8" t="s">
        <v>364</v>
      </c>
    </row>
    <row r="10424">
      <c r="H10424" s="8" t="s">
        <v>364</v>
      </c>
    </row>
    <row r="10425">
      <c r="H10425" s="8" t="s">
        <v>364</v>
      </c>
    </row>
    <row r="10426">
      <c r="H10426" s="8" t="s">
        <v>364</v>
      </c>
    </row>
    <row r="10427">
      <c r="H10427" s="8" t="s">
        <v>364</v>
      </c>
    </row>
    <row r="10428">
      <c r="H10428" s="8" t="s">
        <v>364</v>
      </c>
    </row>
    <row r="10429">
      <c r="H10429" s="8" t="s">
        <v>364</v>
      </c>
    </row>
    <row r="10430">
      <c r="H10430" s="8" t="s">
        <v>364</v>
      </c>
    </row>
    <row r="10431">
      <c r="H10431" s="8" t="s">
        <v>364</v>
      </c>
    </row>
    <row r="10432">
      <c r="H10432" s="8" t="s">
        <v>364</v>
      </c>
    </row>
    <row r="10433">
      <c r="H10433" s="8" t="s">
        <v>364</v>
      </c>
    </row>
    <row r="10434">
      <c r="H10434" s="8" t="s">
        <v>364</v>
      </c>
    </row>
    <row r="10435">
      <c r="H10435" s="8" t="s">
        <v>364</v>
      </c>
    </row>
    <row r="10436">
      <c r="H10436" s="8" t="s">
        <v>364</v>
      </c>
    </row>
    <row r="10437">
      <c r="H10437" s="8" t="s">
        <v>364</v>
      </c>
    </row>
    <row r="10438">
      <c r="H10438" s="8" t="s">
        <v>364</v>
      </c>
    </row>
    <row r="10439">
      <c r="H10439" s="8" t="s">
        <v>364</v>
      </c>
    </row>
    <row r="10440">
      <c r="H10440" s="8" t="s">
        <v>364</v>
      </c>
    </row>
    <row r="10441">
      <c r="H10441" s="8" t="s">
        <v>364</v>
      </c>
    </row>
    <row r="10442">
      <c r="H10442" s="8" t="s">
        <v>364</v>
      </c>
    </row>
    <row r="10443">
      <c r="H10443" s="8" t="s">
        <v>364</v>
      </c>
    </row>
    <row r="10444">
      <c r="H10444" s="8" t="s">
        <v>364</v>
      </c>
    </row>
    <row r="10445">
      <c r="H10445" s="8" t="s">
        <v>364</v>
      </c>
    </row>
    <row r="10446">
      <c r="H10446" s="8" t="s">
        <v>364</v>
      </c>
    </row>
    <row r="10447">
      <c r="H10447" s="8" t="s">
        <v>364</v>
      </c>
    </row>
    <row r="10448">
      <c r="H10448" s="8" t="s">
        <v>364</v>
      </c>
    </row>
    <row r="10449">
      <c r="H10449" s="8" t="s">
        <v>364</v>
      </c>
    </row>
    <row r="10450">
      <c r="H10450" s="8" t="s">
        <v>364</v>
      </c>
    </row>
    <row r="10451">
      <c r="H10451" s="8" t="s">
        <v>364</v>
      </c>
    </row>
    <row r="10452">
      <c r="H10452" s="8" t="s">
        <v>364</v>
      </c>
    </row>
    <row r="10453">
      <c r="H10453" s="8" t="s">
        <v>364</v>
      </c>
    </row>
    <row r="10454">
      <c r="H10454" s="8" t="s">
        <v>364</v>
      </c>
    </row>
    <row r="10455">
      <c r="H10455" s="8" t="s">
        <v>364</v>
      </c>
    </row>
    <row r="10456">
      <c r="H10456" s="8" t="s">
        <v>364</v>
      </c>
    </row>
    <row r="10457">
      <c r="H10457" s="8" t="s">
        <v>364</v>
      </c>
    </row>
    <row r="10458">
      <c r="H10458" s="8" t="s">
        <v>364</v>
      </c>
    </row>
    <row r="10459">
      <c r="H10459" s="8" t="s">
        <v>364</v>
      </c>
    </row>
    <row r="10460">
      <c r="H10460" s="8" t="s">
        <v>364</v>
      </c>
    </row>
    <row r="10461">
      <c r="H10461" s="8" t="s">
        <v>364</v>
      </c>
    </row>
    <row r="10462">
      <c r="H10462" s="8" t="s">
        <v>364</v>
      </c>
    </row>
    <row r="10463">
      <c r="H10463" s="8" t="s">
        <v>364</v>
      </c>
    </row>
    <row r="10464">
      <c r="H10464" s="8" t="s">
        <v>364</v>
      </c>
    </row>
    <row r="10465">
      <c r="H10465" s="8" t="s">
        <v>364</v>
      </c>
    </row>
    <row r="10466">
      <c r="H10466" s="8" t="s">
        <v>364</v>
      </c>
    </row>
    <row r="10467">
      <c r="H10467" s="8" t="s">
        <v>364</v>
      </c>
    </row>
    <row r="10468">
      <c r="H10468" s="8" t="s">
        <v>364</v>
      </c>
    </row>
    <row r="10469">
      <c r="H10469" s="8" t="s">
        <v>364</v>
      </c>
    </row>
    <row r="10470">
      <c r="H10470" s="8" t="s">
        <v>364</v>
      </c>
    </row>
    <row r="10471">
      <c r="H10471" s="8" t="s">
        <v>364</v>
      </c>
    </row>
    <row r="10472">
      <c r="H10472" s="8" t="s">
        <v>364</v>
      </c>
    </row>
    <row r="10473">
      <c r="H10473" s="8" t="s">
        <v>364</v>
      </c>
    </row>
    <row r="10474">
      <c r="H10474" s="8" t="s">
        <v>364</v>
      </c>
    </row>
    <row r="10475">
      <c r="H10475" s="8" t="s">
        <v>364</v>
      </c>
    </row>
    <row r="10476">
      <c r="H10476" s="8" t="s">
        <v>364</v>
      </c>
    </row>
    <row r="10477">
      <c r="H10477" s="8" t="s">
        <v>364</v>
      </c>
    </row>
    <row r="10478">
      <c r="H10478" s="8" t="s">
        <v>364</v>
      </c>
    </row>
    <row r="10479">
      <c r="H10479" s="8" t="s">
        <v>364</v>
      </c>
    </row>
    <row r="10480">
      <c r="H10480" s="8" t="s">
        <v>364</v>
      </c>
    </row>
    <row r="10481">
      <c r="H10481" s="8" t="s">
        <v>364</v>
      </c>
    </row>
    <row r="10482">
      <c r="H10482" s="8" t="s">
        <v>364</v>
      </c>
    </row>
    <row r="10483">
      <c r="H10483" s="8" t="s">
        <v>364</v>
      </c>
    </row>
    <row r="10484">
      <c r="H10484" s="8" t="s">
        <v>364</v>
      </c>
    </row>
    <row r="10485">
      <c r="H10485" s="8" t="s">
        <v>364</v>
      </c>
    </row>
    <row r="10486">
      <c r="H10486" s="8" t="s">
        <v>364</v>
      </c>
    </row>
    <row r="10487">
      <c r="H10487" s="8" t="s">
        <v>364</v>
      </c>
    </row>
    <row r="10488">
      <c r="H10488" s="8" t="s">
        <v>364</v>
      </c>
    </row>
    <row r="10489">
      <c r="H10489" s="8" t="s">
        <v>364</v>
      </c>
    </row>
    <row r="10490">
      <c r="H10490" s="8" t="s">
        <v>364</v>
      </c>
    </row>
    <row r="10491">
      <c r="H10491" s="8" t="s">
        <v>364</v>
      </c>
    </row>
    <row r="10492">
      <c r="H10492" s="8" t="s">
        <v>364</v>
      </c>
    </row>
    <row r="10493">
      <c r="H10493" s="8" t="s">
        <v>364</v>
      </c>
    </row>
    <row r="10494">
      <c r="H10494" s="8" t="s">
        <v>364</v>
      </c>
    </row>
    <row r="10495">
      <c r="H10495" s="8" t="s">
        <v>364</v>
      </c>
    </row>
    <row r="10496">
      <c r="H10496" s="8" t="s">
        <v>364</v>
      </c>
    </row>
    <row r="10497">
      <c r="H10497" s="8" t="s">
        <v>364</v>
      </c>
    </row>
    <row r="10498">
      <c r="H10498" s="8" t="s">
        <v>364</v>
      </c>
    </row>
    <row r="10499">
      <c r="H10499" s="8" t="s">
        <v>364</v>
      </c>
    </row>
    <row r="10500">
      <c r="H10500" s="8" t="s">
        <v>364</v>
      </c>
    </row>
    <row r="10501">
      <c r="H10501" s="8" t="s">
        <v>364</v>
      </c>
    </row>
    <row r="10502">
      <c r="H10502" s="8" t="s">
        <v>364</v>
      </c>
    </row>
    <row r="10503">
      <c r="H10503" s="8" t="s">
        <v>364</v>
      </c>
    </row>
    <row r="10504">
      <c r="H10504" s="8" t="s">
        <v>364</v>
      </c>
    </row>
    <row r="10505">
      <c r="H10505" s="8" t="s">
        <v>364</v>
      </c>
    </row>
    <row r="10506">
      <c r="H10506" s="8" t="s">
        <v>364</v>
      </c>
    </row>
    <row r="10507">
      <c r="H10507" s="8" t="s">
        <v>364</v>
      </c>
    </row>
    <row r="10508">
      <c r="H10508" s="8" t="s">
        <v>364</v>
      </c>
    </row>
    <row r="10509">
      <c r="H10509" s="8" t="s">
        <v>364</v>
      </c>
    </row>
    <row r="10510">
      <c r="H10510" s="8" t="s">
        <v>364</v>
      </c>
    </row>
    <row r="10511">
      <c r="H10511" s="8" t="s">
        <v>364</v>
      </c>
    </row>
    <row r="10512">
      <c r="H10512" s="8" t="s">
        <v>364</v>
      </c>
    </row>
    <row r="10513">
      <c r="H10513" s="8" t="s">
        <v>364</v>
      </c>
    </row>
    <row r="10514">
      <c r="H10514" s="8" t="s">
        <v>364</v>
      </c>
    </row>
    <row r="10515">
      <c r="H10515" s="8" t="s">
        <v>364</v>
      </c>
    </row>
    <row r="10516">
      <c r="H10516" s="8" t="s">
        <v>364</v>
      </c>
    </row>
    <row r="10517">
      <c r="H10517" s="8" t="s">
        <v>364</v>
      </c>
    </row>
    <row r="10518">
      <c r="H10518" s="8" t="s">
        <v>364</v>
      </c>
    </row>
    <row r="10519">
      <c r="H10519" s="8" t="s">
        <v>364</v>
      </c>
    </row>
    <row r="10520">
      <c r="H10520" s="8" t="s">
        <v>364</v>
      </c>
    </row>
    <row r="10521">
      <c r="H10521" s="8" t="s">
        <v>364</v>
      </c>
    </row>
    <row r="10522">
      <c r="H10522" s="8" t="s">
        <v>364</v>
      </c>
    </row>
    <row r="10523">
      <c r="H10523" s="8" t="s">
        <v>364</v>
      </c>
    </row>
    <row r="10524">
      <c r="H10524" s="8" t="s">
        <v>364</v>
      </c>
    </row>
    <row r="10525">
      <c r="H10525" s="8" t="s">
        <v>364</v>
      </c>
    </row>
    <row r="10526">
      <c r="H10526" s="8" t="s">
        <v>364</v>
      </c>
    </row>
    <row r="10527">
      <c r="H10527" s="8" t="s">
        <v>364</v>
      </c>
    </row>
    <row r="10528">
      <c r="H10528" s="8" t="s">
        <v>364</v>
      </c>
    </row>
    <row r="10529">
      <c r="H10529" s="8" t="s">
        <v>364</v>
      </c>
    </row>
    <row r="10530">
      <c r="H10530" s="8" t="s">
        <v>364</v>
      </c>
    </row>
    <row r="10531">
      <c r="H10531" s="8" t="s">
        <v>364</v>
      </c>
    </row>
    <row r="10532">
      <c r="H10532" s="8" t="s">
        <v>364</v>
      </c>
    </row>
    <row r="10533">
      <c r="H10533" s="8" t="s">
        <v>364</v>
      </c>
    </row>
    <row r="10534">
      <c r="H10534" s="8" t="s">
        <v>364</v>
      </c>
    </row>
    <row r="10535">
      <c r="H10535" s="8" t="s">
        <v>364</v>
      </c>
    </row>
    <row r="10536">
      <c r="H10536" s="8" t="s">
        <v>364</v>
      </c>
    </row>
    <row r="10537">
      <c r="H10537" s="8" t="s">
        <v>364</v>
      </c>
    </row>
    <row r="10538">
      <c r="H10538" s="8" t="s">
        <v>364</v>
      </c>
    </row>
    <row r="10539">
      <c r="H10539" s="8" t="s">
        <v>364</v>
      </c>
    </row>
    <row r="10540">
      <c r="H10540" s="8" t="s">
        <v>364</v>
      </c>
    </row>
    <row r="10541">
      <c r="H10541" s="8" t="s">
        <v>364</v>
      </c>
    </row>
    <row r="10542">
      <c r="H10542" s="8" t="s">
        <v>364</v>
      </c>
    </row>
    <row r="10543">
      <c r="H10543" s="8" t="s">
        <v>364</v>
      </c>
    </row>
    <row r="10544">
      <c r="H10544" s="8" t="s">
        <v>364</v>
      </c>
    </row>
    <row r="10545">
      <c r="H10545" s="8" t="s">
        <v>364</v>
      </c>
    </row>
    <row r="10546">
      <c r="H10546" s="8" t="s">
        <v>364</v>
      </c>
    </row>
    <row r="10547">
      <c r="H10547" s="8" t="s">
        <v>364</v>
      </c>
    </row>
    <row r="10548">
      <c r="H10548" s="8" t="s">
        <v>364</v>
      </c>
    </row>
    <row r="10549">
      <c r="H10549" s="8" t="s">
        <v>364</v>
      </c>
    </row>
    <row r="10550">
      <c r="H10550" s="8" t="s">
        <v>364</v>
      </c>
    </row>
    <row r="10551">
      <c r="H10551" s="8" t="s">
        <v>364</v>
      </c>
    </row>
    <row r="10552">
      <c r="H10552" s="8" t="s">
        <v>364</v>
      </c>
    </row>
    <row r="10553">
      <c r="H10553" s="8" t="s">
        <v>364</v>
      </c>
    </row>
    <row r="10554">
      <c r="H10554" s="8" t="s">
        <v>364</v>
      </c>
    </row>
    <row r="10555">
      <c r="H10555" s="8" t="s">
        <v>364</v>
      </c>
    </row>
    <row r="10556">
      <c r="H10556" s="8" t="s">
        <v>364</v>
      </c>
    </row>
    <row r="10557">
      <c r="H10557" s="8" t="s">
        <v>364</v>
      </c>
    </row>
    <row r="10558">
      <c r="H10558" s="8" t="s">
        <v>364</v>
      </c>
    </row>
    <row r="10559">
      <c r="H10559" s="8" t="s">
        <v>364</v>
      </c>
    </row>
    <row r="10560">
      <c r="H10560" s="8" t="s">
        <v>364</v>
      </c>
    </row>
    <row r="10561">
      <c r="H10561" s="8" t="s">
        <v>364</v>
      </c>
    </row>
    <row r="10562">
      <c r="H10562" s="8" t="s">
        <v>364</v>
      </c>
    </row>
    <row r="10563">
      <c r="H10563" s="8" t="s">
        <v>364</v>
      </c>
    </row>
    <row r="10564">
      <c r="H10564" s="8" t="s">
        <v>364</v>
      </c>
    </row>
    <row r="10565">
      <c r="H10565" s="8" t="s">
        <v>364</v>
      </c>
    </row>
    <row r="10566">
      <c r="H10566" s="8" t="s">
        <v>364</v>
      </c>
    </row>
    <row r="10567">
      <c r="H10567" s="8" t="s">
        <v>364</v>
      </c>
    </row>
    <row r="10568">
      <c r="H10568" s="8" t="s">
        <v>364</v>
      </c>
    </row>
    <row r="10569">
      <c r="H10569" s="8" t="s">
        <v>364</v>
      </c>
    </row>
    <row r="10570">
      <c r="H10570" s="8" t="s">
        <v>364</v>
      </c>
    </row>
    <row r="10571">
      <c r="H10571" s="8" t="s">
        <v>364</v>
      </c>
    </row>
    <row r="10572">
      <c r="H10572" s="8" t="s">
        <v>364</v>
      </c>
    </row>
    <row r="10573">
      <c r="H10573" s="8" t="s">
        <v>364</v>
      </c>
    </row>
    <row r="10574">
      <c r="H10574" s="8" t="s">
        <v>364</v>
      </c>
    </row>
    <row r="10575">
      <c r="H10575" s="8" t="s">
        <v>364</v>
      </c>
    </row>
    <row r="10576">
      <c r="H10576" s="8" t="s">
        <v>364</v>
      </c>
    </row>
    <row r="10577">
      <c r="H10577" s="8" t="s">
        <v>364</v>
      </c>
    </row>
    <row r="10578">
      <c r="H10578" s="8" t="s">
        <v>364</v>
      </c>
    </row>
    <row r="10579">
      <c r="H10579" s="8" t="s">
        <v>364</v>
      </c>
    </row>
    <row r="10580">
      <c r="H10580" s="8" t="s">
        <v>364</v>
      </c>
    </row>
    <row r="10581">
      <c r="H10581" s="8" t="s">
        <v>364</v>
      </c>
    </row>
    <row r="10582">
      <c r="H10582" s="8" t="s">
        <v>364</v>
      </c>
    </row>
    <row r="10583">
      <c r="H10583" s="8" t="s">
        <v>364</v>
      </c>
    </row>
    <row r="10584">
      <c r="H10584" s="8" t="s">
        <v>364</v>
      </c>
    </row>
    <row r="10585">
      <c r="H10585" s="8" t="s">
        <v>364</v>
      </c>
    </row>
    <row r="10586">
      <c r="H10586" s="8" t="s">
        <v>364</v>
      </c>
    </row>
    <row r="10587">
      <c r="H10587" s="8" t="s">
        <v>364</v>
      </c>
    </row>
    <row r="10588">
      <c r="H10588" s="8" t="s">
        <v>364</v>
      </c>
    </row>
    <row r="10589">
      <c r="H10589" s="8" t="s">
        <v>364</v>
      </c>
    </row>
    <row r="10590">
      <c r="H10590" s="8" t="s">
        <v>364</v>
      </c>
    </row>
    <row r="10591">
      <c r="H10591" s="8" t="s">
        <v>364</v>
      </c>
    </row>
    <row r="10592">
      <c r="H10592" s="8" t="s">
        <v>364</v>
      </c>
    </row>
    <row r="10593">
      <c r="H10593" s="8" t="s">
        <v>364</v>
      </c>
    </row>
    <row r="10594">
      <c r="H10594" s="8" t="s">
        <v>364</v>
      </c>
    </row>
    <row r="10595">
      <c r="H10595" s="8" t="s">
        <v>364</v>
      </c>
    </row>
    <row r="10596">
      <c r="H10596" s="8" t="s">
        <v>364</v>
      </c>
    </row>
    <row r="10597">
      <c r="H10597" s="8" t="s">
        <v>364</v>
      </c>
    </row>
    <row r="10598">
      <c r="H10598" s="8" t="s">
        <v>364</v>
      </c>
    </row>
    <row r="10599">
      <c r="H10599" s="8" t="s">
        <v>364</v>
      </c>
    </row>
    <row r="10600">
      <c r="H10600" s="8" t="s">
        <v>364</v>
      </c>
    </row>
    <row r="10601">
      <c r="H10601" s="8" t="s">
        <v>364</v>
      </c>
    </row>
    <row r="10602">
      <c r="H10602" s="8" t="s">
        <v>364</v>
      </c>
    </row>
    <row r="10603">
      <c r="H10603" s="8" t="s">
        <v>364</v>
      </c>
    </row>
    <row r="10604">
      <c r="H10604" s="8" t="s">
        <v>364</v>
      </c>
    </row>
    <row r="10605">
      <c r="H10605" s="8" t="s">
        <v>364</v>
      </c>
    </row>
    <row r="10606">
      <c r="H10606" s="8" t="s">
        <v>364</v>
      </c>
    </row>
    <row r="10607">
      <c r="H10607" s="8" t="s">
        <v>364</v>
      </c>
    </row>
    <row r="10608">
      <c r="H10608" s="8" t="s">
        <v>364</v>
      </c>
    </row>
    <row r="10609">
      <c r="H10609" s="8" t="s">
        <v>364</v>
      </c>
    </row>
    <row r="10610">
      <c r="H10610" s="8" t="s">
        <v>364</v>
      </c>
    </row>
    <row r="10611">
      <c r="H10611" s="8" t="s">
        <v>364</v>
      </c>
    </row>
    <row r="10612">
      <c r="H10612" s="8" t="s">
        <v>364</v>
      </c>
    </row>
    <row r="10613">
      <c r="H10613" s="8" t="s">
        <v>364</v>
      </c>
    </row>
    <row r="10614">
      <c r="H10614" s="8" t="s">
        <v>364</v>
      </c>
    </row>
    <row r="10615">
      <c r="H10615" s="8" t="s">
        <v>364</v>
      </c>
    </row>
    <row r="10616">
      <c r="H10616" s="8" t="s">
        <v>364</v>
      </c>
    </row>
    <row r="10617">
      <c r="H10617" s="8" t="s">
        <v>364</v>
      </c>
    </row>
    <row r="10618">
      <c r="H10618" s="8" t="s">
        <v>364</v>
      </c>
    </row>
    <row r="10619">
      <c r="H10619" s="8" t="s">
        <v>364</v>
      </c>
    </row>
    <row r="10620">
      <c r="H10620" s="8" t="s">
        <v>364</v>
      </c>
    </row>
    <row r="10621">
      <c r="H10621" s="8" t="s">
        <v>364</v>
      </c>
    </row>
    <row r="10622">
      <c r="H10622" s="8" t="s">
        <v>364</v>
      </c>
    </row>
    <row r="10623">
      <c r="H10623" s="8" t="s">
        <v>364</v>
      </c>
    </row>
    <row r="10624">
      <c r="H10624" s="8" t="s">
        <v>364</v>
      </c>
    </row>
    <row r="10625">
      <c r="H10625" s="8" t="s">
        <v>364</v>
      </c>
    </row>
    <row r="10626">
      <c r="H10626" s="8" t="s">
        <v>364</v>
      </c>
    </row>
    <row r="10627">
      <c r="H10627" s="8" t="s">
        <v>364</v>
      </c>
    </row>
    <row r="10628">
      <c r="H10628" s="8" t="s">
        <v>364</v>
      </c>
    </row>
    <row r="10629">
      <c r="H10629" s="8" t="s">
        <v>364</v>
      </c>
    </row>
    <row r="10630">
      <c r="H10630" s="8" t="s">
        <v>364</v>
      </c>
    </row>
    <row r="10631">
      <c r="H10631" s="8" t="s">
        <v>364</v>
      </c>
    </row>
    <row r="10632">
      <c r="H10632" s="8" t="s">
        <v>364</v>
      </c>
    </row>
    <row r="10633">
      <c r="H10633" s="8" t="s">
        <v>364</v>
      </c>
    </row>
    <row r="10634">
      <c r="H10634" s="8" t="s">
        <v>364</v>
      </c>
    </row>
    <row r="10635">
      <c r="H10635" s="8" t="s">
        <v>364</v>
      </c>
    </row>
    <row r="10636">
      <c r="H10636" s="8" t="s">
        <v>364</v>
      </c>
    </row>
    <row r="10637">
      <c r="H10637" s="8" t="s">
        <v>364</v>
      </c>
    </row>
    <row r="10638">
      <c r="H10638" s="8" t="s">
        <v>364</v>
      </c>
    </row>
    <row r="10639">
      <c r="H10639" s="8" t="s">
        <v>364</v>
      </c>
    </row>
    <row r="10640">
      <c r="H10640" s="8" t="s">
        <v>364</v>
      </c>
    </row>
    <row r="10641">
      <c r="H10641" s="8" t="s">
        <v>364</v>
      </c>
    </row>
    <row r="10642">
      <c r="H10642" s="8" t="s">
        <v>364</v>
      </c>
    </row>
    <row r="10643">
      <c r="H10643" s="8" t="s">
        <v>364</v>
      </c>
    </row>
    <row r="10644">
      <c r="H10644" s="8" t="s">
        <v>364</v>
      </c>
    </row>
    <row r="10645">
      <c r="H10645" s="8" t="s">
        <v>364</v>
      </c>
    </row>
    <row r="10646">
      <c r="H10646" s="8" t="s">
        <v>364</v>
      </c>
    </row>
    <row r="10647">
      <c r="H10647" s="8" t="s">
        <v>364</v>
      </c>
    </row>
    <row r="10648">
      <c r="H10648" s="8" t="s">
        <v>364</v>
      </c>
    </row>
    <row r="10649">
      <c r="H10649" s="8" t="s">
        <v>364</v>
      </c>
    </row>
    <row r="10650">
      <c r="H10650" s="8" t="s">
        <v>364</v>
      </c>
    </row>
    <row r="10651">
      <c r="H10651" s="8" t="s">
        <v>364</v>
      </c>
    </row>
    <row r="10652">
      <c r="H10652" s="8" t="s">
        <v>364</v>
      </c>
    </row>
    <row r="10653">
      <c r="H10653" s="8" t="s">
        <v>364</v>
      </c>
    </row>
    <row r="10654">
      <c r="H10654" s="8" t="s">
        <v>364</v>
      </c>
    </row>
    <row r="10655">
      <c r="H10655" s="8" t="s">
        <v>364</v>
      </c>
    </row>
    <row r="10656">
      <c r="H10656" s="8" t="s">
        <v>364</v>
      </c>
    </row>
    <row r="10657">
      <c r="H10657" s="8" t="s">
        <v>364</v>
      </c>
    </row>
    <row r="10658">
      <c r="H10658" s="8" t="s">
        <v>364</v>
      </c>
    </row>
    <row r="10659">
      <c r="H10659" s="8" t="s">
        <v>364</v>
      </c>
    </row>
    <row r="10660">
      <c r="H10660" s="8" t="s">
        <v>364</v>
      </c>
    </row>
    <row r="10661">
      <c r="H10661" s="8" t="s">
        <v>364</v>
      </c>
    </row>
    <row r="10662">
      <c r="H10662" s="8" t="s">
        <v>364</v>
      </c>
    </row>
    <row r="10663">
      <c r="H10663" s="8" t="s">
        <v>364</v>
      </c>
    </row>
    <row r="10664">
      <c r="H10664" s="8" t="s">
        <v>364</v>
      </c>
    </row>
    <row r="10665">
      <c r="H10665" s="8" t="s">
        <v>364</v>
      </c>
    </row>
    <row r="10666">
      <c r="H10666" s="8" t="s">
        <v>364</v>
      </c>
    </row>
    <row r="10667">
      <c r="H10667" s="8" t="s">
        <v>364</v>
      </c>
    </row>
    <row r="10668">
      <c r="H10668" s="8" t="s">
        <v>364</v>
      </c>
    </row>
    <row r="10669">
      <c r="H10669" s="8" t="s">
        <v>364</v>
      </c>
    </row>
    <row r="10670">
      <c r="H10670" s="8" t="s">
        <v>364</v>
      </c>
    </row>
    <row r="10671">
      <c r="H10671" s="8" t="s">
        <v>364</v>
      </c>
    </row>
    <row r="10672">
      <c r="H10672" s="8" t="s">
        <v>364</v>
      </c>
    </row>
    <row r="10673">
      <c r="H10673" s="8" t="s">
        <v>364</v>
      </c>
    </row>
    <row r="10674">
      <c r="H10674" s="8" t="s">
        <v>364</v>
      </c>
    </row>
    <row r="10675">
      <c r="H10675" s="8" t="s">
        <v>364</v>
      </c>
    </row>
    <row r="10676">
      <c r="H10676" s="8" t="s">
        <v>364</v>
      </c>
    </row>
    <row r="10677">
      <c r="H10677" s="8" t="s">
        <v>364</v>
      </c>
    </row>
    <row r="10678">
      <c r="H10678" s="8" t="s">
        <v>364</v>
      </c>
    </row>
    <row r="10679">
      <c r="H10679" s="8" t="s">
        <v>364</v>
      </c>
    </row>
    <row r="10680">
      <c r="H10680" s="8" t="s">
        <v>364</v>
      </c>
    </row>
    <row r="10681">
      <c r="H10681" s="8" t="s">
        <v>364</v>
      </c>
    </row>
    <row r="10682">
      <c r="H10682" s="8" t="s">
        <v>364</v>
      </c>
    </row>
    <row r="10683">
      <c r="H10683" s="8" t="s">
        <v>364</v>
      </c>
    </row>
    <row r="10684">
      <c r="H10684" s="8" t="s">
        <v>364</v>
      </c>
    </row>
    <row r="10685">
      <c r="H10685" s="8" t="s">
        <v>364</v>
      </c>
    </row>
    <row r="10686">
      <c r="H10686" s="8" t="s">
        <v>364</v>
      </c>
    </row>
    <row r="10687">
      <c r="H10687" s="8" t="s">
        <v>364</v>
      </c>
    </row>
    <row r="10688">
      <c r="H10688" s="8" t="s">
        <v>364</v>
      </c>
    </row>
    <row r="10689">
      <c r="H10689" s="8" t="s">
        <v>364</v>
      </c>
    </row>
    <row r="10690">
      <c r="H10690" s="8" t="s">
        <v>364</v>
      </c>
    </row>
    <row r="10691">
      <c r="H10691" s="8" t="s">
        <v>364</v>
      </c>
    </row>
    <row r="10692">
      <c r="H10692" s="8" t="s">
        <v>364</v>
      </c>
    </row>
    <row r="10693">
      <c r="H10693" s="8" t="s">
        <v>364</v>
      </c>
    </row>
    <row r="10694">
      <c r="H10694" s="8" t="s">
        <v>364</v>
      </c>
    </row>
    <row r="10695">
      <c r="H10695" s="8" t="s">
        <v>364</v>
      </c>
    </row>
    <row r="10696">
      <c r="H10696" s="8" t="s">
        <v>364</v>
      </c>
    </row>
    <row r="10697">
      <c r="H10697" s="8" t="s">
        <v>364</v>
      </c>
    </row>
    <row r="10698">
      <c r="H10698" s="8" t="s">
        <v>364</v>
      </c>
    </row>
    <row r="10699">
      <c r="H10699" s="8" t="s">
        <v>364</v>
      </c>
    </row>
    <row r="10700">
      <c r="H10700" s="8" t="s">
        <v>364</v>
      </c>
    </row>
    <row r="10701">
      <c r="H10701" s="8" t="s">
        <v>364</v>
      </c>
    </row>
    <row r="10702">
      <c r="H10702" s="8" t="s">
        <v>364</v>
      </c>
    </row>
    <row r="10703">
      <c r="H10703" s="8" t="s">
        <v>364</v>
      </c>
    </row>
    <row r="10704">
      <c r="H10704" s="8" t="s">
        <v>364</v>
      </c>
    </row>
    <row r="10705">
      <c r="H10705" s="8" t="s">
        <v>364</v>
      </c>
    </row>
    <row r="10706">
      <c r="H10706" s="8" t="s">
        <v>364</v>
      </c>
    </row>
    <row r="10707">
      <c r="H10707" s="8" t="s">
        <v>364</v>
      </c>
    </row>
    <row r="10708">
      <c r="H10708" s="8" t="s">
        <v>364</v>
      </c>
    </row>
    <row r="10709">
      <c r="H10709" s="8" t="s">
        <v>364</v>
      </c>
    </row>
    <row r="10710">
      <c r="H10710" s="8" t="s">
        <v>364</v>
      </c>
    </row>
    <row r="10711">
      <c r="H10711" s="8" t="s">
        <v>364</v>
      </c>
    </row>
    <row r="10712">
      <c r="H10712" s="8" t="s">
        <v>364</v>
      </c>
    </row>
    <row r="10713">
      <c r="H10713" s="8" t="s">
        <v>364</v>
      </c>
    </row>
    <row r="10714">
      <c r="H10714" s="8" t="s">
        <v>364</v>
      </c>
    </row>
    <row r="10715">
      <c r="H10715" s="8" t="s">
        <v>364</v>
      </c>
    </row>
    <row r="10716">
      <c r="H10716" s="8" t="s">
        <v>364</v>
      </c>
    </row>
    <row r="10717">
      <c r="H10717" s="8" t="s">
        <v>364</v>
      </c>
    </row>
    <row r="10718">
      <c r="H10718" s="8" t="s">
        <v>364</v>
      </c>
    </row>
    <row r="10719">
      <c r="H10719" s="8" t="s">
        <v>364</v>
      </c>
    </row>
    <row r="10720">
      <c r="H10720" s="8" t="s">
        <v>364</v>
      </c>
    </row>
    <row r="10721">
      <c r="H10721" s="8" t="s">
        <v>364</v>
      </c>
    </row>
    <row r="10722">
      <c r="H10722" s="8" t="s">
        <v>364</v>
      </c>
    </row>
    <row r="10723">
      <c r="H10723" s="8" t="s">
        <v>364</v>
      </c>
    </row>
    <row r="10724">
      <c r="H10724" s="8" t="s">
        <v>364</v>
      </c>
    </row>
    <row r="10725">
      <c r="H10725" s="8" t="s">
        <v>364</v>
      </c>
    </row>
    <row r="10726">
      <c r="H10726" s="8" t="s">
        <v>364</v>
      </c>
    </row>
    <row r="10727">
      <c r="H10727" s="8" t="s">
        <v>364</v>
      </c>
    </row>
    <row r="10728">
      <c r="H10728" s="8" t="s">
        <v>364</v>
      </c>
    </row>
    <row r="10729">
      <c r="H10729" s="8" t="s">
        <v>364</v>
      </c>
    </row>
    <row r="10730">
      <c r="H10730" s="8" t="s">
        <v>364</v>
      </c>
    </row>
    <row r="10731">
      <c r="H10731" s="8" t="s">
        <v>364</v>
      </c>
    </row>
    <row r="10732">
      <c r="H10732" s="8" t="s">
        <v>364</v>
      </c>
    </row>
    <row r="10733">
      <c r="H10733" s="8" t="s">
        <v>364</v>
      </c>
    </row>
    <row r="10734">
      <c r="H10734" s="8" t="s">
        <v>364</v>
      </c>
    </row>
    <row r="10735">
      <c r="H10735" s="8" t="s">
        <v>364</v>
      </c>
    </row>
    <row r="10736">
      <c r="H10736" s="8" t="s">
        <v>364</v>
      </c>
    </row>
    <row r="10737">
      <c r="H10737" s="8" t="s">
        <v>364</v>
      </c>
    </row>
    <row r="10738">
      <c r="H10738" s="8" t="s">
        <v>364</v>
      </c>
    </row>
    <row r="10739">
      <c r="H10739" s="8" t="s">
        <v>364</v>
      </c>
    </row>
    <row r="10740">
      <c r="H10740" s="8" t="s">
        <v>364</v>
      </c>
    </row>
    <row r="10741">
      <c r="H10741" s="8" t="s">
        <v>364</v>
      </c>
    </row>
    <row r="10742">
      <c r="H10742" s="8" t="s">
        <v>364</v>
      </c>
    </row>
    <row r="10743">
      <c r="H10743" s="8" t="s">
        <v>364</v>
      </c>
    </row>
    <row r="10744">
      <c r="H10744" s="8" t="s">
        <v>364</v>
      </c>
    </row>
    <row r="10745">
      <c r="H10745" s="8" t="s">
        <v>364</v>
      </c>
    </row>
    <row r="10746">
      <c r="H10746" s="8" t="s">
        <v>364</v>
      </c>
    </row>
    <row r="10747">
      <c r="H10747" s="8" t="s">
        <v>364</v>
      </c>
    </row>
    <row r="10748">
      <c r="H10748" s="8" t="s">
        <v>364</v>
      </c>
    </row>
    <row r="10749">
      <c r="H10749" s="8" t="s">
        <v>364</v>
      </c>
    </row>
    <row r="10750">
      <c r="H10750" s="8" t="s">
        <v>364</v>
      </c>
    </row>
    <row r="10751">
      <c r="H10751" s="8" t="s">
        <v>364</v>
      </c>
    </row>
    <row r="10752">
      <c r="H10752" s="8" t="s">
        <v>364</v>
      </c>
    </row>
    <row r="10753">
      <c r="H10753" s="8" t="s">
        <v>364</v>
      </c>
    </row>
    <row r="10754">
      <c r="H10754" s="8" t="s">
        <v>364</v>
      </c>
    </row>
    <row r="10755">
      <c r="H10755" s="8" t="s">
        <v>364</v>
      </c>
    </row>
    <row r="10756">
      <c r="H10756" s="8" t="s">
        <v>364</v>
      </c>
    </row>
    <row r="10757">
      <c r="H10757" s="8" t="s">
        <v>364</v>
      </c>
    </row>
    <row r="10758">
      <c r="H10758" s="8" t="s">
        <v>364</v>
      </c>
    </row>
    <row r="10759">
      <c r="H10759" s="8" t="s">
        <v>364</v>
      </c>
    </row>
    <row r="10760">
      <c r="H10760" s="8" t="s">
        <v>364</v>
      </c>
    </row>
    <row r="10761">
      <c r="H10761" s="8" t="s">
        <v>364</v>
      </c>
    </row>
    <row r="10762">
      <c r="H10762" s="8" t="s">
        <v>364</v>
      </c>
    </row>
    <row r="10763">
      <c r="H10763" s="8" t="s">
        <v>364</v>
      </c>
    </row>
    <row r="10764">
      <c r="H10764" s="8" t="s">
        <v>364</v>
      </c>
    </row>
    <row r="10765">
      <c r="H10765" s="8" t="s">
        <v>364</v>
      </c>
    </row>
    <row r="10766">
      <c r="H10766" s="8" t="s">
        <v>364</v>
      </c>
    </row>
    <row r="10767">
      <c r="H10767" s="8" t="s">
        <v>364</v>
      </c>
    </row>
    <row r="10768">
      <c r="H10768" s="8" t="s">
        <v>364</v>
      </c>
    </row>
    <row r="10769">
      <c r="H10769" s="8" t="s">
        <v>364</v>
      </c>
    </row>
    <row r="10770">
      <c r="H10770" s="8" t="s">
        <v>364</v>
      </c>
    </row>
    <row r="10771">
      <c r="H10771" s="8" t="s">
        <v>364</v>
      </c>
    </row>
    <row r="10772">
      <c r="H10772" s="8" t="s">
        <v>364</v>
      </c>
    </row>
    <row r="10773">
      <c r="H10773" s="8" t="s">
        <v>364</v>
      </c>
    </row>
    <row r="10774">
      <c r="H10774" s="8" t="s">
        <v>364</v>
      </c>
    </row>
    <row r="10775">
      <c r="H10775" s="8" t="s">
        <v>364</v>
      </c>
    </row>
    <row r="10776">
      <c r="H10776" s="8" t="s">
        <v>364</v>
      </c>
    </row>
    <row r="10777">
      <c r="H10777" s="8" t="s">
        <v>364</v>
      </c>
    </row>
    <row r="10778">
      <c r="H10778" s="8" t="s">
        <v>364</v>
      </c>
    </row>
    <row r="10779">
      <c r="H10779" s="8" t="s">
        <v>364</v>
      </c>
    </row>
    <row r="10780">
      <c r="H10780" s="8" t="s">
        <v>364</v>
      </c>
    </row>
    <row r="10781">
      <c r="H10781" s="8" t="s">
        <v>364</v>
      </c>
    </row>
    <row r="10782">
      <c r="H10782" s="8" t="s">
        <v>364</v>
      </c>
    </row>
    <row r="10783">
      <c r="H10783" s="8" t="s">
        <v>364</v>
      </c>
    </row>
    <row r="10784">
      <c r="H10784" s="8" t="s">
        <v>364</v>
      </c>
    </row>
    <row r="10785">
      <c r="H10785" s="8" t="s">
        <v>364</v>
      </c>
    </row>
    <row r="10786">
      <c r="H10786" s="8" t="s">
        <v>364</v>
      </c>
    </row>
    <row r="10787">
      <c r="H10787" s="8" t="s">
        <v>364</v>
      </c>
    </row>
    <row r="10788">
      <c r="H10788" s="8" t="s">
        <v>364</v>
      </c>
    </row>
    <row r="10789">
      <c r="H10789" s="8" t="s">
        <v>364</v>
      </c>
    </row>
    <row r="10790">
      <c r="H10790" s="8" t="s">
        <v>364</v>
      </c>
    </row>
    <row r="10791">
      <c r="H10791" s="8" t="s">
        <v>364</v>
      </c>
    </row>
    <row r="10792">
      <c r="H10792" s="8" t="s">
        <v>364</v>
      </c>
    </row>
    <row r="10793">
      <c r="H10793" s="8" t="s">
        <v>364</v>
      </c>
    </row>
    <row r="10794">
      <c r="H10794" s="8" t="s">
        <v>364</v>
      </c>
    </row>
    <row r="10795">
      <c r="H10795" s="8" t="s">
        <v>364</v>
      </c>
    </row>
    <row r="10796">
      <c r="H10796" s="8" t="s">
        <v>364</v>
      </c>
    </row>
    <row r="10797">
      <c r="H10797" s="8" t="s">
        <v>364</v>
      </c>
    </row>
    <row r="10798">
      <c r="H10798" s="8" t="s">
        <v>364</v>
      </c>
    </row>
    <row r="10799">
      <c r="H10799" s="8" t="s">
        <v>364</v>
      </c>
    </row>
    <row r="10800">
      <c r="H10800" s="8" t="s">
        <v>364</v>
      </c>
    </row>
    <row r="10801">
      <c r="H10801" s="8" t="s">
        <v>364</v>
      </c>
    </row>
    <row r="10802">
      <c r="H10802" s="8" t="s">
        <v>364</v>
      </c>
    </row>
    <row r="10803">
      <c r="H10803" s="8" t="s">
        <v>364</v>
      </c>
    </row>
    <row r="10804">
      <c r="H10804" s="8" t="s">
        <v>364</v>
      </c>
    </row>
    <row r="10805">
      <c r="H10805" s="8" t="s">
        <v>364</v>
      </c>
    </row>
    <row r="10806">
      <c r="H10806" s="8" t="s">
        <v>364</v>
      </c>
    </row>
    <row r="10807">
      <c r="H10807" s="8" t="s">
        <v>364</v>
      </c>
    </row>
    <row r="10808">
      <c r="H10808" s="8" t="s">
        <v>364</v>
      </c>
    </row>
    <row r="10809">
      <c r="H10809" s="8" t="s">
        <v>364</v>
      </c>
    </row>
    <row r="10810">
      <c r="H10810" s="8" t="s">
        <v>364</v>
      </c>
    </row>
    <row r="10811">
      <c r="H10811" s="8" t="s">
        <v>364</v>
      </c>
    </row>
    <row r="10812">
      <c r="H10812" s="8" t="s">
        <v>364</v>
      </c>
    </row>
    <row r="10813">
      <c r="H10813" s="8" t="s">
        <v>364</v>
      </c>
    </row>
    <row r="10814">
      <c r="H10814" s="8" t="s">
        <v>364</v>
      </c>
    </row>
    <row r="10815">
      <c r="H10815" s="8" t="s">
        <v>364</v>
      </c>
    </row>
    <row r="10816">
      <c r="H10816" s="8" t="s">
        <v>364</v>
      </c>
    </row>
    <row r="10817">
      <c r="H10817" s="8" t="s">
        <v>364</v>
      </c>
    </row>
    <row r="10818">
      <c r="H10818" s="8" t="s">
        <v>364</v>
      </c>
    </row>
    <row r="10819">
      <c r="H10819" s="8" t="s">
        <v>364</v>
      </c>
    </row>
    <row r="10820">
      <c r="H10820" s="8" t="s">
        <v>364</v>
      </c>
    </row>
    <row r="10821">
      <c r="H10821" s="8" t="s">
        <v>364</v>
      </c>
    </row>
    <row r="10822">
      <c r="H10822" s="8" t="s">
        <v>364</v>
      </c>
    </row>
    <row r="10823">
      <c r="H10823" s="8" t="s">
        <v>364</v>
      </c>
    </row>
    <row r="10824">
      <c r="H10824" s="8" t="s">
        <v>364</v>
      </c>
    </row>
    <row r="10825">
      <c r="H10825" s="8" t="s">
        <v>364</v>
      </c>
    </row>
    <row r="10826">
      <c r="H10826" s="8" t="s">
        <v>364</v>
      </c>
    </row>
    <row r="10827">
      <c r="H10827" s="8" t="s">
        <v>364</v>
      </c>
    </row>
    <row r="10828">
      <c r="H10828" s="8" t="s">
        <v>364</v>
      </c>
    </row>
    <row r="10829">
      <c r="H10829" s="8" t="s">
        <v>364</v>
      </c>
    </row>
    <row r="10830">
      <c r="H10830" s="8" t="s">
        <v>364</v>
      </c>
    </row>
    <row r="10831">
      <c r="H10831" s="8" t="s">
        <v>364</v>
      </c>
    </row>
    <row r="10832">
      <c r="H10832" s="8" t="s">
        <v>364</v>
      </c>
    </row>
    <row r="10833">
      <c r="H10833" s="8" t="s">
        <v>364</v>
      </c>
    </row>
    <row r="10834">
      <c r="H10834" s="8" t="s">
        <v>364</v>
      </c>
    </row>
    <row r="10835">
      <c r="H10835" s="8" t="s">
        <v>364</v>
      </c>
    </row>
    <row r="10836">
      <c r="H10836" s="8" t="s">
        <v>364</v>
      </c>
    </row>
    <row r="10837">
      <c r="H10837" s="8" t="s">
        <v>364</v>
      </c>
    </row>
    <row r="10838">
      <c r="H10838" s="8" t="s">
        <v>364</v>
      </c>
    </row>
    <row r="10839">
      <c r="H10839" s="8" t="s">
        <v>364</v>
      </c>
    </row>
    <row r="10840">
      <c r="H10840" s="8" t="s">
        <v>364</v>
      </c>
    </row>
    <row r="10841">
      <c r="H10841" s="8" t="s">
        <v>364</v>
      </c>
    </row>
    <row r="10842">
      <c r="H10842" s="8" t="s">
        <v>364</v>
      </c>
    </row>
    <row r="10843">
      <c r="H10843" s="8" t="s">
        <v>364</v>
      </c>
    </row>
    <row r="10844">
      <c r="H10844" s="8" t="s">
        <v>364</v>
      </c>
    </row>
    <row r="10845">
      <c r="H10845" s="8" t="s">
        <v>364</v>
      </c>
    </row>
    <row r="10846">
      <c r="H10846" s="8" t="s">
        <v>364</v>
      </c>
    </row>
    <row r="10847">
      <c r="H10847" s="8" t="s">
        <v>364</v>
      </c>
    </row>
    <row r="10848">
      <c r="H10848" s="8" t="s">
        <v>364</v>
      </c>
    </row>
    <row r="10849">
      <c r="H10849" s="8" t="s">
        <v>364</v>
      </c>
    </row>
    <row r="10850">
      <c r="H10850" s="8" t="s">
        <v>364</v>
      </c>
    </row>
    <row r="10851">
      <c r="H10851" s="8" t="s">
        <v>364</v>
      </c>
    </row>
    <row r="10852">
      <c r="H10852" s="8" t="s">
        <v>364</v>
      </c>
    </row>
    <row r="10853">
      <c r="H10853" s="8" t="s">
        <v>364</v>
      </c>
    </row>
    <row r="10854">
      <c r="H10854" s="8" t="s">
        <v>364</v>
      </c>
    </row>
    <row r="10855">
      <c r="H10855" s="8" t="s">
        <v>364</v>
      </c>
    </row>
    <row r="10856">
      <c r="H10856" s="8" t="s">
        <v>364</v>
      </c>
    </row>
    <row r="10857">
      <c r="H10857" s="8" t="s">
        <v>364</v>
      </c>
    </row>
    <row r="10858">
      <c r="H10858" s="8" t="s">
        <v>364</v>
      </c>
    </row>
    <row r="10859">
      <c r="H10859" s="8" t="s">
        <v>364</v>
      </c>
    </row>
    <row r="10860">
      <c r="H10860" s="8" t="s">
        <v>364</v>
      </c>
    </row>
    <row r="10861">
      <c r="H10861" s="8" t="s">
        <v>364</v>
      </c>
    </row>
    <row r="10862">
      <c r="H10862" s="8" t="s">
        <v>364</v>
      </c>
    </row>
    <row r="10863">
      <c r="H10863" s="8" t="s">
        <v>364</v>
      </c>
    </row>
    <row r="10864">
      <c r="H10864" s="8" t="s">
        <v>364</v>
      </c>
    </row>
    <row r="10865">
      <c r="H10865" s="8" t="s">
        <v>364</v>
      </c>
    </row>
    <row r="10866">
      <c r="H10866" s="8" t="s">
        <v>364</v>
      </c>
    </row>
    <row r="10867">
      <c r="H10867" s="8" t="s">
        <v>364</v>
      </c>
    </row>
    <row r="10868">
      <c r="H10868" s="8" t="s">
        <v>364</v>
      </c>
    </row>
    <row r="10869">
      <c r="H10869" s="8" t="s">
        <v>364</v>
      </c>
    </row>
    <row r="10870">
      <c r="H10870" s="8" t="s">
        <v>364</v>
      </c>
    </row>
    <row r="10871">
      <c r="H10871" s="8" t="s">
        <v>364</v>
      </c>
    </row>
    <row r="10872">
      <c r="H10872" s="8" t="s">
        <v>364</v>
      </c>
    </row>
    <row r="10873">
      <c r="H10873" s="8" t="s">
        <v>364</v>
      </c>
    </row>
    <row r="10874">
      <c r="H10874" s="8" t="s">
        <v>364</v>
      </c>
    </row>
    <row r="10875">
      <c r="H10875" s="8" t="s">
        <v>364</v>
      </c>
    </row>
    <row r="10876">
      <c r="H10876" s="8" t="s">
        <v>364</v>
      </c>
    </row>
    <row r="10877">
      <c r="H10877" s="8" t="s">
        <v>364</v>
      </c>
    </row>
    <row r="10878">
      <c r="H10878" s="8" t="s">
        <v>364</v>
      </c>
    </row>
    <row r="10879">
      <c r="H10879" s="8" t="s">
        <v>364</v>
      </c>
    </row>
    <row r="10880">
      <c r="H10880" s="8" t="s">
        <v>364</v>
      </c>
    </row>
    <row r="10881">
      <c r="H10881" s="8" t="s">
        <v>364</v>
      </c>
    </row>
    <row r="10882">
      <c r="H10882" s="8" t="s">
        <v>364</v>
      </c>
    </row>
    <row r="10883">
      <c r="H10883" s="8" t="s">
        <v>364</v>
      </c>
    </row>
    <row r="10884">
      <c r="H10884" s="8" t="s">
        <v>364</v>
      </c>
    </row>
    <row r="10885">
      <c r="H10885" s="8" t="s">
        <v>364</v>
      </c>
    </row>
    <row r="10886">
      <c r="H10886" s="8" t="s">
        <v>364</v>
      </c>
    </row>
    <row r="10887">
      <c r="H10887" s="8" t="s">
        <v>364</v>
      </c>
    </row>
    <row r="10888">
      <c r="H10888" s="8" t="s">
        <v>364</v>
      </c>
    </row>
    <row r="10889">
      <c r="H10889" s="8" t="s">
        <v>364</v>
      </c>
    </row>
    <row r="10890">
      <c r="H10890" s="8" t="s">
        <v>364</v>
      </c>
    </row>
    <row r="10891">
      <c r="H10891" s="8" t="s">
        <v>364</v>
      </c>
    </row>
    <row r="10892">
      <c r="H10892" s="8" t="s">
        <v>364</v>
      </c>
    </row>
    <row r="10893">
      <c r="H10893" s="8" t="s">
        <v>364</v>
      </c>
    </row>
    <row r="10894">
      <c r="H10894" s="8" t="s">
        <v>364</v>
      </c>
    </row>
    <row r="10895">
      <c r="H10895" s="8" t="s">
        <v>364</v>
      </c>
    </row>
    <row r="10896">
      <c r="H10896" s="8" t="s">
        <v>364</v>
      </c>
    </row>
    <row r="10897">
      <c r="H10897" s="8" t="s">
        <v>364</v>
      </c>
    </row>
    <row r="10898">
      <c r="H10898" s="8" t="s">
        <v>364</v>
      </c>
    </row>
    <row r="10899">
      <c r="H10899" s="8" t="s">
        <v>364</v>
      </c>
    </row>
    <row r="10900">
      <c r="H10900" s="8" t="s">
        <v>364</v>
      </c>
    </row>
    <row r="10901">
      <c r="H10901" s="8" t="s">
        <v>364</v>
      </c>
    </row>
    <row r="10902">
      <c r="H10902" s="8" t="s">
        <v>364</v>
      </c>
    </row>
    <row r="10903">
      <c r="H10903" s="8" t="s">
        <v>364</v>
      </c>
    </row>
    <row r="10904">
      <c r="H10904" s="8" t="s">
        <v>364</v>
      </c>
    </row>
    <row r="10905">
      <c r="H10905" s="8" t="s">
        <v>364</v>
      </c>
    </row>
    <row r="10906">
      <c r="H10906" s="8" t="s">
        <v>364</v>
      </c>
    </row>
    <row r="10907">
      <c r="H10907" s="8" t="s">
        <v>364</v>
      </c>
    </row>
    <row r="10908">
      <c r="H10908" s="8" t="s">
        <v>364</v>
      </c>
    </row>
    <row r="10909">
      <c r="H10909" s="8" t="s">
        <v>364</v>
      </c>
    </row>
    <row r="10910">
      <c r="H10910" s="8" t="s">
        <v>364</v>
      </c>
    </row>
    <row r="10911">
      <c r="H10911" s="8" t="s">
        <v>364</v>
      </c>
    </row>
    <row r="10912">
      <c r="H10912" s="8" t="s">
        <v>364</v>
      </c>
    </row>
    <row r="10913">
      <c r="H10913" s="8" t="s">
        <v>364</v>
      </c>
    </row>
    <row r="10914">
      <c r="H10914" s="8" t="s">
        <v>364</v>
      </c>
    </row>
    <row r="10915">
      <c r="H10915" s="8" t="s">
        <v>364</v>
      </c>
    </row>
    <row r="10916">
      <c r="H10916" s="8" t="s">
        <v>364</v>
      </c>
    </row>
    <row r="10917">
      <c r="H10917" s="8" t="s">
        <v>364</v>
      </c>
    </row>
    <row r="10918">
      <c r="H10918" s="8" t="s">
        <v>364</v>
      </c>
    </row>
    <row r="10919">
      <c r="H10919" s="8" t="s">
        <v>364</v>
      </c>
    </row>
    <row r="10920">
      <c r="H10920" s="8" t="s">
        <v>364</v>
      </c>
    </row>
    <row r="10921">
      <c r="H10921" s="8" t="s">
        <v>364</v>
      </c>
    </row>
    <row r="10922">
      <c r="H10922" s="8" t="s">
        <v>364</v>
      </c>
    </row>
    <row r="10923">
      <c r="H10923" s="8" t="s">
        <v>364</v>
      </c>
    </row>
    <row r="10924">
      <c r="H10924" s="8" t="s">
        <v>364</v>
      </c>
    </row>
    <row r="10925">
      <c r="H10925" s="8" t="s">
        <v>364</v>
      </c>
    </row>
    <row r="10926">
      <c r="H10926" s="8" t="s">
        <v>364</v>
      </c>
    </row>
    <row r="10927">
      <c r="H10927" s="8" t="s">
        <v>364</v>
      </c>
    </row>
    <row r="10928">
      <c r="H10928" s="8" t="s">
        <v>364</v>
      </c>
    </row>
    <row r="10929">
      <c r="H10929" s="8" t="s">
        <v>364</v>
      </c>
    </row>
    <row r="10930">
      <c r="H10930" s="8" t="s">
        <v>364</v>
      </c>
    </row>
    <row r="10931">
      <c r="H10931" s="8" t="s">
        <v>364</v>
      </c>
    </row>
    <row r="10932">
      <c r="H10932" s="8" t="s">
        <v>364</v>
      </c>
    </row>
    <row r="10933">
      <c r="H10933" s="8" t="s">
        <v>364</v>
      </c>
    </row>
    <row r="10934">
      <c r="H10934" s="8" t="s">
        <v>364</v>
      </c>
    </row>
    <row r="10935">
      <c r="H10935" s="8" t="s">
        <v>364</v>
      </c>
    </row>
    <row r="10936">
      <c r="H10936" s="8" t="s">
        <v>364</v>
      </c>
    </row>
    <row r="10937">
      <c r="H10937" s="8" t="s">
        <v>364</v>
      </c>
    </row>
    <row r="10938">
      <c r="H10938" s="8" t="s">
        <v>364</v>
      </c>
    </row>
    <row r="10939">
      <c r="H10939" s="8" t="s">
        <v>364</v>
      </c>
    </row>
    <row r="10940">
      <c r="H10940" s="8" t="s">
        <v>364</v>
      </c>
    </row>
    <row r="10941">
      <c r="H10941" s="8" t="s">
        <v>364</v>
      </c>
    </row>
    <row r="10942">
      <c r="H10942" s="8" t="s">
        <v>364</v>
      </c>
    </row>
    <row r="10943">
      <c r="H10943" s="8" t="s">
        <v>364</v>
      </c>
    </row>
    <row r="10944">
      <c r="H10944" s="8" t="s">
        <v>364</v>
      </c>
    </row>
    <row r="10945">
      <c r="H10945" s="8" t="s">
        <v>364</v>
      </c>
    </row>
    <row r="10946">
      <c r="H10946" s="8" t="s">
        <v>364</v>
      </c>
    </row>
    <row r="10947">
      <c r="H10947" s="8" t="s">
        <v>364</v>
      </c>
    </row>
    <row r="10948">
      <c r="H10948" s="8" t="s">
        <v>364</v>
      </c>
    </row>
    <row r="10949">
      <c r="H10949" s="8" t="s">
        <v>364</v>
      </c>
    </row>
    <row r="10950">
      <c r="H10950" s="8" t="s">
        <v>364</v>
      </c>
    </row>
    <row r="10951">
      <c r="H10951" s="8" t="s">
        <v>364</v>
      </c>
    </row>
    <row r="10952">
      <c r="H10952" s="8" t="s">
        <v>364</v>
      </c>
    </row>
    <row r="10953">
      <c r="H10953" s="8" t="s">
        <v>364</v>
      </c>
    </row>
    <row r="10954">
      <c r="H10954" s="8" t="s">
        <v>364</v>
      </c>
    </row>
    <row r="10955">
      <c r="H10955" s="8" t="s">
        <v>364</v>
      </c>
    </row>
    <row r="10956">
      <c r="H10956" s="8" t="s">
        <v>364</v>
      </c>
    </row>
    <row r="10957">
      <c r="H10957" s="8" t="s">
        <v>364</v>
      </c>
    </row>
    <row r="10958">
      <c r="H10958" s="8" t="s">
        <v>364</v>
      </c>
    </row>
    <row r="10959">
      <c r="H10959" s="8" t="s">
        <v>364</v>
      </c>
    </row>
    <row r="10960">
      <c r="H10960" s="8" t="s">
        <v>364</v>
      </c>
    </row>
    <row r="10961">
      <c r="H10961" s="8" t="s">
        <v>364</v>
      </c>
    </row>
    <row r="10962">
      <c r="H10962" s="8" t="s">
        <v>364</v>
      </c>
    </row>
    <row r="10963">
      <c r="H10963" s="8" t="s">
        <v>364</v>
      </c>
    </row>
    <row r="10964">
      <c r="H10964" s="8" t="s">
        <v>364</v>
      </c>
    </row>
    <row r="10965">
      <c r="H10965" s="8" t="s">
        <v>364</v>
      </c>
    </row>
    <row r="10966">
      <c r="H10966" s="8" t="s">
        <v>364</v>
      </c>
    </row>
    <row r="10967">
      <c r="H10967" s="8" t="s">
        <v>364</v>
      </c>
    </row>
    <row r="10968">
      <c r="H10968" s="8" t="s">
        <v>364</v>
      </c>
    </row>
    <row r="10969">
      <c r="H10969" s="8" t="s">
        <v>364</v>
      </c>
    </row>
    <row r="10970">
      <c r="H10970" s="8" t="s">
        <v>364</v>
      </c>
    </row>
    <row r="10971">
      <c r="H10971" s="8" t="s">
        <v>364</v>
      </c>
    </row>
    <row r="10972">
      <c r="H10972" s="8" t="s">
        <v>364</v>
      </c>
    </row>
    <row r="10973">
      <c r="H10973" s="8" t="s">
        <v>364</v>
      </c>
    </row>
    <row r="10974">
      <c r="H10974" s="8" t="s">
        <v>364</v>
      </c>
    </row>
    <row r="10975">
      <c r="H10975" s="8" t="s">
        <v>364</v>
      </c>
    </row>
    <row r="10976">
      <c r="H10976" s="8" t="s">
        <v>364</v>
      </c>
    </row>
    <row r="10977">
      <c r="H10977" s="8" t="s">
        <v>364</v>
      </c>
    </row>
    <row r="10978">
      <c r="H10978" s="8" t="s">
        <v>364</v>
      </c>
    </row>
    <row r="10979">
      <c r="H10979" s="8" t="s">
        <v>364</v>
      </c>
    </row>
    <row r="10980">
      <c r="H10980" s="8" t="s">
        <v>364</v>
      </c>
    </row>
    <row r="10981">
      <c r="H10981" s="8" t="s">
        <v>364</v>
      </c>
    </row>
    <row r="10982">
      <c r="H10982" s="8" t="s">
        <v>364</v>
      </c>
    </row>
    <row r="10983">
      <c r="H10983" s="8" t="s">
        <v>364</v>
      </c>
    </row>
    <row r="10984">
      <c r="H10984" s="8" t="s">
        <v>364</v>
      </c>
    </row>
    <row r="10985">
      <c r="H10985" s="8" t="s">
        <v>364</v>
      </c>
    </row>
    <row r="10986">
      <c r="H10986" s="8" t="s">
        <v>364</v>
      </c>
    </row>
    <row r="10987">
      <c r="H10987" s="8" t="s">
        <v>364</v>
      </c>
    </row>
    <row r="10988">
      <c r="H10988" s="8" t="s">
        <v>364</v>
      </c>
    </row>
    <row r="10989">
      <c r="H10989" s="8" t="s">
        <v>364</v>
      </c>
    </row>
    <row r="10990">
      <c r="H10990" s="8" t="s">
        <v>364</v>
      </c>
    </row>
    <row r="10991">
      <c r="H10991" s="8" t="s">
        <v>364</v>
      </c>
    </row>
    <row r="10992">
      <c r="H10992" s="8" t="s">
        <v>364</v>
      </c>
    </row>
    <row r="10993">
      <c r="H10993" s="8" t="s">
        <v>364</v>
      </c>
    </row>
    <row r="10994">
      <c r="H10994" s="8" t="s">
        <v>364</v>
      </c>
    </row>
    <row r="10995">
      <c r="H10995" s="8" t="s">
        <v>364</v>
      </c>
    </row>
    <row r="10996">
      <c r="H10996" s="8" t="s">
        <v>364</v>
      </c>
    </row>
    <row r="10997">
      <c r="H10997" s="8" t="s">
        <v>364</v>
      </c>
    </row>
    <row r="10998">
      <c r="H10998" s="8" t="s">
        <v>364</v>
      </c>
    </row>
    <row r="10999">
      <c r="H10999" s="8" t="s">
        <v>364</v>
      </c>
    </row>
    <row r="11000">
      <c r="H11000" s="8" t="s">
        <v>364</v>
      </c>
    </row>
    <row r="11001">
      <c r="H11001" s="8" t="s">
        <v>364</v>
      </c>
    </row>
    <row r="11002">
      <c r="H11002" s="8" t="s">
        <v>364</v>
      </c>
    </row>
    <row r="11003">
      <c r="H11003" s="8" t="s">
        <v>364</v>
      </c>
    </row>
    <row r="11004">
      <c r="H11004" s="8" t="s">
        <v>364</v>
      </c>
    </row>
    <row r="11005">
      <c r="H11005" s="8" t="s">
        <v>364</v>
      </c>
    </row>
    <row r="11006">
      <c r="H11006" s="8" t="s">
        <v>364</v>
      </c>
    </row>
    <row r="11007">
      <c r="H11007" s="8" t="s">
        <v>364</v>
      </c>
    </row>
    <row r="11008">
      <c r="H11008" s="8" t="s">
        <v>364</v>
      </c>
    </row>
    <row r="11009">
      <c r="H11009" s="8" t="s">
        <v>364</v>
      </c>
    </row>
    <row r="11010">
      <c r="H11010" s="8" t="s">
        <v>364</v>
      </c>
    </row>
    <row r="11011">
      <c r="H11011" s="8" t="s">
        <v>364</v>
      </c>
    </row>
    <row r="11012">
      <c r="H11012" s="8" t="s">
        <v>364</v>
      </c>
    </row>
    <row r="11013">
      <c r="H11013" s="8" t="s">
        <v>364</v>
      </c>
    </row>
    <row r="11014">
      <c r="H11014" s="8" t="s">
        <v>364</v>
      </c>
    </row>
    <row r="11015">
      <c r="H11015" s="8" t="s">
        <v>364</v>
      </c>
    </row>
    <row r="11016">
      <c r="H11016" s="8" t="s">
        <v>364</v>
      </c>
    </row>
    <row r="11017">
      <c r="H11017" s="8" t="s">
        <v>364</v>
      </c>
    </row>
    <row r="11018">
      <c r="H11018" s="8" t="s">
        <v>364</v>
      </c>
    </row>
    <row r="11019">
      <c r="H11019" s="8" t="s">
        <v>364</v>
      </c>
    </row>
    <row r="11020">
      <c r="H11020" s="8" t="s">
        <v>364</v>
      </c>
    </row>
    <row r="11021">
      <c r="H11021" s="8" t="s">
        <v>364</v>
      </c>
    </row>
    <row r="11022">
      <c r="H11022" s="8" t="s">
        <v>364</v>
      </c>
    </row>
    <row r="11023">
      <c r="H11023" s="8" t="s">
        <v>364</v>
      </c>
    </row>
    <row r="11024">
      <c r="H11024" s="8" t="s">
        <v>364</v>
      </c>
    </row>
    <row r="11025">
      <c r="H11025" s="8" t="s">
        <v>364</v>
      </c>
    </row>
    <row r="11026">
      <c r="H11026" s="8" t="s">
        <v>364</v>
      </c>
    </row>
    <row r="11027">
      <c r="H11027" s="8" t="s">
        <v>364</v>
      </c>
    </row>
    <row r="11028">
      <c r="H11028" s="8" t="s">
        <v>364</v>
      </c>
    </row>
    <row r="11029">
      <c r="H11029" s="8" t="s">
        <v>364</v>
      </c>
    </row>
    <row r="11030">
      <c r="H11030" s="8" t="s">
        <v>364</v>
      </c>
    </row>
    <row r="11031">
      <c r="H11031" s="8" t="s">
        <v>364</v>
      </c>
    </row>
    <row r="11032">
      <c r="H11032" s="8" t="s">
        <v>364</v>
      </c>
    </row>
    <row r="11033">
      <c r="H11033" s="8" t="s">
        <v>364</v>
      </c>
    </row>
    <row r="11034">
      <c r="H11034" s="8" t="s">
        <v>364</v>
      </c>
    </row>
    <row r="11035">
      <c r="H11035" s="8" t="s">
        <v>364</v>
      </c>
    </row>
    <row r="11036">
      <c r="H11036" s="8" t="s">
        <v>364</v>
      </c>
    </row>
    <row r="11037">
      <c r="H11037" s="8" t="s">
        <v>364</v>
      </c>
    </row>
    <row r="11038">
      <c r="H11038" s="8" t="s">
        <v>364</v>
      </c>
    </row>
    <row r="11039">
      <c r="H11039" s="8" t="s">
        <v>364</v>
      </c>
    </row>
    <row r="11040">
      <c r="H11040" s="8" t="s">
        <v>364</v>
      </c>
    </row>
    <row r="11041">
      <c r="H11041" s="8" t="s">
        <v>364</v>
      </c>
    </row>
    <row r="11042">
      <c r="H11042" s="8" t="s">
        <v>364</v>
      </c>
    </row>
    <row r="11043">
      <c r="H11043" s="8" t="s">
        <v>364</v>
      </c>
    </row>
    <row r="11044">
      <c r="H11044" s="8" t="s">
        <v>364</v>
      </c>
    </row>
    <row r="11045">
      <c r="H11045" s="8" t="s">
        <v>364</v>
      </c>
    </row>
    <row r="11046">
      <c r="H11046" s="8" t="s">
        <v>364</v>
      </c>
    </row>
    <row r="11047">
      <c r="H11047" s="8" t="s">
        <v>364</v>
      </c>
    </row>
    <row r="11048">
      <c r="H11048" s="8" t="s">
        <v>364</v>
      </c>
    </row>
    <row r="11049">
      <c r="H11049" s="8" t="s">
        <v>364</v>
      </c>
    </row>
    <row r="11050">
      <c r="H11050" s="8" t="s">
        <v>364</v>
      </c>
    </row>
    <row r="11051">
      <c r="H11051" s="8" t="s">
        <v>364</v>
      </c>
    </row>
    <row r="11052">
      <c r="H11052" s="8" t="s">
        <v>364</v>
      </c>
    </row>
    <row r="11053">
      <c r="H11053" s="8" t="s">
        <v>364</v>
      </c>
    </row>
    <row r="11054">
      <c r="H11054" s="8" t="s">
        <v>364</v>
      </c>
    </row>
    <row r="11055">
      <c r="H11055" s="8" t="s">
        <v>364</v>
      </c>
    </row>
    <row r="11056">
      <c r="H11056" s="8" t="s">
        <v>364</v>
      </c>
    </row>
    <row r="11057">
      <c r="H11057" s="8" t="s">
        <v>364</v>
      </c>
    </row>
    <row r="11058">
      <c r="H11058" s="8" t="s">
        <v>364</v>
      </c>
    </row>
    <row r="11059">
      <c r="H11059" s="8" t="s">
        <v>364</v>
      </c>
    </row>
    <row r="11060">
      <c r="H11060" s="8" t="s">
        <v>364</v>
      </c>
    </row>
    <row r="11061">
      <c r="H11061" s="8" t="s">
        <v>364</v>
      </c>
    </row>
    <row r="11062">
      <c r="H11062" s="8" t="s">
        <v>364</v>
      </c>
    </row>
    <row r="11063">
      <c r="H11063" s="8" t="s">
        <v>364</v>
      </c>
    </row>
    <row r="11064">
      <c r="H11064" s="8" t="s">
        <v>364</v>
      </c>
    </row>
    <row r="11065">
      <c r="H11065" s="8" t="s">
        <v>364</v>
      </c>
    </row>
    <row r="11066">
      <c r="H11066" s="8" t="s">
        <v>364</v>
      </c>
    </row>
    <row r="11067">
      <c r="H11067" s="8" t="s">
        <v>364</v>
      </c>
    </row>
    <row r="11068">
      <c r="H11068" s="8" t="s">
        <v>364</v>
      </c>
    </row>
    <row r="11069">
      <c r="H11069" s="8" t="s">
        <v>364</v>
      </c>
    </row>
    <row r="11070">
      <c r="H11070" s="8" t="s">
        <v>364</v>
      </c>
    </row>
    <row r="11071">
      <c r="H11071" s="8" t="s">
        <v>364</v>
      </c>
    </row>
    <row r="11072">
      <c r="H11072" s="8" t="s">
        <v>364</v>
      </c>
    </row>
    <row r="11073">
      <c r="H11073" s="8" t="s">
        <v>364</v>
      </c>
    </row>
    <row r="11074">
      <c r="H11074" s="8" t="s">
        <v>364</v>
      </c>
    </row>
    <row r="11075">
      <c r="H11075" s="8" t="s">
        <v>364</v>
      </c>
    </row>
    <row r="11076">
      <c r="H11076" s="8" t="s">
        <v>364</v>
      </c>
    </row>
    <row r="11077">
      <c r="H11077" s="8" t="s">
        <v>364</v>
      </c>
    </row>
    <row r="11078">
      <c r="H11078" s="8" t="s">
        <v>364</v>
      </c>
    </row>
    <row r="11079">
      <c r="H11079" s="8" t="s">
        <v>364</v>
      </c>
    </row>
    <row r="11080">
      <c r="H11080" s="8" t="s">
        <v>364</v>
      </c>
    </row>
    <row r="11081">
      <c r="H11081" s="8" t="s">
        <v>364</v>
      </c>
    </row>
    <row r="11082">
      <c r="H11082" s="8" t="s">
        <v>364</v>
      </c>
    </row>
    <row r="11083">
      <c r="H11083" s="8" t="s">
        <v>364</v>
      </c>
    </row>
    <row r="11084">
      <c r="H11084" s="8" t="s">
        <v>364</v>
      </c>
    </row>
    <row r="11085">
      <c r="H11085" s="8" t="s">
        <v>364</v>
      </c>
    </row>
    <row r="11086">
      <c r="H11086" s="8" t="s">
        <v>364</v>
      </c>
    </row>
    <row r="11087">
      <c r="H11087" s="8" t="s">
        <v>364</v>
      </c>
    </row>
    <row r="11088">
      <c r="H11088" s="8" t="s">
        <v>364</v>
      </c>
    </row>
    <row r="11089">
      <c r="H11089" s="8" t="s">
        <v>364</v>
      </c>
    </row>
    <row r="11090">
      <c r="H11090" s="8" t="s">
        <v>364</v>
      </c>
    </row>
    <row r="11091">
      <c r="H11091" s="8" t="s">
        <v>364</v>
      </c>
    </row>
    <row r="11092">
      <c r="H11092" s="8" t="s">
        <v>364</v>
      </c>
    </row>
    <row r="11093">
      <c r="H11093" s="8" t="s">
        <v>364</v>
      </c>
    </row>
    <row r="11094">
      <c r="H11094" s="8" t="s">
        <v>364</v>
      </c>
    </row>
    <row r="11095">
      <c r="H11095" s="8" t="s">
        <v>364</v>
      </c>
    </row>
    <row r="11096">
      <c r="H11096" s="8" t="s">
        <v>364</v>
      </c>
    </row>
    <row r="11097">
      <c r="H11097" s="8" t="s">
        <v>364</v>
      </c>
    </row>
    <row r="11098">
      <c r="H11098" s="8" t="s">
        <v>364</v>
      </c>
    </row>
    <row r="11099">
      <c r="H11099" s="8" t="s">
        <v>364</v>
      </c>
    </row>
    <row r="11100">
      <c r="H11100" s="8" t="s">
        <v>364</v>
      </c>
    </row>
    <row r="11101">
      <c r="H11101" s="8" t="s">
        <v>364</v>
      </c>
    </row>
    <row r="11102">
      <c r="H11102" s="8" t="s">
        <v>364</v>
      </c>
    </row>
    <row r="11103">
      <c r="H11103" s="8" t="s">
        <v>364</v>
      </c>
    </row>
    <row r="11104">
      <c r="H11104" s="8" t="s">
        <v>364</v>
      </c>
    </row>
    <row r="11105">
      <c r="H11105" s="8" t="s">
        <v>364</v>
      </c>
    </row>
    <row r="11106">
      <c r="H11106" s="8" t="s">
        <v>364</v>
      </c>
    </row>
    <row r="11107">
      <c r="H11107" s="8" t="s">
        <v>364</v>
      </c>
    </row>
    <row r="11108">
      <c r="H11108" s="8" t="s">
        <v>364</v>
      </c>
    </row>
    <row r="11109">
      <c r="H11109" s="8" t="s">
        <v>364</v>
      </c>
    </row>
    <row r="11110">
      <c r="H11110" s="8" t="s">
        <v>364</v>
      </c>
    </row>
    <row r="11111">
      <c r="H11111" s="8" t="s">
        <v>364</v>
      </c>
    </row>
    <row r="11112">
      <c r="H11112" s="8" t="s">
        <v>364</v>
      </c>
    </row>
    <row r="11113">
      <c r="H11113" s="8" t="s">
        <v>364</v>
      </c>
    </row>
    <row r="11114">
      <c r="H11114" s="8" t="s">
        <v>364</v>
      </c>
    </row>
    <row r="11115">
      <c r="H11115" s="8" t="s">
        <v>364</v>
      </c>
    </row>
    <row r="11116">
      <c r="H11116" s="8" t="s">
        <v>364</v>
      </c>
    </row>
    <row r="11117">
      <c r="H11117" s="8" t="s">
        <v>364</v>
      </c>
    </row>
    <row r="11118">
      <c r="H11118" s="8" t="s">
        <v>364</v>
      </c>
    </row>
    <row r="11119">
      <c r="H11119" s="8" t="s">
        <v>364</v>
      </c>
    </row>
    <row r="11120">
      <c r="H11120" s="8" t="s">
        <v>364</v>
      </c>
    </row>
    <row r="11121">
      <c r="H11121" s="8" t="s">
        <v>364</v>
      </c>
    </row>
    <row r="11122">
      <c r="H11122" s="8" t="s">
        <v>364</v>
      </c>
    </row>
    <row r="11123">
      <c r="H11123" s="8" t="s">
        <v>364</v>
      </c>
    </row>
    <row r="11124">
      <c r="H11124" s="8" t="s">
        <v>364</v>
      </c>
    </row>
    <row r="11125">
      <c r="H11125" s="8" t="s">
        <v>364</v>
      </c>
    </row>
    <row r="11126">
      <c r="H11126" s="8" t="s">
        <v>364</v>
      </c>
    </row>
    <row r="11127">
      <c r="H11127" s="8" t="s">
        <v>364</v>
      </c>
    </row>
    <row r="11128">
      <c r="H11128" s="8" t="s">
        <v>364</v>
      </c>
    </row>
    <row r="11129">
      <c r="H11129" s="8" t="s">
        <v>364</v>
      </c>
    </row>
    <row r="11130">
      <c r="H11130" s="8" t="s">
        <v>364</v>
      </c>
    </row>
    <row r="11131">
      <c r="H11131" s="8" t="s">
        <v>364</v>
      </c>
    </row>
    <row r="11132">
      <c r="H11132" s="8" t="s">
        <v>364</v>
      </c>
    </row>
    <row r="11133">
      <c r="H11133" s="8" t="s">
        <v>364</v>
      </c>
    </row>
    <row r="11134">
      <c r="H11134" s="8" t="s">
        <v>364</v>
      </c>
    </row>
    <row r="11135">
      <c r="H11135" s="8" t="s">
        <v>364</v>
      </c>
    </row>
    <row r="11136">
      <c r="H11136" s="8" t="s">
        <v>364</v>
      </c>
    </row>
    <row r="11137">
      <c r="H11137" s="8" t="s">
        <v>364</v>
      </c>
    </row>
    <row r="11138">
      <c r="H11138" s="8" t="s">
        <v>364</v>
      </c>
    </row>
    <row r="11139">
      <c r="H11139" s="8" t="s">
        <v>364</v>
      </c>
    </row>
    <row r="11140">
      <c r="H11140" s="8" t="s">
        <v>364</v>
      </c>
    </row>
    <row r="11141">
      <c r="H11141" s="8" t="s">
        <v>364</v>
      </c>
    </row>
    <row r="11142">
      <c r="H11142" s="8" t="s">
        <v>364</v>
      </c>
    </row>
    <row r="11143">
      <c r="H11143" s="8" t="s">
        <v>364</v>
      </c>
    </row>
    <row r="11144">
      <c r="H11144" s="8" t="s">
        <v>364</v>
      </c>
    </row>
    <row r="11145">
      <c r="H11145" s="8" t="s">
        <v>364</v>
      </c>
    </row>
    <row r="11146">
      <c r="H11146" s="8" t="s">
        <v>364</v>
      </c>
    </row>
    <row r="11147">
      <c r="H11147" s="8" t="s">
        <v>364</v>
      </c>
    </row>
    <row r="11148">
      <c r="H11148" s="8" t="s">
        <v>364</v>
      </c>
    </row>
    <row r="11149">
      <c r="H11149" s="8" t="s">
        <v>364</v>
      </c>
    </row>
    <row r="11150">
      <c r="H11150" s="8" t="s">
        <v>364</v>
      </c>
    </row>
    <row r="11151">
      <c r="H11151" s="8" t="s">
        <v>364</v>
      </c>
    </row>
    <row r="11152">
      <c r="H11152" s="8" t="s">
        <v>364</v>
      </c>
    </row>
    <row r="11153">
      <c r="H11153" s="8" t="s">
        <v>364</v>
      </c>
    </row>
    <row r="11154">
      <c r="H11154" s="8" t="s">
        <v>364</v>
      </c>
    </row>
    <row r="11155">
      <c r="H11155" s="8" t="s">
        <v>364</v>
      </c>
    </row>
    <row r="11156">
      <c r="H11156" s="8" t="s">
        <v>364</v>
      </c>
    </row>
    <row r="11157">
      <c r="H11157" s="8" t="s">
        <v>364</v>
      </c>
    </row>
    <row r="11158">
      <c r="H11158" s="8" t="s">
        <v>364</v>
      </c>
    </row>
    <row r="11159">
      <c r="H11159" s="8" t="s">
        <v>364</v>
      </c>
    </row>
    <row r="11160">
      <c r="H11160" s="8" t="s">
        <v>364</v>
      </c>
    </row>
    <row r="11161">
      <c r="H11161" s="8" t="s">
        <v>364</v>
      </c>
    </row>
    <row r="11162">
      <c r="H11162" s="8" t="s">
        <v>364</v>
      </c>
    </row>
    <row r="11163">
      <c r="H11163" s="8" t="s">
        <v>364</v>
      </c>
    </row>
    <row r="11164">
      <c r="H11164" s="8" t="s">
        <v>364</v>
      </c>
    </row>
    <row r="11165">
      <c r="H11165" s="8" t="s">
        <v>364</v>
      </c>
    </row>
    <row r="11166">
      <c r="H11166" s="8" t="s">
        <v>364</v>
      </c>
    </row>
    <row r="11167">
      <c r="H11167" s="8" t="s">
        <v>364</v>
      </c>
    </row>
    <row r="11168">
      <c r="H11168" s="8" t="s">
        <v>364</v>
      </c>
    </row>
    <row r="11169">
      <c r="H11169" s="8" t="s">
        <v>364</v>
      </c>
    </row>
    <row r="11170">
      <c r="H11170" s="8" t="s">
        <v>364</v>
      </c>
    </row>
    <row r="11171">
      <c r="H11171" s="8" t="s">
        <v>364</v>
      </c>
    </row>
    <row r="11172">
      <c r="H11172" s="8" t="s">
        <v>364</v>
      </c>
    </row>
    <row r="11173">
      <c r="H11173" s="8" t="s">
        <v>364</v>
      </c>
    </row>
    <row r="11174">
      <c r="H11174" s="8" t="s">
        <v>364</v>
      </c>
    </row>
    <row r="11175">
      <c r="H11175" s="8" t="s">
        <v>364</v>
      </c>
    </row>
    <row r="11176">
      <c r="H11176" s="8" t="s">
        <v>364</v>
      </c>
    </row>
    <row r="11177">
      <c r="H11177" s="8" t="s">
        <v>364</v>
      </c>
    </row>
    <row r="11178">
      <c r="H11178" s="8" t="s">
        <v>364</v>
      </c>
    </row>
    <row r="11179">
      <c r="H11179" s="8" t="s">
        <v>364</v>
      </c>
    </row>
    <row r="11180">
      <c r="H11180" s="8" t="s">
        <v>364</v>
      </c>
    </row>
    <row r="11181">
      <c r="H11181" s="8" t="s">
        <v>364</v>
      </c>
    </row>
    <row r="11182">
      <c r="H11182" s="8" t="s">
        <v>364</v>
      </c>
    </row>
    <row r="11183">
      <c r="H11183" s="8" t="s">
        <v>364</v>
      </c>
    </row>
    <row r="11184">
      <c r="H11184" s="8" t="s">
        <v>364</v>
      </c>
    </row>
    <row r="11185">
      <c r="H11185" s="8" t="s">
        <v>364</v>
      </c>
    </row>
    <row r="11186">
      <c r="H11186" s="8" t="s">
        <v>364</v>
      </c>
    </row>
    <row r="11187">
      <c r="H11187" s="8" t="s">
        <v>364</v>
      </c>
    </row>
    <row r="11188">
      <c r="H11188" s="8" t="s">
        <v>364</v>
      </c>
    </row>
    <row r="11189">
      <c r="H11189" s="8" t="s">
        <v>364</v>
      </c>
    </row>
    <row r="11190">
      <c r="H11190" s="8" t="s">
        <v>364</v>
      </c>
    </row>
    <row r="11191">
      <c r="H11191" s="8" t="s">
        <v>364</v>
      </c>
    </row>
    <row r="11192">
      <c r="H11192" s="8" t="s">
        <v>364</v>
      </c>
    </row>
    <row r="11193">
      <c r="H11193" s="8" t="s">
        <v>364</v>
      </c>
    </row>
    <row r="11194">
      <c r="H11194" s="8" t="s">
        <v>364</v>
      </c>
    </row>
    <row r="11195">
      <c r="H11195" s="8" t="s">
        <v>364</v>
      </c>
    </row>
    <row r="11196">
      <c r="H11196" s="8" t="s">
        <v>364</v>
      </c>
    </row>
    <row r="11197">
      <c r="H11197" s="8" t="s">
        <v>364</v>
      </c>
    </row>
    <row r="11198">
      <c r="H11198" s="8" t="s">
        <v>364</v>
      </c>
    </row>
    <row r="11199">
      <c r="H11199" s="8" t="s">
        <v>364</v>
      </c>
    </row>
    <row r="11200">
      <c r="H11200" s="8" t="s">
        <v>364</v>
      </c>
    </row>
    <row r="11201">
      <c r="H11201" s="8" t="s">
        <v>364</v>
      </c>
    </row>
    <row r="11202">
      <c r="H11202" s="8" t="s">
        <v>364</v>
      </c>
    </row>
    <row r="11203">
      <c r="H11203" s="8" t="s">
        <v>364</v>
      </c>
    </row>
    <row r="11204">
      <c r="H11204" s="8" t="s">
        <v>364</v>
      </c>
    </row>
    <row r="11205">
      <c r="H11205" s="8" t="s">
        <v>364</v>
      </c>
    </row>
    <row r="11206">
      <c r="H11206" s="8" t="s">
        <v>364</v>
      </c>
    </row>
    <row r="11207">
      <c r="H11207" s="8" t="s">
        <v>364</v>
      </c>
    </row>
    <row r="11208">
      <c r="H11208" s="8" t="s">
        <v>364</v>
      </c>
    </row>
    <row r="11209">
      <c r="H11209" s="8" t="s">
        <v>364</v>
      </c>
    </row>
    <row r="11210">
      <c r="H11210" s="8" t="s">
        <v>364</v>
      </c>
    </row>
    <row r="11211">
      <c r="H11211" s="8" t="s">
        <v>364</v>
      </c>
    </row>
    <row r="11212">
      <c r="H11212" s="8" t="s">
        <v>364</v>
      </c>
    </row>
    <row r="11213">
      <c r="H11213" s="8" t="s">
        <v>364</v>
      </c>
    </row>
    <row r="11214">
      <c r="H11214" s="8" t="s">
        <v>364</v>
      </c>
    </row>
    <row r="11215">
      <c r="H11215" s="8" t="s">
        <v>364</v>
      </c>
    </row>
    <row r="11216">
      <c r="H11216" s="8" t="s">
        <v>364</v>
      </c>
    </row>
    <row r="11217">
      <c r="H11217" s="8" t="s">
        <v>364</v>
      </c>
    </row>
    <row r="11218">
      <c r="H11218" s="8" t="s">
        <v>364</v>
      </c>
    </row>
    <row r="11219">
      <c r="H11219" s="8" t="s">
        <v>364</v>
      </c>
    </row>
    <row r="11220">
      <c r="H11220" s="8" t="s">
        <v>364</v>
      </c>
    </row>
    <row r="11221">
      <c r="H11221" s="8" t="s">
        <v>364</v>
      </c>
    </row>
    <row r="11222">
      <c r="H11222" s="8" t="s">
        <v>364</v>
      </c>
    </row>
    <row r="11223">
      <c r="H11223" s="8" t="s">
        <v>364</v>
      </c>
    </row>
    <row r="11224">
      <c r="H11224" s="8" t="s">
        <v>364</v>
      </c>
    </row>
    <row r="11225">
      <c r="H11225" s="8" t="s">
        <v>364</v>
      </c>
    </row>
    <row r="11226">
      <c r="H11226" s="8" t="s">
        <v>364</v>
      </c>
    </row>
    <row r="11227">
      <c r="H11227" s="8" t="s">
        <v>364</v>
      </c>
    </row>
    <row r="11228">
      <c r="H11228" s="8" t="s">
        <v>364</v>
      </c>
    </row>
    <row r="11229">
      <c r="H11229" s="8" t="s">
        <v>364</v>
      </c>
    </row>
    <row r="11230">
      <c r="H11230" s="8" t="s">
        <v>364</v>
      </c>
    </row>
    <row r="11231">
      <c r="H11231" s="8" t="s">
        <v>364</v>
      </c>
    </row>
    <row r="11232">
      <c r="H11232" s="8" t="s">
        <v>364</v>
      </c>
    </row>
    <row r="11233">
      <c r="H11233" s="8" t="s">
        <v>364</v>
      </c>
    </row>
    <row r="11234">
      <c r="H11234" s="8" t="s">
        <v>364</v>
      </c>
    </row>
    <row r="11235">
      <c r="H11235" s="8" t="s">
        <v>364</v>
      </c>
    </row>
    <row r="11236">
      <c r="H11236" s="8" t="s">
        <v>364</v>
      </c>
    </row>
    <row r="11237">
      <c r="H11237" s="8" t="s">
        <v>364</v>
      </c>
    </row>
    <row r="11238">
      <c r="H11238" s="8" t="s">
        <v>364</v>
      </c>
    </row>
    <row r="11239">
      <c r="H11239" s="8" t="s">
        <v>364</v>
      </c>
    </row>
    <row r="11240">
      <c r="H11240" s="8" t="s">
        <v>364</v>
      </c>
    </row>
    <row r="11241">
      <c r="H11241" s="8" t="s">
        <v>364</v>
      </c>
    </row>
    <row r="11242">
      <c r="H11242" s="8" t="s">
        <v>364</v>
      </c>
    </row>
    <row r="11243">
      <c r="H11243" s="8" t="s">
        <v>364</v>
      </c>
    </row>
    <row r="11244">
      <c r="H11244" s="8" t="s">
        <v>364</v>
      </c>
    </row>
    <row r="11245">
      <c r="H11245" s="8" t="s">
        <v>364</v>
      </c>
    </row>
    <row r="11246">
      <c r="H11246" s="8" t="s">
        <v>364</v>
      </c>
    </row>
    <row r="11247">
      <c r="H11247" s="8" t="s">
        <v>364</v>
      </c>
    </row>
    <row r="11248">
      <c r="H11248" s="8" t="s">
        <v>364</v>
      </c>
    </row>
    <row r="11249">
      <c r="H11249" s="8" t="s">
        <v>364</v>
      </c>
    </row>
    <row r="11250">
      <c r="H11250" s="8" t="s">
        <v>364</v>
      </c>
    </row>
    <row r="11251">
      <c r="H11251" s="8" t="s">
        <v>364</v>
      </c>
    </row>
    <row r="11252">
      <c r="H11252" s="8" t="s">
        <v>364</v>
      </c>
    </row>
    <row r="11253">
      <c r="H11253" s="8" t="s">
        <v>364</v>
      </c>
    </row>
    <row r="11254">
      <c r="H11254" s="8" t="s">
        <v>364</v>
      </c>
    </row>
    <row r="11255">
      <c r="H11255" s="8" t="s">
        <v>364</v>
      </c>
    </row>
    <row r="11256">
      <c r="H11256" s="8" t="s">
        <v>364</v>
      </c>
    </row>
    <row r="11257">
      <c r="H11257" s="8" t="s">
        <v>364</v>
      </c>
    </row>
    <row r="11258">
      <c r="H11258" s="8" t="s">
        <v>364</v>
      </c>
    </row>
    <row r="11259">
      <c r="H11259" s="8" t="s">
        <v>364</v>
      </c>
    </row>
    <row r="11260">
      <c r="H11260" s="8" t="s">
        <v>364</v>
      </c>
    </row>
    <row r="11261">
      <c r="H11261" s="8" t="s">
        <v>364</v>
      </c>
    </row>
    <row r="11262">
      <c r="H11262" s="8" t="s">
        <v>364</v>
      </c>
    </row>
    <row r="11263">
      <c r="H11263" s="8" t="s">
        <v>364</v>
      </c>
    </row>
    <row r="11264">
      <c r="H11264" s="8" t="s">
        <v>364</v>
      </c>
    </row>
    <row r="11265">
      <c r="H11265" s="8" t="s">
        <v>364</v>
      </c>
    </row>
    <row r="11266">
      <c r="H11266" s="8" t="s">
        <v>364</v>
      </c>
    </row>
    <row r="11267">
      <c r="H11267" s="8" t="s">
        <v>364</v>
      </c>
    </row>
    <row r="11268">
      <c r="H11268" s="8" t="s">
        <v>364</v>
      </c>
    </row>
    <row r="11269">
      <c r="H11269" s="8" t="s">
        <v>364</v>
      </c>
    </row>
    <row r="11270">
      <c r="H11270" s="8" t="s">
        <v>364</v>
      </c>
    </row>
    <row r="11271">
      <c r="H11271" s="8" t="s">
        <v>364</v>
      </c>
    </row>
    <row r="11272">
      <c r="H11272" s="8" t="s">
        <v>364</v>
      </c>
    </row>
    <row r="11273">
      <c r="H11273" s="8" t="s">
        <v>364</v>
      </c>
    </row>
    <row r="11274">
      <c r="H11274" s="8" t="s">
        <v>364</v>
      </c>
    </row>
    <row r="11275">
      <c r="H11275" s="8" t="s">
        <v>364</v>
      </c>
    </row>
    <row r="11276">
      <c r="H11276" s="8" t="s">
        <v>364</v>
      </c>
    </row>
    <row r="11277">
      <c r="H11277" s="8" t="s">
        <v>364</v>
      </c>
    </row>
    <row r="11278">
      <c r="H11278" s="8" t="s">
        <v>364</v>
      </c>
    </row>
    <row r="11279">
      <c r="H11279" s="8" t="s">
        <v>364</v>
      </c>
    </row>
    <row r="11280">
      <c r="H11280" s="8" t="s">
        <v>364</v>
      </c>
    </row>
    <row r="11281">
      <c r="H11281" s="8" t="s">
        <v>364</v>
      </c>
    </row>
    <row r="11282">
      <c r="H11282" s="8" t="s">
        <v>364</v>
      </c>
    </row>
    <row r="11283">
      <c r="H11283" s="8" t="s">
        <v>364</v>
      </c>
    </row>
    <row r="11284">
      <c r="H11284" s="8" t="s">
        <v>364</v>
      </c>
    </row>
    <row r="11285">
      <c r="H11285" s="8" t="s">
        <v>364</v>
      </c>
    </row>
    <row r="11286">
      <c r="H11286" s="8" t="s">
        <v>364</v>
      </c>
    </row>
    <row r="11287">
      <c r="H11287" s="8" t="s">
        <v>364</v>
      </c>
    </row>
    <row r="11288">
      <c r="H11288" s="8" t="s">
        <v>364</v>
      </c>
    </row>
    <row r="11289">
      <c r="H11289" s="8" t="s">
        <v>364</v>
      </c>
    </row>
    <row r="11290">
      <c r="H11290" s="8" t="s">
        <v>364</v>
      </c>
    </row>
    <row r="11291">
      <c r="H11291" s="8" t="s">
        <v>364</v>
      </c>
    </row>
    <row r="11292">
      <c r="H11292" s="8" t="s">
        <v>364</v>
      </c>
    </row>
    <row r="11293">
      <c r="H11293" s="8" t="s">
        <v>364</v>
      </c>
    </row>
    <row r="11294">
      <c r="H11294" s="8" t="s">
        <v>364</v>
      </c>
    </row>
    <row r="11295">
      <c r="H11295" s="8" t="s">
        <v>364</v>
      </c>
    </row>
    <row r="11296">
      <c r="H11296" s="8" t="s">
        <v>364</v>
      </c>
    </row>
    <row r="11297">
      <c r="H11297" s="8" t="s">
        <v>364</v>
      </c>
    </row>
    <row r="11298">
      <c r="H11298" s="8" t="s">
        <v>364</v>
      </c>
    </row>
    <row r="11299">
      <c r="H11299" s="8" t="s">
        <v>364</v>
      </c>
    </row>
    <row r="11300">
      <c r="H11300" s="8" t="s">
        <v>364</v>
      </c>
    </row>
    <row r="11301">
      <c r="H11301" s="8" t="s">
        <v>364</v>
      </c>
    </row>
    <row r="11302">
      <c r="H11302" s="8" t="s">
        <v>364</v>
      </c>
    </row>
    <row r="11303">
      <c r="H11303" s="8" t="s">
        <v>364</v>
      </c>
    </row>
    <row r="11304">
      <c r="H11304" s="8" t="s">
        <v>364</v>
      </c>
    </row>
    <row r="11305">
      <c r="H11305" s="8" t="s">
        <v>364</v>
      </c>
    </row>
    <row r="11306">
      <c r="H11306" s="8" t="s">
        <v>364</v>
      </c>
    </row>
    <row r="11307">
      <c r="H11307" s="8" t="s">
        <v>364</v>
      </c>
    </row>
    <row r="11308">
      <c r="H11308" s="8" t="s">
        <v>364</v>
      </c>
    </row>
    <row r="11309">
      <c r="H11309" s="8" t="s">
        <v>364</v>
      </c>
    </row>
    <row r="11310">
      <c r="H11310" s="8" t="s">
        <v>364</v>
      </c>
    </row>
    <row r="11311">
      <c r="H11311" s="8" t="s">
        <v>364</v>
      </c>
    </row>
    <row r="11312">
      <c r="H11312" s="8" t="s">
        <v>364</v>
      </c>
    </row>
    <row r="11313">
      <c r="H11313" s="8" t="s">
        <v>364</v>
      </c>
    </row>
    <row r="11314">
      <c r="H11314" s="8" t="s">
        <v>364</v>
      </c>
    </row>
    <row r="11315">
      <c r="H11315" s="8" t="s">
        <v>364</v>
      </c>
    </row>
    <row r="11316">
      <c r="H11316" s="8" t="s">
        <v>364</v>
      </c>
    </row>
    <row r="11317">
      <c r="H11317" s="8" t="s">
        <v>364</v>
      </c>
    </row>
    <row r="11318">
      <c r="H11318" s="8" t="s">
        <v>364</v>
      </c>
    </row>
    <row r="11319">
      <c r="H11319" s="8" t="s">
        <v>364</v>
      </c>
    </row>
    <row r="11320">
      <c r="H11320" s="8" t="s">
        <v>364</v>
      </c>
    </row>
    <row r="11321">
      <c r="H11321" s="8" t="s">
        <v>364</v>
      </c>
    </row>
    <row r="11322">
      <c r="H11322" s="8" t="s">
        <v>364</v>
      </c>
    </row>
    <row r="11323">
      <c r="H11323" s="8" t="s">
        <v>364</v>
      </c>
    </row>
    <row r="11324">
      <c r="H11324" s="8" t="s">
        <v>364</v>
      </c>
    </row>
    <row r="11325">
      <c r="H11325" s="8" t="s">
        <v>364</v>
      </c>
    </row>
    <row r="11326">
      <c r="H11326" s="8" t="s">
        <v>364</v>
      </c>
    </row>
    <row r="11327">
      <c r="H11327" s="8" t="s">
        <v>364</v>
      </c>
    </row>
    <row r="11328">
      <c r="H11328" s="8" t="s">
        <v>364</v>
      </c>
    </row>
    <row r="11329">
      <c r="H11329" s="8" t="s">
        <v>364</v>
      </c>
    </row>
    <row r="11330">
      <c r="H11330" s="8" t="s">
        <v>364</v>
      </c>
    </row>
    <row r="11331">
      <c r="H11331" s="8" t="s">
        <v>364</v>
      </c>
    </row>
    <row r="11332">
      <c r="H11332" s="8" t="s">
        <v>364</v>
      </c>
    </row>
    <row r="11333">
      <c r="H11333" s="8" t="s">
        <v>364</v>
      </c>
    </row>
    <row r="11334">
      <c r="H11334" s="8" t="s">
        <v>364</v>
      </c>
    </row>
    <row r="11335">
      <c r="H11335" s="8" t="s">
        <v>364</v>
      </c>
    </row>
    <row r="11336">
      <c r="H11336" s="8" t="s">
        <v>364</v>
      </c>
    </row>
    <row r="11337">
      <c r="H11337" s="8" t="s">
        <v>364</v>
      </c>
    </row>
    <row r="11338">
      <c r="H11338" s="8" t="s">
        <v>364</v>
      </c>
    </row>
    <row r="11339">
      <c r="H11339" s="8" t="s">
        <v>364</v>
      </c>
    </row>
    <row r="11340">
      <c r="H11340" s="8" t="s">
        <v>364</v>
      </c>
    </row>
    <row r="11341">
      <c r="H11341" s="8" t="s">
        <v>364</v>
      </c>
    </row>
    <row r="11342">
      <c r="H11342" s="8" t="s">
        <v>364</v>
      </c>
    </row>
    <row r="11343">
      <c r="H11343" s="8" t="s">
        <v>364</v>
      </c>
    </row>
    <row r="11344">
      <c r="H11344" s="8" t="s">
        <v>364</v>
      </c>
    </row>
    <row r="11345">
      <c r="H11345" s="8" t="s">
        <v>364</v>
      </c>
    </row>
    <row r="11346">
      <c r="H11346" s="8" t="s">
        <v>364</v>
      </c>
    </row>
    <row r="11347">
      <c r="H11347" s="8" t="s">
        <v>364</v>
      </c>
    </row>
    <row r="11348">
      <c r="H11348" s="8" t="s">
        <v>364</v>
      </c>
    </row>
    <row r="11349">
      <c r="H11349" s="8" t="s">
        <v>364</v>
      </c>
    </row>
    <row r="11350">
      <c r="H11350" s="8" t="s">
        <v>364</v>
      </c>
    </row>
    <row r="11351">
      <c r="H11351" s="8" t="s">
        <v>364</v>
      </c>
    </row>
    <row r="11352">
      <c r="H11352" s="8" t="s">
        <v>364</v>
      </c>
    </row>
    <row r="11353">
      <c r="H11353" s="8" t="s">
        <v>364</v>
      </c>
    </row>
    <row r="11354">
      <c r="H11354" s="8" t="s">
        <v>364</v>
      </c>
    </row>
    <row r="11355">
      <c r="H11355" s="8" t="s">
        <v>364</v>
      </c>
    </row>
    <row r="11356">
      <c r="H11356" s="8" t="s">
        <v>364</v>
      </c>
    </row>
    <row r="11357">
      <c r="H11357" s="8" t="s">
        <v>364</v>
      </c>
    </row>
    <row r="11358">
      <c r="H11358" s="8" t="s">
        <v>364</v>
      </c>
    </row>
    <row r="11359">
      <c r="H11359" s="8" t="s">
        <v>364</v>
      </c>
    </row>
    <row r="11360">
      <c r="H11360" s="8" t="s">
        <v>364</v>
      </c>
    </row>
    <row r="11361">
      <c r="H11361" s="8" t="s">
        <v>364</v>
      </c>
    </row>
    <row r="11362">
      <c r="H11362" s="8" t="s">
        <v>364</v>
      </c>
    </row>
    <row r="11363">
      <c r="H11363" s="8" t="s">
        <v>364</v>
      </c>
    </row>
    <row r="11364">
      <c r="H11364" s="8" t="s">
        <v>364</v>
      </c>
    </row>
    <row r="11365">
      <c r="H11365" s="8" t="s">
        <v>364</v>
      </c>
    </row>
    <row r="11366">
      <c r="H11366" s="8" t="s">
        <v>364</v>
      </c>
    </row>
    <row r="11367">
      <c r="H11367" s="8" t="s">
        <v>364</v>
      </c>
    </row>
    <row r="11368">
      <c r="H11368" s="8" t="s">
        <v>364</v>
      </c>
    </row>
    <row r="11369">
      <c r="H11369" s="8" t="s">
        <v>364</v>
      </c>
    </row>
    <row r="11370">
      <c r="H11370" s="8" t="s">
        <v>364</v>
      </c>
    </row>
    <row r="11371">
      <c r="H11371" s="8" t="s">
        <v>364</v>
      </c>
    </row>
    <row r="11372">
      <c r="H11372" s="8" t="s">
        <v>364</v>
      </c>
    </row>
    <row r="11373">
      <c r="H11373" s="8" t="s">
        <v>364</v>
      </c>
    </row>
    <row r="11374">
      <c r="H11374" s="8" t="s">
        <v>364</v>
      </c>
    </row>
    <row r="11375">
      <c r="H11375" s="8" t="s">
        <v>364</v>
      </c>
    </row>
    <row r="11376">
      <c r="H11376" s="8" t="s">
        <v>364</v>
      </c>
    </row>
    <row r="11377">
      <c r="H11377" s="8" t="s">
        <v>364</v>
      </c>
    </row>
    <row r="11378">
      <c r="H11378" s="8" t="s">
        <v>364</v>
      </c>
    </row>
    <row r="11379">
      <c r="H11379" s="8" t="s">
        <v>364</v>
      </c>
    </row>
    <row r="11380">
      <c r="H11380" s="8" t="s">
        <v>364</v>
      </c>
    </row>
    <row r="11381">
      <c r="H11381" s="8" t="s">
        <v>364</v>
      </c>
    </row>
    <row r="11382">
      <c r="H11382" s="8" t="s">
        <v>364</v>
      </c>
    </row>
    <row r="11383">
      <c r="H11383" s="8" t="s">
        <v>364</v>
      </c>
    </row>
    <row r="11384">
      <c r="H11384" s="8" t="s">
        <v>364</v>
      </c>
    </row>
    <row r="11385">
      <c r="H11385" s="8" t="s">
        <v>364</v>
      </c>
    </row>
    <row r="11386">
      <c r="H11386" s="8" t="s">
        <v>364</v>
      </c>
    </row>
    <row r="11387">
      <c r="H11387" s="8" t="s">
        <v>364</v>
      </c>
    </row>
    <row r="11388">
      <c r="H11388" s="8" t="s">
        <v>364</v>
      </c>
    </row>
    <row r="11389">
      <c r="H11389" s="8" t="s">
        <v>364</v>
      </c>
    </row>
    <row r="11390">
      <c r="H11390" s="8" t="s">
        <v>364</v>
      </c>
    </row>
    <row r="11391">
      <c r="H11391" s="8" t="s">
        <v>364</v>
      </c>
    </row>
    <row r="11392">
      <c r="H11392" s="8" t="s">
        <v>364</v>
      </c>
    </row>
    <row r="11393">
      <c r="H11393" s="8" t="s">
        <v>364</v>
      </c>
    </row>
    <row r="11394">
      <c r="H11394" s="8" t="s">
        <v>364</v>
      </c>
    </row>
    <row r="11395">
      <c r="H11395" s="8" t="s">
        <v>364</v>
      </c>
    </row>
    <row r="11396">
      <c r="H11396" s="8" t="s">
        <v>364</v>
      </c>
    </row>
    <row r="11397">
      <c r="H11397" s="8" t="s">
        <v>364</v>
      </c>
    </row>
    <row r="11398">
      <c r="H11398" s="8" t="s">
        <v>364</v>
      </c>
    </row>
    <row r="11399">
      <c r="H11399" s="8" t="s">
        <v>364</v>
      </c>
    </row>
    <row r="11400">
      <c r="H11400" s="8" t="s">
        <v>364</v>
      </c>
    </row>
    <row r="11401">
      <c r="H11401" s="8" t="s">
        <v>364</v>
      </c>
    </row>
    <row r="11402">
      <c r="H11402" s="8" t="s">
        <v>364</v>
      </c>
    </row>
    <row r="11403">
      <c r="H11403" s="8" t="s">
        <v>364</v>
      </c>
    </row>
    <row r="11404">
      <c r="H11404" s="8" t="s">
        <v>364</v>
      </c>
    </row>
    <row r="11405">
      <c r="H11405" s="8" t="s">
        <v>364</v>
      </c>
    </row>
    <row r="11406">
      <c r="H11406" s="8" t="s">
        <v>364</v>
      </c>
    </row>
    <row r="11407">
      <c r="H11407" s="8" t="s">
        <v>364</v>
      </c>
    </row>
    <row r="11408">
      <c r="H11408" s="8" t="s">
        <v>364</v>
      </c>
    </row>
    <row r="11409">
      <c r="H11409" s="8" t="s">
        <v>364</v>
      </c>
    </row>
    <row r="11410">
      <c r="H11410" s="8" t="s">
        <v>364</v>
      </c>
    </row>
    <row r="11411">
      <c r="H11411" s="8" t="s">
        <v>364</v>
      </c>
    </row>
    <row r="11412">
      <c r="H11412" s="8" t="s">
        <v>364</v>
      </c>
    </row>
    <row r="11413">
      <c r="H11413" s="8" t="s">
        <v>364</v>
      </c>
    </row>
    <row r="11414">
      <c r="H11414" s="8" t="s">
        <v>364</v>
      </c>
    </row>
    <row r="11415">
      <c r="H11415" s="8" t="s">
        <v>364</v>
      </c>
    </row>
    <row r="11416">
      <c r="H11416" s="8" t="s">
        <v>364</v>
      </c>
    </row>
    <row r="11417">
      <c r="H11417" s="8" t="s">
        <v>364</v>
      </c>
    </row>
    <row r="11418">
      <c r="H11418" s="8" t="s">
        <v>364</v>
      </c>
    </row>
    <row r="11419">
      <c r="H11419" s="8" t="s">
        <v>364</v>
      </c>
    </row>
    <row r="11420">
      <c r="H11420" s="8" t="s">
        <v>364</v>
      </c>
    </row>
    <row r="11421">
      <c r="H11421" s="8" t="s">
        <v>364</v>
      </c>
    </row>
    <row r="11422">
      <c r="H11422" s="8" t="s">
        <v>364</v>
      </c>
    </row>
    <row r="11423">
      <c r="H11423" s="8" t="s">
        <v>364</v>
      </c>
    </row>
    <row r="11424">
      <c r="H11424" s="8" t="s">
        <v>364</v>
      </c>
    </row>
    <row r="11425">
      <c r="H11425" s="8" t="s">
        <v>364</v>
      </c>
    </row>
    <row r="11426">
      <c r="H11426" s="8" t="s">
        <v>364</v>
      </c>
    </row>
    <row r="11427">
      <c r="H11427" s="8" t="s">
        <v>364</v>
      </c>
    </row>
    <row r="11428">
      <c r="H11428" s="8" t="s">
        <v>364</v>
      </c>
    </row>
    <row r="11429">
      <c r="H11429" s="8" t="s">
        <v>364</v>
      </c>
    </row>
    <row r="11430">
      <c r="H11430" s="8" t="s">
        <v>364</v>
      </c>
    </row>
    <row r="11431">
      <c r="H11431" s="8" t="s">
        <v>364</v>
      </c>
    </row>
    <row r="11432">
      <c r="H11432" s="8" t="s">
        <v>364</v>
      </c>
    </row>
    <row r="11433">
      <c r="H11433" s="8" t="s">
        <v>364</v>
      </c>
    </row>
    <row r="11434">
      <c r="H11434" s="8" t="s">
        <v>364</v>
      </c>
    </row>
    <row r="11435">
      <c r="H11435" s="8" t="s">
        <v>364</v>
      </c>
    </row>
    <row r="11436">
      <c r="H11436" s="8" t="s">
        <v>364</v>
      </c>
    </row>
    <row r="11437">
      <c r="H11437" s="8" t="s">
        <v>364</v>
      </c>
    </row>
    <row r="11438">
      <c r="H11438" s="8" t="s">
        <v>364</v>
      </c>
    </row>
    <row r="11439">
      <c r="H11439" s="8" t="s">
        <v>364</v>
      </c>
    </row>
    <row r="11440">
      <c r="H11440" s="8" t="s">
        <v>364</v>
      </c>
    </row>
    <row r="11441">
      <c r="H11441" s="8" t="s">
        <v>364</v>
      </c>
    </row>
    <row r="11442">
      <c r="H11442" s="8" t="s">
        <v>364</v>
      </c>
    </row>
    <row r="11443">
      <c r="H11443" s="8" t="s">
        <v>364</v>
      </c>
    </row>
    <row r="11444">
      <c r="H11444" s="8" t="s">
        <v>364</v>
      </c>
    </row>
    <row r="11445">
      <c r="H11445" s="8" t="s">
        <v>364</v>
      </c>
    </row>
    <row r="11446">
      <c r="H11446" s="8" t="s">
        <v>364</v>
      </c>
    </row>
    <row r="11447">
      <c r="H11447" s="8" t="s">
        <v>364</v>
      </c>
    </row>
    <row r="11448">
      <c r="H11448" s="8" t="s">
        <v>364</v>
      </c>
    </row>
    <row r="11449">
      <c r="H11449" s="8" t="s">
        <v>364</v>
      </c>
    </row>
    <row r="11450">
      <c r="H11450" s="8" t="s">
        <v>364</v>
      </c>
    </row>
    <row r="11451">
      <c r="H11451" s="8" t="s">
        <v>364</v>
      </c>
    </row>
    <row r="11452">
      <c r="H11452" s="8" t="s">
        <v>364</v>
      </c>
    </row>
    <row r="11453">
      <c r="H11453" s="8" t="s">
        <v>364</v>
      </c>
    </row>
    <row r="11454">
      <c r="H11454" s="8" t="s">
        <v>364</v>
      </c>
    </row>
    <row r="11455">
      <c r="H11455" s="8" t="s">
        <v>364</v>
      </c>
    </row>
    <row r="11456">
      <c r="H11456" s="8" t="s">
        <v>364</v>
      </c>
    </row>
    <row r="11457">
      <c r="H11457" s="8" t="s">
        <v>364</v>
      </c>
    </row>
    <row r="11458">
      <c r="H11458" s="8" t="s">
        <v>364</v>
      </c>
    </row>
    <row r="11459">
      <c r="H11459" s="8" t="s">
        <v>364</v>
      </c>
    </row>
    <row r="11460">
      <c r="H11460" s="8" t="s">
        <v>364</v>
      </c>
    </row>
    <row r="11461">
      <c r="H11461" s="8" t="s">
        <v>364</v>
      </c>
    </row>
    <row r="11462">
      <c r="H11462" s="8" t="s">
        <v>364</v>
      </c>
    </row>
    <row r="11463">
      <c r="H11463" s="8" t="s">
        <v>364</v>
      </c>
    </row>
    <row r="11464">
      <c r="H11464" s="8" t="s">
        <v>364</v>
      </c>
    </row>
    <row r="11465">
      <c r="H11465" s="8" t="s">
        <v>364</v>
      </c>
    </row>
    <row r="11466">
      <c r="H11466" s="8" t="s">
        <v>364</v>
      </c>
    </row>
    <row r="11467">
      <c r="H11467" s="8" t="s">
        <v>364</v>
      </c>
    </row>
    <row r="11468">
      <c r="H11468" s="8" t="s">
        <v>364</v>
      </c>
    </row>
    <row r="11469">
      <c r="H11469" s="8" t="s">
        <v>364</v>
      </c>
    </row>
    <row r="11470">
      <c r="H11470" s="8" t="s">
        <v>364</v>
      </c>
    </row>
    <row r="11471">
      <c r="H11471" s="8" t="s">
        <v>364</v>
      </c>
    </row>
    <row r="11472">
      <c r="H11472" s="8" t="s">
        <v>364</v>
      </c>
    </row>
    <row r="11473">
      <c r="H11473" s="8" t="s">
        <v>364</v>
      </c>
    </row>
    <row r="11474">
      <c r="H11474" s="8" t="s">
        <v>364</v>
      </c>
    </row>
    <row r="11475">
      <c r="H11475" s="8" t="s">
        <v>364</v>
      </c>
    </row>
    <row r="11476">
      <c r="H11476" s="8" t="s">
        <v>364</v>
      </c>
    </row>
    <row r="11477">
      <c r="H11477" s="8" t="s">
        <v>364</v>
      </c>
    </row>
    <row r="11478">
      <c r="H11478" s="8" t="s">
        <v>364</v>
      </c>
    </row>
    <row r="11479">
      <c r="H11479" s="8" t="s">
        <v>364</v>
      </c>
    </row>
    <row r="11480">
      <c r="H11480" s="8" t="s">
        <v>364</v>
      </c>
    </row>
    <row r="11481">
      <c r="H11481" s="8" t="s">
        <v>364</v>
      </c>
    </row>
    <row r="11482">
      <c r="H11482" s="8" t="s">
        <v>364</v>
      </c>
    </row>
    <row r="11483">
      <c r="H11483" s="8" t="s">
        <v>364</v>
      </c>
    </row>
    <row r="11484">
      <c r="H11484" s="8" t="s">
        <v>364</v>
      </c>
    </row>
    <row r="11485">
      <c r="H11485" s="8" t="s">
        <v>364</v>
      </c>
    </row>
    <row r="11486">
      <c r="H11486" s="8" t="s">
        <v>364</v>
      </c>
    </row>
    <row r="11487">
      <c r="H11487" s="8" t="s">
        <v>364</v>
      </c>
    </row>
    <row r="11488">
      <c r="H11488" s="8" t="s">
        <v>364</v>
      </c>
    </row>
    <row r="11489">
      <c r="H11489" s="8" t="s">
        <v>364</v>
      </c>
    </row>
    <row r="11490">
      <c r="H11490" s="8" t="s">
        <v>364</v>
      </c>
    </row>
    <row r="11491">
      <c r="H11491" s="8" t="s">
        <v>364</v>
      </c>
    </row>
    <row r="11492">
      <c r="H11492" s="8" t="s">
        <v>364</v>
      </c>
    </row>
    <row r="11493">
      <c r="H11493" s="8" t="s">
        <v>364</v>
      </c>
    </row>
    <row r="11494">
      <c r="H11494" s="8" t="s">
        <v>364</v>
      </c>
    </row>
    <row r="11495">
      <c r="H11495" s="8" t="s">
        <v>364</v>
      </c>
    </row>
    <row r="11496">
      <c r="H11496" s="8" t="s">
        <v>364</v>
      </c>
    </row>
    <row r="11497">
      <c r="H11497" s="8" t="s">
        <v>364</v>
      </c>
    </row>
    <row r="11498">
      <c r="H11498" s="8" t="s">
        <v>364</v>
      </c>
    </row>
    <row r="11499">
      <c r="H11499" s="8" t="s">
        <v>364</v>
      </c>
    </row>
    <row r="11500">
      <c r="H11500" s="8" t="s">
        <v>364</v>
      </c>
    </row>
    <row r="11501">
      <c r="H11501" s="8" t="s">
        <v>364</v>
      </c>
    </row>
    <row r="11502">
      <c r="H11502" s="8" t="s">
        <v>364</v>
      </c>
    </row>
    <row r="11503">
      <c r="H11503" s="8" t="s">
        <v>364</v>
      </c>
    </row>
    <row r="11504">
      <c r="H11504" s="8" t="s">
        <v>364</v>
      </c>
    </row>
    <row r="11505">
      <c r="H11505" s="8" t="s">
        <v>364</v>
      </c>
    </row>
    <row r="11506">
      <c r="H11506" s="8" t="s">
        <v>364</v>
      </c>
    </row>
    <row r="11507">
      <c r="H11507" s="8" t="s">
        <v>364</v>
      </c>
    </row>
    <row r="11508">
      <c r="H11508" s="8" t="s">
        <v>364</v>
      </c>
    </row>
    <row r="11509">
      <c r="H11509" s="8" t="s">
        <v>364</v>
      </c>
    </row>
    <row r="11510">
      <c r="H11510" s="8" t="s">
        <v>364</v>
      </c>
    </row>
    <row r="11511">
      <c r="H11511" s="8" t="s">
        <v>364</v>
      </c>
    </row>
    <row r="11512">
      <c r="H11512" s="8" t="s">
        <v>364</v>
      </c>
    </row>
    <row r="11513">
      <c r="H11513" s="8" t="s">
        <v>364</v>
      </c>
    </row>
    <row r="11514">
      <c r="H11514" s="8" t="s">
        <v>364</v>
      </c>
    </row>
    <row r="11515">
      <c r="H11515" s="8" t="s">
        <v>364</v>
      </c>
    </row>
    <row r="11516">
      <c r="H11516" s="8" t="s">
        <v>364</v>
      </c>
    </row>
    <row r="11517">
      <c r="H11517" s="8" t="s">
        <v>364</v>
      </c>
    </row>
    <row r="11518">
      <c r="H11518" s="8" t="s">
        <v>364</v>
      </c>
    </row>
    <row r="11519">
      <c r="H11519" s="8" t="s">
        <v>364</v>
      </c>
    </row>
    <row r="11520">
      <c r="H11520" s="8" t="s">
        <v>364</v>
      </c>
    </row>
    <row r="11521">
      <c r="H11521" s="8" t="s">
        <v>364</v>
      </c>
    </row>
    <row r="11522">
      <c r="H11522" s="8" t="s">
        <v>364</v>
      </c>
    </row>
    <row r="11523">
      <c r="H11523" s="8" t="s">
        <v>364</v>
      </c>
    </row>
    <row r="11524">
      <c r="H11524" s="8" t="s">
        <v>364</v>
      </c>
    </row>
    <row r="11525">
      <c r="H11525" s="8" t="s">
        <v>364</v>
      </c>
    </row>
    <row r="11526">
      <c r="H11526" s="8" t="s">
        <v>364</v>
      </c>
    </row>
    <row r="11527">
      <c r="H11527" s="8" t="s">
        <v>364</v>
      </c>
    </row>
    <row r="11528">
      <c r="H11528" s="8" t="s">
        <v>364</v>
      </c>
    </row>
    <row r="11529">
      <c r="H11529" s="8" t="s">
        <v>364</v>
      </c>
    </row>
    <row r="11530">
      <c r="H11530" s="8" t="s">
        <v>364</v>
      </c>
    </row>
    <row r="11531">
      <c r="H11531" s="8" t="s">
        <v>364</v>
      </c>
    </row>
    <row r="11532">
      <c r="H11532" s="8" t="s">
        <v>364</v>
      </c>
    </row>
    <row r="11533">
      <c r="H11533" s="8" t="s">
        <v>364</v>
      </c>
    </row>
    <row r="11534">
      <c r="H11534" s="8" t="s">
        <v>364</v>
      </c>
    </row>
    <row r="11535">
      <c r="H11535" s="8" t="s">
        <v>364</v>
      </c>
    </row>
    <row r="11536">
      <c r="H11536" s="8" t="s">
        <v>364</v>
      </c>
    </row>
    <row r="11537">
      <c r="H11537" s="8" t="s">
        <v>364</v>
      </c>
    </row>
    <row r="11538">
      <c r="H11538" s="8" t="s">
        <v>364</v>
      </c>
    </row>
    <row r="11539">
      <c r="H11539" s="8" t="s">
        <v>364</v>
      </c>
    </row>
    <row r="11540">
      <c r="H11540" s="8" t="s">
        <v>364</v>
      </c>
    </row>
    <row r="11541">
      <c r="H11541" s="8" t="s">
        <v>364</v>
      </c>
    </row>
    <row r="11542">
      <c r="H11542" s="8" t="s">
        <v>364</v>
      </c>
    </row>
    <row r="11543">
      <c r="H11543" s="8" t="s">
        <v>364</v>
      </c>
    </row>
    <row r="11544">
      <c r="H11544" s="8" t="s">
        <v>364</v>
      </c>
    </row>
    <row r="11545">
      <c r="H11545" s="8" t="s">
        <v>364</v>
      </c>
    </row>
    <row r="11546">
      <c r="H11546" s="8" t="s">
        <v>364</v>
      </c>
    </row>
    <row r="11547">
      <c r="H11547" s="8" t="s">
        <v>364</v>
      </c>
    </row>
    <row r="11548">
      <c r="H11548" s="8" t="s">
        <v>364</v>
      </c>
    </row>
    <row r="11549">
      <c r="H11549" s="8" t="s">
        <v>364</v>
      </c>
    </row>
    <row r="11550">
      <c r="H11550" s="8" t="s">
        <v>364</v>
      </c>
    </row>
    <row r="11551">
      <c r="H11551" s="8" t="s">
        <v>364</v>
      </c>
    </row>
    <row r="11552">
      <c r="H11552" s="8" t="s">
        <v>364</v>
      </c>
    </row>
    <row r="11553">
      <c r="H11553" s="8" t="s">
        <v>364</v>
      </c>
    </row>
    <row r="11554">
      <c r="H11554" s="8" t="s">
        <v>364</v>
      </c>
    </row>
    <row r="11555">
      <c r="H11555" s="8" t="s">
        <v>364</v>
      </c>
    </row>
    <row r="11556">
      <c r="H11556" s="8" t="s">
        <v>364</v>
      </c>
    </row>
    <row r="11557">
      <c r="H11557" s="8" t="s">
        <v>364</v>
      </c>
    </row>
    <row r="11558">
      <c r="H11558" s="8" t="s">
        <v>364</v>
      </c>
    </row>
    <row r="11559">
      <c r="H11559" s="8" t="s">
        <v>364</v>
      </c>
    </row>
    <row r="11560">
      <c r="H11560" s="8" t="s">
        <v>364</v>
      </c>
    </row>
    <row r="11561">
      <c r="H11561" s="8" t="s">
        <v>364</v>
      </c>
    </row>
    <row r="11562">
      <c r="H11562" s="8" t="s">
        <v>364</v>
      </c>
    </row>
    <row r="11563">
      <c r="H11563" s="8" t="s">
        <v>364</v>
      </c>
    </row>
    <row r="11564">
      <c r="H11564" s="8" t="s">
        <v>364</v>
      </c>
    </row>
    <row r="11565">
      <c r="H11565" s="8" t="s">
        <v>364</v>
      </c>
    </row>
    <row r="11566">
      <c r="H11566" s="8" t="s">
        <v>364</v>
      </c>
    </row>
    <row r="11567">
      <c r="H11567" s="8" t="s">
        <v>364</v>
      </c>
    </row>
    <row r="11568">
      <c r="H11568" s="8" t="s">
        <v>364</v>
      </c>
    </row>
    <row r="11569">
      <c r="H11569" s="8" t="s">
        <v>364</v>
      </c>
    </row>
    <row r="11570">
      <c r="H11570" s="8" t="s">
        <v>364</v>
      </c>
    </row>
    <row r="11571">
      <c r="H11571" s="8" t="s">
        <v>364</v>
      </c>
    </row>
    <row r="11572">
      <c r="H11572" s="8" t="s">
        <v>364</v>
      </c>
    </row>
    <row r="11573">
      <c r="H11573" s="8" t="s">
        <v>364</v>
      </c>
    </row>
    <row r="11574">
      <c r="H11574" s="8" t="s">
        <v>364</v>
      </c>
    </row>
    <row r="11575">
      <c r="H11575" s="8" t="s">
        <v>364</v>
      </c>
    </row>
    <row r="11576">
      <c r="H11576" s="8" t="s">
        <v>364</v>
      </c>
    </row>
    <row r="11577">
      <c r="H11577" s="8" t="s">
        <v>364</v>
      </c>
    </row>
    <row r="11578">
      <c r="H11578" s="8" t="s">
        <v>364</v>
      </c>
    </row>
    <row r="11579">
      <c r="H11579" s="8" t="s">
        <v>364</v>
      </c>
    </row>
    <row r="11580">
      <c r="H11580" s="8" t="s">
        <v>364</v>
      </c>
    </row>
    <row r="11581">
      <c r="H11581" s="8" t="s">
        <v>364</v>
      </c>
    </row>
    <row r="11582">
      <c r="H11582" s="8" t="s">
        <v>364</v>
      </c>
    </row>
    <row r="11583">
      <c r="H11583" s="8" t="s">
        <v>364</v>
      </c>
    </row>
    <row r="11584">
      <c r="H11584" s="8" t="s">
        <v>364</v>
      </c>
    </row>
    <row r="11585">
      <c r="H11585" s="8" t="s">
        <v>364</v>
      </c>
    </row>
    <row r="11586">
      <c r="H11586" s="8" t="s">
        <v>364</v>
      </c>
    </row>
    <row r="11587">
      <c r="H11587" s="8" t="s">
        <v>364</v>
      </c>
    </row>
    <row r="11588">
      <c r="H11588" s="8" t="s">
        <v>364</v>
      </c>
    </row>
    <row r="11589">
      <c r="H11589" s="8" t="s">
        <v>364</v>
      </c>
    </row>
    <row r="11590">
      <c r="H11590" s="8" t="s">
        <v>364</v>
      </c>
    </row>
    <row r="11591">
      <c r="H11591" s="8" t="s">
        <v>364</v>
      </c>
    </row>
    <row r="11592">
      <c r="H11592" s="8" t="s">
        <v>364</v>
      </c>
    </row>
    <row r="11593">
      <c r="H11593" s="8" t="s">
        <v>364</v>
      </c>
    </row>
    <row r="11594">
      <c r="H11594" s="8" t="s">
        <v>364</v>
      </c>
    </row>
    <row r="11595">
      <c r="H11595" s="8" t="s">
        <v>364</v>
      </c>
    </row>
    <row r="11596">
      <c r="H11596" s="8" t="s">
        <v>364</v>
      </c>
    </row>
    <row r="11597">
      <c r="H11597" s="8" t="s">
        <v>364</v>
      </c>
    </row>
    <row r="11598">
      <c r="H11598" s="8" t="s">
        <v>364</v>
      </c>
    </row>
    <row r="11599">
      <c r="H11599" s="8" t="s">
        <v>364</v>
      </c>
    </row>
    <row r="11600">
      <c r="H11600" s="8" t="s">
        <v>364</v>
      </c>
    </row>
    <row r="11601">
      <c r="H11601" s="8" t="s">
        <v>364</v>
      </c>
    </row>
    <row r="11602">
      <c r="H11602" s="8" t="s">
        <v>364</v>
      </c>
    </row>
    <row r="11603">
      <c r="H11603" s="8" t="s">
        <v>364</v>
      </c>
    </row>
    <row r="11604">
      <c r="H11604" s="8" t="s">
        <v>364</v>
      </c>
    </row>
    <row r="11605">
      <c r="H11605" s="8" t="s">
        <v>364</v>
      </c>
    </row>
    <row r="11606">
      <c r="H11606" s="8" t="s">
        <v>364</v>
      </c>
    </row>
    <row r="11607">
      <c r="H11607" s="8" t="s">
        <v>364</v>
      </c>
    </row>
    <row r="11608">
      <c r="H11608" s="8" t="s">
        <v>364</v>
      </c>
    </row>
    <row r="11609">
      <c r="H11609" s="8" t="s">
        <v>364</v>
      </c>
    </row>
    <row r="11610">
      <c r="H11610" s="8" t="s">
        <v>364</v>
      </c>
    </row>
    <row r="11611">
      <c r="H11611" s="8" t="s">
        <v>364</v>
      </c>
    </row>
    <row r="11612">
      <c r="H11612" s="8" t="s">
        <v>364</v>
      </c>
    </row>
    <row r="11613">
      <c r="H11613" s="8" t="s">
        <v>364</v>
      </c>
    </row>
    <row r="11614">
      <c r="H11614" s="8" t="s">
        <v>364</v>
      </c>
    </row>
    <row r="11615">
      <c r="H11615" s="8" t="s">
        <v>364</v>
      </c>
    </row>
    <row r="11616">
      <c r="H11616" s="8" t="s">
        <v>364</v>
      </c>
    </row>
    <row r="11617">
      <c r="H11617" s="8" t="s">
        <v>364</v>
      </c>
    </row>
    <row r="11618">
      <c r="H11618" s="8" t="s">
        <v>364</v>
      </c>
    </row>
    <row r="11619">
      <c r="H11619" s="8" t="s">
        <v>364</v>
      </c>
    </row>
    <row r="11620">
      <c r="H11620" s="8" t="s">
        <v>364</v>
      </c>
    </row>
    <row r="11621">
      <c r="H11621" s="8" t="s">
        <v>364</v>
      </c>
    </row>
    <row r="11622">
      <c r="H11622" s="8" t="s">
        <v>364</v>
      </c>
    </row>
    <row r="11623">
      <c r="H11623" s="8" t="s">
        <v>364</v>
      </c>
    </row>
    <row r="11624">
      <c r="H11624" s="8" t="s">
        <v>364</v>
      </c>
    </row>
    <row r="11625">
      <c r="H11625" s="8" t="s">
        <v>364</v>
      </c>
    </row>
    <row r="11626">
      <c r="H11626" s="8" t="s">
        <v>364</v>
      </c>
    </row>
    <row r="11627">
      <c r="H11627" s="8" t="s">
        <v>364</v>
      </c>
    </row>
    <row r="11628">
      <c r="H11628" s="8" t="s">
        <v>364</v>
      </c>
    </row>
    <row r="11629">
      <c r="H11629" s="8" t="s">
        <v>364</v>
      </c>
    </row>
    <row r="11630">
      <c r="H11630" s="8" t="s">
        <v>364</v>
      </c>
    </row>
    <row r="11631">
      <c r="H11631" s="8" t="s">
        <v>364</v>
      </c>
    </row>
    <row r="11632">
      <c r="H11632" s="8" t="s">
        <v>364</v>
      </c>
    </row>
    <row r="11633">
      <c r="H11633" s="8" t="s">
        <v>364</v>
      </c>
    </row>
    <row r="11634">
      <c r="H11634" s="8" t="s">
        <v>364</v>
      </c>
    </row>
    <row r="11635">
      <c r="H11635" s="8" t="s">
        <v>364</v>
      </c>
    </row>
    <row r="11636">
      <c r="H11636" s="8" t="s">
        <v>364</v>
      </c>
    </row>
    <row r="11637">
      <c r="H11637" s="8" t="s">
        <v>364</v>
      </c>
    </row>
    <row r="11638">
      <c r="H11638" s="8" t="s">
        <v>364</v>
      </c>
    </row>
    <row r="11639">
      <c r="H11639" s="8" t="s">
        <v>364</v>
      </c>
    </row>
    <row r="11640">
      <c r="H11640" s="8" t="s">
        <v>364</v>
      </c>
    </row>
    <row r="11641">
      <c r="H11641" s="8" t="s">
        <v>364</v>
      </c>
    </row>
    <row r="11642">
      <c r="H11642" s="8" t="s">
        <v>364</v>
      </c>
    </row>
    <row r="11643">
      <c r="H11643" s="8" t="s">
        <v>364</v>
      </c>
    </row>
    <row r="11644">
      <c r="H11644" s="8" t="s">
        <v>364</v>
      </c>
    </row>
    <row r="11645">
      <c r="H11645" s="8" t="s">
        <v>364</v>
      </c>
    </row>
    <row r="11646">
      <c r="H11646" s="8" t="s">
        <v>364</v>
      </c>
    </row>
    <row r="11647">
      <c r="H11647" s="8" t="s">
        <v>364</v>
      </c>
    </row>
    <row r="11648">
      <c r="H11648" s="8" t="s">
        <v>364</v>
      </c>
    </row>
    <row r="11649">
      <c r="H11649" s="8" t="s">
        <v>364</v>
      </c>
    </row>
    <row r="11650">
      <c r="H11650" s="8" t="s">
        <v>364</v>
      </c>
    </row>
    <row r="11651">
      <c r="H11651" s="8" t="s">
        <v>364</v>
      </c>
    </row>
    <row r="11652">
      <c r="H11652" s="8" t="s">
        <v>364</v>
      </c>
    </row>
    <row r="11653">
      <c r="H11653" s="8" t="s">
        <v>364</v>
      </c>
    </row>
    <row r="11654">
      <c r="H11654" s="8" t="s">
        <v>364</v>
      </c>
    </row>
    <row r="11655">
      <c r="H11655" s="8" t="s">
        <v>364</v>
      </c>
    </row>
    <row r="11656">
      <c r="H11656" s="8" t="s">
        <v>364</v>
      </c>
    </row>
    <row r="11657">
      <c r="H11657" s="8" t="s">
        <v>364</v>
      </c>
    </row>
    <row r="11658">
      <c r="H11658" s="8" t="s">
        <v>364</v>
      </c>
    </row>
    <row r="11659">
      <c r="H11659" s="8" t="s">
        <v>364</v>
      </c>
    </row>
    <row r="11660">
      <c r="H11660" s="8" t="s">
        <v>364</v>
      </c>
    </row>
    <row r="11661">
      <c r="H11661" s="8" t="s">
        <v>364</v>
      </c>
    </row>
    <row r="11662">
      <c r="H11662" s="8" t="s">
        <v>364</v>
      </c>
    </row>
    <row r="11663">
      <c r="H11663" s="8" t="s">
        <v>364</v>
      </c>
    </row>
    <row r="11664">
      <c r="H11664" s="8" t="s">
        <v>364</v>
      </c>
    </row>
    <row r="11665">
      <c r="H11665" s="8" t="s">
        <v>364</v>
      </c>
    </row>
    <row r="11666">
      <c r="H11666" s="8" t="s">
        <v>364</v>
      </c>
    </row>
    <row r="11667">
      <c r="H11667" s="8" t="s">
        <v>364</v>
      </c>
    </row>
    <row r="11668">
      <c r="H11668" s="8" t="s">
        <v>364</v>
      </c>
    </row>
    <row r="11669">
      <c r="H11669" s="8" t="s">
        <v>364</v>
      </c>
    </row>
    <row r="11670">
      <c r="H11670" s="8" t="s">
        <v>364</v>
      </c>
    </row>
    <row r="11671">
      <c r="H11671" s="8" t="s">
        <v>364</v>
      </c>
    </row>
    <row r="11672">
      <c r="H11672" s="8" t="s">
        <v>364</v>
      </c>
    </row>
    <row r="11673">
      <c r="H11673" s="8" t="s">
        <v>364</v>
      </c>
    </row>
    <row r="11674">
      <c r="H11674" s="8" t="s">
        <v>364</v>
      </c>
    </row>
    <row r="11675">
      <c r="H11675" s="8" t="s">
        <v>364</v>
      </c>
    </row>
    <row r="11676">
      <c r="H11676" s="8" t="s">
        <v>364</v>
      </c>
    </row>
    <row r="11677">
      <c r="H11677" s="8" t="s">
        <v>364</v>
      </c>
    </row>
    <row r="11678">
      <c r="H11678" s="8" t="s">
        <v>364</v>
      </c>
    </row>
    <row r="11679">
      <c r="H11679" s="8" t="s">
        <v>364</v>
      </c>
    </row>
    <row r="11680">
      <c r="H11680" s="8" t="s">
        <v>364</v>
      </c>
    </row>
    <row r="11681">
      <c r="H11681" s="8" t="s">
        <v>364</v>
      </c>
    </row>
    <row r="11682">
      <c r="H11682" s="8" t="s">
        <v>364</v>
      </c>
    </row>
    <row r="11683">
      <c r="H11683" s="8" t="s">
        <v>364</v>
      </c>
    </row>
    <row r="11684">
      <c r="H11684" s="8" t="s">
        <v>364</v>
      </c>
    </row>
    <row r="11685">
      <c r="H11685" s="8" t="s">
        <v>364</v>
      </c>
    </row>
    <row r="11686">
      <c r="H11686" s="8" t="s">
        <v>364</v>
      </c>
    </row>
    <row r="11687">
      <c r="H11687" s="8" t="s">
        <v>364</v>
      </c>
    </row>
    <row r="11688">
      <c r="H11688" s="8" t="s">
        <v>364</v>
      </c>
    </row>
    <row r="11689">
      <c r="H11689" s="8" t="s">
        <v>364</v>
      </c>
    </row>
    <row r="11690">
      <c r="H11690" s="8" t="s">
        <v>364</v>
      </c>
    </row>
    <row r="11691">
      <c r="H11691" s="8" t="s">
        <v>364</v>
      </c>
    </row>
    <row r="11692">
      <c r="H11692" s="8" t="s">
        <v>364</v>
      </c>
    </row>
    <row r="11693">
      <c r="H11693" s="8" t="s">
        <v>364</v>
      </c>
    </row>
    <row r="11694">
      <c r="H11694" s="8" t="s">
        <v>364</v>
      </c>
    </row>
    <row r="11695">
      <c r="H11695" s="8" t="s">
        <v>364</v>
      </c>
    </row>
    <row r="11696">
      <c r="H11696" s="8" t="s">
        <v>364</v>
      </c>
    </row>
    <row r="11697">
      <c r="H11697" s="8" t="s">
        <v>364</v>
      </c>
    </row>
    <row r="11698">
      <c r="H11698" s="8" t="s">
        <v>364</v>
      </c>
    </row>
    <row r="11699">
      <c r="H11699" s="8" t="s">
        <v>364</v>
      </c>
    </row>
    <row r="11700">
      <c r="H11700" s="8" t="s">
        <v>364</v>
      </c>
    </row>
    <row r="11701">
      <c r="H11701" s="8" t="s">
        <v>364</v>
      </c>
    </row>
    <row r="11702">
      <c r="H11702" s="8" t="s">
        <v>364</v>
      </c>
    </row>
    <row r="11703">
      <c r="H11703" s="8" t="s">
        <v>364</v>
      </c>
    </row>
    <row r="11704">
      <c r="H11704" s="8" t="s">
        <v>364</v>
      </c>
    </row>
    <row r="11705">
      <c r="H11705" s="8" t="s">
        <v>364</v>
      </c>
    </row>
    <row r="11706">
      <c r="H11706" s="8" t="s">
        <v>364</v>
      </c>
    </row>
    <row r="11707">
      <c r="H11707" s="8" t="s">
        <v>364</v>
      </c>
    </row>
    <row r="11708">
      <c r="H11708" s="8" t="s">
        <v>364</v>
      </c>
    </row>
    <row r="11709">
      <c r="H11709" s="8" t="s">
        <v>364</v>
      </c>
    </row>
    <row r="11710">
      <c r="H11710" s="8" t="s">
        <v>364</v>
      </c>
    </row>
    <row r="11711">
      <c r="H11711" s="8" t="s">
        <v>364</v>
      </c>
    </row>
    <row r="11712">
      <c r="H11712" s="8" t="s">
        <v>364</v>
      </c>
    </row>
    <row r="11713">
      <c r="H11713" s="8" t="s">
        <v>364</v>
      </c>
    </row>
    <row r="11714">
      <c r="H11714" s="8" t="s">
        <v>364</v>
      </c>
    </row>
    <row r="11715">
      <c r="H11715" s="8" t="s">
        <v>364</v>
      </c>
    </row>
    <row r="11716">
      <c r="H11716" s="8" t="s">
        <v>364</v>
      </c>
    </row>
    <row r="11717">
      <c r="H11717" s="8" t="s">
        <v>364</v>
      </c>
    </row>
    <row r="11718">
      <c r="H11718" s="8" t="s">
        <v>364</v>
      </c>
    </row>
    <row r="11719">
      <c r="H11719" s="8" t="s">
        <v>364</v>
      </c>
    </row>
    <row r="11720">
      <c r="H11720" s="8" t="s">
        <v>364</v>
      </c>
    </row>
    <row r="11721">
      <c r="H11721" s="8" t="s">
        <v>364</v>
      </c>
    </row>
    <row r="11722">
      <c r="H11722" s="8" t="s">
        <v>364</v>
      </c>
    </row>
    <row r="11723">
      <c r="H11723" s="8" t="s">
        <v>364</v>
      </c>
    </row>
    <row r="11724">
      <c r="H11724" s="8" t="s">
        <v>364</v>
      </c>
    </row>
    <row r="11725">
      <c r="H11725" s="8" t="s">
        <v>364</v>
      </c>
    </row>
    <row r="11726">
      <c r="H11726" s="8" t="s">
        <v>364</v>
      </c>
    </row>
    <row r="11727">
      <c r="H11727" s="8" t="s">
        <v>364</v>
      </c>
    </row>
    <row r="11728">
      <c r="H11728" s="8" t="s">
        <v>364</v>
      </c>
    </row>
    <row r="11729">
      <c r="H11729" s="8" t="s">
        <v>364</v>
      </c>
    </row>
    <row r="11730">
      <c r="H11730" s="8" t="s">
        <v>364</v>
      </c>
    </row>
    <row r="11731">
      <c r="H11731" s="8" t="s">
        <v>364</v>
      </c>
    </row>
    <row r="11732">
      <c r="H11732" s="8" t="s">
        <v>364</v>
      </c>
    </row>
    <row r="11733">
      <c r="H11733" s="8" t="s">
        <v>364</v>
      </c>
    </row>
    <row r="11734">
      <c r="H11734" s="8" t="s">
        <v>364</v>
      </c>
    </row>
    <row r="11735">
      <c r="H11735" s="8" t="s">
        <v>364</v>
      </c>
    </row>
    <row r="11736">
      <c r="H11736" s="8" t="s">
        <v>364</v>
      </c>
    </row>
    <row r="11737">
      <c r="H11737" s="8" t="s">
        <v>364</v>
      </c>
    </row>
    <row r="11738">
      <c r="H11738" s="8" t="s">
        <v>364</v>
      </c>
    </row>
    <row r="11739">
      <c r="H11739" s="8" t="s">
        <v>364</v>
      </c>
    </row>
    <row r="11740">
      <c r="H11740" s="8" t="s">
        <v>364</v>
      </c>
    </row>
    <row r="11741">
      <c r="H11741" s="8" t="s">
        <v>364</v>
      </c>
    </row>
    <row r="11742">
      <c r="H11742" s="8" t="s">
        <v>364</v>
      </c>
    </row>
    <row r="11743">
      <c r="H11743" s="8" t="s">
        <v>364</v>
      </c>
    </row>
    <row r="11744">
      <c r="H11744" s="8" t="s">
        <v>364</v>
      </c>
    </row>
    <row r="11745">
      <c r="H11745" s="8" t="s">
        <v>364</v>
      </c>
    </row>
    <row r="11746">
      <c r="H11746" s="8" t="s">
        <v>364</v>
      </c>
    </row>
    <row r="11747">
      <c r="H11747" s="8" t="s">
        <v>364</v>
      </c>
    </row>
    <row r="11748">
      <c r="H11748" s="8" t="s">
        <v>364</v>
      </c>
    </row>
    <row r="11749">
      <c r="H11749" s="8" t="s">
        <v>364</v>
      </c>
    </row>
    <row r="11750">
      <c r="H11750" s="8" t="s">
        <v>364</v>
      </c>
    </row>
    <row r="11751">
      <c r="H11751" s="8" t="s">
        <v>364</v>
      </c>
    </row>
    <row r="11752">
      <c r="H11752" s="8" t="s">
        <v>364</v>
      </c>
    </row>
    <row r="11753">
      <c r="H11753" s="8" t="s">
        <v>364</v>
      </c>
    </row>
    <row r="11754">
      <c r="H11754" s="8" t="s">
        <v>364</v>
      </c>
    </row>
    <row r="11755">
      <c r="H11755" s="8" t="s">
        <v>364</v>
      </c>
    </row>
    <row r="11756">
      <c r="H11756" s="8" t="s">
        <v>364</v>
      </c>
    </row>
    <row r="11757">
      <c r="H11757" s="8" t="s">
        <v>364</v>
      </c>
    </row>
    <row r="11758">
      <c r="H11758" s="8" t="s">
        <v>364</v>
      </c>
    </row>
    <row r="11759">
      <c r="H11759" s="8" t="s">
        <v>364</v>
      </c>
    </row>
    <row r="11760">
      <c r="H11760" s="8" t="s">
        <v>364</v>
      </c>
    </row>
    <row r="11761">
      <c r="H11761" s="8" t="s">
        <v>364</v>
      </c>
    </row>
    <row r="11762">
      <c r="H11762" s="8" t="s">
        <v>364</v>
      </c>
    </row>
    <row r="11763">
      <c r="H11763" s="8" t="s">
        <v>364</v>
      </c>
    </row>
    <row r="11764">
      <c r="H11764" s="8" t="s">
        <v>364</v>
      </c>
    </row>
    <row r="11765">
      <c r="H11765" s="8" t="s">
        <v>364</v>
      </c>
    </row>
    <row r="11766">
      <c r="H11766" s="8" t="s">
        <v>364</v>
      </c>
    </row>
    <row r="11767">
      <c r="H11767" s="8" t="s">
        <v>364</v>
      </c>
    </row>
    <row r="11768">
      <c r="H11768" s="8" t="s">
        <v>364</v>
      </c>
    </row>
    <row r="11769">
      <c r="H11769" s="8" t="s">
        <v>364</v>
      </c>
    </row>
    <row r="11770">
      <c r="H11770" s="8" t="s">
        <v>364</v>
      </c>
    </row>
    <row r="11771">
      <c r="H11771" s="8" t="s">
        <v>364</v>
      </c>
    </row>
    <row r="11772">
      <c r="H11772" s="8" t="s">
        <v>364</v>
      </c>
    </row>
    <row r="11773">
      <c r="H11773" s="8" t="s">
        <v>364</v>
      </c>
    </row>
    <row r="11774">
      <c r="H11774" s="8" t="s">
        <v>364</v>
      </c>
    </row>
    <row r="11775">
      <c r="H11775" s="8" t="s">
        <v>364</v>
      </c>
    </row>
    <row r="11776">
      <c r="H11776" s="8" t="s">
        <v>364</v>
      </c>
    </row>
    <row r="11777">
      <c r="H11777" s="8" t="s">
        <v>364</v>
      </c>
    </row>
    <row r="11778">
      <c r="H11778" s="8" t="s">
        <v>364</v>
      </c>
    </row>
    <row r="11779">
      <c r="H11779" s="8" t="s">
        <v>364</v>
      </c>
    </row>
    <row r="11780">
      <c r="H11780" s="8" t="s">
        <v>364</v>
      </c>
    </row>
    <row r="11781">
      <c r="H11781" s="8" t="s">
        <v>364</v>
      </c>
    </row>
    <row r="11782">
      <c r="H11782" s="8" t="s">
        <v>364</v>
      </c>
    </row>
    <row r="11783">
      <c r="H11783" s="8" t="s">
        <v>364</v>
      </c>
    </row>
    <row r="11784">
      <c r="H11784" s="8" t="s">
        <v>364</v>
      </c>
    </row>
    <row r="11785">
      <c r="H11785" s="8" t="s">
        <v>364</v>
      </c>
    </row>
    <row r="11786">
      <c r="H11786" s="8" t="s">
        <v>364</v>
      </c>
    </row>
    <row r="11787">
      <c r="H11787" s="8" t="s">
        <v>364</v>
      </c>
    </row>
    <row r="11788">
      <c r="H11788" s="8" t="s">
        <v>364</v>
      </c>
    </row>
    <row r="11789">
      <c r="H11789" s="8" t="s">
        <v>364</v>
      </c>
    </row>
    <row r="11790">
      <c r="H11790" s="8" t="s">
        <v>364</v>
      </c>
    </row>
    <row r="11791">
      <c r="H11791" s="8" t="s">
        <v>364</v>
      </c>
    </row>
    <row r="11792">
      <c r="H11792" s="8" t="s">
        <v>364</v>
      </c>
    </row>
    <row r="11793">
      <c r="H11793" s="8" t="s">
        <v>364</v>
      </c>
    </row>
    <row r="11794">
      <c r="H11794" s="8" t="s">
        <v>364</v>
      </c>
    </row>
    <row r="11795">
      <c r="H11795" s="8" t="s">
        <v>364</v>
      </c>
    </row>
    <row r="11796">
      <c r="H11796" s="8" t="s">
        <v>364</v>
      </c>
    </row>
    <row r="11797">
      <c r="H11797" s="8" t="s">
        <v>364</v>
      </c>
    </row>
    <row r="11798">
      <c r="H11798" s="8" t="s">
        <v>364</v>
      </c>
    </row>
    <row r="11799">
      <c r="H11799" s="8" t="s">
        <v>364</v>
      </c>
    </row>
    <row r="11800">
      <c r="H11800" s="8" t="s">
        <v>364</v>
      </c>
    </row>
    <row r="11801">
      <c r="H11801" s="8" t="s">
        <v>364</v>
      </c>
    </row>
    <row r="11802">
      <c r="H11802" s="8" t="s">
        <v>364</v>
      </c>
    </row>
    <row r="11803">
      <c r="H11803" s="8" t="s">
        <v>364</v>
      </c>
    </row>
    <row r="11804">
      <c r="H11804" s="8" t="s">
        <v>364</v>
      </c>
    </row>
    <row r="11805">
      <c r="H11805" s="8" t="s">
        <v>364</v>
      </c>
    </row>
    <row r="11806">
      <c r="H11806" s="8" t="s">
        <v>364</v>
      </c>
    </row>
    <row r="11807">
      <c r="H11807" s="8" t="s">
        <v>364</v>
      </c>
    </row>
    <row r="11808">
      <c r="H11808" s="8" t="s">
        <v>364</v>
      </c>
    </row>
    <row r="11809">
      <c r="H11809" s="8" t="s">
        <v>364</v>
      </c>
    </row>
    <row r="11810">
      <c r="H11810" s="8" t="s">
        <v>364</v>
      </c>
    </row>
    <row r="11811">
      <c r="H11811" s="8" t="s">
        <v>364</v>
      </c>
    </row>
    <row r="11812">
      <c r="H11812" s="8" t="s">
        <v>364</v>
      </c>
    </row>
    <row r="11813">
      <c r="H11813" s="8" t="s">
        <v>364</v>
      </c>
    </row>
    <row r="11814">
      <c r="H11814" s="8" t="s">
        <v>364</v>
      </c>
    </row>
    <row r="11815">
      <c r="H11815" s="8" t="s">
        <v>364</v>
      </c>
    </row>
    <row r="11816">
      <c r="H11816" s="8" t="s">
        <v>364</v>
      </c>
    </row>
    <row r="11817">
      <c r="H11817" s="8" t="s">
        <v>364</v>
      </c>
    </row>
    <row r="11818">
      <c r="H11818" s="8" t="s">
        <v>364</v>
      </c>
    </row>
    <row r="11819">
      <c r="H11819" s="8" t="s">
        <v>364</v>
      </c>
    </row>
    <row r="11820">
      <c r="H11820" s="8" t="s">
        <v>364</v>
      </c>
    </row>
    <row r="11821">
      <c r="H11821" s="8" t="s">
        <v>364</v>
      </c>
    </row>
    <row r="11822">
      <c r="H11822" s="8" t="s">
        <v>364</v>
      </c>
    </row>
    <row r="11823">
      <c r="H11823" s="8" t="s">
        <v>364</v>
      </c>
    </row>
    <row r="11824">
      <c r="H11824" s="8" t="s">
        <v>364</v>
      </c>
    </row>
    <row r="11825">
      <c r="H11825" s="8" t="s">
        <v>364</v>
      </c>
    </row>
    <row r="11826">
      <c r="H11826" s="8" t="s">
        <v>364</v>
      </c>
    </row>
    <row r="11827">
      <c r="H11827" s="8" t="s">
        <v>364</v>
      </c>
    </row>
    <row r="11828">
      <c r="H11828" s="8" t="s">
        <v>364</v>
      </c>
    </row>
    <row r="11829">
      <c r="H11829" s="8" t="s">
        <v>364</v>
      </c>
    </row>
    <row r="11830">
      <c r="H11830" s="8" t="s">
        <v>364</v>
      </c>
    </row>
    <row r="11831">
      <c r="H11831" s="8" t="s">
        <v>364</v>
      </c>
    </row>
    <row r="11832">
      <c r="H11832" s="8" t="s">
        <v>364</v>
      </c>
    </row>
    <row r="11833">
      <c r="H11833" s="8" t="s">
        <v>364</v>
      </c>
    </row>
    <row r="11834">
      <c r="H11834" s="8" t="s">
        <v>364</v>
      </c>
    </row>
    <row r="11835">
      <c r="H11835" s="8" t="s">
        <v>364</v>
      </c>
    </row>
    <row r="11836">
      <c r="H11836" s="8" t="s">
        <v>364</v>
      </c>
    </row>
    <row r="11837">
      <c r="H11837" s="8" t="s">
        <v>364</v>
      </c>
    </row>
    <row r="11838">
      <c r="H11838" s="8" t="s">
        <v>364</v>
      </c>
    </row>
    <row r="11839">
      <c r="H11839" s="8" t="s">
        <v>364</v>
      </c>
    </row>
    <row r="11840">
      <c r="H11840" s="8" t="s">
        <v>364</v>
      </c>
    </row>
    <row r="11841">
      <c r="H11841" s="8" t="s">
        <v>364</v>
      </c>
    </row>
    <row r="11842">
      <c r="H11842" s="8" t="s">
        <v>364</v>
      </c>
    </row>
    <row r="11843">
      <c r="H11843" s="8" t="s">
        <v>364</v>
      </c>
    </row>
    <row r="11844">
      <c r="H11844" s="8" t="s">
        <v>364</v>
      </c>
    </row>
    <row r="11845">
      <c r="H11845" s="8" t="s">
        <v>364</v>
      </c>
    </row>
    <row r="11846">
      <c r="H11846" s="8" t="s">
        <v>364</v>
      </c>
    </row>
    <row r="11847">
      <c r="H11847" s="8" t="s">
        <v>364</v>
      </c>
    </row>
    <row r="11848">
      <c r="H11848" s="8" t="s">
        <v>364</v>
      </c>
    </row>
    <row r="11849">
      <c r="H11849" s="8" t="s">
        <v>364</v>
      </c>
    </row>
    <row r="11850">
      <c r="H11850" s="8" t="s">
        <v>364</v>
      </c>
    </row>
    <row r="11851">
      <c r="H11851" s="8" t="s">
        <v>364</v>
      </c>
    </row>
    <row r="11852">
      <c r="H11852" s="8" t="s">
        <v>364</v>
      </c>
    </row>
    <row r="11853">
      <c r="H11853" s="8" t="s">
        <v>364</v>
      </c>
    </row>
    <row r="11854">
      <c r="H11854" s="8" t="s">
        <v>364</v>
      </c>
    </row>
    <row r="11855">
      <c r="H11855" s="8" t="s">
        <v>364</v>
      </c>
    </row>
    <row r="11856">
      <c r="H11856" s="8" t="s">
        <v>364</v>
      </c>
    </row>
    <row r="11857">
      <c r="H11857" s="8" t="s">
        <v>364</v>
      </c>
    </row>
    <row r="11858">
      <c r="H11858" s="8" t="s">
        <v>364</v>
      </c>
    </row>
    <row r="11859">
      <c r="H11859" s="8" t="s">
        <v>364</v>
      </c>
    </row>
    <row r="11860">
      <c r="H11860" s="8" t="s">
        <v>364</v>
      </c>
    </row>
    <row r="11861">
      <c r="H11861" s="8" t="s">
        <v>364</v>
      </c>
    </row>
    <row r="11862">
      <c r="H11862" s="8" t="s">
        <v>364</v>
      </c>
    </row>
    <row r="11863">
      <c r="H11863" s="8" t="s">
        <v>364</v>
      </c>
    </row>
    <row r="11864">
      <c r="H11864" s="8" t="s">
        <v>364</v>
      </c>
    </row>
    <row r="11865">
      <c r="H11865" s="8" t="s">
        <v>364</v>
      </c>
    </row>
    <row r="11866">
      <c r="H11866" s="8" t="s">
        <v>364</v>
      </c>
    </row>
    <row r="11867">
      <c r="H11867" s="8" t="s">
        <v>364</v>
      </c>
    </row>
    <row r="11868">
      <c r="H11868" s="8" t="s">
        <v>364</v>
      </c>
    </row>
    <row r="11869">
      <c r="H11869" s="8" t="s">
        <v>364</v>
      </c>
    </row>
    <row r="11870">
      <c r="H11870" s="8" t="s">
        <v>364</v>
      </c>
    </row>
    <row r="11871">
      <c r="H11871" s="8" t="s">
        <v>364</v>
      </c>
    </row>
    <row r="11872">
      <c r="H11872" s="8" t="s">
        <v>364</v>
      </c>
    </row>
    <row r="11873">
      <c r="H11873" s="8" t="s">
        <v>364</v>
      </c>
    </row>
    <row r="11874">
      <c r="H11874" s="8" t="s">
        <v>364</v>
      </c>
    </row>
    <row r="11875">
      <c r="H11875" s="8" t="s">
        <v>364</v>
      </c>
    </row>
    <row r="11876">
      <c r="H11876" s="8" t="s">
        <v>364</v>
      </c>
    </row>
    <row r="11877">
      <c r="H11877" s="8" t="s">
        <v>364</v>
      </c>
    </row>
    <row r="11878">
      <c r="H11878" s="8" t="s">
        <v>364</v>
      </c>
    </row>
    <row r="11879">
      <c r="H11879" s="8" t="s">
        <v>364</v>
      </c>
    </row>
    <row r="11880">
      <c r="H11880" s="8" t="s">
        <v>364</v>
      </c>
    </row>
    <row r="11881">
      <c r="H11881" s="8" t="s">
        <v>364</v>
      </c>
    </row>
    <row r="11882">
      <c r="H11882" s="8" t="s">
        <v>364</v>
      </c>
    </row>
    <row r="11883">
      <c r="H11883" s="8" t="s">
        <v>364</v>
      </c>
    </row>
    <row r="11884">
      <c r="H11884" s="8" t="s">
        <v>364</v>
      </c>
    </row>
    <row r="11885">
      <c r="H11885" s="8" t="s">
        <v>364</v>
      </c>
    </row>
    <row r="11886">
      <c r="H11886" s="8" t="s">
        <v>364</v>
      </c>
    </row>
    <row r="11887">
      <c r="H11887" s="8" t="s">
        <v>364</v>
      </c>
    </row>
    <row r="11888">
      <c r="H11888" s="8" t="s">
        <v>364</v>
      </c>
    </row>
    <row r="11889">
      <c r="H11889" s="8" t="s">
        <v>364</v>
      </c>
    </row>
    <row r="11890">
      <c r="H11890" s="8" t="s">
        <v>364</v>
      </c>
    </row>
    <row r="11891">
      <c r="H11891" s="8" t="s">
        <v>364</v>
      </c>
    </row>
    <row r="11892">
      <c r="H11892" s="8" t="s">
        <v>364</v>
      </c>
    </row>
    <row r="11893">
      <c r="H11893" s="8" t="s">
        <v>364</v>
      </c>
    </row>
    <row r="11894">
      <c r="H11894" s="8" t="s">
        <v>364</v>
      </c>
    </row>
    <row r="11895">
      <c r="H11895" s="8" t="s">
        <v>364</v>
      </c>
    </row>
    <row r="11896">
      <c r="H11896" s="8" t="s">
        <v>364</v>
      </c>
    </row>
    <row r="11897">
      <c r="H11897" s="8" t="s">
        <v>364</v>
      </c>
    </row>
    <row r="11898">
      <c r="H11898" s="8" t="s">
        <v>364</v>
      </c>
    </row>
    <row r="11899">
      <c r="H11899" s="8" t="s">
        <v>364</v>
      </c>
    </row>
    <row r="11900">
      <c r="H11900" s="8" t="s">
        <v>364</v>
      </c>
    </row>
    <row r="11901">
      <c r="H11901" s="8" t="s">
        <v>364</v>
      </c>
    </row>
    <row r="11902">
      <c r="H11902" s="8" t="s">
        <v>364</v>
      </c>
    </row>
    <row r="11903">
      <c r="H11903" s="8" t="s">
        <v>364</v>
      </c>
    </row>
    <row r="11904">
      <c r="H11904" s="8" t="s">
        <v>364</v>
      </c>
    </row>
    <row r="11905">
      <c r="H11905" s="8" t="s">
        <v>364</v>
      </c>
    </row>
    <row r="11906">
      <c r="H11906" s="8" t="s">
        <v>364</v>
      </c>
    </row>
    <row r="11907">
      <c r="H11907" s="8" t="s">
        <v>364</v>
      </c>
    </row>
    <row r="11908">
      <c r="H11908" s="8" t="s">
        <v>364</v>
      </c>
    </row>
    <row r="11909">
      <c r="H11909" s="8" t="s">
        <v>364</v>
      </c>
    </row>
    <row r="11910">
      <c r="H11910" s="8" t="s">
        <v>364</v>
      </c>
    </row>
    <row r="11911">
      <c r="H11911" s="8" t="s">
        <v>364</v>
      </c>
    </row>
    <row r="11912">
      <c r="H11912" s="8" t="s">
        <v>364</v>
      </c>
    </row>
    <row r="11913">
      <c r="H11913" s="8" t="s">
        <v>364</v>
      </c>
    </row>
    <row r="11914">
      <c r="H11914" s="8" t="s">
        <v>364</v>
      </c>
    </row>
    <row r="11915">
      <c r="H11915" s="8" t="s">
        <v>364</v>
      </c>
    </row>
    <row r="11916">
      <c r="H11916" s="8" t="s">
        <v>364</v>
      </c>
    </row>
    <row r="11917">
      <c r="H11917" s="8" t="s">
        <v>364</v>
      </c>
    </row>
    <row r="11918">
      <c r="H11918" s="8" t="s">
        <v>364</v>
      </c>
    </row>
    <row r="11919">
      <c r="H11919" s="8" t="s">
        <v>364</v>
      </c>
    </row>
    <row r="11920">
      <c r="H11920" s="8" t="s">
        <v>364</v>
      </c>
    </row>
    <row r="11921">
      <c r="H11921" s="8" t="s">
        <v>364</v>
      </c>
    </row>
    <row r="11922">
      <c r="H11922" s="8" t="s">
        <v>364</v>
      </c>
    </row>
    <row r="11923">
      <c r="H11923" s="8" t="s">
        <v>364</v>
      </c>
    </row>
    <row r="11924">
      <c r="H11924" s="8" t="s">
        <v>364</v>
      </c>
    </row>
    <row r="11925">
      <c r="H11925" s="8" t="s">
        <v>364</v>
      </c>
    </row>
    <row r="11926">
      <c r="H11926" s="8" t="s">
        <v>364</v>
      </c>
    </row>
    <row r="11927">
      <c r="H11927" s="8" t="s">
        <v>364</v>
      </c>
    </row>
    <row r="11928">
      <c r="H11928" s="8" t="s">
        <v>364</v>
      </c>
    </row>
    <row r="11929">
      <c r="H11929" s="8" t="s">
        <v>364</v>
      </c>
    </row>
    <row r="11930">
      <c r="H11930" s="8" t="s">
        <v>364</v>
      </c>
    </row>
    <row r="11931">
      <c r="H11931" s="8" t="s">
        <v>364</v>
      </c>
    </row>
    <row r="11932">
      <c r="H11932" s="8" t="s">
        <v>364</v>
      </c>
    </row>
    <row r="11933">
      <c r="H11933" s="8" t="s">
        <v>364</v>
      </c>
    </row>
    <row r="11934">
      <c r="H11934" s="8" t="s">
        <v>364</v>
      </c>
    </row>
    <row r="11935">
      <c r="H11935" s="8" t="s">
        <v>364</v>
      </c>
    </row>
    <row r="11936">
      <c r="H11936" s="8" t="s">
        <v>364</v>
      </c>
    </row>
    <row r="11937">
      <c r="H11937" s="8" t="s">
        <v>364</v>
      </c>
    </row>
    <row r="11938">
      <c r="H11938" s="8" t="s">
        <v>364</v>
      </c>
    </row>
    <row r="11939">
      <c r="H11939" s="8" t="s">
        <v>364</v>
      </c>
    </row>
    <row r="11940">
      <c r="H11940" s="8" t="s">
        <v>364</v>
      </c>
    </row>
    <row r="11941">
      <c r="H11941" s="8" t="s">
        <v>364</v>
      </c>
    </row>
    <row r="11942">
      <c r="H11942" s="8" t="s">
        <v>364</v>
      </c>
    </row>
    <row r="11943">
      <c r="H11943" s="8" t="s">
        <v>364</v>
      </c>
    </row>
    <row r="11944">
      <c r="H11944" s="8" t="s">
        <v>364</v>
      </c>
    </row>
    <row r="11945">
      <c r="H11945" s="8" t="s">
        <v>364</v>
      </c>
    </row>
    <row r="11946">
      <c r="H11946" s="8" t="s">
        <v>364</v>
      </c>
    </row>
    <row r="11947">
      <c r="H11947" s="8" t="s">
        <v>364</v>
      </c>
    </row>
    <row r="11948">
      <c r="H11948" s="8" t="s">
        <v>364</v>
      </c>
    </row>
    <row r="11949">
      <c r="H11949" s="8" t="s">
        <v>364</v>
      </c>
    </row>
    <row r="11950">
      <c r="H11950" s="8" t="s">
        <v>364</v>
      </c>
    </row>
    <row r="11951">
      <c r="H11951" s="8" t="s">
        <v>364</v>
      </c>
    </row>
    <row r="11952">
      <c r="H11952" s="8" t="s">
        <v>364</v>
      </c>
    </row>
    <row r="11953">
      <c r="H11953" s="8" t="s">
        <v>364</v>
      </c>
    </row>
    <row r="11954">
      <c r="H11954" s="8" t="s">
        <v>364</v>
      </c>
    </row>
    <row r="11955">
      <c r="H11955" s="8" t="s">
        <v>364</v>
      </c>
    </row>
    <row r="11956">
      <c r="H11956" s="8" t="s">
        <v>364</v>
      </c>
    </row>
    <row r="11957">
      <c r="H11957" s="8" t="s">
        <v>364</v>
      </c>
    </row>
    <row r="11958">
      <c r="H11958" s="8" t="s">
        <v>364</v>
      </c>
    </row>
    <row r="11959">
      <c r="H11959" s="8" t="s">
        <v>364</v>
      </c>
    </row>
    <row r="11960">
      <c r="H11960" s="8" t="s">
        <v>364</v>
      </c>
    </row>
    <row r="11961">
      <c r="H11961" s="8" t="s">
        <v>364</v>
      </c>
    </row>
    <row r="11962">
      <c r="H11962" s="8" t="s">
        <v>364</v>
      </c>
    </row>
    <row r="11963">
      <c r="H11963" s="8" t="s">
        <v>364</v>
      </c>
    </row>
    <row r="11964">
      <c r="H11964" s="8" t="s">
        <v>364</v>
      </c>
    </row>
    <row r="11965">
      <c r="H11965" s="8" t="s">
        <v>364</v>
      </c>
    </row>
    <row r="11966">
      <c r="H11966" s="8" t="s">
        <v>364</v>
      </c>
    </row>
    <row r="11967">
      <c r="H11967" s="8" t="s">
        <v>364</v>
      </c>
    </row>
    <row r="11968">
      <c r="H11968" s="8" t="s">
        <v>364</v>
      </c>
    </row>
    <row r="11969">
      <c r="H11969" s="8" t="s">
        <v>364</v>
      </c>
    </row>
    <row r="11970">
      <c r="H11970" s="8" t="s">
        <v>364</v>
      </c>
    </row>
    <row r="11971">
      <c r="H11971" s="8" t="s">
        <v>364</v>
      </c>
    </row>
    <row r="11972">
      <c r="H11972" s="8" t="s">
        <v>364</v>
      </c>
    </row>
    <row r="11973">
      <c r="H11973" s="8" t="s">
        <v>364</v>
      </c>
    </row>
    <row r="11974">
      <c r="H11974" s="8" t="s">
        <v>364</v>
      </c>
    </row>
    <row r="11975">
      <c r="H11975" s="8" t="s">
        <v>364</v>
      </c>
    </row>
    <row r="11976">
      <c r="H11976" s="8" t="s">
        <v>364</v>
      </c>
    </row>
    <row r="11977">
      <c r="H11977" s="8" t="s">
        <v>364</v>
      </c>
    </row>
    <row r="11978">
      <c r="H11978" s="8" t="s">
        <v>364</v>
      </c>
    </row>
    <row r="11979">
      <c r="H11979" s="8" t="s">
        <v>364</v>
      </c>
    </row>
    <row r="11980">
      <c r="H11980" s="8" t="s">
        <v>364</v>
      </c>
    </row>
    <row r="11981">
      <c r="H11981" s="8" t="s">
        <v>364</v>
      </c>
    </row>
    <row r="11982">
      <c r="H11982" s="8" t="s">
        <v>364</v>
      </c>
    </row>
    <row r="11983">
      <c r="H11983" s="8" t="s">
        <v>364</v>
      </c>
    </row>
    <row r="11984">
      <c r="H11984" s="8" t="s">
        <v>364</v>
      </c>
    </row>
    <row r="11985">
      <c r="H11985" s="8" t="s">
        <v>364</v>
      </c>
    </row>
    <row r="11986">
      <c r="H11986" s="8" t="s">
        <v>364</v>
      </c>
    </row>
    <row r="11987">
      <c r="H11987" s="8" t="s">
        <v>364</v>
      </c>
    </row>
    <row r="11988">
      <c r="H11988" s="8" t="s">
        <v>364</v>
      </c>
    </row>
    <row r="11989">
      <c r="H11989" s="8" t="s">
        <v>364</v>
      </c>
    </row>
    <row r="11990">
      <c r="H11990" s="8" t="s">
        <v>364</v>
      </c>
    </row>
    <row r="11991">
      <c r="H11991" s="8" t="s">
        <v>364</v>
      </c>
    </row>
    <row r="11992">
      <c r="H11992" s="8" t="s">
        <v>364</v>
      </c>
    </row>
    <row r="11993">
      <c r="H11993" s="8" t="s">
        <v>364</v>
      </c>
    </row>
    <row r="11994">
      <c r="H11994" s="8" t="s">
        <v>364</v>
      </c>
    </row>
    <row r="11995">
      <c r="H11995" s="8" t="s">
        <v>364</v>
      </c>
    </row>
    <row r="11996">
      <c r="H11996" s="8" t="s">
        <v>364</v>
      </c>
    </row>
    <row r="11997">
      <c r="H11997" s="8" t="s">
        <v>364</v>
      </c>
    </row>
    <row r="11998">
      <c r="H11998" s="8" t="s">
        <v>364</v>
      </c>
    </row>
    <row r="11999">
      <c r="H11999" s="8" t="s">
        <v>364</v>
      </c>
    </row>
    <row r="12000">
      <c r="H12000" s="8" t="s">
        <v>364</v>
      </c>
    </row>
    <row r="12001">
      <c r="H12001" s="8" t="s">
        <v>364</v>
      </c>
    </row>
    <row r="12002">
      <c r="H12002" s="8" t="s">
        <v>364</v>
      </c>
    </row>
    <row r="12003">
      <c r="H12003" s="8" t="s">
        <v>364</v>
      </c>
    </row>
    <row r="12004">
      <c r="H12004" s="8" t="s">
        <v>364</v>
      </c>
    </row>
    <row r="12005">
      <c r="H12005" s="8" t="s">
        <v>364</v>
      </c>
    </row>
    <row r="12006">
      <c r="H12006" s="8" t="s">
        <v>364</v>
      </c>
    </row>
    <row r="12007">
      <c r="H12007" s="8" t="s">
        <v>364</v>
      </c>
    </row>
    <row r="12008">
      <c r="H12008" s="8" t="s">
        <v>364</v>
      </c>
    </row>
    <row r="12009">
      <c r="H12009" s="8" t="s">
        <v>364</v>
      </c>
    </row>
    <row r="12010">
      <c r="H12010" s="8" t="s">
        <v>364</v>
      </c>
    </row>
    <row r="12011">
      <c r="H12011" s="8" t="s">
        <v>364</v>
      </c>
    </row>
    <row r="12012">
      <c r="H12012" s="8" t="s">
        <v>364</v>
      </c>
    </row>
    <row r="12013">
      <c r="H12013" s="8" t="s">
        <v>364</v>
      </c>
    </row>
    <row r="12014">
      <c r="H12014" s="8" t="s">
        <v>364</v>
      </c>
    </row>
    <row r="12015">
      <c r="H12015" s="8" t="s">
        <v>364</v>
      </c>
    </row>
    <row r="12016">
      <c r="H12016" s="8" t="s">
        <v>364</v>
      </c>
    </row>
    <row r="12017">
      <c r="H12017" s="8" t="s">
        <v>364</v>
      </c>
    </row>
    <row r="12018">
      <c r="H12018" s="8" t="s">
        <v>364</v>
      </c>
    </row>
    <row r="12019">
      <c r="H12019" s="8" t="s">
        <v>364</v>
      </c>
    </row>
    <row r="12020">
      <c r="H12020" s="8" t="s">
        <v>364</v>
      </c>
    </row>
    <row r="12021">
      <c r="H12021" s="8" t="s">
        <v>364</v>
      </c>
    </row>
    <row r="12022">
      <c r="H12022" s="8" t="s">
        <v>364</v>
      </c>
    </row>
    <row r="12023">
      <c r="H12023" s="8" t="s">
        <v>364</v>
      </c>
    </row>
    <row r="12024">
      <c r="H12024" s="8" t="s">
        <v>364</v>
      </c>
    </row>
    <row r="12025">
      <c r="H12025" s="8" t="s">
        <v>364</v>
      </c>
    </row>
    <row r="12026">
      <c r="H12026" s="8" t="s">
        <v>364</v>
      </c>
    </row>
    <row r="12027">
      <c r="H12027" s="8" t="s">
        <v>364</v>
      </c>
    </row>
    <row r="12028">
      <c r="H12028" s="8" t="s">
        <v>364</v>
      </c>
    </row>
    <row r="12029">
      <c r="H12029" s="8" t="s">
        <v>364</v>
      </c>
    </row>
    <row r="12030">
      <c r="H12030" s="8" t="s">
        <v>364</v>
      </c>
    </row>
    <row r="12031">
      <c r="H12031" s="8" t="s">
        <v>364</v>
      </c>
    </row>
    <row r="12032">
      <c r="H12032" s="8" t="s">
        <v>364</v>
      </c>
    </row>
    <row r="12033">
      <c r="H12033" s="8" t="s">
        <v>364</v>
      </c>
    </row>
    <row r="12034">
      <c r="H12034" s="8" t="s">
        <v>364</v>
      </c>
    </row>
    <row r="12035">
      <c r="H12035" s="8" t="s">
        <v>364</v>
      </c>
    </row>
    <row r="12036">
      <c r="H12036" s="8" t="s">
        <v>364</v>
      </c>
    </row>
    <row r="12037">
      <c r="H12037" s="8" t="s">
        <v>364</v>
      </c>
    </row>
    <row r="12038">
      <c r="H12038" s="8" t="s">
        <v>364</v>
      </c>
    </row>
    <row r="12039">
      <c r="H12039" s="8" t="s">
        <v>364</v>
      </c>
    </row>
    <row r="12040">
      <c r="H12040" s="8" t="s">
        <v>364</v>
      </c>
    </row>
    <row r="12041">
      <c r="H12041" s="8" t="s">
        <v>364</v>
      </c>
    </row>
    <row r="12042">
      <c r="H12042" s="8" t="s">
        <v>364</v>
      </c>
    </row>
    <row r="12043">
      <c r="H12043" s="8" t="s">
        <v>364</v>
      </c>
    </row>
    <row r="12044">
      <c r="H12044" s="8" t="s">
        <v>364</v>
      </c>
    </row>
    <row r="12045">
      <c r="H12045" s="8" t="s">
        <v>364</v>
      </c>
    </row>
    <row r="12046">
      <c r="H12046" s="8" t="s">
        <v>364</v>
      </c>
    </row>
    <row r="12047">
      <c r="H12047" s="8" t="s">
        <v>364</v>
      </c>
    </row>
    <row r="12048">
      <c r="H12048" s="8" t="s">
        <v>364</v>
      </c>
    </row>
    <row r="12049">
      <c r="H12049" s="8" t="s">
        <v>364</v>
      </c>
    </row>
    <row r="12050">
      <c r="H12050" s="8" t="s">
        <v>364</v>
      </c>
    </row>
    <row r="12051">
      <c r="H12051" s="8" t="s">
        <v>364</v>
      </c>
    </row>
    <row r="12052">
      <c r="H12052" s="8" t="s">
        <v>364</v>
      </c>
    </row>
    <row r="12053">
      <c r="H12053" s="8" t="s">
        <v>364</v>
      </c>
    </row>
    <row r="12054">
      <c r="H12054" s="8" t="s">
        <v>364</v>
      </c>
    </row>
    <row r="12055">
      <c r="H12055" s="8" t="s">
        <v>364</v>
      </c>
    </row>
    <row r="12056">
      <c r="H12056" s="8" t="s">
        <v>364</v>
      </c>
    </row>
    <row r="12057">
      <c r="H12057" s="8" t="s">
        <v>364</v>
      </c>
    </row>
    <row r="12058">
      <c r="H12058" s="8" t="s">
        <v>364</v>
      </c>
    </row>
    <row r="12059">
      <c r="H12059" s="8" t="s">
        <v>364</v>
      </c>
    </row>
    <row r="12060">
      <c r="H12060" s="8" t="s">
        <v>364</v>
      </c>
    </row>
    <row r="12061">
      <c r="H12061" s="8" t="s">
        <v>364</v>
      </c>
    </row>
    <row r="12062">
      <c r="H12062" s="8" t="s">
        <v>364</v>
      </c>
    </row>
    <row r="12063">
      <c r="H12063" s="8" t="s">
        <v>364</v>
      </c>
    </row>
    <row r="12064">
      <c r="H12064" s="8" t="s">
        <v>364</v>
      </c>
    </row>
    <row r="12065">
      <c r="H12065" s="8" t="s">
        <v>364</v>
      </c>
    </row>
    <row r="12066">
      <c r="H12066" s="8" t="s">
        <v>364</v>
      </c>
    </row>
    <row r="12067">
      <c r="H12067" s="8" t="s">
        <v>364</v>
      </c>
    </row>
    <row r="12068">
      <c r="H12068" s="8" t="s">
        <v>364</v>
      </c>
    </row>
    <row r="12069">
      <c r="H12069" s="8" t="s">
        <v>364</v>
      </c>
    </row>
    <row r="12070">
      <c r="H12070" s="8" t="s">
        <v>364</v>
      </c>
    </row>
    <row r="12071">
      <c r="H12071" s="8" t="s">
        <v>364</v>
      </c>
    </row>
    <row r="12072">
      <c r="H12072" s="8" t="s">
        <v>364</v>
      </c>
    </row>
    <row r="12073">
      <c r="H12073" s="8" t="s">
        <v>364</v>
      </c>
    </row>
    <row r="12074">
      <c r="H12074" s="8" t="s">
        <v>364</v>
      </c>
    </row>
    <row r="12075">
      <c r="H12075" s="8" t="s">
        <v>364</v>
      </c>
    </row>
    <row r="12076">
      <c r="H12076" s="8" t="s">
        <v>364</v>
      </c>
    </row>
    <row r="12077">
      <c r="H12077" s="8" t="s">
        <v>364</v>
      </c>
    </row>
    <row r="12078">
      <c r="H12078" s="8" t="s">
        <v>364</v>
      </c>
    </row>
    <row r="12079">
      <c r="H12079" s="8" t="s">
        <v>364</v>
      </c>
    </row>
    <row r="12080">
      <c r="H12080" s="8" t="s">
        <v>364</v>
      </c>
    </row>
    <row r="12081">
      <c r="H12081" s="8" t="s">
        <v>364</v>
      </c>
    </row>
    <row r="12082">
      <c r="H12082" s="8" t="s">
        <v>364</v>
      </c>
    </row>
    <row r="12083">
      <c r="H12083" s="8" t="s">
        <v>364</v>
      </c>
    </row>
    <row r="12084">
      <c r="H12084" s="8" t="s">
        <v>364</v>
      </c>
    </row>
    <row r="12085">
      <c r="H12085" s="8" t="s">
        <v>364</v>
      </c>
    </row>
    <row r="12086">
      <c r="H12086" s="8" t="s">
        <v>364</v>
      </c>
    </row>
    <row r="12087">
      <c r="H12087" s="8" t="s">
        <v>364</v>
      </c>
    </row>
    <row r="12088">
      <c r="H12088" s="8" t="s">
        <v>364</v>
      </c>
    </row>
    <row r="12089">
      <c r="H12089" s="8" t="s">
        <v>364</v>
      </c>
    </row>
    <row r="12090">
      <c r="H12090" s="8" t="s">
        <v>364</v>
      </c>
    </row>
    <row r="12091">
      <c r="H12091" s="8" t="s">
        <v>364</v>
      </c>
    </row>
    <row r="12092">
      <c r="H12092" s="8" t="s">
        <v>364</v>
      </c>
    </row>
    <row r="12093">
      <c r="H12093" s="8" t="s">
        <v>364</v>
      </c>
    </row>
    <row r="12094">
      <c r="H12094" s="8" t="s">
        <v>364</v>
      </c>
    </row>
    <row r="12095">
      <c r="H12095" s="8" t="s">
        <v>364</v>
      </c>
    </row>
    <row r="12096">
      <c r="H12096" s="8" t="s">
        <v>364</v>
      </c>
    </row>
    <row r="12097">
      <c r="H12097" s="8" t="s">
        <v>364</v>
      </c>
    </row>
    <row r="12098">
      <c r="H12098" s="8" t="s">
        <v>364</v>
      </c>
    </row>
    <row r="12099">
      <c r="H12099" s="8" t="s">
        <v>364</v>
      </c>
    </row>
    <row r="12100">
      <c r="H12100" s="8" t="s">
        <v>364</v>
      </c>
    </row>
    <row r="12101">
      <c r="H12101" s="8" t="s">
        <v>364</v>
      </c>
    </row>
    <row r="12102">
      <c r="H12102" s="8" t="s">
        <v>364</v>
      </c>
    </row>
    <row r="12103">
      <c r="H12103" s="8" t="s">
        <v>364</v>
      </c>
    </row>
    <row r="12104">
      <c r="H12104" s="8" t="s">
        <v>364</v>
      </c>
    </row>
    <row r="12105">
      <c r="H12105" s="8" t="s">
        <v>364</v>
      </c>
    </row>
    <row r="12106">
      <c r="H12106" s="8" t="s">
        <v>364</v>
      </c>
    </row>
    <row r="12107">
      <c r="H12107" s="8" t="s">
        <v>364</v>
      </c>
    </row>
    <row r="12108">
      <c r="H12108" s="8" t="s">
        <v>364</v>
      </c>
    </row>
    <row r="12109">
      <c r="H12109" s="8" t="s">
        <v>364</v>
      </c>
    </row>
    <row r="12110">
      <c r="H12110" s="8" t="s">
        <v>364</v>
      </c>
    </row>
    <row r="12111">
      <c r="H12111" s="8" t="s">
        <v>364</v>
      </c>
    </row>
    <row r="12112">
      <c r="H12112" s="8" t="s">
        <v>364</v>
      </c>
    </row>
    <row r="12113">
      <c r="H12113" s="8" t="s">
        <v>364</v>
      </c>
    </row>
    <row r="12114">
      <c r="H12114" s="8" t="s">
        <v>364</v>
      </c>
    </row>
    <row r="12115">
      <c r="H12115" s="8" t="s">
        <v>364</v>
      </c>
    </row>
    <row r="12116">
      <c r="H12116" s="8" t="s">
        <v>364</v>
      </c>
    </row>
    <row r="12117">
      <c r="H12117" s="8" t="s">
        <v>364</v>
      </c>
    </row>
    <row r="12118">
      <c r="H12118" s="8" t="s">
        <v>364</v>
      </c>
    </row>
    <row r="12119">
      <c r="H12119" s="8" t="s">
        <v>364</v>
      </c>
    </row>
    <row r="12120">
      <c r="H12120" s="8" t="s">
        <v>364</v>
      </c>
    </row>
    <row r="12121">
      <c r="H12121" s="8" t="s">
        <v>364</v>
      </c>
    </row>
    <row r="12122">
      <c r="H12122" s="8" t="s">
        <v>364</v>
      </c>
    </row>
    <row r="12123">
      <c r="H12123" s="8" t="s">
        <v>364</v>
      </c>
    </row>
    <row r="12124">
      <c r="H12124" s="8" t="s">
        <v>364</v>
      </c>
    </row>
    <row r="12125">
      <c r="H12125" s="8" t="s">
        <v>364</v>
      </c>
    </row>
    <row r="12126">
      <c r="H12126" s="8" t="s">
        <v>364</v>
      </c>
    </row>
    <row r="12127">
      <c r="H12127" s="8" t="s">
        <v>364</v>
      </c>
    </row>
    <row r="12128">
      <c r="H12128" s="8" t="s">
        <v>364</v>
      </c>
    </row>
    <row r="12129">
      <c r="H12129" s="8" t="s">
        <v>364</v>
      </c>
    </row>
    <row r="12130">
      <c r="H12130" s="8" t="s">
        <v>364</v>
      </c>
    </row>
    <row r="12131">
      <c r="H12131" s="8" t="s">
        <v>364</v>
      </c>
    </row>
    <row r="12132">
      <c r="H12132" s="8" t="s">
        <v>364</v>
      </c>
    </row>
    <row r="12133">
      <c r="H12133" s="8" t="s">
        <v>364</v>
      </c>
    </row>
    <row r="12134">
      <c r="H12134" s="8" t="s">
        <v>364</v>
      </c>
    </row>
    <row r="12135">
      <c r="H12135" s="8" t="s">
        <v>364</v>
      </c>
    </row>
    <row r="12136">
      <c r="H12136" s="8" t="s">
        <v>364</v>
      </c>
    </row>
    <row r="12137">
      <c r="H12137" s="8" t="s">
        <v>364</v>
      </c>
    </row>
    <row r="12138">
      <c r="H12138" s="8" t="s">
        <v>364</v>
      </c>
    </row>
    <row r="12139">
      <c r="H12139" s="8" t="s">
        <v>364</v>
      </c>
    </row>
    <row r="12140">
      <c r="H12140" s="8" t="s">
        <v>364</v>
      </c>
    </row>
    <row r="12141">
      <c r="H12141" s="8" t="s">
        <v>364</v>
      </c>
    </row>
    <row r="12142">
      <c r="H12142" s="8" t="s">
        <v>364</v>
      </c>
    </row>
    <row r="12143">
      <c r="H12143" s="8" t="s">
        <v>364</v>
      </c>
    </row>
    <row r="12144">
      <c r="H12144" s="8" t="s">
        <v>364</v>
      </c>
    </row>
    <row r="12145">
      <c r="H12145" s="8" t="s">
        <v>364</v>
      </c>
    </row>
    <row r="12146">
      <c r="H12146" s="8" t="s">
        <v>364</v>
      </c>
    </row>
    <row r="12147">
      <c r="H12147" s="8" t="s">
        <v>364</v>
      </c>
    </row>
    <row r="12148">
      <c r="H12148" s="8" t="s">
        <v>364</v>
      </c>
    </row>
    <row r="12149">
      <c r="H12149" s="8" t="s">
        <v>364</v>
      </c>
    </row>
    <row r="12150">
      <c r="H12150" s="8" t="s">
        <v>364</v>
      </c>
    </row>
    <row r="12151">
      <c r="H12151" s="8" t="s">
        <v>364</v>
      </c>
    </row>
    <row r="12152">
      <c r="H12152" s="8" t="s">
        <v>364</v>
      </c>
    </row>
    <row r="12153">
      <c r="H12153" s="8" t="s">
        <v>364</v>
      </c>
    </row>
    <row r="12154">
      <c r="H12154" s="8" t="s">
        <v>364</v>
      </c>
    </row>
    <row r="12155">
      <c r="H12155" s="8" t="s">
        <v>364</v>
      </c>
    </row>
    <row r="12156">
      <c r="H12156" s="8" t="s">
        <v>364</v>
      </c>
    </row>
    <row r="12157">
      <c r="H12157" s="8" t="s">
        <v>364</v>
      </c>
    </row>
    <row r="12158">
      <c r="H12158" s="8" t="s">
        <v>364</v>
      </c>
    </row>
    <row r="12159">
      <c r="H12159" s="8" t="s">
        <v>364</v>
      </c>
    </row>
    <row r="12160">
      <c r="H12160" s="8" t="s">
        <v>364</v>
      </c>
    </row>
    <row r="12161">
      <c r="H12161" s="8" t="s">
        <v>364</v>
      </c>
    </row>
    <row r="12162">
      <c r="H12162" s="8" t="s">
        <v>364</v>
      </c>
    </row>
    <row r="12163">
      <c r="H12163" s="8" t="s">
        <v>364</v>
      </c>
    </row>
    <row r="12164">
      <c r="H12164" s="8" t="s">
        <v>364</v>
      </c>
    </row>
    <row r="12165">
      <c r="H12165" s="8" t="s">
        <v>364</v>
      </c>
    </row>
    <row r="12166">
      <c r="H12166" s="8" t="s">
        <v>364</v>
      </c>
    </row>
    <row r="12167">
      <c r="H12167" s="8" t="s">
        <v>364</v>
      </c>
    </row>
    <row r="12168">
      <c r="H12168" s="8" t="s">
        <v>364</v>
      </c>
    </row>
    <row r="12169">
      <c r="H12169" s="8" t="s">
        <v>364</v>
      </c>
    </row>
    <row r="12170">
      <c r="H12170" s="8" t="s">
        <v>364</v>
      </c>
    </row>
    <row r="12171">
      <c r="H12171" s="8" t="s">
        <v>364</v>
      </c>
    </row>
    <row r="12172">
      <c r="H12172" s="8" t="s">
        <v>364</v>
      </c>
    </row>
    <row r="12173">
      <c r="H12173" s="8" t="s">
        <v>364</v>
      </c>
    </row>
    <row r="12174">
      <c r="H12174" s="8" t="s">
        <v>364</v>
      </c>
    </row>
    <row r="12175">
      <c r="H12175" s="8" t="s">
        <v>364</v>
      </c>
    </row>
    <row r="12176">
      <c r="H12176" s="8" t="s">
        <v>364</v>
      </c>
    </row>
    <row r="12177">
      <c r="H12177" s="8" t="s">
        <v>364</v>
      </c>
    </row>
    <row r="12178">
      <c r="H12178" s="8" t="s">
        <v>364</v>
      </c>
    </row>
    <row r="12179">
      <c r="H12179" s="8" t="s">
        <v>364</v>
      </c>
    </row>
    <row r="12180">
      <c r="H12180" s="8" t="s">
        <v>364</v>
      </c>
    </row>
    <row r="12181">
      <c r="H12181" s="8" t="s">
        <v>364</v>
      </c>
    </row>
    <row r="12182">
      <c r="H12182" s="8" t="s">
        <v>364</v>
      </c>
    </row>
    <row r="12183">
      <c r="H12183" s="8" t="s">
        <v>364</v>
      </c>
    </row>
    <row r="12184">
      <c r="H12184" s="8" t="s">
        <v>364</v>
      </c>
    </row>
    <row r="12185">
      <c r="H12185" s="8" t="s">
        <v>364</v>
      </c>
    </row>
    <row r="12186">
      <c r="H12186" s="8" t="s">
        <v>364</v>
      </c>
    </row>
    <row r="12187">
      <c r="H12187" s="8" t="s">
        <v>364</v>
      </c>
    </row>
    <row r="12188">
      <c r="H12188" s="8" t="s">
        <v>364</v>
      </c>
    </row>
    <row r="12189">
      <c r="H12189" s="8" t="s">
        <v>364</v>
      </c>
    </row>
    <row r="12190">
      <c r="H12190" s="8" t="s">
        <v>364</v>
      </c>
    </row>
    <row r="12191">
      <c r="H12191" s="8" t="s">
        <v>364</v>
      </c>
    </row>
    <row r="12192">
      <c r="H12192" s="8" t="s">
        <v>364</v>
      </c>
    </row>
    <row r="12193">
      <c r="H12193" s="8" t="s">
        <v>364</v>
      </c>
    </row>
    <row r="12194">
      <c r="H12194" s="8" t="s">
        <v>364</v>
      </c>
    </row>
    <row r="12195">
      <c r="H12195" s="8" t="s">
        <v>364</v>
      </c>
    </row>
    <row r="12196">
      <c r="H12196" s="8" t="s">
        <v>364</v>
      </c>
    </row>
    <row r="12197">
      <c r="H12197" s="8" t="s">
        <v>364</v>
      </c>
    </row>
    <row r="12198">
      <c r="H12198" s="8" t="s">
        <v>364</v>
      </c>
    </row>
    <row r="12199">
      <c r="H12199" s="8" t="s">
        <v>364</v>
      </c>
    </row>
    <row r="12200">
      <c r="H12200" s="8" t="s">
        <v>364</v>
      </c>
    </row>
    <row r="12201">
      <c r="H12201" s="8" t="s">
        <v>364</v>
      </c>
    </row>
    <row r="12202">
      <c r="H12202" s="8" t="s">
        <v>364</v>
      </c>
    </row>
    <row r="12203">
      <c r="H12203" s="8" t="s">
        <v>364</v>
      </c>
    </row>
    <row r="12204">
      <c r="H12204" s="8" t="s">
        <v>364</v>
      </c>
    </row>
    <row r="12205">
      <c r="H12205" s="8" t="s">
        <v>364</v>
      </c>
    </row>
    <row r="12206">
      <c r="H12206" s="8" t="s">
        <v>364</v>
      </c>
    </row>
    <row r="12207">
      <c r="H12207" s="8" t="s">
        <v>364</v>
      </c>
    </row>
    <row r="12208">
      <c r="H12208" s="8" t="s">
        <v>364</v>
      </c>
    </row>
    <row r="12209">
      <c r="H12209" s="8" t="s">
        <v>364</v>
      </c>
    </row>
    <row r="12210">
      <c r="H12210" s="8" t="s">
        <v>364</v>
      </c>
    </row>
    <row r="12211">
      <c r="H12211" s="8" t="s">
        <v>364</v>
      </c>
    </row>
    <row r="12212">
      <c r="H12212" s="8" t="s">
        <v>364</v>
      </c>
    </row>
    <row r="12213">
      <c r="H12213" s="8" t="s">
        <v>364</v>
      </c>
    </row>
    <row r="12214">
      <c r="H12214" s="8" t="s">
        <v>364</v>
      </c>
    </row>
    <row r="12215">
      <c r="H12215" s="8" t="s">
        <v>364</v>
      </c>
    </row>
    <row r="12216">
      <c r="H12216" s="8" t="s">
        <v>364</v>
      </c>
    </row>
    <row r="12217">
      <c r="H12217" s="8" t="s">
        <v>364</v>
      </c>
    </row>
    <row r="12218">
      <c r="H12218" s="8" t="s">
        <v>364</v>
      </c>
    </row>
    <row r="12219">
      <c r="H12219" s="8" t="s">
        <v>364</v>
      </c>
    </row>
    <row r="12220">
      <c r="H12220" s="8" t="s">
        <v>364</v>
      </c>
    </row>
    <row r="12221">
      <c r="H12221" s="8" t="s">
        <v>364</v>
      </c>
    </row>
    <row r="12222">
      <c r="H12222" s="8" t="s">
        <v>364</v>
      </c>
    </row>
    <row r="12223">
      <c r="H12223" s="8" t="s">
        <v>364</v>
      </c>
    </row>
    <row r="12224">
      <c r="H12224" s="8" t="s">
        <v>364</v>
      </c>
    </row>
    <row r="12225">
      <c r="H12225" s="8" t="s">
        <v>364</v>
      </c>
    </row>
    <row r="12226">
      <c r="H12226" s="8" t="s">
        <v>364</v>
      </c>
    </row>
    <row r="12227">
      <c r="H12227" s="8" t="s">
        <v>364</v>
      </c>
    </row>
    <row r="12228">
      <c r="H12228" s="8" t="s">
        <v>364</v>
      </c>
    </row>
    <row r="12229">
      <c r="H12229" s="8" t="s">
        <v>364</v>
      </c>
    </row>
    <row r="12230">
      <c r="H12230" s="8" t="s">
        <v>364</v>
      </c>
    </row>
    <row r="12231">
      <c r="H12231" s="8" t="s">
        <v>364</v>
      </c>
    </row>
    <row r="12232">
      <c r="H12232" s="8" t="s">
        <v>364</v>
      </c>
    </row>
    <row r="12233">
      <c r="H12233" s="8" t="s">
        <v>364</v>
      </c>
    </row>
    <row r="12234">
      <c r="H12234" s="8" t="s">
        <v>364</v>
      </c>
    </row>
    <row r="12235">
      <c r="H12235" s="8" t="s">
        <v>364</v>
      </c>
    </row>
    <row r="12236">
      <c r="H12236" s="8" t="s">
        <v>364</v>
      </c>
    </row>
    <row r="12237">
      <c r="H12237" s="8" t="s">
        <v>364</v>
      </c>
    </row>
    <row r="12238">
      <c r="H12238" s="8" t="s">
        <v>364</v>
      </c>
    </row>
    <row r="12239">
      <c r="H12239" s="8" t="s">
        <v>364</v>
      </c>
    </row>
    <row r="12240">
      <c r="H12240" s="8" t="s">
        <v>364</v>
      </c>
    </row>
    <row r="12241">
      <c r="H12241" s="8" t="s">
        <v>364</v>
      </c>
    </row>
    <row r="12242">
      <c r="H12242" s="8" t="s">
        <v>364</v>
      </c>
    </row>
    <row r="12243">
      <c r="H12243" s="8" t="s">
        <v>364</v>
      </c>
    </row>
    <row r="12244">
      <c r="H12244" s="8" t="s">
        <v>364</v>
      </c>
    </row>
    <row r="12245">
      <c r="H12245" s="8" t="s">
        <v>364</v>
      </c>
    </row>
    <row r="12246">
      <c r="H12246" s="8" t="s">
        <v>364</v>
      </c>
    </row>
    <row r="12247">
      <c r="H12247" s="8" t="s">
        <v>364</v>
      </c>
    </row>
    <row r="12248">
      <c r="H12248" s="8" t="s">
        <v>364</v>
      </c>
    </row>
    <row r="12249">
      <c r="H12249" s="8" t="s">
        <v>364</v>
      </c>
    </row>
    <row r="12250">
      <c r="H12250" s="8" t="s">
        <v>364</v>
      </c>
    </row>
    <row r="12251">
      <c r="H12251" s="8" t="s">
        <v>364</v>
      </c>
    </row>
    <row r="12252">
      <c r="H12252" s="8" t="s">
        <v>364</v>
      </c>
    </row>
    <row r="12253">
      <c r="H12253" s="8" t="s">
        <v>364</v>
      </c>
    </row>
    <row r="12254">
      <c r="H12254" s="8" t="s">
        <v>364</v>
      </c>
    </row>
    <row r="12255">
      <c r="H12255" s="8" t="s">
        <v>364</v>
      </c>
    </row>
    <row r="12256">
      <c r="H12256" s="8" t="s">
        <v>364</v>
      </c>
    </row>
    <row r="12257">
      <c r="H12257" s="8" t="s">
        <v>364</v>
      </c>
    </row>
    <row r="12258">
      <c r="H12258" s="8" t="s">
        <v>364</v>
      </c>
    </row>
    <row r="12259">
      <c r="H12259" s="8" t="s">
        <v>364</v>
      </c>
    </row>
    <row r="12260">
      <c r="H12260" s="8" t="s">
        <v>364</v>
      </c>
    </row>
    <row r="12261">
      <c r="H12261" s="8" t="s">
        <v>364</v>
      </c>
    </row>
    <row r="12262">
      <c r="H12262" s="8" t="s">
        <v>364</v>
      </c>
    </row>
    <row r="12263">
      <c r="H12263" s="8" t="s">
        <v>364</v>
      </c>
    </row>
    <row r="12264">
      <c r="H12264" s="8" t="s">
        <v>364</v>
      </c>
    </row>
    <row r="12265">
      <c r="H12265" s="8" t="s">
        <v>364</v>
      </c>
    </row>
    <row r="12266">
      <c r="H12266" s="8" t="s">
        <v>364</v>
      </c>
    </row>
    <row r="12267">
      <c r="H12267" s="8" t="s">
        <v>364</v>
      </c>
    </row>
    <row r="12268">
      <c r="H12268" s="8" t="s">
        <v>364</v>
      </c>
    </row>
    <row r="12269">
      <c r="H12269" s="8" t="s">
        <v>364</v>
      </c>
    </row>
    <row r="12270">
      <c r="H12270" s="8" t="s">
        <v>364</v>
      </c>
    </row>
    <row r="12271">
      <c r="H12271" s="8" t="s">
        <v>364</v>
      </c>
    </row>
    <row r="12272">
      <c r="H12272" s="8" t="s">
        <v>364</v>
      </c>
    </row>
    <row r="12273">
      <c r="H12273" s="8" t="s">
        <v>364</v>
      </c>
    </row>
    <row r="12274">
      <c r="H12274" s="8" t="s">
        <v>364</v>
      </c>
    </row>
    <row r="12275">
      <c r="H12275" s="8" t="s">
        <v>364</v>
      </c>
    </row>
    <row r="12276">
      <c r="H12276" s="8" t="s">
        <v>364</v>
      </c>
    </row>
    <row r="12277">
      <c r="H12277" s="8" t="s">
        <v>364</v>
      </c>
    </row>
    <row r="12278">
      <c r="H12278" s="8" t="s">
        <v>364</v>
      </c>
    </row>
    <row r="12279">
      <c r="H12279" s="8" t="s">
        <v>364</v>
      </c>
    </row>
    <row r="12280">
      <c r="H12280" s="8" t="s">
        <v>364</v>
      </c>
    </row>
    <row r="12281">
      <c r="H12281" s="8" t="s">
        <v>364</v>
      </c>
    </row>
    <row r="12282">
      <c r="H12282" s="8" t="s">
        <v>364</v>
      </c>
    </row>
    <row r="12283">
      <c r="H12283" s="8" t="s">
        <v>364</v>
      </c>
    </row>
    <row r="12284">
      <c r="H12284" s="8" t="s">
        <v>364</v>
      </c>
    </row>
    <row r="12285">
      <c r="H12285" s="8" t="s">
        <v>364</v>
      </c>
    </row>
    <row r="12286">
      <c r="H12286" s="8" t="s">
        <v>364</v>
      </c>
    </row>
    <row r="12287">
      <c r="H12287" s="8" t="s">
        <v>364</v>
      </c>
    </row>
    <row r="12288">
      <c r="H12288" s="8" t="s">
        <v>364</v>
      </c>
    </row>
    <row r="12289">
      <c r="H12289" s="8" t="s">
        <v>364</v>
      </c>
    </row>
    <row r="12290">
      <c r="H12290" s="8" t="s">
        <v>364</v>
      </c>
    </row>
    <row r="12291">
      <c r="H12291" s="8" t="s">
        <v>364</v>
      </c>
    </row>
    <row r="12292">
      <c r="H12292" s="8" t="s">
        <v>364</v>
      </c>
    </row>
    <row r="12293">
      <c r="H12293" s="8" t="s">
        <v>364</v>
      </c>
    </row>
    <row r="12294">
      <c r="H12294" s="8" t="s">
        <v>364</v>
      </c>
    </row>
    <row r="12295">
      <c r="H12295" s="8" t="s">
        <v>364</v>
      </c>
    </row>
    <row r="12296">
      <c r="H12296" s="8" t="s">
        <v>364</v>
      </c>
    </row>
    <row r="12297">
      <c r="H12297" s="8" t="s">
        <v>364</v>
      </c>
    </row>
    <row r="12298">
      <c r="H12298" s="8" t="s">
        <v>364</v>
      </c>
    </row>
    <row r="12299">
      <c r="H12299" s="8" t="s">
        <v>364</v>
      </c>
    </row>
    <row r="12300">
      <c r="H12300" s="8" t="s">
        <v>364</v>
      </c>
    </row>
    <row r="12301">
      <c r="H12301" s="8" t="s">
        <v>364</v>
      </c>
    </row>
    <row r="12302">
      <c r="H12302" s="8" t="s">
        <v>364</v>
      </c>
    </row>
    <row r="12303">
      <c r="H12303" s="8" t="s">
        <v>364</v>
      </c>
    </row>
    <row r="12304">
      <c r="H12304" s="8" t="s">
        <v>364</v>
      </c>
    </row>
    <row r="12305">
      <c r="H12305" s="8" t="s">
        <v>364</v>
      </c>
    </row>
    <row r="12306">
      <c r="H12306" s="8" t="s">
        <v>364</v>
      </c>
    </row>
    <row r="12307">
      <c r="H12307" s="8" t="s">
        <v>364</v>
      </c>
    </row>
    <row r="12308">
      <c r="H12308" s="8" t="s">
        <v>364</v>
      </c>
    </row>
    <row r="12309">
      <c r="H12309" s="8" t="s">
        <v>364</v>
      </c>
    </row>
    <row r="12310">
      <c r="H12310" s="8" t="s">
        <v>364</v>
      </c>
    </row>
    <row r="12311">
      <c r="H12311" s="8" t="s">
        <v>364</v>
      </c>
    </row>
    <row r="12312">
      <c r="H12312" s="8" t="s">
        <v>364</v>
      </c>
    </row>
    <row r="12313">
      <c r="H12313" s="8" t="s">
        <v>364</v>
      </c>
    </row>
    <row r="12314">
      <c r="H12314" s="8" t="s">
        <v>364</v>
      </c>
    </row>
    <row r="12315">
      <c r="H12315" s="8" t="s">
        <v>364</v>
      </c>
    </row>
    <row r="12316">
      <c r="H12316" s="8" t="s">
        <v>364</v>
      </c>
    </row>
    <row r="12317">
      <c r="H12317" s="8" t="s">
        <v>364</v>
      </c>
    </row>
    <row r="12318">
      <c r="H12318" s="8" t="s">
        <v>364</v>
      </c>
    </row>
    <row r="12319">
      <c r="H12319" s="8" t="s">
        <v>364</v>
      </c>
    </row>
    <row r="12320">
      <c r="H12320" s="8" t="s">
        <v>364</v>
      </c>
    </row>
    <row r="12321">
      <c r="H12321" s="8" t="s">
        <v>364</v>
      </c>
    </row>
    <row r="12322">
      <c r="H12322" s="8" t="s">
        <v>364</v>
      </c>
    </row>
    <row r="12323">
      <c r="H12323" s="8" t="s">
        <v>364</v>
      </c>
    </row>
    <row r="12324">
      <c r="H12324" s="8" t="s">
        <v>364</v>
      </c>
    </row>
    <row r="12325">
      <c r="H12325" s="8" t="s">
        <v>364</v>
      </c>
    </row>
    <row r="12326">
      <c r="H12326" s="8" t="s">
        <v>364</v>
      </c>
    </row>
    <row r="12327">
      <c r="H12327" s="8" t="s">
        <v>364</v>
      </c>
    </row>
    <row r="12328">
      <c r="H12328" s="8" t="s">
        <v>364</v>
      </c>
    </row>
    <row r="12329">
      <c r="H12329" s="8" t="s">
        <v>364</v>
      </c>
    </row>
    <row r="12330">
      <c r="H12330" s="8" t="s">
        <v>364</v>
      </c>
    </row>
    <row r="12331">
      <c r="H12331" s="8" t="s">
        <v>364</v>
      </c>
    </row>
    <row r="12332">
      <c r="H12332" s="8" t="s">
        <v>364</v>
      </c>
    </row>
    <row r="12333">
      <c r="H12333" s="8" t="s">
        <v>364</v>
      </c>
    </row>
    <row r="12334">
      <c r="H12334" s="8" t="s">
        <v>364</v>
      </c>
    </row>
    <row r="12335">
      <c r="H12335" s="8" t="s">
        <v>364</v>
      </c>
    </row>
    <row r="12336">
      <c r="H12336" s="8" t="s">
        <v>364</v>
      </c>
    </row>
    <row r="12337">
      <c r="H12337" s="8" t="s">
        <v>364</v>
      </c>
    </row>
    <row r="12338">
      <c r="H12338" s="8" t="s">
        <v>364</v>
      </c>
    </row>
    <row r="12339">
      <c r="H12339" s="8" t="s">
        <v>364</v>
      </c>
    </row>
    <row r="12340">
      <c r="H12340" s="8" t="s">
        <v>364</v>
      </c>
    </row>
    <row r="12341">
      <c r="H12341" s="8" t="s">
        <v>364</v>
      </c>
    </row>
    <row r="12342">
      <c r="H12342" s="8" t="s">
        <v>364</v>
      </c>
    </row>
    <row r="12343">
      <c r="H12343" s="8" t="s">
        <v>364</v>
      </c>
    </row>
    <row r="12344">
      <c r="H12344" s="8" t="s">
        <v>364</v>
      </c>
    </row>
    <row r="12345">
      <c r="H12345" s="8" t="s">
        <v>364</v>
      </c>
    </row>
    <row r="12346">
      <c r="H12346" s="8" t="s">
        <v>364</v>
      </c>
    </row>
    <row r="12347">
      <c r="H12347" s="8" t="s">
        <v>364</v>
      </c>
    </row>
    <row r="12348">
      <c r="H12348" s="8" t="s">
        <v>364</v>
      </c>
    </row>
    <row r="12349">
      <c r="H12349" s="8" t="s">
        <v>364</v>
      </c>
    </row>
    <row r="12350">
      <c r="H12350" s="8" t="s">
        <v>364</v>
      </c>
    </row>
    <row r="12351">
      <c r="H12351" s="8" t="s">
        <v>364</v>
      </c>
    </row>
    <row r="12352">
      <c r="H12352" s="8" t="s">
        <v>364</v>
      </c>
    </row>
    <row r="12353">
      <c r="H12353" s="8" t="s">
        <v>364</v>
      </c>
    </row>
    <row r="12354">
      <c r="H12354" s="8" t="s">
        <v>364</v>
      </c>
    </row>
    <row r="12355">
      <c r="H12355" s="8" t="s">
        <v>364</v>
      </c>
    </row>
    <row r="12356">
      <c r="H12356" s="8" t="s">
        <v>364</v>
      </c>
    </row>
    <row r="12357">
      <c r="H12357" s="8" t="s">
        <v>364</v>
      </c>
    </row>
    <row r="12358">
      <c r="H12358" s="8" t="s">
        <v>364</v>
      </c>
    </row>
    <row r="12359">
      <c r="H12359" s="8" t="s">
        <v>364</v>
      </c>
    </row>
    <row r="12360">
      <c r="H12360" s="8" t="s">
        <v>364</v>
      </c>
    </row>
    <row r="12361">
      <c r="H12361" s="8" t="s">
        <v>364</v>
      </c>
    </row>
    <row r="12362">
      <c r="H12362" s="8" t="s">
        <v>364</v>
      </c>
    </row>
    <row r="12363">
      <c r="H12363" s="8" t="s">
        <v>364</v>
      </c>
    </row>
    <row r="12364">
      <c r="H12364" s="8" t="s">
        <v>364</v>
      </c>
    </row>
    <row r="12365">
      <c r="H12365" s="8" t="s">
        <v>364</v>
      </c>
    </row>
    <row r="12366">
      <c r="H12366" s="8" t="s">
        <v>364</v>
      </c>
    </row>
    <row r="12367">
      <c r="H12367" s="8" t="s">
        <v>364</v>
      </c>
    </row>
    <row r="12368">
      <c r="H12368" s="8" t="s">
        <v>364</v>
      </c>
    </row>
    <row r="12369">
      <c r="H12369" s="8" t="s">
        <v>364</v>
      </c>
    </row>
    <row r="12370">
      <c r="H12370" s="8" t="s">
        <v>364</v>
      </c>
    </row>
    <row r="12371">
      <c r="H12371" s="8" t="s">
        <v>364</v>
      </c>
    </row>
    <row r="12372">
      <c r="H12372" s="8" t="s">
        <v>364</v>
      </c>
    </row>
    <row r="12373">
      <c r="H12373" s="8" t="s">
        <v>364</v>
      </c>
    </row>
    <row r="12374">
      <c r="H12374" s="8" t="s">
        <v>364</v>
      </c>
    </row>
    <row r="12375">
      <c r="H12375" s="8" t="s">
        <v>364</v>
      </c>
    </row>
    <row r="12376">
      <c r="H12376" s="8" t="s">
        <v>364</v>
      </c>
    </row>
    <row r="12377">
      <c r="H12377" s="8" t="s">
        <v>364</v>
      </c>
    </row>
    <row r="12378">
      <c r="H12378" s="8" t="s">
        <v>364</v>
      </c>
    </row>
    <row r="12379">
      <c r="H12379" s="8" t="s">
        <v>364</v>
      </c>
    </row>
    <row r="12380">
      <c r="H12380" s="8" t="s">
        <v>364</v>
      </c>
    </row>
    <row r="12381">
      <c r="H12381" s="8" t="s">
        <v>364</v>
      </c>
    </row>
    <row r="12382">
      <c r="H12382" s="8" t="s">
        <v>364</v>
      </c>
    </row>
    <row r="12383">
      <c r="H12383" s="8" t="s">
        <v>364</v>
      </c>
    </row>
    <row r="12384">
      <c r="H12384" s="8" t="s">
        <v>364</v>
      </c>
    </row>
    <row r="12385">
      <c r="H12385" s="8" t="s">
        <v>364</v>
      </c>
    </row>
    <row r="12386">
      <c r="H12386" s="8" t="s">
        <v>364</v>
      </c>
    </row>
    <row r="12387">
      <c r="H12387" s="8" t="s">
        <v>364</v>
      </c>
    </row>
    <row r="12388">
      <c r="H12388" s="8" t="s">
        <v>364</v>
      </c>
    </row>
    <row r="12389">
      <c r="H12389" s="8" t="s">
        <v>364</v>
      </c>
    </row>
    <row r="12390">
      <c r="H12390" s="8" t="s">
        <v>364</v>
      </c>
    </row>
    <row r="12391">
      <c r="H12391" s="8" t="s">
        <v>364</v>
      </c>
    </row>
    <row r="12392">
      <c r="H12392" s="8" t="s">
        <v>364</v>
      </c>
    </row>
    <row r="12393">
      <c r="H12393" s="8" t="s">
        <v>364</v>
      </c>
    </row>
    <row r="12394">
      <c r="H12394" s="8" t="s">
        <v>364</v>
      </c>
    </row>
    <row r="12395">
      <c r="H12395" s="8" t="s">
        <v>364</v>
      </c>
    </row>
    <row r="12396">
      <c r="H12396" s="8" t="s">
        <v>364</v>
      </c>
    </row>
    <row r="12397">
      <c r="H12397" s="8" t="s">
        <v>364</v>
      </c>
    </row>
    <row r="12398">
      <c r="H12398" s="8" t="s">
        <v>364</v>
      </c>
    </row>
    <row r="12399">
      <c r="H12399" s="8" t="s">
        <v>364</v>
      </c>
    </row>
    <row r="12400">
      <c r="H12400" s="8" t="s">
        <v>364</v>
      </c>
    </row>
    <row r="12401">
      <c r="H12401" s="8" t="s">
        <v>364</v>
      </c>
    </row>
    <row r="12402">
      <c r="H12402" s="8" t="s">
        <v>364</v>
      </c>
    </row>
    <row r="12403">
      <c r="H12403" s="8" t="s">
        <v>364</v>
      </c>
    </row>
    <row r="12404">
      <c r="H12404" s="8" t="s">
        <v>364</v>
      </c>
    </row>
    <row r="12405">
      <c r="H12405" s="8" t="s">
        <v>364</v>
      </c>
    </row>
    <row r="12406">
      <c r="H12406" s="8" t="s">
        <v>364</v>
      </c>
    </row>
    <row r="12407">
      <c r="H12407" s="8" t="s">
        <v>364</v>
      </c>
    </row>
    <row r="12408">
      <c r="H12408" s="8" t="s">
        <v>364</v>
      </c>
    </row>
    <row r="12409">
      <c r="H12409" s="8" t="s">
        <v>364</v>
      </c>
    </row>
    <row r="12410">
      <c r="H12410" s="8" t="s">
        <v>364</v>
      </c>
    </row>
    <row r="12411">
      <c r="H12411" s="8" t="s">
        <v>364</v>
      </c>
    </row>
    <row r="12412">
      <c r="H12412" s="8" t="s">
        <v>364</v>
      </c>
    </row>
    <row r="12413">
      <c r="H12413" s="8" t="s">
        <v>364</v>
      </c>
    </row>
    <row r="12414">
      <c r="H12414" s="8" t="s">
        <v>364</v>
      </c>
    </row>
    <row r="12415">
      <c r="H12415" s="8" t="s">
        <v>364</v>
      </c>
    </row>
    <row r="12416">
      <c r="H12416" s="8" t="s">
        <v>364</v>
      </c>
    </row>
    <row r="12417">
      <c r="H12417" s="8" t="s">
        <v>364</v>
      </c>
    </row>
    <row r="12418">
      <c r="H12418" s="8" t="s">
        <v>364</v>
      </c>
    </row>
    <row r="12419">
      <c r="H12419" s="8" t="s">
        <v>364</v>
      </c>
    </row>
    <row r="12420">
      <c r="H12420" s="8" t="s">
        <v>364</v>
      </c>
    </row>
    <row r="12421">
      <c r="H12421" s="8" t="s">
        <v>364</v>
      </c>
    </row>
    <row r="12422">
      <c r="H12422" s="8" t="s">
        <v>364</v>
      </c>
    </row>
    <row r="12423">
      <c r="H12423" s="8" t="s">
        <v>364</v>
      </c>
    </row>
    <row r="12424">
      <c r="H12424" s="8" t="s">
        <v>364</v>
      </c>
    </row>
    <row r="12425">
      <c r="H12425" s="8" t="s">
        <v>364</v>
      </c>
    </row>
    <row r="12426">
      <c r="H12426" s="8" t="s">
        <v>364</v>
      </c>
    </row>
    <row r="12427">
      <c r="H12427" s="8" t="s">
        <v>364</v>
      </c>
    </row>
    <row r="12428">
      <c r="H12428" s="8" t="s">
        <v>364</v>
      </c>
    </row>
    <row r="12429">
      <c r="H12429" s="8" t="s">
        <v>364</v>
      </c>
    </row>
    <row r="12430">
      <c r="H12430" s="8" t="s">
        <v>364</v>
      </c>
    </row>
    <row r="12431">
      <c r="H12431" s="8" t="s">
        <v>364</v>
      </c>
    </row>
    <row r="12432">
      <c r="H12432" s="8" t="s">
        <v>364</v>
      </c>
    </row>
    <row r="12433">
      <c r="H12433" s="8" t="s">
        <v>364</v>
      </c>
    </row>
    <row r="12434">
      <c r="H12434" s="8" t="s">
        <v>364</v>
      </c>
    </row>
    <row r="12435">
      <c r="H12435" s="8" t="s">
        <v>364</v>
      </c>
    </row>
    <row r="12436">
      <c r="H12436" s="8" t="s">
        <v>364</v>
      </c>
    </row>
    <row r="12437">
      <c r="H12437" s="8" t="s">
        <v>364</v>
      </c>
    </row>
    <row r="12438">
      <c r="H12438" s="8" t="s">
        <v>364</v>
      </c>
    </row>
    <row r="12439">
      <c r="H12439" s="8" t="s">
        <v>364</v>
      </c>
    </row>
    <row r="12440">
      <c r="H12440" s="8" t="s">
        <v>364</v>
      </c>
    </row>
    <row r="12441">
      <c r="H12441" s="8" t="s">
        <v>364</v>
      </c>
    </row>
    <row r="12442">
      <c r="H12442" s="8" t="s">
        <v>364</v>
      </c>
    </row>
    <row r="12443">
      <c r="H12443" s="8" t="s">
        <v>364</v>
      </c>
    </row>
    <row r="12444">
      <c r="H12444" s="8" t="s">
        <v>364</v>
      </c>
    </row>
    <row r="12445">
      <c r="H12445" s="8" t="s">
        <v>364</v>
      </c>
    </row>
    <row r="12446">
      <c r="H12446" s="8" t="s">
        <v>364</v>
      </c>
    </row>
    <row r="12447">
      <c r="H12447" s="8" t="s">
        <v>364</v>
      </c>
    </row>
    <row r="12448">
      <c r="H12448" s="8" t="s">
        <v>364</v>
      </c>
    </row>
    <row r="12449">
      <c r="H12449" s="8" t="s">
        <v>364</v>
      </c>
    </row>
    <row r="12450">
      <c r="H12450" s="8" t="s">
        <v>364</v>
      </c>
    </row>
    <row r="12451">
      <c r="H12451" s="8" t="s">
        <v>364</v>
      </c>
    </row>
    <row r="12452">
      <c r="H12452" s="8" t="s">
        <v>364</v>
      </c>
    </row>
    <row r="12453">
      <c r="H12453" s="8" t="s">
        <v>364</v>
      </c>
    </row>
    <row r="12454">
      <c r="H12454" s="8" t="s">
        <v>364</v>
      </c>
    </row>
    <row r="12455">
      <c r="H12455" s="8" t="s">
        <v>364</v>
      </c>
    </row>
    <row r="12456">
      <c r="H12456" s="8" t="s">
        <v>364</v>
      </c>
    </row>
    <row r="12457">
      <c r="H12457" s="8" t="s">
        <v>364</v>
      </c>
    </row>
    <row r="12458">
      <c r="H12458" s="8" t="s">
        <v>364</v>
      </c>
    </row>
    <row r="12459">
      <c r="H12459" s="8" t="s">
        <v>364</v>
      </c>
    </row>
    <row r="12460">
      <c r="H12460" s="8" t="s">
        <v>364</v>
      </c>
    </row>
    <row r="12461">
      <c r="H12461" s="8" t="s">
        <v>364</v>
      </c>
    </row>
    <row r="12462">
      <c r="H12462" s="8" t="s">
        <v>364</v>
      </c>
    </row>
    <row r="12463">
      <c r="H12463" s="8" t="s">
        <v>364</v>
      </c>
    </row>
    <row r="12464">
      <c r="H12464" s="8" t="s">
        <v>364</v>
      </c>
    </row>
    <row r="12465">
      <c r="H12465" s="8" t="s">
        <v>364</v>
      </c>
    </row>
    <row r="12466">
      <c r="H12466" s="8" t="s">
        <v>364</v>
      </c>
    </row>
    <row r="12467">
      <c r="H12467" s="8" t="s">
        <v>364</v>
      </c>
    </row>
    <row r="12468">
      <c r="H12468" s="8" t="s">
        <v>364</v>
      </c>
    </row>
    <row r="12469">
      <c r="H12469" s="8" t="s">
        <v>364</v>
      </c>
    </row>
    <row r="12470">
      <c r="H12470" s="8" t="s">
        <v>364</v>
      </c>
    </row>
    <row r="12471">
      <c r="H12471" s="8" t="s">
        <v>364</v>
      </c>
    </row>
    <row r="12472">
      <c r="H12472" s="8" t="s">
        <v>364</v>
      </c>
    </row>
    <row r="12473">
      <c r="H12473" s="8" t="s">
        <v>364</v>
      </c>
    </row>
    <row r="12474">
      <c r="H12474" s="8" t="s">
        <v>364</v>
      </c>
    </row>
    <row r="12475">
      <c r="H12475" s="8" t="s">
        <v>364</v>
      </c>
    </row>
    <row r="12476">
      <c r="H12476" s="8" t="s">
        <v>364</v>
      </c>
    </row>
    <row r="12477">
      <c r="H12477" s="8" t="s">
        <v>364</v>
      </c>
    </row>
    <row r="12478">
      <c r="H12478" s="8" t="s">
        <v>364</v>
      </c>
    </row>
    <row r="12479">
      <c r="H12479" s="8" t="s">
        <v>364</v>
      </c>
    </row>
    <row r="12480">
      <c r="H12480" s="8" t="s">
        <v>364</v>
      </c>
    </row>
    <row r="12481">
      <c r="H12481" s="8" t="s">
        <v>364</v>
      </c>
    </row>
    <row r="12482">
      <c r="H12482" s="8" t="s">
        <v>364</v>
      </c>
    </row>
    <row r="12483">
      <c r="H12483" s="8" t="s">
        <v>364</v>
      </c>
    </row>
    <row r="12484">
      <c r="H12484" s="8" t="s">
        <v>364</v>
      </c>
    </row>
    <row r="12485">
      <c r="H12485" s="8" t="s">
        <v>364</v>
      </c>
    </row>
    <row r="12486">
      <c r="H12486" s="8" t="s">
        <v>364</v>
      </c>
    </row>
    <row r="12487">
      <c r="H12487" s="8" t="s">
        <v>364</v>
      </c>
    </row>
    <row r="12488">
      <c r="H12488" s="8" t="s">
        <v>364</v>
      </c>
    </row>
    <row r="12489">
      <c r="H12489" s="8" t="s">
        <v>364</v>
      </c>
    </row>
    <row r="12490">
      <c r="H12490" s="8" t="s">
        <v>364</v>
      </c>
    </row>
    <row r="12491">
      <c r="H12491" s="8" t="s">
        <v>364</v>
      </c>
    </row>
    <row r="12492">
      <c r="H12492" s="8" t="s">
        <v>364</v>
      </c>
    </row>
    <row r="12493">
      <c r="H12493" s="8" t="s">
        <v>364</v>
      </c>
    </row>
    <row r="12494">
      <c r="H12494" s="8" t="s">
        <v>364</v>
      </c>
    </row>
    <row r="12495">
      <c r="H12495" s="8" t="s">
        <v>364</v>
      </c>
    </row>
    <row r="12496">
      <c r="H12496" s="8" t="s">
        <v>364</v>
      </c>
    </row>
    <row r="12497">
      <c r="H12497" s="8" t="s">
        <v>364</v>
      </c>
    </row>
    <row r="12498">
      <c r="H12498" s="8" t="s">
        <v>364</v>
      </c>
    </row>
    <row r="12499">
      <c r="H12499" s="8" t="s">
        <v>364</v>
      </c>
    </row>
    <row r="12500">
      <c r="H12500" s="8" t="s">
        <v>364</v>
      </c>
    </row>
    <row r="12501">
      <c r="H12501" s="8" t="s">
        <v>364</v>
      </c>
    </row>
    <row r="12502">
      <c r="H12502" s="8" t="s">
        <v>364</v>
      </c>
    </row>
    <row r="12503">
      <c r="H12503" s="8" t="s">
        <v>364</v>
      </c>
    </row>
    <row r="12504">
      <c r="H12504" s="8" t="s">
        <v>364</v>
      </c>
    </row>
    <row r="12505">
      <c r="H12505" s="8" t="s">
        <v>364</v>
      </c>
    </row>
    <row r="12506">
      <c r="H12506" s="8" t="s">
        <v>364</v>
      </c>
    </row>
    <row r="12507">
      <c r="H12507" s="8" t="s">
        <v>364</v>
      </c>
    </row>
    <row r="12508">
      <c r="H12508" s="8" t="s">
        <v>364</v>
      </c>
    </row>
    <row r="12509">
      <c r="H12509" s="8" t="s">
        <v>364</v>
      </c>
    </row>
    <row r="12510">
      <c r="H12510" s="8" t="s">
        <v>364</v>
      </c>
    </row>
    <row r="12511">
      <c r="H12511" s="8" t="s">
        <v>364</v>
      </c>
    </row>
    <row r="12512">
      <c r="H12512" s="8" t="s">
        <v>364</v>
      </c>
    </row>
    <row r="12513">
      <c r="H12513" s="8" t="s">
        <v>364</v>
      </c>
    </row>
    <row r="12514">
      <c r="H12514" s="8" t="s">
        <v>364</v>
      </c>
    </row>
    <row r="12515">
      <c r="H12515" s="8" t="s">
        <v>364</v>
      </c>
    </row>
    <row r="12516">
      <c r="H12516" s="8" t="s">
        <v>364</v>
      </c>
    </row>
    <row r="12517">
      <c r="H12517" s="8" t="s">
        <v>364</v>
      </c>
    </row>
    <row r="12518">
      <c r="H12518" s="8" t="s">
        <v>364</v>
      </c>
    </row>
    <row r="12519">
      <c r="H12519" s="8" t="s">
        <v>364</v>
      </c>
    </row>
    <row r="12520">
      <c r="H12520" s="8" t="s">
        <v>364</v>
      </c>
    </row>
    <row r="12521">
      <c r="H12521" s="8" t="s">
        <v>364</v>
      </c>
    </row>
    <row r="12522">
      <c r="H12522" s="8" t="s">
        <v>364</v>
      </c>
    </row>
    <row r="12523">
      <c r="H12523" s="8" t="s">
        <v>364</v>
      </c>
    </row>
    <row r="12524">
      <c r="H12524" s="8" t="s">
        <v>364</v>
      </c>
    </row>
    <row r="12525">
      <c r="H12525" s="8" t="s">
        <v>364</v>
      </c>
    </row>
    <row r="12526">
      <c r="H12526" s="8" t="s">
        <v>364</v>
      </c>
    </row>
    <row r="12527">
      <c r="H12527" s="8" t="s">
        <v>364</v>
      </c>
    </row>
    <row r="12528">
      <c r="H12528" s="8" t="s">
        <v>364</v>
      </c>
    </row>
    <row r="12529">
      <c r="H12529" s="8" t="s">
        <v>364</v>
      </c>
    </row>
    <row r="12530">
      <c r="H12530" s="8" t="s">
        <v>364</v>
      </c>
    </row>
    <row r="12531">
      <c r="H12531" s="8" t="s">
        <v>364</v>
      </c>
    </row>
    <row r="12532">
      <c r="H12532" s="8" t="s">
        <v>364</v>
      </c>
    </row>
    <row r="12533">
      <c r="H12533" s="8" t="s">
        <v>364</v>
      </c>
    </row>
    <row r="12534">
      <c r="H12534" s="8" t="s">
        <v>364</v>
      </c>
    </row>
    <row r="12535">
      <c r="H12535" s="8" t="s">
        <v>364</v>
      </c>
    </row>
    <row r="12536">
      <c r="H12536" s="8" t="s">
        <v>364</v>
      </c>
    </row>
    <row r="12537">
      <c r="H12537" s="8" t="s">
        <v>364</v>
      </c>
    </row>
    <row r="12538">
      <c r="H12538" s="8" t="s">
        <v>364</v>
      </c>
    </row>
    <row r="12539">
      <c r="H12539" s="8" t="s">
        <v>364</v>
      </c>
    </row>
    <row r="12540">
      <c r="H12540" s="8" t="s">
        <v>364</v>
      </c>
    </row>
    <row r="12541">
      <c r="H12541" s="8" t="s">
        <v>364</v>
      </c>
    </row>
    <row r="12542">
      <c r="H12542" s="8" t="s">
        <v>364</v>
      </c>
    </row>
    <row r="12543">
      <c r="H12543" s="8" t="s">
        <v>364</v>
      </c>
    </row>
    <row r="12544">
      <c r="H12544" s="8" t="s">
        <v>364</v>
      </c>
    </row>
    <row r="12545">
      <c r="H12545" s="8" t="s">
        <v>364</v>
      </c>
    </row>
    <row r="12546">
      <c r="H12546" s="8" t="s">
        <v>364</v>
      </c>
    </row>
    <row r="12547">
      <c r="H12547" s="8" t="s">
        <v>364</v>
      </c>
    </row>
    <row r="12548">
      <c r="H12548" s="8" t="s">
        <v>364</v>
      </c>
    </row>
    <row r="12549">
      <c r="H12549" s="8" t="s">
        <v>364</v>
      </c>
    </row>
    <row r="12550">
      <c r="H12550" s="8" t="s">
        <v>364</v>
      </c>
    </row>
    <row r="12551">
      <c r="H12551" s="8" t="s">
        <v>364</v>
      </c>
    </row>
    <row r="12552">
      <c r="H12552" s="8" t="s">
        <v>364</v>
      </c>
    </row>
    <row r="12553">
      <c r="H12553" s="8" t="s">
        <v>364</v>
      </c>
    </row>
    <row r="12554">
      <c r="H12554" s="8" t="s">
        <v>364</v>
      </c>
    </row>
    <row r="12555">
      <c r="H12555" s="8" t="s">
        <v>364</v>
      </c>
    </row>
    <row r="12556">
      <c r="H12556" s="8" t="s">
        <v>364</v>
      </c>
    </row>
    <row r="12557">
      <c r="H12557" s="8" t="s">
        <v>364</v>
      </c>
    </row>
    <row r="12558">
      <c r="H12558" s="8" t="s">
        <v>364</v>
      </c>
    </row>
    <row r="12559">
      <c r="H12559" s="8" t="s">
        <v>364</v>
      </c>
    </row>
    <row r="12560">
      <c r="H12560" s="8" t="s">
        <v>364</v>
      </c>
    </row>
    <row r="12561">
      <c r="H12561" s="8" t="s">
        <v>364</v>
      </c>
    </row>
    <row r="12562">
      <c r="H12562" s="8" t="s">
        <v>364</v>
      </c>
    </row>
    <row r="12563">
      <c r="H12563" s="8" t="s">
        <v>364</v>
      </c>
    </row>
    <row r="12564">
      <c r="H12564" s="8" t="s">
        <v>364</v>
      </c>
    </row>
    <row r="12565">
      <c r="H12565" s="8" t="s">
        <v>364</v>
      </c>
    </row>
    <row r="12566">
      <c r="H12566" s="8" t="s">
        <v>364</v>
      </c>
    </row>
    <row r="12567">
      <c r="H12567" s="8" t="s">
        <v>364</v>
      </c>
    </row>
    <row r="12568">
      <c r="H12568" s="8" t="s">
        <v>364</v>
      </c>
    </row>
    <row r="12569">
      <c r="H12569" s="8" t="s">
        <v>364</v>
      </c>
    </row>
    <row r="12570">
      <c r="H12570" s="8" t="s">
        <v>364</v>
      </c>
    </row>
    <row r="12571">
      <c r="H12571" s="8" t="s">
        <v>364</v>
      </c>
    </row>
    <row r="12572">
      <c r="H12572" s="8" t="s">
        <v>364</v>
      </c>
    </row>
    <row r="12573">
      <c r="H12573" s="8" t="s">
        <v>364</v>
      </c>
    </row>
    <row r="12574">
      <c r="H12574" s="8" t="s">
        <v>364</v>
      </c>
    </row>
    <row r="12575">
      <c r="H12575" s="8" t="s">
        <v>364</v>
      </c>
    </row>
    <row r="12576">
      <c r="H12576" s="8" t="s">
        <v>364</v>
      </c>
    </row>
    <row r="12577">
      <c r="H12577" s="8" t="s">
        <v>364</v>
      </c>
    </row>
    <row r="12578">
      <c r="H12578" s="8" t="s">
        <v>364</v>
      </c>
    </row>
    <row r="12579">
      <c r="H12579" s="8" t="s">
        <v>364</v>
      </c>
    </row>
    <row r="12580">
      <c r="H12580" s="8" t="s">
        <v>364</v>
      </c>
    </row>
    <row r="12581">
      <c r="H12581" s="8" t="s">
        <v>364</v>
      </c>
    </row>
    <row r="12582">
      <c r="H12582" s="8" t="s">
        <v>364</v>
      </c>
    </row>
    <row r="12583">
      <c r="H12583" s="8" t="s">
        <v>364</v>
      </c>
    </row>
    <row r="12584">
      <c r="H12584" s="8" t="s">
        <v>364</v>
      </c>
    </row>
    <row r="12585">
      <c r="H12585" s="8" t="s">
        <v>364</v>
      </c>
    </row>
    <row r="12586">
      <c r="H12586" s="8" t="s">
        <v>364</v>
      </c>
    </row>
    <row r="12587">
      <c r="H12587" s="8" t="s">
        <v>364</v>
      </c>
    </row>
    <row r="12588">
      <c r="H12588" s="8" t="s">
        <v>364</v>
      </c>
    </row>
    <row r="12589">
      <c r="H12589" s="8" t="s">
        <v>364</v>
      </c>
    </row>
    <row r="12590">
      <c r="H12590" s="8" t="s">
        <v>364</v>
      </c>
    </row>
    <row r="12591">
      <c r="H12591" s="8" t="s">
        <v>364</v>
      </c>
    </row>
    <row r="12592">
      <c r="H12592" s="8" t="s">
        <v>364</v>
      </c>
    </row>
    <row r="12593">
      <c r="H12593" s="8" t="s">
        <v>364</v>
      </c>
    </row>
    <row r="12594">
      <c r="H12594" s="8" t="s">
        <v>364</v>
      </c>
    </row>
    <row r="12595">
      <c r="H12595" s="8" t="s">
        <v>364</v>
      </c>
    </row>
    <row r="12596">
      <c r="H12596" s="8" t="s">
        <v>364</v>
      </c>
    </row>
    <row r="12597">
      <c r="H12597" s="8" t="s">
        <v>364</v>
      </c>
    </row>
    <row r="12598">
      <c r="H12598" s="8" t="s">
        <v>364</v>
      </c>
    </row>
    <row r="12599">
      <c r="H12599" s="8" t="s">
        <v>364</v>
      </c>
    </row>
    <row r="12600">
      <c r="H12600" s="8" t="s">
        <v>364</v>
      </c>
    </row>
    <row r="12601">
      <c r="H12601" s="8" t="s">
        <v>364</v>
      </c>
    </row>
    <row r="12602">
      <c r="H12602" s="8" t="s">
        <v>364</v>
      </c>
    </row>
    <row r="12603">
      <c r="H12603" s="8" t="s">
        <v>364</v>
      </c>
    </row>
    <row r="12604">
      <c r="H12604" s="8" t="s">
        <v>364</v>
      </c>
    </row>
    <row r="12605">
      <c r="H12605" s="8" t="s">
        <v>364</v>
      </c>
    </row>
    <row r="12606">
      <c r="H12606" s="8" t="s">
        <v>364</v>
      </c>
    </row>
    <row r="12607">
      <c r="H12607" s="8" t="s">
        <v>364</v>
      </c>
    </row>
    <row r="12608">
      <c r="H12608" s="8" t="s">
        <v>364</v>
      </c>
    </row>
    <row r="12609">
      <c r="H12609" s="8" t="s">
        <v>364</v>
      </c>
    </row>
    <row r="12610">
      <c r="H12610" s="8" t="s">
        <v>364</v>
      </c>
    </row>
    <row r="12611">
      <c r="H12611" s="8" t="s">
        <v>364</v>
      </c>
    </row>
    <row r="12612">
      <c r="H12612" s="8" t="s">
        <v>364</v>
      </c>
    </row>
    <row r="12613">
      <c r="H12613" s="8" t="s">
        <v>364</v>
      </c>
    </row>
    <row r="12614">
      <c r="H12614" s="8" t="s">
        <v>364</v>
      </c>
    </row>
    <row r="12615">
      <c r="H12615" s="8" t="s">
        <v>364</v>
      </c>
    </row>
    <row r="12616">
      <c r="H12616" s="8" t="s">
        <v>364</v>
      </c>
    </row>
    <row r="12617">
      <c r="H12617" s="8" t="s">
        <v>364</v>
      </c>
    </row>
    <row r="12618">
      <c r="H12618" s="8" t="s">
        <v>364</v>
      </c>
    </row>
    <row r="12619">
      <c r="H12619" s="8" t="s">
        <v>364</v>
      </c>
    </row>
    <row r="12620">
      <c r="H12620" s="8" t="s">
        <v>364</v>
      </c>
    </row>
    <row r="12621">
      <c r="H12621" s="8" t="s">
        <v>364</v>
      </c>
    </row>
    <row r="12622">
      <c r="H12622" s="8" t="s">
        <v>364</v>
      </c>
    </row>
    <row r="12623">
      <c r="H12623" s="8" t="s">
        <v>364</v>
      </c>
    </row>
    <row r="12624">
      <c r="H12624" s="8" t="s">
        <v>364</v>
      </c>
    </row>
    <row r="12625">
      <c r="H12625" s="8" t="s">
        <v>364</v>
      </c>
    </row>
    <row r="12626">
      <c r="H12626" s="8" t="s">
        <v>364</v>
      </c>
    </row>
    <row r="12627">
      <c r="H12627" s="8" t="s">
        <v>364</v>
      </c>
    </row>
    <row r="12628">
      <c r="H12628" s="8" t="s">
        <v>364</v>
      </c>
    </row>
    <row r="12629">
      <c r="H12629" s="8" t="s">
        <v>364</v>
      </c>
    </row>
    <row r="12630">
      <c r="H12630" s="8" t="s">
        <v>364</v>
      </c>
    </row>
    <row r="12631">
      <c r="H12631" s="8" t="s">
        <v>364</v>
      </c>
    </row>
    <row r="12632">
      <c r="H12632" s="8" t="s">
        <v>364</v>
      </c>
    </row>
    <row r="12633">
      <c r="H12633" s="8" t="s">
        <v>364</v>
      </c>
    </row>
    <row r="12634">
      <c r="H12634" s="8" t="s">
        <v>364</v>
      </c>
    </row>
    <row r="12635">
      <c r="H12635" s="8" t="s">
        <v>364</v>
      </c>
    </row>
    <row r="12636">
      <c r="H12636" s="8" t="s">
        <v>364</v>
      </c>
    </row>
    <row r="12637">
      <c r="H12637" s="8" t="s">
        <v>364</v>
      </c>
    </row>
    <row r="12638">
      <c r="H12638" s="8" t="s">
        <v>364</v>
      </c>
    </row>
    <row r="12639">
      <c r="H12639" s="8" t="s">
        <v>364</v>
      </c>
    </row>
    <row r="12640">
      <c r="H12640" s="8" t="s">
        <v>364</v>
      </c>
    </row>
    <row r="12641">
      <c r="H12641" s="8" t="s">
        <v>364</v>
      </c>
    </row>
    <row r="12642">
      <c r="H12642" s="8" t="s">
        <v>364</v>
      </c>
    </row>
    <row r="12643">
      <c r="H12643" s="8" t="s">
        <v>364</v>
      </c>
    </row>
    <row r="12644">
      <c r="H12644" s="8" t="s">
        <v>364</v>
      </c>
    </row>
    <row r="12645">
      <c r="H12645" s="8" t="s">
        <v>364</v>
      </c>
    </row>
    <row r="12646">
      <c r="H12646" s="8" t="s">
        <v>364</v>
      </c>
    </row>
    <row r="12647">
      <c r="H12647" s="8" t="s">
        <v>364</v>
      </c>
    </row>
    <row r="12648">
      <c r="H12648" s="8" t="s">
        <v>364</v>
      </c>
    </row>
    <row r="12649">
      <c r="H12649" s="8" t="s">
        <v>364</v>
      </c>
    </row>
    <row r="12650">
      <c r="H12650" s="8" t="s">
        <v>364</v>
      </c>
    </row>
    <row r="12651">
      <c r="H12651" s="8" t="s">
        <v>364</v>
      </c>
    </row>
    <row r="12652">
      <c r="H12652" s="8" t="s">
        <v>364</v>
      </c>
    </row>
    <row r="12653">
      <c r="H12653" s="8" t="s">
        <v>364</v>
      </c>
    </row>
    <row r="12654">
      <c r="H12654" s="8" t="s">
        <v>364</v>
      </c>
    </row>
    <row r="12655">
      <c r="H12655" s="8" t="s">
        <v>364</v>
      </c>
    </row>
    <row r="12656">
      <c r="H12656" s="8" t="s">
        <v>364</v>
      </c>
    </row>
    <row r="12657">
      <c r="H12657" s="8" t="s">
        <v>364</v>
      </c>
    </row>
    <row r="12658">
      <c r="H12658" s="8" t="s">
        <v>364</v>
      </c>
    </row>
    <row r="12659">
      <c r="H12659" s="8" t="s">
        <v>364</v>
      </c>
    </row>
    <row r="12660">
      <c r="H12660" s="8" t="s">
        <v>364</v>
      </c>
    </row>
    <row r="12661">
      <c r="H12661" s="8" t="s">
        <v>364</v>
      </c>
    </row>
    <row r="12662">
      <c r="H12662" s="8" t="s">
        <v>364</v>
      </c>
    </row>
    <row r="12663">
      <c r="H12663" s="8" t="s">
        <v>364</v>
      </c>
    </row>
    <row r="12664">
      <c r="H12664" s="8" t="s">
        <v>364</v>
      </c>
    </row>
    <row r="12665">
      <c r="H12665" s="8" t="s">
        <v>364</v>
      </c>
    </row>
    <row r="12666">
      <c r="H12666" s="8" t="s">
        <v>364</v>
      </c>
    </row>
    <row r="12667">
      <c r="H12667" s="8" t="s">
        <v>364</v>
      </c>
    </row>
    <row r="12668">
      <c r="H12668" s="8" t="s">
        <v>364</v>
      </c>
    </row>
    <row r="12669">
      <c r="H12669" s="8" t="s">
        <v>364</v>
      </c>
    </row>
    <row r="12670">
      <c r="H12670" s="8" t="s">
        <v>364</v>
      </c>
    </row>
    <row r="12671">
      <c r="H12671" s="8" t="s">
        <v>364</v>
      </c>
    </row>
    <row r="12672">
      <c r="H12672" s="8" t="s">
        <v>364</v>
      </c>
    </row>
    <row r="12673">
      <c r="H12673" s="8" t="s">
        <v>364</v>
      </c>
    </row>
    <row r="12674">
      <c r="H12674" s="8" t="s">
        <v>364</v>
      </c>
    </row>
    <row r="12675">
      <c r="H12675" s="8" t="s">
        <v>364</v>
      </c>
    </row>
    <row r="12676">
      <c r="H12676" s="8" t="s">
        <v>364</v>
      </c>
    </row>
    <row r="12677">
      <c r="H12677" s="8" t="s">
        <v>364</v>
      </c>
    </row>
    <row r="12678">
      <c r="H12678" s="8" t="s">
        <v>364</v>
      </c>
    </row>
    <row r="12679">
      <c r="H12679" s="8" t="s">
        <v>364</v>
      </c>
    </row>
    <row r="12680">
      <c r="H12680" s="8" t="s">
        <v>364</v>
      </c>
    </row>
    <row r="12681">
      <c r="H12681" s="8" t="s">
        <v>364</v>
      </c>
    </row>
    <row r="12682">
      <c r="H12682" s="8" t="s">
        <v>364</v>
      </c>
    </row>
    <row r="12683">
      <c r="H12683" s="8" t="s">
        <v>364</v>
      </c>
    </row>
    <row r="12684">
      <c r="H12684" s="8" t="s">
        <v>364</v>
      </c>
    </row>
    <row r="12685">
      <c r="H12685" s="8" t="s">
        <v>364</v>
      </c>
    </row>
    <row r="12686">
      <c r="H12686" s="8" t="s">
        <v>364</v>
      </c>
    </row>
    <row r="12687">
      <c r="H12687" s="8" t="s">
        <v>364</v>
      </c>
    </row>
    <row r="12688">
      <c r="H12688" s="8" t="s">
        <v>364</v>
      </c>
    </row>
    <row r="12689">
      <c r="H12689" s="8" t="s">
        <v>364</v>
      </c>
    </row>
    <row r="12690">
      <c r="H12690" s="8" t="s">
        <v>364</v>
      </c>
    </row>
    <row r="12691">
      <c r="H12691" s="8" t="s">
        <v>364</v>
      </c>
    </row>
    <row r="12692">
      <c r="H12692" s="8" t="s">
        <v>364</v>
      </c>
    </row>
    <row r="12693">
      <c r="H12693" s="8" t="s">
        <v>364</v>
      </c>
    </row>
    <row r="12694">
      <c r="H12694" s="8" t="s">
        <v>364</v>
      </c>
    </row>
    <row r="12695">
      <c r="H12695" s="8" t="s">
        <v>364</v>
      </c>
    </row>
    <row r="12696">
      <c r="H12696" s="8" t="s">
        <v>364</v>
      </c>
    </row>
    <row r="12697">
      <c r="H12697" s="8" t="s">
        <v>364</v>
      </c>
    </row>
    <row r="12698">
      <c r="H12698" s="8" t="s">
        <v>364</v>
      </c>
    </row>
    <row r="12699">
      <c r="H12699" s="8" t="s">
        <v>364</v>
      </c>
    </row>
    <row r="12700">
      <c r="H12700" s="8" t="s">
        <v>364</v>
      </c>
    </row>
    <row r="12701">
      <c r="H12701" s="8" t="s">
        <v>364</v>
      </c>
    </row>
    <row r="12702">
      <c r="H12702" s="8" t="s">
        <v>364</v>
      </c>
    </row>
    <row r="12703">
      <c r="H12703" s="8" t="s">
        <v>364</v>
      </c>
    </row>
    <row r="12704">
      <c r="H12704" s="8" t="s">
        <v>364</v>
      </c>
    </row>
    <row r="12705">
      <c r="H12705" s="8" t="s">
        <v>364</v>
      </c>
    </row>
    <row r="12706">
      <c r="H12706" s="8" t="s">
        <v>364</v>
      </c>
    </row>
    <row r="12707">
      <c r="H12707" s="8" t="s">
        <v>364</v>
      </c>
    </row>
    <row r="12708">
      <c r="H12708" s="8" t="s">
        <v>364</v>
      </c>
    </row>
    <row r="12709">
      <c r="H12709" s="8" t="s">
        <v>364</v>
      </c>
    </row>
    <row r="12710">
      <c r="H12710" s="8" t="s">
        <v>364</v>
      </c>
    </row>
    <row r="12711">
      <c r="H12711" s="8" t="s">
        <v>364</v>
      </c>
    </row>
    <row r="12712">
      <c r="H12712" s="8" t="s">
        <v>364</v>
      </c>
    </row>
    <row r="12713">
      <c r="H12713" s="8" t="s">
        <v>364</v>
      </c>
    </row>
    <row r="12714">
      <c r="H12714" s="8" t="s">
        <v>364</v>
      </c>
    </row>
    <row r="12715">
      <c r="H12715" s="8" t="s">
        <v>364</v>
      </c>
    </row>
    <row r="12716">
      <c r="H12716" s="8" t="s">
        <v>364</v>
      </c>
    </row>
    <row r="12717">
      <c r="H12717" s="8" t="s">
        <v>364</v>
      </c>
    </row>
    <row r="12718">
      <c r="H12718" s="8" t="s">
        <v>364</v>
      </c>
    </row>
    <row r="12719">
      <c r="H12719" s="8" t="s">
        <v>364</v>
      </c>
    </row>
    <row r="12720">
      <c r="H12720" s="8" t="s">
        <v>364</v>
      </c>
    </row>
    <row r="12721">
      <c r="H12721" s="8" t="s">
        <v>364</v>
      </c>
    </row>
    <row r="12722">
      <c r="H12722" s="8" t="s">
        <v>364</v>
      </c>
    </row>
    <row r="12723">
      <c r="H12723" s="8" t="s">
        <v>364</v>
      </c>
    </row>
    <row r="12724">
      <c r="H12724" s="8" t="s">
        <v>364</v>
      </c>
    </row>
    <row r="12725">
      <c r="H12725" s="8" t="s">
        <v>364</v>
      </c>
    </row>
    <row r="12726">
      <c r="H12726" s="8" t="s">
        <v>364</v>
      </c>
    </row>
    <row r="12727">
      <c r="H12727" s="8" t="s">
        <v>364</v>
      </c>
    </row>
    <row r="12728">
      <c r="H12728" s="8" t="s">
        <v>364</v>
      </c>
    </row>
    <row r="12729">
      <c r="H12729" s="8" t="s">
        <v>364</v>
      </c>
    </row>
    <row r="12730">
      <c r="H12730" s="8" t="s">
        <v>364</v>
      </c>
    </row>
    <row r="12731">
      <c r="H12731" s="8" t="s">
        <v>364</v>
      </c>
    </row>
    <row r="12732">
      <c r="H12732" s="8" t="s">
        <v>364</v>
      </c>
    </row>
    <row r="12733">
      <c r="H12733" s="8" t="s">
        <v>364</v>
      </c>
    </row>
    <row r="12734">
      <c r="H12734" s="8" t="s">
        <v>364</v>
      </c>
    </row>
    <row r="12735">
      <c r="H12735" s="8" t="s">
        <v>364</v>
      </c>
    </row>
    <row r="12736">
      <c r="H12736" s="8" t="s">
        <v>364</v>
      </c>
    </row>
    <row r="12737">
      <c r="H12737" s="8" t="s">
        <v>364</v>
      </c>
    </row>
    <row r="12738">
      <c r="H12738" s="8" t="s">
        <v>364</v>
      </c>
    </row>
    <row r="12739">
      <c r="H12739" s="8" t="s">
        <v>364</v>
      </c>
    </row>
    <row r="12740">
      <c r="H12740" s="8" t="s">
        <v>364</v>
      </c>
    </row>
    <row r="12741">
      <c r="H12741" s="8" t="s">
        <v>364</v>
      </c>
    </row>
    <row r="12742">
      <c r="H12742" s="8" t="s">
        <v>364</v>
      </c>
    </row>
    <row r="12743">
      <c r="H12743" s="8" t="s">
        <v>364</v>
      </c>
    </row>
    <row r="12744">
      <c r="H12744" s="8" t="s">
        <v>364</v>
      </c>
    </row>
    <row r="12745">
      <c r="H12745" s="8" t="s">
        <v>364</v>
      </c>
    </row>
    <row r="12746">
      <c r="H12746" s="8" t="s">
        <v>364</v>
      </c>
    </row>
    <row r="12747">
      <c r="H12747" s="8" t="s">
        <v>364</v>
      </c>
    </row>
    <row r="12748">
      <c r="H12748" s="8" t="s">
        <v>364</v>
      </c>
    </row>
    <row r="12749">
      <c r="H12749" s="8" t="s">
        <v>364</v>
      </c>
    </row>
    <row r="12750">
      <c r="H12750" s="8" t="s">
        <v>364</v>
      </c>
    </row>
    <row r="12751">
      <c r="H12751" s="8" t="s">
        <v>364</v>
      </c>
    </row>
    <row r="12752">
      <c r="H12752" s="8" t="s">
        <v>364</v>
      </c>
    </row>
    <row r="12753">
      <c r="H12753" s="8" t="s">
        <v>364</v>
      </c>
    </row>
    <row r="12754">
      <c r="H12754" s="8" t="s">
        <v>364</v>
      </c>
    </row>
    <row r="12755">
      <c r="H12755" s="8" t="s">
        <v>364</v>
      </c>
    </row>
    <row r="12756">
      <c r="H12756" s="8" t="s">
        <v>364</v>
      </c>
    </row>
    <row r="12757">
      <c r="H12757" s="8" t="s">
        <v>364</v>
      </c>
    </row>
    <row r="12758">
      <c r="H12758" s="8" t="s">
        <v>364</v>
      </c>
    </row>
    <row r="12759">
      <c r="H12759" s="8" t="s">
        <v>364</v>
      </c>
    </row>
    <row r="12760">
      <c r="H12760" s="8" t="s">
        <v>364</v>
      </c>
    </row>
    <row r="12761">
      <c r="H12761" s="8" t="s">
        <v>364</v>
      </c>
    </row>
    <row r="12762">
      <c r="H12762" s="8" t="s">
        <v>364</v>
      </c>
    </row>
    <row r="12763">
      <c r="H12763" s="8" t="s">
        <v>364</v>
      </c>
    </row>
    <row r="12764">
      <c r="H12764" s="8" t="s">
        <v>364</v>
      </c>
    </row>
    <row r="12765">
      <c r="H12765" s="8" t="s">
        <v>364</v>
      </c>
    </row>
    <row r="12766">
      <c r="H12766" s="8" t="s">
        <v>364</v>
      </c>
    </row>
    <row r="12767">
      <c r="H12767" s="8" t="s">
        <v>364</v>
      </c>
    </row>
    <row r="12768">
      <c r="H12768" s="8" t="s">
        <v>364</v>
      </c>
    </row>
    <row r="12769">
      <c r="H12769" s="8" t="s">
        <v>364</v>
      </c>
    </row>
    <row r="12770">
      <c r="H12770" s="8" t="s">
        <v>364</v>
      </c>
    </row>
    <row r="12771">
      <c r="H12771" s="8" t="s">
        <v>364</v>
      </c>
    </row>
    <row r="12772">
      <c r="H12772" s="8" t="s">
        <v>364</v>
      </c>
    </row>
    <row r="12773">
      <c r="H12773" s="8" t="s">
        <v>364</v>
      </c>
    </row>
    <row r="12774">
      <c r="H12774" s="8" t="s">
        <v>364</v>
      </c>
    </row>
    <row r="12775">
      <c r="H12775" s="8" t="s">
        <v>364</v>
      </c>
    </row>
    <row r="12776">
      <c r="H12776" s="8" t="s">
        <v>364</v>
      </c>
    </row>
    <row r="12777">
      <c r="H12777" s="8" t="s">
        <v>364</v>
      </c>
    </row>
    <row r="12778">
      <c r="H12778" s="8" t="s">
        <v>364</v>
      </c>
    </row>
    <row r="12779">
      <c r="H12779" s="8" t="s">
        <v>364</v>
      </c>
    </row>
    <row r="12780">
      <c r="H12780" s="8" t="s">
        <v>364</v>
      </c>
    </row>
    <row r="12781">
      <c r="H12781" s="8" t="s">
        <v>364</v>
      </c>
    </row>
    <row r="12782">
      <c r="H12782" s="8" t="s">
        <v>364</v>
      </c>
    </row>
    <row r="12783">
      <c r="H12783" s="8" t="s">
        <v>364</v>
      </c>
    </row>
    <row r="12784">
      <c r="H12784" s="8" t="s">
        <v>364</v>
      </c>
    </row>
    <row r="12785">
      <c r="H12785" s="8" t="s">
        <v>364</v>
      </c>
    </row>
    <row r="12786">
      <c r="H12786" s="8" t="s">
        <v>364</v>
      </c>
    </row>
    <row r="12787">
      <c r="H12787" s="8" t="s">
        <v>364</v>
      </c>
    </row>
    <row r="12788">
      <c r="H12788" s="8" t="s">
        <v>364</v>
      </c>
    </row>
    <row r="12789">
      <c r="H12789" s="8" t="s">
        <v>364</v>
      </c>
    </row>
    <row r="12790">
      <c r="H12790" s="8" t="s">
        <v>364</v>
      </c>
    </row>
    <row r="12791">
      <c r="H12791" s="8" t="s">
        <v>364</v>
      </c>
    </row>
    <row r="12792">
      <c r="H12792" s="8" t="s">
        <v>364</v>
      </c>
    </row>
    <row r="12793">
      <c r="H12793" s="8" t="s">
        <v>364</v>
      </c>
    </row>
    <row r="12794">
      <c r="H12794" s="8" t="s">
        <v>364</v>
      </c>
    </row>
    <row r="12795">
      <c r="H12795" s="8" t="s">
        <v>364</v>
      </c>
    </row>
    <row r="12796">
      <c r="H12796" s="8" t="s">
        <v>364</v>
      </c>
    </row>
    <row r="12797">
      <c r="H12797" s="8" t="s">
        <v>364</v>
      </c>
    </row>
    <row r="12798">
      <c r="H12798" s="8" t="s">
        <v>364</v>
      </c>
    </row>
    <row r="12799">
      <c r="H12799" s="8" t="s">
        <v>364</v>
      </c>
    </row>
    <row r="12800">
      <c r="H12800" s="8" t="s">
        <v>364</v>
      </c>
    </row>
    <row r="12801">
      <c r="H12801" s="8" t="s">
        <v>364</v>
      </c>
    </row>
    <row r="12802">
      <c r="H12802" s="8" t="s">
        <v>364</v>
      </c>
    </row>
    <row r="12803">
      <c r="H12803" s="8" t="s">
        <v>364</v>
      </c>
    </row>
    <row r="12804">
      <c r="H12804" s="8" t="s">
        <v>364</v>
      </c>
    </row>
    <row r="12805">
      <c r="H12805" s="8" t="s">
        <v>364</v>
      </c>
    </row>
    <row r="12806">
      <c r="H12806" s="8" t="s">
        <v>364</v>
      </c>
    </row>
    <row r="12807">
      <c r="H12807" s="8" t="s">
        <v>364</v>
      </c>
    </row>
    <row r="12808">
      <c r="H12808" s="8" t="s">
        <v>364</v>
      </c>
    </row>
    <row r="12809">
      <c r="H12809" s="8" t="s">
        <v>364</v>
      </c>
    </row>
    <row r="12810">
      <c r="H12810" s="8" t="s">
        <v>364</v>
      </c>
    </row>
    <row r="12811">
      <c r="H12811" s="8" t="s">
        <v>364</v>
      </c>
    </row>
    <row r="12812">
      <c r="H12812" s="8" t="s">
        <v>364</v>
      </c>
    </row>
    <row r="12813">
      <c r="H12813" s="8" t="s">
        <v>364</v>
      </c>
    </row>
    <row r="12814">
      <c r="H12814" s="8" t="s">
        <v>364</v>
      </c>
    </row>
    <row r="12815">
      <c r="H12815" s="8" t="s">
        <v>364</v>
      </c>
    </row>
    <row r="12816">
      <c r="H12816" s="8" t="s">
        <v>364</v>
      </c>
    </row>
    <row r="12817">
      <c r="H12817" s="8" t="s">
        <v>364</v>
      </c>
    </row>
    <row r="12818">
      <c r="H12818" s="8" t="s">
        <v>364</v>
      </c>
    </row>
    <row r="12819">
      <c r="H12819" s="8" t="s">
        <v>364</v>
      </c>
    </row>
    <row r="12820">
      <c r="H12820" s="8" t="s">
        <v>364</v>
      </c>
    </row>
    <row r="12821">
      <c r="H12821" s="8" t="s">
        <v>364</v>
      </c>
    </row>
    <row r="12822">
      <c r="H12822" s="8" t="s">
        <v>364</v>
      </c>
    </row>
    <row r="12823">
      <c r="H12823" s="8" t="s">
        <v>364</v>
      </c>
    </row>
    <row r="12824">
      <c r="H12824" s="8" t="s">
        <v>364</v>
      </c>
    </row>
    <row r="12825">
      <c r="H12825" s="8" t="s">
        <v>364</v>
      </c>
    </row>
    <row r="12826">
      <c r="H12826" s="8" t="s">
        <v>364</v>
      </c>
    </row>
    <row r="12827">
      <c r="H12827" s="8" t="s">
        <v>364</v>
      </c>
    </row>
    <row r="12828">
      <c r="H12828" s="8" t="s">
        <v>364</v>
      </c>
    </row>
    <row r="12829">
      <c r="H12829" s="8" t="s">
        <v>364</v>
      </c>
    </row>
    <row r="12830">
      <c r="H12830" s="8" t="s">
        <v>364</v>
      </c>
    </row>
    <row r="12831">
      <c r="H12831" s="8" t="s">
        <v>364</v>
      </c>
    </row>
    <row r="12832">
      <c r="H12832" s="8" t="s">
        <v>364</v>
      </c>
    </row>
    <row r="12833">
      <c r="H12833" s="8" t="s">
        <v>364</v>
      </c>
    </row>
    <row r="12834">
      <c r="H12834" s="8" t="s">
        <v>364</v>
      </c>
    </row>
    <row r="12835">
      <c r="H12835" s="8" t="s">
        <v>364</v>
      </c>
    </row>
    <row r="12836">
      <c r="H12836" s="8" t="s">
        <v>364</v>
      </c>
    </row>
    <row r="12837">
      <c r="H12837" s="8" t="s">
        <v>364</v>
      </c>
    </row>
    <row r="12838">
      <c r="H12838" s="8" t="s">
        <v>364</v>
      </c>
    </row>
    <row r="12839">
      <c r="H12839" s="8" t="s">
        <v>364</v>
      </c>
    </row>
    <row r="12840">
      <c r="H12840" s="8" t="s">
        <v>364</v>
      </c>
    </row>
    <row r="12841">
      <c r="H12841" s="8" t="s">
        <v>364</v>
      </c>
    </row>
    <row r="12842">
      <c r="H12842" s="8" t="s">
        <v>364</v>
      </c>
    </row>
    <row r="12843">
      <c r="H12843" s="8" t="s">
        <v>364</v>
      </c>
    </row>
    <row r="12844">
      <c r="H12844" s="8" t="s">
        <v>364</v>
      </c>
    </row>
    <row r="12845">
      <c r="H12845" s="8" t="s">
        <v>364</v>
      </c>
    </row>
    <row r="12846">
      <c r="H12846" s="8" t="s">
        <v>364</v>
      </c>
    </row>
    <row r="12847">
      <c r="H12847" s="8" t="s">
        <v>364</v>
      </c>
    </row>
    <row r="12848">
      <c r="H12848" s="8" t="s">
        <v>364</v>
      </c>
    </row>
    <row r="12849">
      <c r="H12849" s="8" t="s">
        <v>364</v>
      </c>
    </row>
    <row r="12850">
      <c r="H12850" s="8" t="s">
        <v>364</v>
      </c>
    </row>
    <row r="12851">
      <c r="H12851" s="8" t="s">
        <v>364</v>
      </c>
    </row>
    <row r="12852">
      <c r="H12852" s="8" t="s">
        <v>364</v>
      </c>
    </row>
    <row r="12853">
      <c r="H12853" s="8" t="s">
        <v>364</v>
      </c>
    </row>
    <row r="12854">
      <c r="H12854" s="8" t="s">
        <v>364</v>
      </c>
    </row>
    <row r="12855">
      <c r="H12855" s="8" t="s">
        <v>364</v>
      </c>
    </row>
    <row r="12856">
      <c r="H12856" s="8" t="s">
        <v>364</v>
      </c>
    </row>
    <row r="12857">
      <c r="H12857" s="8" t="s">
        <v>364</v>
      </c>
    </row>
    <row r="12858">
      <c r="H12858" s="8" t="s">
        <v>364</v>
      </c>
    </row>
    <row r="12859">
      <c r="H12859" s="8" t="s">
        <v>364</v>
      </c>
    </row>
    <row r="12860">
      <c r="H12860" s="8" t="s">
        <v>364</v>
      </c>
    </row>
    <row r="12861">
      <c r="H12861" s="8" t="s">
        <v>364</v>
      </c>
    </row>
    <row r="12862">
      <c r="H12862" s="8" t="s">
        <v>364</v>
      </c>
    </row>
    <row r="12863">
      <c r="H12863" s="8" t="s">
        <v>364</v>
      </c>
    </row>
    <row r="12864">
      <c r="H12864" s="8" t="s">
        <v>364</v>
      </c>
    </row>
    <row r="12865">
      <c r="H12865" s="8" t="s">
        <v>364</v>
      </c>
    </row>
    <row r="12866">
      <c r="H12866" s="8" t="s">
        <v>364</v>
      </c>
    </row>
    <row r="12867">
      <c r="H12867" s="8" t="s">
        <v>364</v>
      </c>
    </row>
    <row r="12868">
      <c r="H12868" s="8" t="s">
        <v>364</v>
      </c>
    </row>
    <row r="12869">
      <c r="H12869" s="8" t="s">
        <v>364</v>
      </c>
    </row>
    <row r="12870">
      <c r="H12870" s="8" t="s">
        <v>364</v>
      </c>
    </row>
    <row r="12871">
      <c r="H12871" s="8" t="s">
        <v>364</v>
      </c>
    </row>
    <row r="12872">
      <c r="H12872" s="8" t="s">
        <v>364</v>
      </c>
    </row>
    <row r="12873">
      <c r="H12873" s="8" t="s">
        <v>364</v>
      </c>
    </row>
    <row r="12874">
      <c r="H12874" s="8" t="s">
        <v>364</v>
      </c>
    </row>
    <row r="12875">
      <c r="H12875" s="8" t="s">
        <v>364</v>
      </c>
    </row>
    <row r="12876">
      <c r="H12876" s="8" t="s">
        <v>364</v>
      </c>
    </row>
    <row r="12877">
      <c r="H12877" s="8" t="s">
        <v>364</v>
      </c>
    </row>
    <row r="12878">
      <c r="H12878" s="8" t="s">
        <v>364</v>
      </c>
    </row>
    <row r="12879">
      <c r="H12879" s="8" t="s">
        <v>364</v>
      </c>
    </row>
    <row r="12880">
      <c r="H12880" s="8" t="s">
        <v>364</v>
      </c>
    </row>
    <row r="12881">
      <c r="H12881" s="8" t="s">
        <v>364</v>
      </c>
    </row>
    <row r="12882">
      <c r="H12882" s="8" t="s">
        <v>364</v>
      </c>
    </row>
    <row r="12883">
      <c r="H12883" s="8" t="s">
        <v>364</v>
      </c>
    </row>
    <row r="12884">
      <c r="H12884" s="8" t="s">
        <v>364</v>
      </c>
    </row>
    <row r="12885">
      <c r="H12885" s="8" t="s">
        <v>364</v>
      </c>
    </row>
    <row r="12886">
      <c r="H12886" s="8" t="s">
        <v>364</v>
      </c>
    </row>
    <row r="12887">
      <c r="H12887" s="8" t="s">
        <v>364</v>
      </c>
    </row>
    <row r="12888">
      <c r="H12888" s="8" t="s">
        <v>364</v>
      </c>
    </row>
    <row r="12889">
      <c r="H12889" s="8" t="s">
        <v>364</v>
      </c>
    </row>
    <row r="12890">
      <c r="H12890" s="8" t="s">
        <v>364</v>
      </c>
    </row>
    <row r="12891">
      <c r="H12891" s="8" t="s">
        <v>364</v>
      </c>
    </row>
    <row r="12892">
      <c r="H12892" s="8" t="s">
        <v>364</v>
      </c>
    </row>
    <row r="12893">
      <c r="H12893" s="8" t="s">
        <v>364</v>
      </c>
    </row>
    <row r="12894">
      <c r="H12894" s="8" t="s">
        <v>364</v>
      </c>
    </row>
    <row r="12895">
      <c r="H12895" s="8" t="s">
        <v>364</v>
      </c>
    </row>
    <row r="12896">
      <c r="H12896" s="8" t="s">
        <v>364</v>
      </c>
    </row>
    <row r="12897">
      <c r="H12897" s="8" t="s">
        <v>364</v>
      </c>
    </row>
    <row r="12898">
      <c r="H12898" s="8" t="s">
        <v>364</v>
      </c>
    </row>
    <row r="12899">
      <c r="H12899" s="8" t="s">
        <v>364</v>
      </c>
    </row>
    <row r="12900">
      <c r="H12900" s="8" t="s">
        <v>364</v>
      </c>
    </row>
    <row r="12901">
      <c r="H12901" s="8" t="s">
        <v>364</v>
      </c>
    </row>
    <row r="12902">
      <c r="H12902" s="8" t="s">
        <v>364</v>
      </c>
    </row>
    <row r="12903">
      <c r="H12903" s="8" t="s">
        <v>364</v>
      </c>
    </row>
    <row r="12904">
      <c r="H12904" s="8" t="s">
        <v>364</v>
      </c>
    </row>
    <row r="12905">
      <c r="H12905" s="8" t="s">
        <v>364</v>
      </c>
    </row>
    <row r="12906">
      <c r="H12906" s="8" t="s">
        <v>364</v>
      </c>
    </row>
    <row r="12907">
      <c r="H12907" s="8" t="s">
        <v>364</v>
      </c>
    </row>
    <row r="12908">
      <c r="H12908" s="8" t="s">
        <v>364</v>
      </c>
    </row>
    <row r="12909">
      <c r="H12909" s="8" t="s">
        <v>364</v>
      </c>
    </row>
    <row r="12910">
      <c r="H12910" s="8" t="s">
        <v>364</v>
      </c>
    </row>
    <row r="12911">
      <c r="H12911" s="8" t="s">
        <v>364</v>
      </c>
    </row>
    <row r="12912">
      <c r="H12912" s="8" t="s">
        <v>364</v>
      </c>
    </row>
    <row r="12913">
      <c r="H12913" s="8" t="s">
        <v>364</v>
      </c>
    </row>
    <row r="12914">
      <c r="H12914" s="8" t="s">
        <v>364</v>
      </c>
    </row>
    <row r="12915">
      <c r="H12915" s="8" t="s">
        <v>364</v>
      </c>
    </row>
    <row r="12916">
      <c r="H12916" s="8" t="s">
        <v>364</v>
      </c>
    </row>
    <row r="12917">
      <c r="H12917" s="8" t="s">
        <v>364</v>
      </c>
    </row>
    <row r="12918">
      <c r="H12918" s="8" t="s">
        <v>364</v>
      </c>
    </row>
    <row r="12919">
      <c r="H12919" s="8" t="s">
        <v>364</v>
      </c>
    </row>
    <row r="12920">
      <c r="H12920" s="8" t="s">
        <v>364</v>
      </c>
    </row>
    <row r="12921">
      <c r="H12921" s="8" t="s">
        <v>364</v>
      </c>
    </row>
    <row r="12922">
      <c r="H12922" s="8" t="s">
        <v>364</v>
      </c>
    </row>
    <row r="12923">
      <c r="H12923" s="8" t="s">
        <v>364</v>
      </c>
    </row>
    <row r="12924">
      <c r="H12924" s="8" t="s">
        <v>364</v>
      </c>
    </row>
    <row r="12925">
      <c r="H12925" s="8" t="s">
        <v>364</v>
      </c>
    </row>
    <row r="12926">
      <c r="H12926" s="8" t="s">
        <v>364</v>
      </c>
    </row>
    <row r="12927">
      <c r="H12927" s="8" t="s">
        <v>364</v>
      </c>
    </row>
    <row r="12928">
      <c r="H12928" s="8" t="s">
        <v>364</v>
      </c>
    </row>
    <row r="12929">
      <c r="H12929" s="8" t="s">
        <v>364</v>
      </c>
    </row>
    <row r="12930">
      <c r="H12930" s="8" t="s">
        <v>364</v>
      </c>
    </row>
    <row r="12931">
      <c r="H12931" s="8" t="s">
        <v>364</v>
      </c>
    </row>
    <row r="12932">
      <c r="H12932" s="8" t="s">
        <v>364</v>
      </c>
    </row>
    <row r="12933">
      <c r="H12933" s="8" t="s">
        <v>364</v>
      </c>
    </row>
    <row r="12934">
      <c r="H12934" s="8" t="s">
        <v>364</v>
      </c>
    </row>
    <row r="12935">
      <c r="H12935" s="8" t="s">
        <v>364</v>
      </c>
    </row>
    <row r="12936">
      <c r="H12936" s="8" t="s">
        <v>364</v>
      </c>
    </row>
    <row r="12937">
      <c r="H12937" s="8" t="s">
        <v>364</v>
      </c>
    </row>
    <row r="12938">
      <c r="H12938" s="8" t="s">
        <v>364</v>
      </c>
    </row>
    <row r="12939">
      <c r="H12939" s="8" t="s">
        <v>364</v>
      </c>
    </row>
    <row r="12940">
      <c r="H12940" s="8" t="s">
        <v>364</v>
      </c>
    </row>
    <row r="12941">
      <c r="H12941" s="8" t="s">
        <v>364</v>
      </c>
    </row>
    <row r="12942">
      <c r="H12942" s="8" t="s">
        <v>364</v>
      </c>
    </row>
    <row r="12943">
      <c r="H12943" s="8" t="s">
        <v>364</v>
      </c>
    </row>
    <row r="12944">
      <c r="H12944" s="8" t="s">
        <v>364</v>
      </c>
    </row>
    <row r="12945">
      <c r="H12945" s="8" t="s">
        <v>364</v>
      </c>
    </row>
    <row r="12946">
      <c r="H12946" s="8" t="s">
        <v>364</v>
      </c>
    </row>
    <row r="12947">
      <c r="H12947" s="8" t="s">
        <v>364</v>
      </c>
    </row>
    <row r="12948">
      <c r="H12948" s="8" t="s">
        <v>364</v>
      </c>
    </row>
    <row r="12949">
      <c r="H12949" s="8" t="s">
        <v>364</v>
      </c>
    </row>
    <row r="12950">
      <c r="H12950" s="8" t="s">
        <v>364</v>
      </c>
    </row>
    <row r="12951">
      <c r="H12951" s="8" t="s">
        <v>364</v>
      </c>
    </row>
    <row r="12952">
      <c r="H12952" s="8" t="s">
        <v>364</v>
      </c>
    </row>
    <row r="12953">
      <c r="H12953" s="8" t="s">
        <v>364</v>
      </c>
    </row>
    <row r="12954">
      <c r="H12954" s="8" t="s">
        <v>364</v>
      </c>
    </row>
    <row r="12955">
      <c r="H12955" s="8" t="s">
        <v>364</v>
      </c>
    </row>
    <row r="12956">
      <c r="H12956" s="8" t="s">
        <v>364</v>
      </c>
    </row>
    <row r="12957">
      <c r="H12957" s="8" t="s">
        <v>364</v>
      </c>
    </row>
    <row r="12958">
      <c r="H12958" s="8" t="s">
        <v>364</v>
      </c>
    </row>
    <row r="12959">
      <c r="H12959" s="8" t="s">
        <v>364</v>
      </c>
    </row>
    <row r="12960">
      <c r="H12960" s="8" t="s">
        <v>364</v>
      </c>
    </row>
    <row r="12961">
      <c r="H12961" s="8" t="s">
        <v>364</v>
      </c>
    </row>
    <row r="12962">
      <c r="H12962" s="8" t="s">
        <v>364</v>
      </c>
    </row>
    <row r="12963">
      <c r="H12963" s="8" t="s">
        <v>364</v>
      </c>
    </row>
    <row r="12964">
      <c r="H12964" s="8" t="s">
        <v>364</v>
      </c>
    </row>
    <row r="12965">
      <c r="H12965" s="8" t="s">
        <v>364</v>
      </c>
    </row>
    <row r="12966">
      <c r="H12966" s="8" t="s">
        <v>364</v>
      </c>
    </row>
    <row r="12967">
      <c r="H12967" s="8" t="s">
        <v>364</v>
      </c>
    </row>
    <row r="12968">
      <c r="H12968" s="8" t="s">
        <v>364</v>
      </c>
    </row>
    <row r="12969">
      <c r="H12969" s="8" t="s">
        <v>364</v>
      </c>
    </row>
    <row r="12970">
      <c r="H12970" s="8" t="s">
        <v>364</v>
      </c>
    </row>
    <row r="12971">
      <c r="H12971" s="8" t="s">
        <v>364</v>
      </c>
    </row>
    <row r="12972">
      <c r="H12972" s="8" t="s">
        <v>364</v>
      </c>
    </row>
    <row r="12973">
      <c r="H12973" s="8" t="s">
        <v>364</v>
      </c>
    </row>
    <row r="12974">
      <c r="H12974" s="8" t="s">
        <v>364</v>
      </c>
    </row>
    <row r="12975">
      <c r="H12975" s="8" t="s">
        <v>364</v>
      </c>
    </row>
    <row r="12976">
      <c r="H12976" s="8" t="s">
        <v>364</v>
      </c>
    </row>
    <row r="12977">
      <c r="H12977" s="8" t="s">
        <v>364</v>
      </c>
    </row>
    <row r="12978">
      <c r="H12978" s="8" t="s">
        <v>364</v>
      </c>
    </row>
    <row r="12979">
      <c r="H12979" s="8" t="s">
        <v>364</v>
      </c>
    </row>
    <row r="12980">
      <c r="H12980" s="8" t="s">
        <v>364</v>
      </c>
    </row>
    <row r="12981">
      <c r="H12981" s="8" t="s">
        <v>364</v>
      </c>
    </row>
    <row r="12982">
      <c r="H12982" s="8" t="s">
        <v>364</v>
      </c>
    </row>
    <row r="12983">
      <c r="H12983" s="8" t="s">
        <v>364</v>
      </c>
    </row>
    <row r="12984">
      <c r="H12984" s="8" t="s">
        <v>364</v>
      </c>
    </row>
    <row r="12985">
      <c r="H12985" s="8" t="s">
        <v>364</v>
      </c>
    </row>
    <row r="12986">
      <c r="H12986" s="8" t="s">
        <v>364</v>
      </c>
    </row>
    <row r="12987">
      <c r="H12987" s="8" t="s">
        <v>364</v>
      </c>
    </row>
    <row r="12988">
      <c r="H12988" s="8" t="s">
        <v>364</v>
      </c>
    </row>
    <row r="12989">
      <c r="H12989" s="8" t="s">
        <v>364</v>
      </c>
    </row>
    <row r="12990">
      <c r="H12990" s="8" t="s">
        <v>364</v>
      </c>
    </row>
    <row r="12991">
      <c r="H12991" s="8" t="s">
        <v>364</v>
      </c>
    </row>
    <row r="12992">
      <c r="H12992" s="8" t="s">
        <v>364</v>
      </c>
    </row>
    <row r="12993">
      <c r="H12993" s="8" t="s">
        <v>364</v>
      </c>
    </row>
    <row r="12994">
      <c r="H12994" s="8" t="s">
        <v>364</v>
      </c>
    </row>
    <row r="12995">
      <c r="H12995" s="8" t="s">
        <v>364</v>
      </c>
    </row>
    <row r="12996">
      <c r="H12996" s="8" t="s">
        <v>364</v>
      </c>
    </row>
    <row r="12997">
      <c r="H12997" s="8" t="s">
        <v>364</v>
      </c>
    </row>
    <row r="12998">
      <c r="H12998" s="8" t="s">
        <v>364</v>
      </c>
    </row>
    <row r="12999">
      <c r="H12999" s="8" t="s">
        <v>364</v>
      </c>
    </row>
    <row r="13000">
      <c r="H13000" s="8" t="s">
        <v>364</v>
      </c>
    </row>
    <row r="13001">
      <c r="H13001" s="8" t="s">
        <v>364</v>
      </c>
    </row>
    <row r="13002">
      <c r="H13002" s="8" t="s">
        <v>364</v>
      </c>
    </row>
    <row r="13003">
      <c r="H13003" s="8" t="s">
        <v>364</v>
      </c>
    </row>
    <row r="13004">
      <c r="H13004" s="8" t="s">
        <v>364</v>
      </c>
    </row>
    <row r="13005">
      <c r="H13005" s="8" t="s">
        <v>364</v>
      </c>
    </row>
    <row r="13006">
      <c r="H13006" s="8" t="s">
        <v>364</v>
      </c>
    </row>
    <row r="13007">
      <c r="H13007" s="8" t="s">
        <v>364</v>
      </c>
    </row>
    <row r="13008">
      <c r="H13008" s="8" t="s">
        <v>364</v>
      </c>
    </row>
    <row r="13009">
      <c r="H13009" s="8" t="s">
        <v>364</v>
      </c>
    </row>
    <row r="13010">
      <c r="H13010" s="8" t="s">
        <v>364</v>
      </c>
    </row>
    <row r="13011">
      <c r="H13011" s="8" t="s">
        <v>364</v>
      </c>
    </row>
    <row r="13012">
      <c r="H13012" s="8" t="s">
        <v>364</v>
      </c>
    </row>
    <row r="13013">
      <c r="H13013" s="8" t="s">
        <v>364</v>
      </c>
    </row>
    <row r="13014">
      <c r="H13014" s="8" t="s">
        <v>364</v>
      </c>
    </row>
    <row r="13015">
      <c r="H13015" s="8" t="s">
        <v>364</v>
      </c>
    </row>
    <row r="13016">
      <c r="H13016" s="8" t="s">
        <v>364</v>
      </c>
    </row>
    <row r="13017">
      <c r="H13017" s="8" t="s">
        <v>364</v>
      </c>
    </row>
    <row r="13018">
      <c r="H13018" s="8" t="s">
        <v>364</v>
      </c>
    </row>
    <row r="13019">
      <c r="H13019" s="8" t="s">
        <v>364</v>
      </c>
    </row>
    <row r="13020">
      <c r="H13020" s="8" t="s">
        <v>364</v>
      </c>
    </row>
    <row r="13021">
      <c r="H13021" s="8" t="s">
        <v>364</v>
      </c>
    </row>
    <row r="13022">
      <c r="H13022" s="8" t="s">
        <v>364</v>
      </c>
    </row>
    <row r="13023">
      <c r="H13023" s="8" t="s">
        <v>364</v>
      </c>
    </row>
    <row r="13024">
      <c r="H13024" s="8" t="s">
        <v>364</v>
      </c>
    </row>
    <row r="13025">
      <c r="H13025" s="8" t="s">
        <v>364</v>
      </c>
    </row>
    <row r="13026">
      <c r="H13026" s="8" t="s">
        <v>364</v>
      </c>
    </row>
    <row r="13027">
      <c r="H13027" s="8" t="s">
        <v>364</v>
      </c>
    </row>
    <row r="13028">
      <c r="H13028" s="8" t="s">
        <v>364</v>
      </c>
    </row>
    <row r="13029">
      <c r="H13029" s="8" t="s">
        <v>364</v>
      </c>
    </row>
    <row r="13030">
      <c r="H13030" s="8" t="s">
        <v>364</v>
      </c>
    </row>
    <row r="13031">
      <c r="H13031" s="8" t="s">
        <v>364</v>
      </c>
    </row>
    <row r="13032">
      <c r="H13032" s="8" t="s">
        <v>364</v>
      </c>
    </row>
    <row r="13033">
      <c r="H13033" s="8" t="s">
        <v>364</v>
      </c>
    </row>
    <row r="13034">
      <c r="H13034" s="8" t="s">
        <v>364</v>
      </c>
    </row>
    <row r="13035">
      <c r="H13035" s="8" t="s">
        <v>364</v>
      </c>
    </row>
    <row r="13036">
      <c r="H13036" s="8" t="s">
        <v>364</v>
      </c>
    </row>
    <row r="13037">
      <c r="H13037" s="8" t="s">
        <v>364</v>
      </c>
    </row>
    <row r="13038">
      <c r="H13038" s="8" t="s">
        <v>364</v>
      </c>
    </row>
    <row r="13039">
      <c r="H13039" s="8" t="s">
        <v>364</v>
      </c>
    </row>
    <row r="13040">
      <c r="H13040" s="8" t="s">
        <v>364</v>
      </c>
    </row>
    <row r="13041">
      <c r="H13041" s="8" t="s">
        <v>364</v>
      </c>
    </row>
    <row r="13042">
      <c r="H13042" s="8" t="s">
        <v>364</v>
      </c>
    </row>
    <row r="13043">
      <c r="H13043" s="8" t="s">
        <v>364</v>
      </c>
    </row>
    <row r="13044">
      <c r="H13044" s="8" t="s">
        <v>364</v>
      </c>
    </row>
    <row r="13045">
      <c r="H13045" s="8" t="s">
        <v>364</v>
      </c>
    </row>
    <row r="13046">
      <c r="H13046" s="8" t="s">
        <v>364</v>
      </c>
    </row>
    <row r="13047">
      <c r="H13047" s="8" t="s">
        <v>364</v>
      </c>
    </row>
    <row r="13048">
      <c r="H13048" s="8" t="s">
        <v>364</v>
      </c>
    </row>
    <row r="13049">
      <c r="H13049" s="8" t="s">
        <v>364</v>
      </c>
    </row>
    <row r="13050">
      <c r="H13050" s="8" t="s">
        <v>364</v>
      </c>
    </row>
    <row r="13051">
      <c r="H13051" s="8" t="s">
        <v>364</v>
      </c>
    </row>
    <row r="13052">
      <c r="H13052" s="8" t="s">
        <v>364</v>
      </c>
    </row>
    <row r="13053">
      <c r="H13053" s="8" t="s">
        <v>364</v>
      </c>
    </row>
    <row r="13054">
      <c r="H13054" s="8" t="s">
        <v>364</v>
      </c>
    </row>
    <row r="13055">
      <c r="H13055" s="8" t="s">
        <v>364</v>
      </c>
    </row>
    <row r="13056">
      <c r="H13056" s="8" t="s">
        <v>364</v>
      </c>
    </row>
    <row r="13057">
      <c r="H13057" s="8" t="s">
        <v>364</v>
      </c>
    </row>
    <row r="13058">
      <c r="H13058" s="8" t="s">
        <v>364</v>
      </c>
    </row>
    <row r="13059">
      <c r="H13059" s="8" t="s">
        <v>364</v>
      </c>
    </row>
    <row r="13060">
      <c r="H13060" s="8" t="s">
        <v>364</v>
      </c>
    </row>
    <row r="13061">
      <c r="H13061" s="8" t="s">
        <v>364</v>
      </c>
    </row>
    <row r="13062">
      <c r="H13062" s="8" t="s">
        <v>364</v>
      </c>
    </row>
    <row r="13063">
      <c r="H13063" s="8" t="s">
        <v>364</v>
      </c>
    </row>
    <row r="13064">
      <c r="H13064" s="8" t="s">
        <v>364</v>
      </c>
    </row>
    <row r="13065">
      <c r="H13065" s="8" t="s">
        <v>364</v>
      </c>
    </row>
    <row r="13066">
      <c r="H13066" s="8" t="s">
        <v>364</v>
      </c>
    </row>
    <row r="13067">
      <c r="H13067" s="8" t="s">
        <v>364</v>
      </c>
    </row>
    <row r="13068">
      <c r="H13068" s="8" t="s">
        <v>364</v>
      </c>
    </row>
    <row r="13069">
      <c r="H13069" s="8" t="s">
        <v>364</v>
      </c>
    </row>
    <row r="13070">
      <c r="H13070" s="8" t="s">
        <v>364</v>
      </c>
    </row>
    <row r="13071">
      <c r="H13071" s="8" t="s">
        <v>364</v>
      </c>
    </row>
    <row r="13072">
      <c r="H13072" s="8" t="s">
        <v>364</v>
      </c>
    </row>
    <row r="13073">
      <c r="H13073" s="8" t="s">
        <v>364</v>
      </c>
    </row>
    <row r="13074">
      <c r="H13074" s="8" t="s">
        <v>364</v>
      </c>
    </row>
    <row r="13075">
      <c r="H13075" s="8" t="s">
        <v>364</v>
      </c>
    </row>
    <row r="13076">
      <c r="H13076" s="8" t="s">
        <v>364</v>
      </c>
    </row>
    <row r="13077">
      <c r="H13077" s="8" t="s">
        <v>364</v>
      </c>
    </row>
    <row r="13078">
      <c r="H13078" s="8" t="s">
        <v>364</v>
      </c>
    </row>
    <row r="13079">
      <c r="H13079" s="8" t="s">
        <v>364</v>
      </c>
    </row>
    <row r="13080">
      <c r="H13080" s="8" t="s">
        <v>364</v>
      </c>
    </row>
    <row r="13081">
      <c r="H13081" s="8" t="s">
        <v>364</v>
      </c>
    </row>
    <row r="13082">
      <c r="H13082" s="8" t="s">
        <v>364</v>
      </c>
    </row>
    <row r="13083">
      <c r="H13083" s="8" t="s">
        <v>364</v>
      </c>
    </row>
    <row r="13084">
      <c r="H13084" s="8" t="s">
        <v>364</v>
      </c>
    </row>
    <row r="13085">
      <c r="H13085" s="8" t="s">
        <v>364</v>
      </c>
    </row>
    <row r="13086">
      <c r="H13086" s="8" t="s">
        <v>364</v>
      </c>
    </row>
    <row r="13087">
      <c r="H13087" s="8" t="s">
        <v>364</v>
      </c>
    </row>
    <row r="13088">
      <c r="H13088" s="8" t="s">
        <v>364</v>
      </c>
    </row>
    <row r="13089">
      <c r="H13089" s="8" t="s">
        <v>364</v>
      </c>
    </row>
    <row r="13090">
      <c r="H13090" s="8" t="s">
        <v>364</v>
      </c>
    </row>
    <row r="13091">
      <c r="H13091" s="8" t="s">
        <v>364</v>
      </c>
    </row>
    <row r="13092">
      <c r="H13092" s="8" t="s">
        <v>364</v>
      </c>
    </row>
    <row r="13093">
      <c r="H13093" s="8" t="s">
        <v>364</v>
      </c>
    </row>
    <row r="13094">
      <c r="H13094" s="8" t="s">
        <v>364</v>
      </c>
    </row>
    <row r="13095">
      <c r="H13095" s="8" t="s">
        <v>364</v>
      </c>
    </row>
    <row r="13096">
      <c r="H13096" s="8" t="s">
        <v>364</v>
      </c>
    </row>
    <row r="13097">
      <c r="H13097" s="8" t="s">
        <v>364</v>
      </c>
    </row>
    <row r="13098">
      <c r="H13098" s="8" t="s">
        <v>364</v>
      </c>
    </row>
    <row r="13099">
      <c r="H13099" s="8" t="s">
        <v>364</v>
      </c>
    </row>
    <row r="13100">
      <c r="H13100" s="8" t="s">
        <v>364</v>
      </c>
    </row>
    <row r="13101">
      <c r="H13101" s="8" t="s">
        <v>364</v>
      </c>
    </row>
    <row r="13102">
      <c r="H13102" s="8" t="s">
        <v>364</v>
      </c>
    </row>
    <row r="13103">
      <c r="H13103" s="8" t="s">
        <v>364</v>
      </c>
    </row>
    <row r="13104">
      <c r="H13104" s="8" t="s">
        <v>364</v>
      </c>
    </row>
    <row r="13105">
      <c r="H13105" s="8" t="s">
        <v>364</v>
      </c>
    </row>
    <row r="13106">
      <c r="H13106" s="8" t="s">
        <v>364</v>
      </c>
    </row>
    <row r="13107">
      <c r="H13107" s="8" t="s">
        <v>364</v>
      </c>
    </row>
    <row r="13108">
      <c r="H13108" s="8" t="s">
        <v>364</v>
      </c>
    </row>
    <row r="13109">
      <c r="H13109" s="8" t="s">
        <v>364</v>
      </c>
    </row>
    <row r="13110">
      <c r="H13110" s="8" t="s">
        <v>364</v>
      </c>
    </row>
    <row r="13111">
      <c r="H13111" s="8" t="s">
        <v>364</v>
      </c>
    </row>
    <row r="13112">
      <c r="H13112" s="8" t="s">
        <v>364</v>
      </c>
    </row>
    <row r="13113">
      <c r="H13113" s="8" t="s">
        <v>364</v>
      </c>
    </row>
    <row r="13114">
      <c r="H13114" s="8" t="s">
        <v>364</v>
      </c>
    </row>
    <row r="13115">
      <c r="H13115" s="8" t="s">
        <v>364</v>
      </c>
    </row>
    <row r="13116">
      <c r="H13116" s="8" t="s">
        <v>364</v>
      </c>
    </row>
    <row r="13117">
      <c r="H13117" s="8" t="s">
        <v>364</v>
      </c>
    </row>
    <row r="13118">
      <c r="H13118" s="8" t="s">
        <v>364</v>
      </c>
    </row>
    <row r="13119">
      <c r="H13119" s="8" t="s">
        <v>364</v>
      </c>
    </row>
    <row r="13120">
      <c r="H13120" s="8" t="s">
        <v>364</v>
      </c>
    </row>
    <row r="13121">
      <c r="H13121" s="8" t="s">
        <v>364</v>
      </c>
    </row>
    <row r="13122">
      <c r="H13122" s="8" t="s">
        <v>364</v>
      </c>
    </row>
    <row r="13123">
      <c r="H13123" s="8" t="s">
        <v>364</v>
      </c>
    </row>
    <row r="13124">
      <c r="H13124" s="8" t="s">
        <v>364</v>
      </c>
    </row>
    <row r="13125">
      <c r="H13125" s="8" t="s">
        <v>364</v>
      </c>
    </row>
    <row r="13126">
      <c r="H13126" s="8" t="s">
        <v>364</v>
      </c>
    </row>
    <row r="13127">
      <c r="H13127" s="8" t="s">
        <v>364</v>
      </c>
    </row>
    <row r="13128">
      <c r="H13128" s="8" t="s">
        <v>364</v>
      </c>
    </row>
    <row r="13129">
      <c r="H13129" s="8" t="s">
        <v>364</v>
      </c>
    </row>
    <row r="13130">
      <c r="H13130" s="8" t="s">
        <v>364</v>
      </c>
    </row>
    <row r="13131">
      <c r="H13131" s="8" t="s">
        <v>364</v>
      </c>
    </row>
    <row r="13132">
      <c r="H13132" s="8" t="s">
        <v>364</v>
      </c>
    </row>
    <row r="13133">
      <c r="H13133" s="8" t="s">
        <v>364</v>
      </c>
    </row>
    <row r="13134">
      <c r="H13134" s="8" t="s">
        <v>364</v>
      </c>
    </row>
    <row r="13135">
      <c r="H13135" s="8" t="s">
        <v>364</v>
      </c>
    </row>
    <row r="13136">
      <c r="H13136" s="8" t="s">
        <v>364</v>
      </c>
    </row>
    <row r="13137">
      <c r="H13137" s="8" t="s">
        <v>364</v>
      </c>
    </row>
    <row r="13138">
      <c r="H13138" s="8" t="s">
        <v>364</v>
      </c>
    </row>
    <row r="13139">
      <c r="H13139" s="8" t="s">
        <v>364</v>
      </c>
    </row>
    <row r="13140">
      <c r="H13140" s="8" t="s">
        <v>364</v>
      </c>
    </row>
    <row r="13141">
      <c r="H13141" s="8" t="s">
        <v>364</v>
      </c>
    </row>
    <row r="13142">
      <c r="H13142" s="8" t="s">
        <v>364</v>
      </c>
    </row>
    <row r="13143">
      <c r="H13143" s="8" t="s">
        <v>364</v>
      </c>
    </row>
    <row r="13144">
      <c r="H13144" s="8" t="s">
        <v>364</v>
      </c>
    </row>
    <row r="13145">
      <c r="H13145" s="8" t="s">
        <v>364</v>
      </c>
    </row>
    <row r="13146">
      <c r="H13146" s="8" t="s">
        <v>364</v>
      </c>
    </row>
    <row r="13147">
      <c r="H13147" s="8" t="s">
        <v>364</v>
      </c>
    </row>
    <row r="13148">
      <c r="H13148" s="8" t="s">
        <v>364</v>
      </c>
    </row>
    <row r="13149">
      <c r="H13149" s="8" t="s">
        <v>364</v>
      </c>
    </row>
    <row r="13150">
      <c r="H13150" s="8" t="s">
        <v>364</v>
      </c>
    </row>
    <row r="13151">
      <c r="H13151" s="8" t="s">
        <v>364</v>
      </c>
    </row>
    <row r="13152">
      <c r="H13152" s="8" t="s">
        <v>364</v>
      </c>
    </row>
    <row r="13153">
      <c r="H13153" s="8" t="s">
        <v>364</v>
      </c>
    </row>
    <row r="13154">
      <c r="H13154" s="8" t="s">
        <v>364</v>
      </c>
    </row>
    <row r="13155">
      <c r="H13155" s="8" t="s">
        <v>364</v>
      </c>
    </row>
    <row r="13156">
      <c r="H13156" s="8" t="s">
        <v>364</v>
      </c>
    </row>
    <row r="13157">
      <c r="H13157" s="8" t="s">
        <v>364</v>
      </c>
    </row>
    <row r="13158">
      <c r="H13158" s="8" t="s">
        <v>364</v>
      </c>
    </row>
    <row r="13159">
      <c r="H13159" s="8" t="s">
        <v>364</v>
      </c>
    </row>
    <row r="13160">
      <c r="H13160" s="8" t="s">
        <v>364</v>
      </c>
    </row>
    <row r="13161">
      <c r="H13161" s="8" t="s">
        <v>364</v>
      </c>
    </row>
    <row r="13162">
      <c r="H13162" s="8" t="s">
        <v>364</v>
      </c>
    </row>
    <row r="13163">
      <c r="H13163" s="8" t="s">
        <v>364</v>
      </c>
    </row>
    <row r="13164">
      <c r="H13164" s="8" t="s">
        <v>364</v>
      </c>
    </row>
    <row r="13165">
      <c r="H13165" s="8" t="s">
        <v>364</v>
      </c>
    </row>
    <row r="13166">
      <c r="H13166" s="8" t="s">
        <v>364</v>
      </c>
    </row>
    <row r="13167">
      <c r="H13167" s="8" t="s">
        <v>364</v>
      </c>
    </row>
    <row r="13168">
      <c r="H13168" s="8" t="s">
        <v>364</v>
      </c>
    </row>
    <row r="13169">
      <c r="H13169" s="8" t="s">
        <v>364</v>
      </c>
    </row>
    <row r="13170">
      <c r="H13170" s="8" t="s">
        <v>364</v>
      </c>
    </row>
    <row r="13171">
      <c r="H13171" s="8" t="s">
        <v>364</v>
      </c>
    </row>
    <row r="13172">
      <c r="H13172" s="8" t="s">
        <v>364</v>
      </c>
    </row>
    <row r="13173">
      <c r="H13173" s="8" t="s">
        <v>364</v>
      </c>
    </row>
    <row r="13174">
      <c r="H13174" s="8" t="s">
        <v>364</v>
      </c>
    </row>
    <row r="13175">
      <c r="H13175" s="8" t="s">
        <v>364</v>
      </c>
    </row>
    <row r="13176">
      <c r="H13176" s="8" t="s">
        <v>364</v>
      </c>
    </row>
    <row r="13177">
      <c r="H13177" s="8" t="s">
        <v>364</v>
      </c>
    </row>
    <row r="13178">
      <c r="H13178" s="8" t="s">
        <v>364</v>
      </c>
    </row>
    <row r="13179">
      <c r="H13179" s="8" t="s">
        <v>364</v>
      </c>
    </row>
    <row r="13180">
      <c r="H13180" s="8" t="s">
        <v>364</v>
      </c>
    </row>
    <row r="13181">
      <c r="H13181" s="8" t="s">
        <v>364</v>
      </c>
    </row>
    <row r="13182">
      <c r="H13182" s="8" t="s">
        <v>364</v>
      </c>
    </row>
    <row r="13183">
      <c r="H13183" s="8" t="s">
        <v>364</v>
      </c>
    </row>
    <row r="13184">
      <c r="H13184" s="8" t="s">
        <v>364</v>
      </c>
    </row>
    <row r="13185">
      <c r="H13185" s="8" t="s">
        <v>364</v>
      </c>
    </row>
    <row r="13186">
      <c r="H13186" s="8" t="s">
        <v>364</v>
      </c>
    </row>
    <row r="13187">
      <c r="H13187" s="8" t="s">
        <v>364</v>
      </c>
    </row>
    <row r="13188">
      <c r="H13188" s="8" t="s">
        <v>364</v>
      </c>
    </row>
    <row r="13189">
      <c r="H13189" s="8" t="s">
        <v>364</v>
      </c>
    </row>
    <row r="13190">
      <c r="H13190" s="8" t="s">
        <v>364</v>
      </c>
    </row>
    <row r="13191">
      <c r="H13191" s="8" t="s">
        <v>364</v>
      </c>
    </row>
    <row r="13192">
      <c r="H13192" s="8" t="s">
        <v>364</v>
      </c>
    </row>
    <row r="13193">
      <c r="H13193" s="8" t="s">
        <v>364</v>
      </c>
    </row>
    <row r="13194">
      <c r="H13194" s="8" t="s">
        <v>364</v>
      </c>
    </row>
    <row r="13195">
      <c r="H13195" s="8" t="s">
        <v>364</v>
      </c>
    </row>
    <row r="13196">
      <c r="H13196" s="8" t="s">
        <v>364</v>
      </c>
    </row>
    <row r="13197">
      <c r="H13197" s="8" t="s">
        <v>364</v>
      </c>
    </row>
    <row r="13198">
      <c r="H13198" s="8" t="s">
        <v>364</v>
      </c>
    </row>
    <row r="13199">
      <c r="H13199" s="8" t="s">
        <v>364</v>
      </c>
    </row>
    <row r="13200">
      <c r="H13200" s="8" t="s">
        <v>364</v>
      </c>
    </row>
    <row r="13201">
      <c r="H13201" s="8" t="s">
        <v>364</v>
      </c>
    </row>
    <row r="13202">
      <c r="H13202" s="8" t="s">
        <v>364</v>
      </c>
    </row>
    <row r="13203">
      <c r="H13203" s="8" t="s">
        <v>364</v>
      </c>
    </row>
    <row r="13204">
      <c r="H13204" s="8" t="s">
        <v>364</v>
      </c>
    </row>
    <row r="13205">
      <c r="H13205" s="8" t="s">
        <v>364</v>
      </c>
    </row>
    <row r="13206">
      <c r="H13206" s="8" t="s">
        <v>364</v>
      </c>
    </row>
    <row r="13207">
      <c r="H13207" s="8" t="s">
        <v>364</v>
      </c>
    </row>
    <row r="13208">
      <c r="H13208" s="8" t="s">
        <v>364</v>
      </c>
    </row>
    <row r="13209">
      <c r="H13209" s="8" t="s">
        <v>364</v>
      </c>
    </row>
    <row r="13210">
      <c r="H13210" s="8" t="s">
        <v>364</v>
      </c>
    </row>
    <row r="13211">
      <c r="H13211" s="8" t="s">
        <v>364</v>
      </c>
    </row>
    <row r="13212">
      <c r="H13212" s="8" t="s">
        <v>364</v>
      </c>
    </row>
    <row r="13213">
      <c r="H13213" s="8" t="s">
        <v>364</v>
      </c>
    </row>
    <row r="13214">
      <c r="H13214" s="8" t="s">
        <v>364</v>
      </c>
    </row>
    <row r="13215">
      <c r="H13215" s="8" t="s">
        <v>364</v>
      </c>
    </row>
    <row r="13216">
      <c r="H13216" s="8" t="s">
        <v>364</v>
      </c>
    </row>
    <row r="13217">
      <c r="H13217" s="8" t="s">
        <v>364</v>
      </c>
    </row>
    <row r="13218">
      <c r="H13218" s="8" t="s">
        <v>364</v>
      </c>
    </row>
    <row r="13219">
      <c r="H13219" s="8" t="s">
        <v>364</v>
      </c>
    </row>
    <row r="13220">
      <c r="H13220" s="8" t="s">
        <v>364</v>
      </c>
    </row>
    <row r="13221">
      <c r="H13221" s="8" t="s">
        <v>364</v>
      </c>
    </row>
    <row r="13222">
      <c r="H13222" s="8" t="s">
        <v>364</v>
      </c>
    </row>
    <row r="13223">
      <c r="H13223" s="8" t="s">
        <v>364</v>
      </c>
    </row>
    <row r="13224">
      <c r="H13224" s="8" t="s">
        <v>364</v>
      </c>
    </row>
    <row r="13225">
      <c r="H13225" s="8" t="s">
        <v>364</v>
      </c>
    </row>
    <row r="13226">
      <c r="H13226" s="8" t="s">
        <v>364</v>
      </c>
    </row>
    <row r="13227">
      <c r="H13227" s="8" t="s">
        <v>364</v>
      </c>
    </row>
    <row r="13228">
      <c r="H13228" s="8" t="s">
        <v>364</v>
      </c>
    </row>
    <row r="13229">
      <c r="H13229" s="8" t="s">
        <v>364</v>
      </c>
    </row>
    <row r="13230">
      <c r="H13230" s="8" t="s">
        <v>364</v>
      </c>
    </row>
    <row r="13231">
      <c r="H13231" s="8" t="s">
        <v>364</v>
      </c>
    </row>
    <row r="13232">
      <c r="H13232" s="8" t="s">
        <v>364</v>
      </c>
    </row>
    <row r="13233">
      <c r="H13233" s="8" t="s">
        <v>364</v>
      </c>
    </row>
    <row r="13234">
      <c r="H13234" s="8" t="s">
        <v>364</v>
      </c>
    </row>
    <row r="13235">
      <c r="H13235" s="8" t="s">
        <v>364</v>
      </c>
    </row>
    <row r="13236">
      <c r="H13236" s="8" t="s">
        <v>364</v>
      </c>
    </row>
    <row r="13237">
      <c r="H13237" s="8" t="s">
        <v>364</v>
      </c>
    </row>
    <row r="13238">
      <c r="H13238" s="8" t="s">
        <v>364</v>
      </c>
    </row>
    <row r="13239">
      <c r="H13239" s="8" t="s">
        <v>364</v>
      </c>
    </row>
    <row r="13240">
      <c r="H13240" s="8" t="s">
        <v>364</v>
      </c>
    </row>
    <row r="13241">
      <c r="H13241" s="8" t="s">
        <v>364</v>
      </c>
    </row>
    <row r="13242">
      <c r="H13242" s="8" t="s">
        <v>364</v>
      </c>
    </row>
    <row r="13243">
      <c r="H13243" s="8" t="s">
        <v>364</v>
      </c>
    </row>
    <row r="13244">
      <c r="H13244" s="8" t="s">
        <v>364</v>
      </c>
    </row>
    <row r="13245">
      <c r="H13245" s="8" t="s">
        <v>364</v>
      </c>
    </row>
    <row r="13246">
      <c r="H13246" s="8" t="s">
        <v>364</v>
      </c>
    </row>
    <row r="13247">
      <c r="H13247" s="8" t="s">
        <v>364</v>
      </c>
    </row>
    <row r="13248">
      <c r="H13248" s="8" t="s">
        <v>364</v>
      </c>
    </row>
    <row r="13249">
      <c r="H13249" s="8" t="s">
        <v>364</v>
      </c>
    </row>
    <row r="13250">
      <c r="H13250" s="8" t="s">
        <v>364</v>
      </c>
    </row>
    <row r="13251">
      <c r="H13251" s="8" t="s">
        <v>364</v>
      </c>
    </row>
    <row r="13252">
      <c r="H13252" s="8" t="s">
        <v>364</v>
      </c>
    </row>
    <row r="13253">
      <c r="H13253" s="8" t="s">
        <v>364</v>
      </c>
    </row>
    <row r="13254">
      <c r="H13254" s="8" t="s">
        <v>364</v>
      </c>
    </row>
    <row r="13255">
      <c r="H13255" s="8" t="s">
        <v>364</v>
      </c>
    </row>
    <row r="13256">
      <c r="H13256" s="8" t="s">
        <v>364</v>
      </c>
    </row>
    <row r="13257">
      <c r="H13257" s="8" t="s">
        <v>364</v>
      </c>
    </row>
    <row r="13258">
      <c r="H13258" s="8" t="s">
        <v>364</v>
      </c>
    </row>
    <row r="13259">
      <c r="H13259" s="8" t="s">
        <v>364</v>
      </c>
    </row>
    <row r="13260">
      <c r="H13260" s="8" t="s">
        <v>364</v>
      </c>
    </row>
    <row r="13261">
      <c r="H13261" s="8" t="s">
        <v>364</v>
      </c>
    </row>
    <row r="13262">
      <c r="H13262" s="8" t="s">
        <v>364</v>
      </c>
    </row>
    <row r="13263">
      <c r="H13263" s="8" t="s">
        <v>364</v>
      </c>
    </row>
    <row r="13264">
      <c r="H13264" s="8" t="s">
        <v>364</v>
      </c>
    </row>
    <row r="13265">
      <c r="H13265" s="8" t="s">
        <v>364</v>
      </c>
    </row>
    <row r="13266">
      <c r="H13266" s="8" t="s">
        <v>364</v>
      </c>
    </row>
    <row r="13267">
      <c r="H13267" s="8" t="s">
        <v>364</v>
      </c>
    </row>
    <row r="13268">
      <c r="H13268" s="8" t="s">
        <v>364</v>
      </c>
    </row>
    <row r="13269">
      <c r="H13269" s="8" t="s">
        <v>364</v>
      </c>
    </row>
    <row r="13270">
      <c r="H13270" s="8" t="s">
        <v>364</v>
      </c>
    </row>
    <row r="13271">
      <c r="H13271" s="8" t="s">
        <v>364</v>
      </c>
    </row>
    <row r="13272">
      <c r="H13272" s="8" t="s">
        <v>364</v>
      </c>
    </row>
    <row r="13273">
      <c r="H13273" s="8" t="s">
        <v>364</v>
      </c>
    </row>
    <row r="13274">
      <c r="H13274" s="8" t="s">
        <v>364</v>
      </c>
    </row>
    <row r="13275">
      <c r="H13275" s="8" t="s">
        <v>364</v>
      </c>
    </row>
    <row r="13276">
      <c r="H13276" s="8" t="s">
        <v>364</v>
      </c>
    </row>
    <row r="13277">
      <c r="H13277" s="8" t="s">
        <v>364</v>
      </c>
    </row>
    <row r="13278">
      <c r="H13278" s="8" t="s">
        <v>364</v>
      </c>
    </row>
    <row r="13279">
      <c r="H13279" s="8" t="s">
        <v>364</v>
      </c>
    </row>
    <row r="13280">
      <c r="H13280" s="8" t="s">
        <v>364</v>
      </c>
    </row>
    <row r="13281">
      <c r="H13281" s="8" t="s">
        <v>364</v>
      </c>
    </row>
    <row r="13282">
      <c r="H13282" s="8" t="s">
        <v>364</v>
      </c>
    </row>
    <row r="13283">
      <c r="H13283" s="8" t="s">
        <v>364</v>
      </c>
    </row>
    <row r="13284">
      <c r="H13284" s="8" t="s">
        <v>364</v>
      </c>
    </row>
    <row r="13285">
      <c r="H13285" s="8" t="s">
        <v>364</v>
      </c>
    </row>
    <row r="13286">
      <c r="H13286" s="8" t="s">
        <v>364</v>
      </c>
    </row>
    <row r="13287">
      <c r="H13287" s="8" t="s">
        <v>364</v>
      </c>
    </row>
    <row r="13288">
      <c r="H13288" s="8" t="s">
        <v>364</v>
      </c>
    </row>
    <row r="13289">
      <c r="H13289" s="8" t="s">
        <v>364</v>
      </c>
    </row>
    <row r="13290">
      <c r="H13290" s="8" t="s">
        <v>364</v>
      </c>
    </row>
    <row r="13291">
      <c r="H13291" s="8" t="s">
        <v>364</v>
      </c>
    </row>
    <row r="13292">
      <c r="H13292" s="8" t="s">
        <v>364</v>
      </c>
    </row>
    <row r="13293">
      <c r="H13293" s="8" t="s">
        <v>364</v>
      </c>
    </row>
    <row r="13294">
      <c r="H13294" s="8" t="s">
        <v>364</v>
      </c>
    </row>
    <row r="13295">
      <c r="H13295" s="8" t="s">
        <v>364</v>
      </c>
    </row>
    <row r="13296">
      <c r="H13296" s="8" t="s">
        <v>364</v>
      </c>
    </row>
    <row r="13297">
      <c r="H13297" s="8" t="s">
        <v>364</v>
      </c>
    </row>
    <row r="13298">
      <c r="H13298" s="8" t="s">
        <v>364</v>
      </c>
    </row>
    <row r="13299">
      <c r="H13299" s="8" t="s">
        <v>364</v>
      </c>
    </row>
    <row r="13300">
      <c r="H13300" s="8" t="s">
        <v>364</v>
      </c>
    </row>
    <row r="13301">
      <c r="H13301" s="8" t="s">
        <v>364</v>
      </c>
    </row>
    <row r="13302">
      <c r="H13302" s="8" t="s">
        <v>364</v>
      </c>
    </row>
    <row r="13303">
      <c r="H13303" s="8" t="s">
        <v>364</v>
      </c>
    </row>
    <row r="13304">
      <c r="H13304" s="8" t="s">
        <v>364</v>
      </c>
    </row>
    <row r="13305">
      <c r="H13305" s="8" t="s">
        <v>364</v>
      </c>
    </row>
    <row r="13306">
      <c r="H13306" s="8" t="s">
        <v>364</v>
      </c>
    </row>
    <row r="13307">
      <c r="H13307" s="8" t="s">
        <v>364</v>
      </c>
    </row>
    <row r="13308">
      <c r="H13308" s="8" t="s">
        <v>364</v>
      </c>
    </row>
    <row r="13309">
      <c r="H13309" s="8" t="s">
        <v>364</v>
      </c>
    </row>
    <row r="13310">
      <c r="H13310" s="8" t="s">
        <v>364</v>
      </c>
    </row>
    <row r="13311">
      <c r="H13311" s="8" t="s">
        <v>364</v>
      </c>
    </row>
    <row r="13312">
      <c r="H13312" s="8" t="s">
        <v>364</v>
      </c>
    </row>
    <row r="13313">
      <c r="H13313" s="8" t="s">
        <v>364</v>
      </c>
    </row>
    <row r="13314">
      <c r="H13314" s="8" t="s">
        <v>364</v>
      </c>
    </row>
    <row r="13315">
      <c r="H13315" s="8" t="s">
        <v>364</v>
      </c>
    </row>
    <row r="13316">
      <c r="H13316" s="8" t="s">
        <v>364</v>
      </c>
    </row>
    <row r="13317">
      <c r="H13317" s="8" t="s">
        <v>364</v>
      </c>
    </row>
    <row r="13318">
      <c r="H13318" s="8" t="s">
        <v>364</v>
      </c>
    </row>
    <row r="13319">
      <c r="H13319" s="8" t="s">
        <v>364</v>
      </c>
    </row>
    <row r="13320">
      <c r="H13320" s="8" t="s">
        <v>364</v>
      </c>
    </row>
    <row r="13321">
      <c r="H13321" s="8" t="s">
        <v>364</v>
      </c>
    </row>
    <row r="13322">
      <c r="H13322" s="8" t="s">
        <v>364</v>
      </c>
    </row>
    <row r="13323">
      <c r="H13323" s="8" t="s">
        <v>364</v>
      </c>
    </row>
    <row r="13324">
      <c r="H13324" s="8" t="s">
        <v>364</v>
      </c>
    </row>
    <row r="13325">
      <c r="H13325" s="8" t="s">
        <v>364</v>
      </c>
    </row>
    <row r="13326">
      <c r="H13326" s="8" t="s">
        <v>364</v>
      </c>
    </row>
    <row r="13327">
      <c r="H13327" s="8" t="s">
        <v>364</v>
      </c>
    </row>
    <row r="13328">
      <c r="H13328" s="8" t="s">
        <v>364</v>
      </c>
    </row>
    <row r="13329">
      <c r="H13329" s="8" t="s">
        <v>364</v>
      </c>
    </row>
    <row r="13330">
      <c r="H13330" s="8" t="s">
        <v>364</v>
      </c>
    </row>
    <row r="13331">
      <c r="H13331" s="8" t="s">
        <v>364</v>
      </c>
    </row>
    <row r="13332">
      <c r="H13332" s="8" t="s">
        <v>364</v>
      </c>
    </row>
    <row r="13333">
      <c r="H13333" s="8" t="s">
        <v>364</v>
      </c>
    </row>
    <row r="13334">
      <c r="H13334" s="8" t="s">
        <v>364</v>
      </c>
    </row>
    <row r="13335">
      <c r="H13335" s="8" t="s">
        <v>364</v>
      </c>
    </row>
    <row r="13336">
      <c r="H13336" s="8" t="s">
        <v>364</v>
      </c>
    </row>
    <row r="13337">
      <c r="H13337" s="8" t="s">
        <v>364</v>
      </c>
    </row>
    <row r="13338">
      <c r="H13338" s="8" t="s">
        <v>364</v>
      </c>
    </row>
    <row r="13339">
      <c r="H13339" s="8" t="s">
        <v>364</v>
      </c>
    </row>
    <row r="13340">
      <c r="H13340" s="8" t="s">
        <v>364</v>
      </c>
    </row>
    <row r="13341">
      <c r="H13341" s="8" t="s">
        <v>364</v>
      </c>
    </row>
    <row r="13342">
      <c r="H13342" s="8" t="s">
        <v>364</v>
      </c>
    </row>
    <row r="13343">
      <c r="H13343" s="8" t="s">
        <v>364</v>
      </c>
    </row>
    <row r="13344">
      <c r="H13344" s="8" t="s">
        <v>364</v>
      </c>
    </row>
    <row r="13345">
      <c r="H13345" s="8" t="s">
        <v>364</v>
      </c>
    </row>
    <row r="13346">
      <c r="H13346" s="8" t="s">
        <v>364</v>
      </c>
    </row>
    <row r="13347">
      <c r="H13347" s="8" t="s">
        <v>364</v>
      </c>
    </row>
    <row r="13348">
      <c r="H13348" s="8" t="s">
        <v>364</v>
      </c>
    </row>
    <row r="13349">
      <c r="H13349" s="8" t="s">
        <v>364</v>
      </c>
    </row>
    <row r="13350">
      <c r="H13350" s="8" t="s">
        <v>364</v>
      </c>
    </row>
    <row r="13351">
      <c r="H13351" s="8" t="s">
        <v>364</v>
      </c>
    </row>
    <row r="13352">
      <c r="H13352" s="8" t="s">
        <v>364</v>
      </c>
    </row>
    <row r="13353">
      <c r="H13353" s="8" t="s">
        <v>364</v>
      </c>
    </row>
    <row r="13354">
      <c r="H13354" s="8" t="s">
        <v>364</v>
      </c>
    </row>
    <row r="13355">
      <c r="H13355" s="8" t="s">
        <v>364</v>
      </c>
    </row>
    <row r="13356">
      <c r="H13356" s="8" t="s">
        <v>364</v>
      </c>
    </row>
    <row r="13357">
      <c r="H13357" s="8" t="s">
        <v>364</v>
      </c>
    </row>
    <row r="13358">
      <c r="H13358" s="8" t="s">
        <v>364</v>
      </c>
    </row>
    <row r="13359">
      <c r="H13359" s="8" t="s">
        <v>364</v>
      </c>
    </row>
    <row r="13360">
      <c r="H13360" s="8" t="s">
        <v>364</v>
      </c>
    </row>
    <row r="13361">
      <c r="H13361" s="8" t="s">
        <v>364</v>
      </c>
    </row>
    <row r="13362">
      <c r="H13362" s="8" t="s">
        <v>364</v>
      </c>
    </row>
    <row r="13363">
      <c r="H13363" s="8" t="s">
        <v>364</v>
      </c>
    </row>
    <row r="13364">
      <c r="H13364" s="8" t="s">
        <v>364</v>
      </c>
    </row>
    <row r="13365">
      <c r="H13365" s="8" t="s">
        <v>364</v>
      </c>
    </row>
    <row r="13366">
      <c r="H13366" s="8" t="s">
        <v>364</v>
      </c>
    </row>
    <row r="13367">
      <c r="H13367" s="8" t="s">
        <v>364</v>
      </c>
    </row>
    <row r="13368">
      <c r="H13368" s="8" t="s">
        <v>364</v>
      </c>
    </row>
    <row r="13369">
      <c r="H13369" s="8" t="s">
        <v>364</v>
      </c>
    </row>
    <row r="13370">
      <c r="H13370" s="8" t="s">
        <v>364</v>
      </c>
    </row>
    <row r="13371">
      <c r="H13371" s="8" t="s">
        <v>364</v>
      </c>
    </row>
    <row r="13372">
      <c r="H13372" s="8" t="s">
        <v>364</v>
      </c>
    </row>
    <row r="13373">
      <c r="H13373" s="8" t="s">
        <v>364</v>
      </c>
    </row>
    <row r="13374">
      <c r="H13374" s="8" t="s">
        <v>364</v>
      </c>
    </row>
    <row r="13375">
      <c r="H13375" s="8" t="s">
        <v>364</v>
      </c>
    </row>
    <row r="13376">
      <c r="H13376" s="8" t="s">
        <v>364</v>
      </c>
    </row>
    <row r="13377">
      <c r="H13377" s="8" t="s">
        <v>364</v>
      </c>
    </row>
    <row r="13378">
      <c r="H13378" s="8" t="s">
        <v>364</v>
      </c>
    </row>
    <row r="13379">
      <c r="H13379" s="8" t="s">
        <v>364</v>
      </c>
    </row>
    <row r="13380">
      <c r="H13380" s="8" t="s">
        <v>364</v>
      </c>
    </row>
    <row r="13381">
      <c r="H13381" s="8" t="s">
        <v>364</v>
      </c>
    </row>
    <row r="13382">
      <c r="H13382" s="8" t="s">
        <v>364</v>
      </c>
    </row>
    <row r="13383">
      <c r="H13383" s="8" t="s">
        <v>364</v>
      </c>
    </row>
    <row r="13384">
      <c r="H13384" s="8" t="s">
        <v>364</v>
      </c>
    </row>
    <row r="13385">
      <c r="H13385" s="8" t="s">
        <v>364</v>
      </c>
    </row>
    <row r="13386">
      <c r="H13386" s="8" t="s">
        <v>364</v>
      </c>
    </row>
    <row r="13387">
      <c r="H13387" s="8" t="s">
        <v>364</v>
      </c>
    </row>
    <row r="13388">
      <c r="H13388" s="8" t="s">
        <v>364</v>
      </c>
    </row>
    <row r="13389">
      <c r="H13389" s="8" t="s">
        <v>364</v>
      </c>
    </row>
    <row r="13390">
      <c r="H13390" s="8" t="s">
        <v>364</v>
      </c>
    </row>
    <row r="13391">
      <c r="H13391" s="8" t="s">
        <v>364</v>
      </c>
    </row>
    <row r="13392">
      <c r="H13392" s="8" t="s">
        <v>364</v>
      </c>
    </row>
    <row r="13393">
      <c r="H13393" s="8" t="s">
        <v>364</v>
      </c>
    </row>
    <row r="13394">
      <c r="H13394" s="8" t="s">
        <v>364</v>
      </c>
    </row>
    <row r="13395">
      <c r="H13395" s="8" t="s">
        <v>364</v>
      </c>
    </row>
    <row r="13396">
      <c r="H13396" s="8" t="s">
        <v>364</v>
      </c>
    </row>
    <row r="13397">
      <c r="H13397" s="8" t="s">
        <v>364</v>
      </c>
    </row>
    <row r="13398">
      <c r="H13398" s="8" t="s">
        <v>364</v>
      </c>
    </row>
    <row r="13399">
      <c r="H13399" s="8" t="s">
        <v>364</v>
      </c>
    </row>
    <row r="13400">
      <c r="H13400" s="8" t="s">
        <v>364</v>
      </c>
    </row>
    <row r="13401">
      <c r="H13401" s="8" t="s">
        <v>364</v>
      </c>
    </row>
    <row r="13402">
      <c r="H13402" s="8" t="s">
        <v>364</v>
      </c>
    </row>
    <row r="13403">
      <c r="H13403" s="8" t="s">
        <v>364</v>
      </c>
    </row>
    <row r="13404">
      <c r="H13404" s="8" t="s">
        <v>364</v>
      </c>
    </row>
    <row r="13405">
      <c r="H13405" s="8" t="s">
        <v>364</v>
      </c>
    </row>
    <row r="13406">
      <c r="H13406" s="8" t="s">
        <v>364</v>
      </c>
    </row>
    <row r="13407">
      <c r="H13407" s="8" t="s">
        <v>364</v>
      </c>
    </row>
    <row r="13408">
      <c r="H13408" s="8" t="s">
        <v>364</v>
      </c>
    </row>
    <row r="13409">
      <c r="H13409" s="8" t="s">
        <v>364</v>
      </c>
    </row>
    <row r="13410">
      <c r="H13410" s="8" t="s">
        <v>364</v>
      </c>
    </row>
    <row r="13411">
      <c r="H13411" s="8" t="s">
        <v>364</v>
      </c>
    </row>
    <row r="13412">
      <c r="H13412" s="8" t="s">
        <v>364</v>
      </c>
    </row>
    <row r="13413">
      <c r="H13413" s="8" t="s">
        <v>364</v>
      </c>
    </row>
    <row r="13414">
      <c r="H13414" s="8" t="s">
        <v>364</v>
      </c>
    </row>
    <row r="13415">
      <c r="H13415" s="8" t="s">
        <v>364</v>
      </c>
    </row>
    <row r="13416">
      <c r="H13416" s="8" t="s">
        <v>364</v>
      </c>
    </row>
    <row r="13417">
      <c r="H13417" s="8" t="s">
        <v>364</v>
      </c>
    </row>
    <row r="13418">
      <c r="H13418" s="8" t="s">
        <v>364</v>
      </c>
    </row>
    <row r="13419">
      <c r="H13419" s="8" t="s">
        <v>364</v>
      </c>
    </row>
    <row r="13420">
      <c r="H13420" s="8" t="s">
        <v>364</v>
      </c>
    </row>
    <row r="13421">
      <c r="H13421" s="8" t="s">
        <v>364</v>
      </c>
    </row>
    <row r="13422">
      <c r="H13422" s="8" t="s">
        <v>364</v>
      </c>
    </row>
    <row r="13423">
      <c r="H13423" s="8" t="s">
        <v>364</v>
      </c>
    </row>
    <row r="13424">
      <c r="H13424" s="8" t="s">
        <v>364</v>
      </c>
    </row>
    <row r="13425">
      <c r="H13425" s="8" t="s">
        <v>364</v>
      </c>
    </row>
    <row r="13426">
      <c r="H13426" s="8" t="s">
        <v>364</v>
      </c>
    </row>
    <row r="13427">
      <c r="H13427" s="8" t="s">
        <v>364</v>
      </c>
    </row>
    <row r="13428">
      <c r="H13428" s="8" t="s">
        <v>364</v>
      </c>
    </row>
    <row r="13429">
      <c r="H13429" s="8" t="s">
        <v>364</v>
      </c>
    </row>
    <row r="13430">
      <c r="H13430" s="8" t="s">
        <v>364</v>
      </c>
    </row>
    <row r="13431">
      <c r="H13431" s="8" t="s">
        <v>364</v>
      </c>
    </row>
    <row r="13432">
      <c r="H13432" s="8" t="s">
        <v>364</v>
      </c>
    </row>
    <row r="13433">
      <c r="H13433" s="8" t="s">
        <v>364</v>
      </c>
    </row>
    <row r="13434">
      <c r="H13434" s="8" t="s">
        <v>364</v>
      </c>
    </row>
    <row r="13435">
      <c r="H13435" s="8" t="s">
        <v>364</v>
      </c>
    </row>
    <row r="13436">
      <c r="H13436" s="8" t="s">
        <v>364</v>
      </c>
    </row>
    <row r="13437">
      <c r="H13437" s="8" t="s">
        <v>364</v>
      </c>
    </row>
    <row r="13438">
      <c r="H13438" s="8" t="s">
        <v>364</v>
      </c>
    </row>
    <row r="13439">
      <c r="H13439" s="8" t="s">
        <v>364</v>
      </c>
    </row>
    <row r="13440">
      <c r="H13440" s="8" t="s">
        <v>364</v>
      </c>
    </row>
    <row r="13441">
      <c r="H13441" s="8" t="s">
        <v>364</v>
      </c>
    </row>
    <row r="13442">
      <c r="H13442" s="8" t="s">
        <v>364</v>
      </c>
    </row>
    <row r="13443">
      <c r="H13443" s="8" t="s">
        <v>364</v>
      </c>
    </row>
    <row r="13444">
      <c r="H13444" s="8" t="s">
        <v>364</v>
      </c>
    </row>
    <row r="13445">
      <c r="H13445" s="8" t="s">
        <v>364</v>
      </c>
    </row>
    <row r="13446">
      <c r="H13446" s="8" t="s">
        <v>364</v>
      </c>
    </row>
    <row r="13447">
      <c r="H13447" s="8" t="s">
        <v>364</v>
      </c>
    </row>
    <row r="13448">
      <c r="H13448" s="8" t="s">
        <v>364</v>
      </c>
    </row>
    <row r="13449">
      <c r="H13449" s="8" t="s">
        <v>364</v>
      </c>
    </row>
    <row r="13450">
      <c r="H13450" s="8" t="s">
        <v>364</v>
      </c>
    </row>
    <row r="13451">
      <c r="H13451" s="8" t="s">
        <v>364</v>
      </c>
    </row>
    <row r="13452">
      <c r="H13452" s="8" t="s">
        <v>364</v>
      </c>
    </row>
    <row r="13453">
      <c r="H13453" s="8" t="s">
        <v>364</v>
      </c>
    </row>
    <row r="13454">
      <c r="H13454" s="8" t="s">
        <v>364</v>
      </c>
    </row>
    <row r="13455">
      <c r="H13455" s="8" t="s">
        <v>364</v>
      </c>
    </row>
    <row r="13456">
      <c r="H13456" s="8" t="s">
        <v>364</v>
      </c>
    </row>
    <row r="13457">
      <c r="H13457" s="8" t="s">
        <v>364</v>
      </c>
    </row>
    <row r="13458">
      <c r="H13458" s="8" t="s">
        <v>364</v>
      </c>
    </row>
    <row r="13459">
      <c r="H13459" s="8" t="s">
        <v>364</v>
      </c>
    </row>
    <row r="13460">
      <c r="H13460" s="8" t="s">
        <v>364</v>
      </c>
    </row>
    <row r="13461">
      <c r="H13461" s="8" t="s">
        <v>364</v>
      </c>
    </row>
    <row r="13462">
      <c r="H13462" s="8" t="s">
        <v>364</v>
      </c>
    </row>
    <row r="13463">
      <c r="H13463" s="8" t="s">
        <v>364</v>
      </c>
    </row>
    <row r="13464">
      <c r="H13464" s="8" t="s">
        <v>364</v>
      </c>
    </row>
    <row r="13465">
      <c r="H13465" s="8" t="s">
        <v>364</v>
      </c>
    </row>
    <row r="13466">
      <c r="H13466" s="8" t="s">
        <v>364</v>
      </c>
    </row>
    <row r="13467">
      <c r="H13467" s="8" t="s">
        <v>364</v>
      </c>
    </row>
    <row r="13468">
      <c r="H13468" s="8" t="s">
        <v>364</v>
      </c>
    </row>
    <row r="13469">
      <c r="H13469" s="8" t="s">
        <v>364</v>
      </c>
    </row>
    <row r="13470">
      <c r="H13470" s="8" t="s">
        <v>364</v>
      </c>
    </row>
    <row r="13471">
      <c r="H13471" s="8" t="s">
        <v>364</v>
      </c>
    </row>
    <row r="13472">
      <c r="H13472" s="8" t="s">
        <v>364</v>
      </c>
    </row>
    <row r="13473">
      <c r="H13473" s="8" t="s">
        <v>364</v>
      </c>
    </row>
    <row r="13474">
      <c r="H13474" s="8" t="s">
        <v>364</v>
      </c>
    </row>
    <row r="13475">
      <c r="H13475" s="8" t="s">
        <v>364</v>
      </c>
    </row>
    <row r="13476">
      <c r="H13476" s="8" t="s">
        <v>364</v>
      </c>
    </row>
    <row r="13477">
      <c r="H13477" s="8" t="s">
        <v>364</v>
      </c>
    </row>
    <row r="13478">
      <c r="H13478" s="8" t="s">
        <v>364</v>
      </c>
    </row>
    <row r="13479">
      <c r="H13479" s="8" t="s">
        <v>364</v>
      </c>
    </row>
    <row r="13480">
      <c r="H13480" s="8" t="s">
        <v>364</v>
      </c>
    </row>
    <row r="13481">
      <c r="H13481" s="8" t="s">
        <v>364</v>
      </c>
    </row>
    <row r="13482">
      <c r="H13482" s="8" t="s">
        <v>364</v>
      </c>
    </row>
    <row r="13483">
      <c r="H13483" s="8" t="s">
        <v>364</v>
      </c>
    </row>
    <row r="13484">
      <c r="H13484" s="8" t="s">
        <v>364</v>
      </c>
    </row>
    <row r="13485">
      <c r="H13485" s="8" t="s">
        <v>364</v>
      </c>
    </row>
    <row r="13486">
      <c r="H13486" s="8" t="s">
        <v>364</v>
      </c>
    </row>
    <row r="13487">
      <c r="H13487" s="8" t="s">
        <v>364</v>
      </c>
    </row>
    <row r="13488">
      <c r="H13488" s="8" t="s">
        <v>364</v>
      </c>
    </row>
    <row r="13489">
      <c r="H13489" s="8" t="s">
        <v>364</v>
      </c>
    </row>
    <row r="13490">
      <c r="H13490" s="8" t="s">
        <v>364</v>
      </c>
    </row>
    <row r="13491">
      <c r="H13491" s="8" t="s">
        <v>364</v>
      </c>
    </row>
    <row r="13492">
      <c r="H13492" s="8" t="s">
        <v>364</v>
      </c>
    </row>
    <row r="13493">
      <c r="H13493" s="8" t="s">
        <v>364</v>
      </c>
    </row>
    <row r="13494">
      <c r="H13494" s="8" t="s">
        <v>364</v>
      </c>
    </row>
    <row r="13495">
      <c r="H13495" s="8" t="s">
        <v>364</v>
      </c>
    </row>
    <row r="13496">
      <c r="H13496" s="8" t="s">
        <v>364</v>
      </c>
    </row>
    <row r="13497">
      <c r="H13497" s="8" t="s">
        <v>364</v>
      </c>
    </row>
    <row r="13498">
      <c r="H13498" s="8" t="s">
        <v>364</v>
      </c>
    </row>
    <row r="13499">
      <c r="H13499" s="8" t="s">
        <v>364</v>
      </c>
    </row>
    <row r="13500">
      <c r="H13500" s="8" t="s">
        <v>364</v>
      </c>
    </row>
    <row r="13501">
      <c r="H13501" s="8" t="s">
        <v>364</v>
      </c>
    </row>
    <row r="13502">
      <c r="H13502" s="8" t="s">
        <v>364</v>
      </c>
    </row>
    <row r="13503">
      <c r="H13503" s="8" t="s">
        <v>364</v>
      </c>
    </row>
    <row r="13504">
      <c r="H13504" s="8" t="s">
        <v>364</v>
      </c>
    </row>
    <row r="13505">
      <c r="H13505" s="8" t="s">
        <v>364</v>
      </c>
    </row>
    <row r="13506">
      <c r="H13506" s="8" t="s">
        <v>364</v>
      </c>
    </row>
    <row r="13507">
      <c r="H13507" s="8" t="s">
        <v>364</v>
      </c>
    </row>
    <row r="13508">
      <c r="H13508" s="8" t="s">
        <v>364</v>
      </c>
    </row>
    <row r="13509">
      <c r="H13509" s="8" t="s">
        <v>364</v>
      </c>
    </row>
    <row r="13510">
      <c r="H13510" s="8" t="s">
        <v>364</v>
      </c>
    </row>
    <row r="13511">
      <c r="H13511" s="8" t="s">
        <v>364</v>
      </c>
    </row>
    <row r="13512">
      <c r="H13512" s="8" t="s">
        <v>364</v>
      </c>
    </row>
    <row r="13513">
      <c r="H13513" s="8" t="s">
        <v>364</v>
      </c>
    </row>
    <row r="13514">
      <c r="H13514" s="8" t="s">
        <v>364</v>
      </c>
    </row>
    <row r="13515">
      <c r="H13515" s="8" t="s">
        <v>364</v>
      </c>
    </row>
    <row r="13516">
      <c r="H13516" s="8" t="s">
        <v>364</v>
      </c>
    </row>
    <row r="13517">
      <c r="H13517" s="8" t="s">
        <v>364</v>
      </c>
    </row>
    <row r="13518">
      <c r="H13518" s="8" t="s">
        <v>364</v>
      </c>
    </row>
    <row r="13519">
      <c r="H13519" s="8" t="s">
        <v>364</v>
      </c>
    </row>
    <row r="13520">
      <c r="H13520" s="8" t="s">
        <v>364</v>
      </c>
    </row>
    <row r="13521">
      <c r="H13521" s="8" t="s">
        <v>364</v>
      </c>
    </row>
    <row r="13522">
      <c r="H13522" s="8" t="s">
        <v>364</v>
      </c>
    </row>
    <row r="13523">
      <c r="H13523" s="8" t="s">
        <v>364</v>
      </c>
    </row>
    <row r="13524">
      <c r="H13524" s="8" t="s">
        <v>364</v>
      </c>
    </row>
    <row r="13525">
      <c r="H13525" s="8" t="s">
        <v>364</v>
      </c>
    </row>
    <row r="13526">
      <c r="H13526" s="8" t="s">
        <v>364</v>
      </c>
    </row>
    <row r="13527">
      <c r="H13527" s="8" t="s">
        <v>364</v>
      </c>
    </row>
    <row r="13528">
      <c r="H13528" s="8" t="s">
        <v>364</v>
      </c>
    </row>
    <row r="13529">
      <c r="H13529" s="8" t="s">
        <v>364</v>
      </c>
    </row>
    <row r="13530">
      <c r="H13530" s="8" t="s">
        <v>364</v>
      </c>
    </row>
    <row r="13531">
      <c r="H13531" s="8" t="s">
        <v>364</v>
      </c>
    </row>
    <row r="13532">
      <c r="H13532" s="8" t="s">
        <v>364</v>
      </c>
    </row>
    <row r="13533">
      <c r="H13533" s="8" t="s">
        <v>364</v>
      </c>
    </row>
    <row r="13534">
      <c r="H13534" s="8" t="s">
        <v>364</v>
      </c>
    </row>
    <row r="13535">
      <c r="H13535" s="8" t="s">
        <v>364</v>
      </c>
    </row>
    <row r="13536">
      <c r="H13536" s="8" t="s">
        <v>364</v>
      </c>
    </row>
    <row r="13537">
      <c r="H13537" s="8" t="s">
        <v>364</v>
      </c>
    </row>
    <row r="13538">
      <c r="H13538" s="8" t="s">
        <v>364</v>
      </c>
    </row>
    <row r="13539">
      <c r="H13539" s="8" t="s">
        <v>364</v>
      </c>
    </row>
    <row r="13540">
      <c r="H13540" s="8" t="s">
        <v>364</v>
      </c>
    </row>
    <row r="13541">
      <c r="H13541" s="8" t="s">
        <v>364</v>
      </c>
    </row>
    <row r="13542">
      <c r="H13542" s="8" t="s">
        <v>364</v>
      </c>
    </row>
    <row r="13543">
      <c r="H13543" s="8" t="s">
        <v>364</v>
      </c>
    </row>
    <row r="13544">
      <c r="H13544" s="8" t="s">
        <v>364</v>
      </c>
    </row>
    <row r="13545">
      <c r="H13545" s="8" t="s">
        <v>364</v>
      </c>
    </row>
    <row r="13546">
      <c r="H13546" s="8" t="s">
        <v>364</v>
      </c>
    </row>
    <row r="13547">
      <c r="H13547" s="8" t="s">
        <v>364</v>
      </c>
    </row>
    <row r="13548">
      <c r="H13548" s="8" t="s">
        <v>364</v>
      </c>
    </row>
    <row r="13549">
      <c r="H13549" s="8" t="s">
        <v>364</v>
      </c>
    </row>
    <row r="13550">
      <c r="H13550" s="8" t="s">
        <v>364</v>
      </c>
    </row>
    <row r="13551">
      <c r="H13551" s="8" t="s">
        <v>364</v>
      </c>
    </row>
    <row r="13552">
      <c r="H13552" s="8" t="s">
        <v>364</v>
      </c>
    </row>
    <row r="13553">
      <c r="H13553" s="8" t="s">
        <v>364</v>
      </c>
    </row>
    <row r="13554">
      <c r="H13554" s="8" t="s">
        <v>364</v>
      </c>
    </row>
    <row r="13555">
      <c r="H13555" s="8" t="s">
        <v>364</v>
      </c>
    </row>
    <row r="13556">
      <c r="H13556" s="8" t="s">
        <v>364</v>
      </c>
    </row>
    <row r="13557">
      <c r="H13557" s="8" t="s">
        <v>364</v>
      </c>
    </row>
    <row r="13558">
      <c r="H13558" s="8" t="s">
        <v>364</v>
      </c>
    </row>
    <row r="13559">
      <c r="H13559" s="8" t="s">
        <v>364</v>
      </c>
    </row>
    <row r="13560">
      <c r="H13560" s="8" t="s">
        <v>364</v>
      </c>
    </row>
    <row r="13561">
      <c r="H13561" s="8" t="s">
        <v>364</v>
      </c>
    </row>
    <row r="13562">
      <c r="H13562" s="8" t="s">
        <v>364</v>
      </c>
    </row>
    <row r="13563">
      <c r="H13563" s="8" t="s">
        <v>364</v>
      </c>
    </row>
    <row r="13564">
      <c r="H13564" s="8" t="s">
        <v>364</v>
      </c>
    </row>
    <row r="13565">
      <c r="H13565" s="8" t="s">
        <v>364</v>
      </c>
    </row>
    <row r="13566">
      <c r="H13566" s="8" t="s">
        <v>364</v>
      </c>
    </row>
    <row r="13567">
      <c r="H13567" s="8" t="s">
        <v>364</v>
      </c>
    </row>
    <row r="13568">
      <c r="H13568" s="8" t="s">
        <v>364</v>
      </c>
    </row>
    <row r="13569">
      <c r="H13569" s="8" t="s">
        <v>364</v>
      </c>
    </row>
    <row r="13570">
      <c r="H13570" s="8" t="s">
        <v>364</v>
      </c>
    </row>
    <row r="13571">
      <c r="H13571" s="8" t="s">
        <v>364</v>
      </c>
    </row>
    <row r="13572">
      <c r="H13572" s="8" t="s">
        <v>364</v>
      </c>
    </row>
    <row r="13573">
      <c r="H13573" s="8" t="s">
        <v>364</v>
      </c>
    </row>
    <row r="13574">
      <c r="H13574" s="8" t="s">
        <v>364</v>
      </c>
    </row>
    <row r="13575">
      <c r="H13575" s="8" t="s">
        <v>364</v>
      </c>
    </row>
    <row r="13576">
      <c r="H13576" s="8" t="s">
        <v>364</v>
      </c>
    </row>
    <row r="13577">
      <c r="H13577" s="8" t="s">
        <v>364</v>
      </c>
    </row>
    <row r="13578">
      <c r="H13578" s="8" t="s">
        <v>364</v>
      </c>
    </row>
    <row r="13579">
      <c r="H13579" s="8" t="s">
        <v>364</v>
      </c>
    </row>
    <row r="13580">
      <c r="H13580" s="8" t="s">
        <v>364</v>
      </c>
    </row>
    <row r="13581">
      <c r="H13581" s="8" t="s">
        <v>364</v>
      </c>
    </row>
    <row r="13582">
      <c r="H13582" s="8" t="s">
        <v>364</v>
      </c>
    </row>
    <row r="13583">
      <c r="H13583" s="8" t="s">
        <v>364</v>
      </c>
    </row>
    <row r="13584">
      <c r="H13584" s="8" t="s">
        <v>364</v>
      </c>
    </row>
    <row r="13585">
      <c r="H13585" s="8" t="s">
        <v>364</v>
      </c>
    </row>
    <row r="13586">
      <c r="H13586" s="8" t="s">
        <v>364</v>
      </c>
    </row>
    <row r="13587">
      <c r="H13587" s="8" t="s">
        <v>364</v>
      </c>
    </row>
    <row r="13588">
      <c r="H13588" s="8" t="s">
        <v>364</v>
      </c>
    </row>
    <row r="13589">
      <c r="H13589" s="8" t="s">
        <v>364</v>
      </c>
    </row>
    <row r="13590">
      <c r="H13590" s="8" t="s">
        <v>364</v>
      </c>
    </row>
    <row r="13591">
      <c r="H13591" s="8" t="s">
        <v>364</v>
      </c>
    </row>
    <row r="13592">
      <c r="H13592" s="8" t="s">
        <v>364</v>
      </c>
    </row>
    <row r="13593">
      <c r="H13593" s="8" t="s">
        <v>364</v>
      </c>
    </row>
    <row r="13594">
      <c r="H13594" s="8" t="s">
        <v>364</v>
      </c>
    </row>
    <row r="13595">
      <c r="H13595" s="8" t="s">
        <v>364</v>
      </c>
    </row>
    <row r="13596">
      <c r="H13596" s="8" t="s">
        <v>364</v>
      </c>
    </row>
    <row r="13597">
      <c r="H13597" s="8" t="s">
        <v>364</v>
      </c>
    </row>
    <row r="13598">
      <c r="H13598" s="8" t="s">
        <v>364</v>
      </c>
    </row>
    <row r="13599">
      <c r="H13599" s="8" t="s">
        <v>364</v>
      </c>
    </row>
    <row r="13600">
      <c r="H13600" s="8" t="s">
        <v>364</v>
      </c>
    </row>
    <row r="13601">
      <c r="H13601" s="8" t="s">
        <v>364</v>
      </c>
    </row>
    <row r="13602">
      <c r="H13602" s="8" t="s">
        <v>364</v>
      </c>
    </row>
    <row r="13603">
      <c r="H13603" s="8" t="s">
        <v>364</v>
      </c>
    </row>
    <row r="13604">
      <c r="H13604" s="8" t="s">
        <v>364</v>
      </c>
    </row>
    <row r="13605">
      <c r="H13605" s="8" t="s">
        <v>364</v>
      </c>
    </row>
    <row r="13606">
      <c r="H13606" s="8" t="s">
        <v>364</v>
      </c>
    </row>
    <row r="13607">
      <c r="H13607" s="8" t="s">
        <v>364</v>
      </c>
    </row>
    <row r="13608">
      <c r="H13608" s="8" t="s">
        <v>364</v>
      </c>
    </row>
    <row r="13609">
      <c r="H13609" s="8" t="s">
        <v>364</v>
      </c>
    </row>
    <row r="13610">
      <c r="H13610" s="8" t="s">
        <v>364</v>
      </c>
    </row>
    <row r="13611">
      <c r="H13611" s="8" t="s">
        <v>364</v>
      </c>
    </row>
    <row r="13612">
      <c r="H13612" s="8" t="s">
        <v>364</v>
      </c>
    </row>
    <row r="13613">
      <c r="H13613" s="8" t="s">
        <v>364</v>
      </c>
    </row>
    <row r="13614">
      <c r="H13614" s="8" t="s">
        <v>364</v>
      </c>
    </row>
    <row r="13615">
      <c r="H13615" s="8" t="s">
        <v>364</v>
      </c>
    </row>
    <row r="13616">
      <c r="H13616" s="8" t="s">
        <v>364</v>
      </c>
    </row>
    <row r="13617">
      <c r="H13617" s="8" t="s">
        <v>364</v>
      </c>
    </row>
    <row r="13618">
      <c r="H13618" s="8" t="s">
        <v>364</v>
      </c>
    </row>
    <row r="13619">
      <c r="H13619" s="8" t="s">
        <v>364</v>
      </c>
    </row>
    <row r="13620">
      <c r="H13620" s="8" t="s">
        <v>364</v>
      </c>
    </row>
    <row r="13621">
      <c r="H13621" s="8" t="s">
        <v>364</v>
      </c>
    </row>
    <row r="13622">
      <c r="H13622" s="8" t="s">
        <v>364</v>
      </c>
    </row>
    <row r="13623">
      <c r="H13623" s="8" t="s">
        <v>364</v>
      </c>
    </row>
    <row r="13624">
      <c r="H13624" s="8" t="s">
        <v>364</v>
      </c>
    </row>
    <row r="13625">
      <c r="H13625" s="8" t="s">
        <v>364</v>
      </c>
    </row>
    <row r="13626">
      <c r="H13626" s="8" t="s">
        <v>364</v>
      </c>
    </row>
    <row r="13627">
      <c r="H13627" s="8" t="s">
        <v>364</v>
      </c>
    </row>
    <row r="13628">
      <c r="H13628" s="8" t="s">
        <v>364</v>
      </c>
    </row>
    <row r="13629">
      <c r="H13629" s="8" t="s">
        <v>364</v>
      </c>
    </row>
    <row r="13630">
      <c r="H13630" s="8" t="s">
        <v>364</v>
      </c>
    </row>
    <row r="13631">
      <c r="H13631" s="8" t="s">
        <v>364</v>
      </c>
    </row>
    <row r="13632">
      <c r="H13632" s="8" t="s">
        <v>364</v>
      </c>
    </row>
    <row r="13633">
      <c r="H13633" s="8" t="s">
        <v>364</v>
      </c>
    </row>
    <row r="13634">
      <c r="H13634" s="8" t="s">
        <v>364</v>
      </c>
    </row>
    <row r="13635">
      <c r="H13635" s="8" t="s">
        <v>364</v>
      </c>
    </row>
    <row r="13636">
      <c r="H13636" s="8" t="s">
        <v>364</v>
      </c>
    </row>
    <row r="13637">
      <c r="H13637" s="8" t="s">
        <v>364</v>
      </c>
    </row>
    <row r="13638">
      <c r="H13638" s="8" t="s">
        <v>364</v>
      </c>
    </row>
    <row r="13639">
      <c r="H13639" s="8" t="s">
        <v>364</v>
      </c>
    </row>
    <row r="13640">
      <c r="H13640" s="8" t="s">
        <v>364</v>
      </c>
    </row>
    <row r="13641">
      <c r="H13641" s="8" t="s">
        <v>364</v>
      </c>
    </row>
    <row r="13642">
      <c r="H13642" s="8" t="s">
        <v>364</v>
      </c>
    </row>
    <row r="13643">
      <c r="H13643" s="8" t="s">
        <v>364</v>
      </c>
    </row>
    <row r="13644">
      <c r="H13644" s="8" t="s">
        <v>364</v>
      </c>
    </row>
    <row r="13645">
      <c r="H13645" s="8" t="s">
        <v>364</v>
      </c>
    </row>
    <row r="13646">
      <c r="H13646" s="8" t="s">
        <v>364</v>
      </c>
    </row>
    <row r="13647">
      <c r="H13647" s="8" t="s">
        <v>364</v>
      </c>
    </row>
    <row r="13648">
      <c r="H13648" s="8" t="s">
        <v>364</v>
      </c>
    </row>
    <row r="13649">
      <c r="H13649" s="8" t="s">
        <v>364</v>
      </c>
    </row>
    <row r="13650">
      <c r="H13650" s="8" t="s">
        <v>364</v>
      </c>
    </row>
    <row r="13651">
      <c r="H13651" s="8" t="s">
        <v>364</v>
      </c>
    </row>
    <row r="13652">
      <c r="H13652" s="8" t="s">
        <v>364</v>
      </c>
    </row>
    <row r="13653">
      <c r="H13653" s="8" t="s">
        <v>364</v>
      </c>
    </row>
    <row r="13654">
      <c r="H13654" s="8" t="s">
        <v>364</v>
      </c>
    </row>
    <row r="13655">
      <c r="H13655" s="8" t="s">
        <v>364</v>
      </c>
    </row>
    <row r="13656">
      <c r="H13656" s="8" t="s">
        <v>364</v>
      </c>
    </row>
    <row r="13657">
      <c r="H13657" s="8" t="s">
        <v>364</v>
      </c>
    </row>
    <row r="13658">
      <c r="H13658" s="8" t="s">
        <v>364</v>
      </c>
    </row>
    <row r="13659">
      <c r="H13659" s="8" t="s">
        <v>364</v>
      </c>
    </row>
    <row r="13660">
      <c r="H13660" s="8" t="s">
        <v>364</v>
      </c>
    </row>
    <row r="13661">
      <c r="H13661" s="8" t="s">
        <v>364</v>
      </c>
    </row>
    <row r="13662">
      <c r="H13662" s="8" t="s">
        <v>364</v>
      </c>
    </row>
    <row r="13663">
      <c r="H13663" s="8" t="s">
        <v>364</v>
      </c>
    </row>
    <row r="13664">
      <c r="H13664" s="8" t="s">
        <v>364</v>
      </c>
    </row>
    <row r="13665">
      <c r="H13665" s="8" t="s">
        <v>364</v>
      </c>
    </row>
    <row r="13666">
      <c r="H13666" s="8" t="s">
        <v>364</v>
      </c>
    </row>
    <row r="13667">
      <c r="H13667" s="8" t="s">
        <v>364</v>
      </c>
    </row>
    <row r="13668">
      <c r="H13668" s="8" t="s">
        <v>364</v>
      </c>
    </row>
    <row r="13669">
      <c r="H13669" s="8" t="s">
        <v>364</v>
      </c>
    </row>
    <row r="13670">
      <c r="H13670" s="8" t="s">
        <v>364</v>
      </c>
    </row>
    <row r="13671">
      <c r="H13671" s="8" t="s">
        <v>364</v>
      </c>
    </row>
    <row r="13672">
      <c r="H13672" s="8" t="s">
        <v>364</v>
      </c>
    </row>
    <row r="13673">
      <c r="H13673" s="8" t="s">
        <v>364</v>
      </c>
    </row>
    <row r="13674">
      <c r="H13674" s="8" t="s">
        <v>364</v>
      </c>
    </row>
    <row r="13675">
      <c r="H13675" s="8" t="s">
        <v>364</v>
      </c>
    </row>
    <row r="13676">
      <c r="H13676" s="8" t="s">
        <v>364</v>
      </c>
    </row>
    <row r="13677">
      <c r="H13677" s="8" t="s">
        <v>364</v>
      </c>
    </row>
    <row r="13678">
      <c r="H13678" s="8" t="s">
        <v>364</v>
      </c>
    </row>
    <row r="13679">
      <c r="H13679" s="8" t="s">
        <v>364</v>
      </c>
    </row>
    <row r="13680">
      <c r="H13680" s="8" t="s">
        <v>364</v>
      </c>
    </row>
    <row r="13681">
      <c r="H13681" s="8" t="s">
        <v>364</v>
      </c>
    </row>
    <row r="13682">
      <c r="H13682" s="8" t="s">
        <v>364</v>
      </c>
    </row>
    <row r="13683">
      <c r="H13683" s="8" t="s">
        <v>364</v>
      </c>
    </row>
    <row r="13684">
      <c r="H13684" s="8" t="s">
        <v>364</v>
      </c>
    </row>
    <row r="13685">
      <c r="H13685" s="8" t="s">
        <v>364</v>
      </c>
    </row>
    <row r="13686">
      <c r="H13686" s="8" t="s">
        <v>364</v>
      </c>
    </row>
    <row r="13687">
      <c r="H13687" s="8" t="s">
        <v>364</v>
      </c>
    </row>
    <row r="13688">
      <c r="H13688" s="8" t="s">
        <v>364</v>
      </c>
    </row>
    <row r="13689">
      <c r="H13689" s="8" t="s">
        <v>364</v>
      </c>
    </row>
    <row r="13690">
      <c r="H13690" s="8" t="s">
        <v>364</v>
      </c>
    </row>
    <row r="13691">
      <c r="H13691" s="8" t="s">
        <v>364</v>
      </c>
    </row>
    <row r="13692">
      <c r="H13692" s="8" t="s">
        <v>364</v>
      </c>
    </row>
    <row r="13693">
      <c r="H13693" s="8" t="s">
        <v>364</v>
      </c>
    </row>
    <row r="13694">
      <c r="H13694" s="8" t="s">
        <v>364</v>
      </c>
    </row>
    <row r="13695">
      <c r="H13695" s="8" t="s">
        <v>364</v>
      </c>
    </row>
    <row r="13696">
      <c r="H13696" s="8" t="s">
        <v>364</v>
      </c>
    </row>
    <row r="13697">
      <c r="H13697" s="8" t="s">
        <v>364</v>
      </c>
    </row>
    <row r="13698">
      <c r="H13698" s="8" t="s">
        <v>364</v>
      </c>
    </row>
    <row r="13699">
      <c r="H13699" s="8" t="s">
        <v>364</v>
      </c>
    </row>
    <row r="13700">
      <c r="H13700" s="8" t="s">
        <v>364</v>
      </c>
    </row>
    <row r="13701">
      <c r="H13701" s="8" t="s">
        <v>364</v>
      </c>
    </row>
    <row r="13702">
      <c r="H13702" s="8" t="s">
        <v>364</v>
      </c>
    </row>
    <row r="13703">
      <c r="H13703" s="8" t="s">
        <v>364</v>
      </c>
    </row>
    <row r="13704">
      <c r="H13704" s="8" t="s">
        <v>364</v>
      </c>
    </row>
    <row r="13705">
      <c r="H13705" s="8" t="s">
        <v>364</v>
      </c>
    </row>
    <row r="13706">
      <c r="H13706" s="8" t="s">
        <v>364</v>
      </c>
    </row>
    <row r="13707">
      <c r="H13707" s="8" t="s">
        <v>364</v>
      </c>
    </row>
    <row r="13708">
      <c r="H13708" s="8" t="s">
        <v>364</v>
      </c>
    </row>
    <row r="13709">
      <c r="H13709" s="8" t="s">
        <v>364</v>
      </c>
    </row>
    <row r="13710">
      <c r="H13710" s="8" t="s">
        <v>364</v>
      </c>
    </row>
    <row r="13711">
      <c r="H13711" s="8" t="s">
        <v>364</v>
      </c>
    </row>
    <row r="13712">
      <c r="H13712" s="8" t="s">
        <v>364</v>
      </c>
    </row>
    <row r="13713">
      <c r="H13713" s="8" t="s">
        <v>364</v>
      </c>
    </row>
    <row r="13714">
      <c r="H13714" s="8" t="s">
        <v>364</v>
      </c>
    </row>
    <row r="13715">
      <c r="H13715" s="8" t="s">
        <v>364</v>
      </c>
    </row>
    <row r="13716">
      <c r="H13716" s="8" t="s">
        <v>364</v>
      </c>
    </row>
    <row r="13717">
      <c r="H13717" s="8" t="s">
        <v>364</v>
      </c>
    </row>
    <row r="13718">
      <c r="H13718" s="8" t="s">
        <v>364</v>
      </c>
    </row>
    <row r="13719">
      <c r="H13719" s="8" t="s">
        <v>364</v>
      </c>
    </row>
    <row r="13720">
      <c r="H13720" s="8" t="s">
        <v>364</v>
      </c>
    </row>
    <row r="13721">
      <c r="H13721" s="8" t="s">
        <v>364</v>
      </c>
    </row>
    <row r="13722">
      <c r="H13722" s="8" t="s">
        <v>364</v>
      </c>
    </row>
    <row r="13723">
      <c r="H13723" s="8" t="s">
        <v>364</v>
      </c>
    </row>
    <row r="13724">
      <c r="H13724" s="8" t="s">
        <v>364</v>
      </c>
    </row>
    <row r="13725">
      <c r="H13725" s="8" t="s">
        <v>364</v>
      </c>
    </row>
    <row r="13726">
      <c r="H13726" s="8" t="s">
        <v>364</v>
      </c>
    </row>
    <row r="13727">
      <c r="H13727" s="8" t="s">
        <v>364</v>
      </c>
    </row>
    <row r="13728">
      <c r="H13728" s="8" t="s">
        <v>364</v>
      </c>
    </row>
    <row r="13729">
      <c r="H13729" s="8" t="s">
        <v>364</v>
      </c>
    </row>
    <row r="13730">
      <c r="H13730" s="8" t="s">
        <v>364</v>
      </c>
    </row>
    <row r="13731">
      <c r="H13731" s="8" t="s">
        <v>364</v>
      </c>
    </row>
    <row r="13732">
      <c r="H13732" s="8" t="s">
        <v>364</v>
      </c>
    </row>
    <row r="13733">
      <c r="H13733" s="8" t="s">
        <v>364</v>
      </c>
    </row>
    <row r="13734">
      <c r="H13734" s="8" t="s">
        <v>364</v>
      </c>
    </row>
    <row r="13735">
      <c r="H13735" s="8" t="s">
        <v>364</v>
      </c>
    </row>
    <row r="13736">
      <c r="H13736" s="8" t="s">
        <v>364</v>
      </c>
    </row>
    <row r="13737">
      <c r="H13737" s="8" t="s">
        <v>364</v>
      </c>
    </row>
    <row r="13738">
      <c r="H13738" s="8" t="s">
        <v>364</v>
      </c>
    </row>
    <row r="13739">
      <c r="H13739" s="8" t="s">
        <v>364</v>
      </c>
    </row>
    <row r="13740">
      <c r="H13740" s="8" t="s">
        <v>364</v>
      </c>
    </row>
    <row r="13741">
      <c r="H13741" s="8" t="s">
        <v>364</v>
      </c>
    </row>
    <row r="13742">
      <c r="H13742" s="8" t="s">
        <v>364</v>
      </c>
    </row>
    <row r="13743">
      <c r="H13743" s="8" t="s">
        <v>364</v>
      </c>
    </row>
    <row r="13744">
      <c r="H13744" s="8" t="s">
        <v>364</v>
      </c>
    </row>
    <row r="13745">
      <c r="H13745" s="8" t="s">
        <v>364</v>
      </c>
    </row>
    <row r="13746">
      <c r="H13746" s="8" t="s">
        <v>364</v>
      </c>
    </row>
    <row r="13747">
      <c r="H13747" s="8" t="s">
        <v>364</v>
      </c>
    </row>
    <row r="13748">
      <c r="H13748" s="8" t="s">
        <v>364</v>
      </c>
    </row>
    <row r="13749">
      <c r="H13749" s="8" t="s">
        <v>364</v>
      </c>
    </row>
    <row r="13750">
      <c r="H13750" s="8" t="s">
        <v>364</v>
      </c>
    </row>
    <row r="13751">
      <c r="H13751" s="8" t="s">
        <v>364</v>
      </c>
    </row>
    <row r="13752">
      <c r="H13752" s="8" t="s">
        <v>364</v>
      </c>
    </row>
    <row r="13753">
      <c r="H13753" s="8" t="s">
        <v>364</v>
      </c>
    </row>
    <row r="13754">
      <c r="H13754" s="8" t="s">
        <v>364</v>
      </c>
    </row>
    <row r="13755">
      <c r="H13755" s="8" t="s">
        <v>364</v>
      </c>
    </row>
    <row r="13756">
      <c r="H13756" s="8" t="s">
        <v>364</v>
      </c>
    </row>
    <row r="13757">
      <c r="H13757" s="8" t="s">
        <v>364</v>
      </c>
    </row>
    <row r="13758">
      <c r="H13758" s="8" t="s">
        <v>364</v>
      </c>
    </row>
    <row r="13759">
      <c r="H13759" s="8" t="s">
        <v>364</v>
      </c>
    </row>
    <row r="13760">
      <c r="H13760" s="8" t="s">
        <v>364</v>
      </c>
    </row>
    <row r="13761">
      <c r="H13761" s="8" t="s">
        <v>364</v>
      </c>
    </row>
    <row r="13762">
      <c r="H13762" s="8" t="s">
        <v>364</v>
      </c>
    </row>
    <row r="13763">
      <c r="H13763" s="8" t="s">
        <v>364</v>
      </c>
    </row>
    <row r="13764">
      <c r="H13764" s="8" t="s">
        <v>364</v>
      </c>
    </row>
    <row r="13765">
      <c r="H13765" s="8" t="s">
        <v>364</v>
      </c>
    </row>
    <row r="13766">
      <c r="H13766" s="8" t="s">
        <v>364</v>
      </c>
    </row>
    <row r="13767">
      <c r="H13767" s="8" t="s">
        <v>364</v>
      </c>
    </row>
    <row r="13768">
      <c r="H13768" s="8" t="s">
        <v>364</v>
      </c>
    </row>
    <row r="13769">
      <c r="H13769" s="8" t="s">
        <v>364</v>
      </c>
    </row>
    <row r="13770">
      <c r="H13770" s="8" t="s">
        <v>364</v>
      </c>
    </row>
    <row r="13771">
      <c r="H13771" s="8" t="s">
        <v>364</v>
      </c>
    </row>
    <row r="13772">
      <c r="H13772" s="8" t="s">
        <v>364</v>
      </c>
    </row>
    <row r="13773">
      <c r="H13773" s="8" t="s">
        <v>364</v>
      </c>
    </row>
    <row r="13774">
      <c r="H13774" s="8" t="s">
        <v>364</v>
      </c>
    </row>
    <row r="13775">
      <c r="H13775" s="8" t="s">
        <v>364</v>
      </c>
    </row>
    <row r="13776">
      <c r="H13776" s="8" t="s">
        <v>364</v>
      </c>
    </row>
    <row r="13777">
      <c r="H13777" s="8" t="s">
        <v>364</v>
      </c>
    </row>
    <row r="13778">
      <c r="H13778" s="8" t="s">
        <v>364</v>
      </c>
    </row>
    <row r="13779">
      <c r="H13779" s="8" t="s">
        <v>364</v>
      </c>
    </row>
    <row r="13780">
      <c r="H13780" s="8" t="s">
        <v>364</v>
      </c>
    </row>
    <row r="13781">
      <c r="H13781" s="8" t="s">
        <v>364</v>
      </c>
    </row>
    <row r="13782">
      <c r="H13782" s="8" t="s">
        <v>364</v>
      </c>
    </row>
    <row r="13783">
      <c r="H13783" s="8" t="s">
        <v>364</v>
      </c>
    </row>
    <row r="13784">
      <c r="H13784" s="8" t="s">
        <v>364</v>
      </c>
    </row>
    <row r="13785">
      <c r="H13785" s="8" t="s">
        <v>364</v>
      </c>
    </row>
    <row r="13786">
      <c r="H13786" s="8" t="s">
        <v>364</v>
      </c>
    </row>
    <row r="13787">
      <c r="H13787" s="8" t="s">
        <v>364</v>
      </c>
    </row>
    <row r="13788">
      <c r="H13788" s="8" t="s">
        <v>364</v>
      </c>
    </row>
    <row r="13789">
      <c r="H13789" s="8" t="s">
        <v>364</v>
      </c>
    </row>
    <row r="13790">
      <c r="H13790" s="8" t="s">
        <v>364</v>
      </c>
    </row>
    <row r="13791">
      <c r="H13791" s="8" t="s">
        <v>364</v>
      </c>
    </row>
    <row r="13792">
      <c r="H13792" s="8" t="s">
        <v>364</v>
      </c>
    </row>
    <row r="13793">
      <c r="H13793" s="8" t="s">
        <v>364</v>
      </c>
    </row>
    <row r="13794">
      <c r="H13794" s="8" t="s">
        <v>364</v>
      </c>
    </row>
    <row r="13795">
      <c r="H13795" s="8" t="s">
        <v>364</v>
      </c>
    </row>
    <row r="13796">
      <c r="H13796" s="8" t="s">
        <v>364</v>
      </c>
    </row>
    <row r="13797">
      <c r="H13797" s="8" t="s">
        <v>364</v>
      </c>
    </row>
    <row r="13798">
      <c r="H13798" s="8" t="s">
        <v>364</v>
      </c>
    </row>
    <row r="13799">
      <c r="H13799" s="8" t="s">
        <v>364</v>
      </c>
    </row>
    <row r="13800">
      <c r="H13800" s="8" t="s">
        <v>364</v>
      </c>
    </row>
    <row r="13801">
      <c r="H13801" s="8" t="s">
        <v>364</v>
      </c>
    </row>
    <row r="13802">
      <c r="H13802" s="8" t="s">
        <v>364</v>
      </c>
    </row>
    <row r="13803">
      <c r="H13803" s="8" t="s">
        <v>364</v>
      </c>
    </row>
    <row r="13804">
      <c r="H13804" s="8" t="s">
        <v>364</v>
      </c>
    </row>
    <row r="13805">
      <c r="H13805" s="8" t="s">
        <v>364</v>
      </c>
    </row>
    <row r="13806">
      <c r="H13806" s="8" t="s">
        <v>364</v>
      </c>
    </row>
    <row r="13807">
      <c r="H13807" s="8" t="s">
        <v>364</v>
      </c>
    </row>
    <row r="13808">
      <c r="H13808" s="8" t="s">
        <v>364</v>
      </c>
    </row>
    <row r="13809">
      <c r="H13809" s="8" t="s">
        <v>364</v>
      </c>
    </row>
    <row r="13810">
      <c r="H13810" s="8" t="s">
        <v>364</v>
      </c>
    </row>
    <row r="13811">
      <c r="H13811" s="8" t="s">
        <v>364</v>
      </c>
    </row>
    <row r="13812">
      <c r="H13812" s="8" t="s">
        <v>364</v>
      </c>
    </row>
    <row r="13813">
      <c r="H13813" s="8" t="s">
        <v>364</v>
      </c>
    </row>
    <row r="13814">
      <c r="H13814" s="8" t="s">
        <v>364</v>
      </c>
    </row>
    <row r="13815">
      <c r="H13815" s="8" t="s">
        <v>364</v>
      </c>
    </row>
    <row r="13816">
      <c r="H13816" s="8" t="s">
        <v>364</v>
      </c>
    </row>
    <row r="13817">
      <c r="H13817" s="8" t="s">
        <v>364</v>
      </c>
    </row>
    <row r="13818">
      <c r="H13818" s="8" t="s">
        <v>364</v>
      </c>
    </row>
    <row r="13819">
      <c r="H13819" s="8" t="s">
        <v>364</v>
      </c>
    </row>
    <row r="13820">
      <c r="H13820" s="8" t="s">
        <v>364</v>
      </c>
    </row>
    <row r="13821">
      <c r="H13821" s="8" t="s">
        <v>364</v>
      </c>
    </row>
    <row r="13822">
      <c r="H13822" s="8" t="s">
        <v>364</v>
      </c>
    </row>
    <row r="13823">
      <c r="H13823" s="8" t="s">
        <v>364</v>
      </c>
    </row>
    <row r="13824">
      <c r="H13824" s="8" t="s">
        <v>364</v>
      </c>
    </row>
    <row r="13825">
      <c r="H13825" s="8" t="s">
        <v>364</v>
      </c>
    </row>
    <row r="13826">
      <c r="H13826" s="8" t="s">
        <v>364</v>
      </c>
    </row>
    <row r="13827">
      <c r="H13827" s="8" t="s">
        <v>364</v>
      </c>
    </row>
    <row r="13828">
      <c r="H13828" s="8" t="s">
        <v>364</v>
      </c>
    </row>
    <row r="13829">
      <c r="H13829" s="8" t="s">
        <v>364</v>
      </c>
    </row>
    <row r="13830">
      <c r="H13830" s="8" t="s">
        <v>364</v>
      </c>
    </row>
    <row r="13831">
      <c r="H13831" s="8" t="s">
        <v>364</v>
      </c>
    </row>
    <row r="13832">
      <c r="H13832" s="8" t="s">
        <v>364</v>
      </c>
    </row>
    <row r="13833">
      <c r="H13833" s="8" t="s">
        <v>364</v>
      </c>
    </row>
    <row r="13834">
      <c r="H13834" s="8" t="s">
        <v>364</v>
      </c>
    </row>
    <row r="13835">
      <c r="H13835" s="8" t="s">
        <v>364</v>
      </c>
    </row>
    <row r="13836">
      <c r="H13836" s="8" t="s">
        <v>364</v>
      </c>
    </row>
    <row r="13837">
      <c r="H13837" s="8" t="s">
        <v>364</v>
      </c>
    </row>
    <row r="13838">
      <c r="H13838" s="8" t="s">
        <v>364</v>
      </c>
    </row>
    <row r="13839">
      <c r="H13839" s="8" t="s">
        <v>364</v>
      </c>
    </row>
    <row r="13840">
      <c r="H13840" s="8" t="s">
        <v>364</v>
      </c>
    </row>
    <row r="13841">
      <c r="H13841" s="8" t="s">
        <v>364</v>
      </c>
    </row>
    <row r="13842">
      <c r="H13842" s="8" t="s">
        <v>364</v>
      </c>
    </row>
    <row r="13843">
      <c r="H13843" s="8" t="s">
        <v>364</v>
      </c>
    </row>
    <row r="13844">
      <c r="H13844" s="8" t="s">
        <v>364</v>
      </c>
    </row>
    <row r="13845">
      <c r="H13845" s="8" t="s">
        <v>364</v>
      </c>
    </row>
    <row r="13846">
      <c r="H13846" s="8" t="s">
        <v>364</v>
      </c>
    </row>
    <row r="13847">
      <c r="H13847" s="8" t="s">
        <v>364</v>
      </c>
    </row>
    <row r="13848">
      <c r="H13848" s="8" t="s">
        <v>364</v>
      </c>
    </row>
    <row r="13849">
      <c r="H13849" s="8" t="s">
        <v>364</v>
      </c>
    </row>
    <row r="13850">
      <c r="H13850" s="8" t="s">
        <v>364</v>
      </c>
    </row>
    <row r="13851">
      <c r="H13851" s="8" t="s">
        <v>364</v>
      </c>
    </row>
    <row r="13852">
      <c r="H13852" s="8" t="s">
        <v>364</v>
      </c>
    </row>
    <row r="13853">
      <c r="H13853" s="8" t="s">
        <v>364</v>
      </c>
    </row>
    <row r="13854">
      <c r="H13854" s="8" t="s">
        <v>364</v>
      </c>
    </row>
    <row r="13855">
      <c r="H13855" s="8" t="s">
        <v>364</v>
      </c>
    </row>
    <row r="13856">
      <c r="H13856" s="8" t="s">
        <v>364</v>
      </c>
    </row>
    <row r="13857">
      <c r="H13857" s="8" t="s">
        <v>364</v>
      </c>
    </row>
    <row r="13858">
      <c r="H13858" s="8" t="s">
        <v>364</v>
      </c>
    </row>
    <row r="13859">
      <c r="H13859" s="8" t="s">
        <v>364</v>
      </c>
    </row>
    <row r="13860">
      <c r="H13860" s="8" t="s">
        <v>364</v>
      </c>
    </row>
    <row r="13861">
      <c r="H13861" s="8" t="s">
        <v>364</v>
      </c>
    </row>
    <row r="13862">
      <c r="H13862" s="8" t="s">
        <v>364</v>
      </c>
    </row>
    <row r="13863">
      <c r="H13863" s="8" t="s">
        <v>364</v>
      </c>
    </row>
    <row r="13864">
      <c r="H13864" s="8" t="s">
        <v>364</v>
      </c>
    </row>
    <row r="13865">
      <c r="H13865" s="8" t="s">
        <v>364</v>
      </c>
    </row>
    <row r="13866">
      <c r="H13866" s="8" t="s">
        <v>364</v>
      </c>
    </row>
    <row r="13867">
      <c r="H13867" s="8" t="s">
        <v>364</v>
      </c>
    </row>
    <row r="13868">
      <c r="H13868" s="8" t="s">
        <v>364</v>
      </c>
    </row>
    <row r="13869">
      <c r="H13869" s="8" t="s">
        <v>364</v>
      </c>
    </row>
    <row r="13870">
      <c r="H13870" s="8" t="s">
        <v>364</v>
      </c>
    </row>
    <row r="13871">
      <c r="H13871" s="8" t="s">
        <v>364</v>
      </c>
    </row>
    <row r="13872">
      <c r="H13872" s="8" t="s">
        <v>364</v>
      </c>
    </row>
    <row r="13873">
      <c r="H13873" s="8" t="s">
        <v>364</v>
      </c>
    </row>
    <row r="13874">
      <c r="H13874" s="8" t="s">
        <v>364</v>
      </c>
    </row>
    <row r="13875">
      <c r="H13875" s="8" t="s">
        <v>364</v>
      </c>
    </row>
    <row r="13876">
      <c r="H13876" s="8" t="s">
        <v>364</v>
      </c>
    </row>
    <row r="13877">
      <c r="H13877" s="8" t="s">
        <v>364</v>
      </c>
    </row>
    <row r="13878">
      <c r="H13878" s="8" t="s">
        <v>364</v>
      </c>
    </row>
    <row r="13879">
      <c r="H13879" s="8" t="s">
        <v>364</v>
      </c>
    </row>
    <row r="13880">
      <c r="H13880" s="8" t="s">
        <v>364</v>
      </c>
    </row>
    <row r="13881">
      <c r="H13881" s="8" t="s">
        <v>364</v>
      </c>
    </row>
    <row r="13882">
      <c r="H13882" s="8" t="s">
        <v>364</v>
      </c>
    </row>
    <row r="13883">
      <c r="H13883" s="8" t="s">
        <v>364</v>
      </c>
    </row>
    <row r="13884">
      <c r="H13884" s="8" t="s">
        <v>364</v>
      </c>
    </row>
    <row r="13885">
      <c r="H13885" s="8" t="s">
        <v>364</v>
      </c>
    </row>
    <row r="13886">
      <c r="H13886" s="8" t="s">
        <v>364</v>
      </c>
    </row>
    <row r="13887">
      <c r="H13887" s="8" t="s">
        <v>364</v>
      </c>
    </row>
    <row r="13888">
      <c r="H13888" s="8" t="s">
        <v>364</v>
      </c>
    </row>
    <row r="13889">
      <c r="H13889" s="8" t="s">
        <v>364</v>
      </c>
    </row>
    <row r="13890">
      <c r="H13890" s="8" t="s">
        <v>364</v>
      </c>
    </row>
    <row r="13891">
      <c r="H13891" s="8" t="s">
        <v>364</v>
      </c>
    </row>
    <row r="13892">
      <c r="H13892" s="8" t="s">
        <v>364</v>
      </c>
    </row>
    <row r="13893">
      <c r="H13893" s="8" t="s">
        <v>364</v>
      </c>
    </row>
    <row r="13894">
      <c r="H13894" s="8" t="s">
        <v>364</v>
      </c>
    </row>
    <row r="13895">
      <c r="H13895" s="8" t="s">
        <v>364</v>
      </c>
    </row>
    <row r="13896">
      <c r="H13896" s="8" t="s">
        <v>364</v>
      </c>
    </row>
    <row r="13897">
      <c r="H13897" s="8" t="s">
        <v>364</v>
      </c>
    </row>
    <row r="13898">
      <c r="H13898" s="8" t="s">
        <v>364</v>
      </c>
    </row>
    <row r="13899">
      <c r="H13899" s="8" t="s">
        <v>364</v>
      </c>
    </row>
    <row r="13900">
      <c r="H13900" s="8" t="s">
        <v>364</v>
      </c>
    </row>
    <row r="13901">
      <c r="H13901" s="8" t="s">
        <v>364</v>
      </c>
    </row>
    <row r="13902">
      <c r="H13902" s="8" t="s">
        <v>364</v>
      </c>
    </row>
    <row r="13903">
      <c r="H13903" s="8" t="s">
        <v>364</v>
      </c>
    </row>
    <row r="13904">
      <c r="H13904" s="8" t="s">
        <v>364</v>
      </c>
    </row>
    <row r="13905">
      <c r="H13905" s="8" t="s">
        <v>364</v>
      </c>
    </row>
    <row r="13906">
      <c r="H13906" s="8" t="s">
        <v>364</v>
      </c>
    </row>
    <row r="13907">
      <c r="H13907" s="8" t="s">
        <v>364</v>
      </c>
    </row>
    <row r="13908">
      <c r="H13908" s="8" t="s">
        <v>364</v>
      </c>
    </row>
    <row r="13909">
      <c r="H13909" s="8" t="s">
        <v>364</v>
      </c>
    </row>
    <row r="13910">
      <c r="H13910" s="8" t="s">
        <v>364</v>
      </c>
    </row>
    <row r="13911">
      <c r="H13911" s="8" t="s">
        <v>364</v>
      </c>
    </row>
    <row r="13912">
      <c r="H13912" s="8" t="s">
        <v>364</v>
      </c>
    </row>
    <row r="13913">
      <c r="H13913" s="8" t="s">
        <v>364</v>
      </c>
    </row>
    <row r="13914">
      <c r="H13914" s="8" t="s">
        <v>364</v>
      </c>
    </row>
    <row r="13915">
      <c r="H13915" s="8" t="s">
        <v>364</v>
      </c>
    </row>
    <row r="13916">
      <c r="H13916" s="8" t="s">
        <v>364</v>
      </c>
    </row>
    <row r="13917">
      <c r="H13917" s="8" t="s">
        <v>364</v>
      </c>
    </row>
    <row r="13918">
      <c r="H13918" s="8" t="s">
        <v>364</v>
      </c>
    </row>
    <row r="13919">
      <c r="H13919" s="8" t="s">
        <v>364</v>
      </c>
    </row>
    <row r="13920">
      <c r="H13920" s="8" t="s">
        <v>364</v>
      </c>
    </row>
    <row r="13921">
      <c r="H13921" s="8" t="s">
        <v>364</v>
      </c>
    </row>
    <row r="13922">
      <c r="H13922" s="8" t="s">
        <v>364</v>
      </c>
    </row>
    <row r="13923">
      <c r="H13923" s="8" t="s">
        <v>364</v>
      </c>
    </row>
    <row r="13924">
      <c r="H13924" s="8" t="s">
        <v>364</v>
      </c>
    </row>
    <row r="13925">
      <c r="H13925" s="8" t="s">
        <v>364</v>
      </c>
    </row>
    <row r="13926">
      <c r="H13926" s="8" t="s">
        <v>364</v>
      </c>
    </row>
    <row r="13927">
      <c r="H13927" s="8" t="s">
        <v>364</v>
      </c>
    </row>
    <row r="13928">
      <c r="H13928" s="8" t="s">
        <v>364</v>
      </c>
    </row>
    <row r="13929">
      <c r="H13929" s="8" t="s">
        <v>364</v>
      </c>
    </row>
    <row r="13930">
      <c r="H13930" s="8" t="s">
        <v>364</v>
      </c>
    </row>
    <row r="13931">
      <c r="H13931" s="8" t="s">
        <v>364</v>
      </c>
    </row>
    <row r="13932">
      <c r="H13932" s="8" t="s">
        <v>364</v>
      </c>
    </row>
    <row r="13933">
      <c r="H13933" s="8" t="s">
        <v>364</v>
      </c>
    </row>
    <row r="13934">
      <c r="H13934" s="8" t="s">
        <v>364</v>
      </c>
    </row>
    <row r="13935">
      <c r="H13935" s="8" t="s">
        <v>364</v>
      </c>
    </row>
    <row r="13936">
      <c r="H13936" s="8" t="s">
        <v>364</v>
      </c>
    </row>
    <row r="13937">
      <c r="H13937" s="8" t="s">
        <v>364</v>
      </c>
    </row>
    <row r="13938">
      <c r="H13938" s="8" t="s">
        <v>364</v>
      </c>
    </row>
    <row r="13939">
      <c r="H13939" s="8" t="s">
        <v>364</v>
      </c>
    </row>
    <row r="13940">
      <c r="H13940" s="8" t="s">
        <v>364</v>
      </c>
    </row>
    <row r="13941">
      <c r="H13941" s="8" t="s">
        <v>364</v>
      </c>
    </row>
    <row r="13942">
      <c r="H13942" s="8" t="s">
        <v>364</v>
      </c>
    </row>
    <row r="13943">
      <c r="H13943" s="8" t="s">
        <v>364</v>
      </c>
    </row>
    <row r="13944">
      <c r="H13944" s="8" t="s">
        <v>364</v>
      </c>
    </row>
    <row r="13945">
      <c r="H13945" s="8" t="s">
        <v>364</v>
      </c>
    </row>
    <row r="13946">
      <c r="H13946" s="8" t="s">
        <v>364</v>
      </c>
    </row>
    <row r="13947">
      <c r="H13947" s="8" t="s">
        <v>364</v>
      </c>
    </row>
    <row r="13948">
      <c r="H13948" s="8" t="s">
        <v>364</v>
      </c>
    </row>
    <row r="13949">
      <c r="H13949" s="8" t="s">
        <v>364</v>
      </c>
    </row>
    <row r="13950">
      <c r="H13950" s="8" t="s">
        <v>364</v>
      </c>
    </row>
    <row r="13951">
      <c r="H13951" s="8" t="s">
        <v>364</v>
      </c>
    </row>
    <row r="13952">
      <c r="H13952" s="8" t="s">
        <v>364</v>
      </c>
    </row>
    <row r="13953">
      <c r="H13953" s="8" t="s">
        <v>364</v>
      </c>
    </row>
    <row r="13954">
      <c r="H13954" s="8" t="s">
        <v>364</v>
      </c>
    </row>
    <row r="13955">
      <c r="H13955" s="8" t="s">
        <v>364</v>
      </c>
    </row>
    <row r="13956">
      <c r="H13956" s="8" t="s">
        <v>364</v>
      </c>
    </row>
    <row r="13957">
      <c r="H13957" s="8" t="s">
        <v>364</v>
      </c>
    </row>
    <row r="13958">
      <c r="H13958" s="8" t="s">
        <v>364</v>
      </c>
    </row>
    <row r="13959">
      <c r="H13959" s="8" t="s">
        <v>364</v>
      </c>
    </row>
    <row r="13960">
      <c r="H13960" s="8" t="s">
        <v>364</v>
      </c>
    </row>
    <row r="13961">
      <c r="H13961" s="8" t="s">
        <v>364</v>
      </c>
    </row>
    <row r="13962">
      <c r="H13962" s="8" t="s">
        <v>364</v>
      </c>
    </row>
    <row r="13963">
      <c r="H13963" s="8" t="s">
        <v>364</v>
      </c>
    </row>
    <row r="13964">
      <c r="H13964" s="8" t="s">
        <v>364</v>
      </c>
    </row>
    <row r="13965">
      <c r="H13965" s="8" t="s">
        <v>364</v>
      </c>
    </row>
    <row r="13966">
      <c r="H13966" s="8" t="s">
        <v>364</v>
      </c>
    </row>
    <row r="13967">
      <c r="H13967" s="8" t="s">
        <v>364</v>
      </c>
    </row>
    <row r="13968">
      <c r="H13968" s="8" t="s">
        <v>364</v>
      </c>
    </row>
    <row r="13969">
      <c r="H13969" s="8" t="s">
        <v>364</v>
      </c>
    </row>
    <row r="13970">
      <c r="H13970" s="8" t="s">
        <v>364</v>
      </c>
    </row>
    <row r="13971">
      <c r="H13971" s="8" t="s">
        <v>364</v>
      </c>
    </row>
    <row r="13972">
      <c r="H13972" s="8" t="s">
        <v>364</v>
      </c>
    </row>
    <row r="13973">
      <c r="H13973" s="8" t="s">
        <v>364</v>
      </c>
    </row>
    <row r="13974">
      <c r="H13974" s="8" t="s">
        <v>364</v>
      </c>
    </row>
    <row r="13975">
      <c r="H13975" s="8" t="s">
        <v>364</v>
      </c>
    </row>
    <row r="13976">
      <c r="H13976" s="8" t="s">
        <v>364</v>
      </c>
    </row>
    <row r="13977">
      <c r="H13977" s="8" t="s">
        <v>364</v>
      </c>
    </row>
    <row r="13978">
      <c r="H13978" s="8" t="s">
        <v>364</v>
      </c>
    </row>
    <row r="13979">
      <c r="H13979" s="8" t="s">
        <v>364</v>
      </c>
    </row>
    <row r="13980">
      <c r="H13980" s="8" t="s">
        <v>364</v>
      </c>
    </row>
    <row r="13981">
      <c r="H13981" s="8" t="s">
        <v>364</v>
      </c>
    </row>
    <row r="13982">
      <c r="H13982" s="8" t="s">
        <v>364</v>
      </c>
    </row>
    <row r="13983">
      <c r="H13983" s="8" t="s">
        <v>364</v>
      </c>
    </row>
    <row r="13984">
      <c r="H13984" s="8" t="s">
        <v>364</v>
      </c>
    </row>
    <row r="13985">
      <c r="H13985" s="8" t="s">
        <v>364</v>
      </c>
    </row>
    <row r="13986">
      <c r="H13986" s="8" t="s">
        <v>364</v>
      </c>
    </row>
    <row r="13987">
      <c r="H13987" s="8" t="s">
        <v>364</v>
      </c>
    </row>
    <row r="13988">
      <c r="H13988" s="8" t="s">
        <v>364</v>
      </c>
    </row>
    <row r="13989">
      <c r="H13989" s="8" t="s">
        <v>364</v>
      </c>
    </row>
    <row r="13990">
      <c r="H13990" s="8" t="s">
        <v>364</v>
      </c>
    </row>
    <row r="13991">
      <c r="H13991" s="8" t="s">
        <v>364</v>
      </c>
    </row>
    <row r="13992">
      <c r="H13992" s="8" t="s">
        <v>364</v>
      </c>
    </row>
    <row r="13993">
      <c r="H13993" s="8" t="s">
        <v>364</v>
      </c>
    </row>
    <row r="13994">
      <c r="H13994" s="8" t="s">
        <v>364</v>
      </c>
    </row>
    <row r="13995">
      <c r="H13995" s="8" t="s">
        <v>364</v>
      </c>
    </row>
    <row r="13996">
      <c r="H13996" s="8" t="s">
        <v>364</v>
      </c>
    </row>
    <row r="13997">
      <c r="H13997" s="8" t="s">
        <v>364</v>
      </c>
    </row>
    <row r="13998">
      <c r="H13998" s="8" t="s">
        <v>364</v>
      </c>
    </row>
    <row r="13999">
      <c r="H13999" s="8" t="s">
        <v>364</v>
      </c>
    </row>
    <row r="14000">
      <c r="H14000" s="8" t="s">
        <v>364</v>
      </c>
    </row>
    <row r="14001">
      <c r="H14001" s="8" t="s">
        <v>364</v>
      </c>
    </row>
    <row r="14002">
      <c r="H14002" s="8" t="s">
        <v>364</v>
      </c>
    </row>
    <row r="14003">
      <c r="H14003" s="8" t="s">
        <v>364</v>
      </c>
    </row>
    <row r="14004">
      <c r="H14004" s="8" t="s">
        <v>364</v>
      </c>
    </row>
    <row r="14005">
      <c r="H14005" s="8" t="s">
        <v>364</v>
      </c>
    </row>
    <row r="14006">
      <c r="H14006" s="8" t="s">
        <v>364</v>
      </c>
    </row>
    <row r="14007">
      <c r="H14007" s="8" t="s">
        <v>364</v>
      </c>
    </row>
    <row r="14008">
      <c r="H14008" s="8" t="s">
        <v>364</v>
      </c>
    </row>
    <row r="14009">
      <c r="H14009" s="8" t="s">
        <v>364</v>
      </c>
    </row>
    <row r="14010">
      <c r="H14010" s="8" t="s">
        <v>364</v>
      </c>
    </row>
    <row r="14011">
      <c r="H14011" s="8" t="s">
        <v>364</v>
      </c>
    </row>
    <row r="14012">
      <c r="H14012" s="8" t="s">
        <v>364</v>
      </c>
    </row>
    <row r="14013">
      <c r="H14013" s="8" t="s">
        <v>364</v>
      </c>
    </row>
    <row r="14014">
      <c r="H14014" s="8" t="s">
        <v>364</v>
      </c>
    </row>
    <row r="14015">
      <c r="H14015" s="8" t="s">
        <v>364</v>
      </c>
    </row>
    <row r="14016">
      <c r="H14016" s="8" t="s">
        <v>364</v>
      </c>
    </row>
    <row r="14017">
      <c r="H14017" s="8" t="s">
        <v>364</v>
      </c>
    </row>
    <row r="14018">
      <c r="H14018" s="8" t="s">
        <v>364</v>
      </c>
    </row>
    <row r="14019">
      <c r="H14019" s="8" t="s">
        <v>364</v>
      </c>
    </row>
    <row r="14020">
      <c r="H14020" s="8" t="s">
        <v>364</v>
      </c>
    </row>
    <row r="14021">
      <c r="H14021" s="8" t="s">
        <v>364</v>
      </c>
    </row>
    <row r="14022">
      <c r="H14022" s="8" t="s">
        <v>364</v>
      </c>
    </row>
    <row r="14023">
      <c r="H14023" s="8" t="s">
        <v>364</v>
      </c>
    </row>
    <row r="14024">
      <c r="H14024" s="8" t="s">
        <v>364</v>
      </c>
    </row>
    <row r="14025">
      <c r="H14025" s="8" t="s">
        <v>364</v>
      </c>
    </row>
    <row r="14026">
      <c r="H14026" s="8" t="s">
        <v>364</v>
      </c>
    </row>
    <row r="14027">
      <c r="H14027" s="8" t="s">
        <v>364</v>
      </c>
    </row>
    <row r="14028">
      <c r="H14028" s="8" t="s">
        <v>364</v>
      </c>
    </row>
    <row r="14029">
      <c r="H14029" s="8" t="s">
        <v>364</v>
      </c>
    </row>
    <row r="14030">
      <c r="H14030" s="8" t="s">
        <v>364</v>
      </c>
    </row>
    <row r="14031">
      <c r="H14031" s="8" t="s">
        <v>364</v>
      </c>
    </row>
    <row r="14032">
      <c r="H14032" s="8" t="s">
        <v>364</v>
      </c>
    </row>
    <row r="14033">
      <c r="H14033" s="8" t="s">
        <v>364</v>
      </c>
    </row>
    <row r="14034">
      <c r="H14034" s="8" t="s">
        <v>364</v>
      </c>
    </row>
    <row r="14035">
      <c r="H14035" s="8" t="s">
        <v>364</v>
      </c>
    </row>
    <row r="14036">
      <c r="H14036" s="8" t="s">
        <v>364</v>
      </c>
    </row>
    <row r="14037">
      <c r="H14037" s="8" t="s">
        <v>364</v>
      </c>
    </row>
    <row r="14038">
      <c r="H14038" s="8" t="s">
        <v>364</v>
      </c>
    </row>
    <row r="14039">
      <c r="H14039" s="8" t="s">
        <v>364</v>
      </c>
    </row>
    <row r="14040">
      <c r="H14040" s="8" t="s">
        <v>364</v>
      </c>
    </row>
    <row r="14041">
      <c r="H14041" s="8" t="s">
        <v>364</v>
      </c>
    </row>
    <row r="14042">
      <c r="H14042" s="8" t="s">
        <v>364</v>
      </c>
    </row>
    <row r="14043">
      <c r="H14043" s="8" t="s">
        <v>364</v>
      </c>
    </row>
    <row r="14044">
      <c r="H14044" s="8" t="s">
        <v>364</v>
      </c>
    </row>
    <row r="14045">
      <c r="H14045" s="8" t="s">
        <v>364</v>
      </c>
    </row>
    <row r="14046">
      <c r="H14046" s="8" t="s">
        <v>364</v>
      </c>
    </row>
    <row r="14047">
      <c r="H14047" s="8" t="s">
        <v>364</v>
      </c>
    </row>
    <row r="14048">
      <c r="H14048" s="8" t="s">
        <v>364</v>
      </c>
    </row>
    <row r="14049">
      <c r="H14049" s="8" t="s">
        <v>364</v>
      </c>
    </row>
    <row r="14050">
      <c r="H14050" s="8" t="s">
        <v>364</v>
      </c>
    </row>
    <row r="14051">
      <c r="H14051" s="8" t="s">
        <v>364</v>
      </c>
    </row>
    <row r="14052">
      <c r="H14052" s="8" t="s">
        <v>364</v>
      </c>
    </row>
    <row r="14053">
      <c r="H14053" s="8" t="s">
        <v>364</v>
      </c>
    </row>
    <row r="14054">
      <c r="H14054" s="8" t="s">
        <v>364</v>
      </c>
    </row>
    <row r="14055">
      <c r="H14055" s="8" t="s">
        <v>364</v>
      </c>
    </row>
    <row r="14056">
      <c r="H14056" s="8" t="s">
        <v>364</v>
      </c>
    </row>
    <row r="14057">
      <c r="H14057" s="8" t="s">
        <v>364</v>
      </c>
    </row>
    <row r="14058">
      <c r="H14058" s="8" t="s">
        <v>364</v>
      </c>
    </row>
    <row r="14059">
      <c r="H14059" s="8" t="s">
        <v>364</v>
      </c>
    </row>
    <row r="14060">
      <c r="H14060" s="8" t="s">
        <v>364</v>
      </c>
    </row>
    <row r="14061">
      <c r="H14061" s="8" t="s">
        <v>364</v>
      </c>
    </row>
    <row r="14062">
      <c r="H14062" s="8" t="s">
        <v>364</v>
      </c>
    </row>
    <row r="14063">
      <c r="H14063" s="8" t="s">
        <v>364</v>
      </c>
    </row>
    <row r="14064">
      <c r="H14064" s="8" t="s">
        <v>364</v>
      </c>
    </row>
    <row r="14065">
      <c r="H14065" s="8" t="s">
        <v>364</v>
      </c>
    </row>
    <row r="14066">
      <c r="H14066" s="8" t="s">
        <v>364</v>
      </c>
    </row>
    <row r="14067">
      <c r="H14067" s="8" t="s">
        <v>364</v>
      </c>
    </row>
    <row r="14068">
      <c r="H14068" s="8" t="s">
        <v>364</v>
      </c>
    </row>
    <row r="14069">
      <c r="H14069" s="8" t="s">
        <v>364</v>
      </c>
    </row>
    <row r="14070">
      <c r="H14070" s="8" t="s">
        <v>364</v>
      </c>
    </row>
    <row r="14071">
      <c r="H14071" s="8" t="s">
        <v>364</v>
      </c>
    </row>
    <row r="14072">
      <c r="H14072" s="8" t="s">
        <v>364</v>
      </c>
    </row>
    <row r="14073">
      <c r="H14073" s="8" t="s">
        <v>364</v>
      </c>
    </row>
    <row r="14074">
      <c r="H14074" s="8" t="s">
        <v>364</v>
      </c>
    </row>
    <row r="14075">
      <c r="H14075" s="8" t="s">
        <v>364</v>
      </c>
    </row>
    <row r="14076">
      <c r="H14076" s="8" t="s">
        <v>364</v>
      </c>
    </row>
    <row r="14077">
      <c r="H14077" s="8" t="s">
        <v>364</v>
      </c>
    </row>
    <row r="14078">
      <c r="H14078" s="8" t="s">
        <v>364</v>
      </c>
    </row>
    <row r="14079">
      <c r="H14079" s="8" t="s">
        <v>364</v>
      </c>
    </row>
    <row r="14080">
      <c r="H14080" s="8" t="s">
        <v>364</v>
      </c>
    </row>
    <row r="14081">
      <c r="H14081" s="8" t="s">
        <v>364</v>
      </c>
    </row>
    <row r="14082">
      <c r="H14082" s="8" t="s">
        <v>364</v>
      </c>
    </row>
    <row r="14083">
      <c r="H14083" s="8" t="s">
        <v>364</v>
      </c>
    </row>
    <row r="14084">
      <c r="H14084" s="8" t="s">
        <v>364</v>
      </c>
    </row>
    <row r="14085">
      <c r="H14085" s="8" t="s">
        <v>364</v>
      </c>
    </row>
    <row r="14086">
      <c r="H14086" s="8" t="s">
        <v>364</v>
      </c>
    </row>
    <row r="14087">
      <c r="H14087" s="8" t="s">
        <v>364</v>
      </c>
    </row>
    <row r="14088">
      <c r="H14088" s="8" t="s">
        <v>364</v>
      </c>
    </row>
    <row r="14089">
      <c r="H14089" s="8" t="s">
        <v>364</v>
      </c>
    </row>
    <row r="14090">
      <c r="H14090" s="8" t="s">
        <v>364</v>
      </c>
    </row>
    <row r="14091">
      <c r="H14091" s="8" t="s">
        <v>364</v>
      </c>
    </row>
    <row r="14092">
      <c r="H14092" s="8" t="s">
        <v>364</v>
      </c>
    </row>
    <row r="14093">
      <c r="H14093" s="8" t="s">
        <v>364</v>
      </c>
    </row>
    <row r="14094">
      <c r="H14094" s="8" t="s">
        <v>364</v>
      </c>
    </row>
    <row r="14095">
      <c r="H14095" s="8" t="s">
        <v>364</v>
      </c>
    </row>
    <row r="14096">
      <c r="H14096" s="8" t="s">
        <v>364</v>
      </c>
    </row>
    <row r="14097">
      <c r="H14097" s="8" t="s">
        <v>364</v>
      </c>
    </row>
    <row r="14098">
      <c r="H14098" s="8" t="s">
        <v>364</v>
      </c>
    </row>
    <row r="14099">
      <c r="H14099" s="8" t="s">
        <v>364</v>
      </c>
    </row>
    <row r="14100">
      <c r="H14100" s="8" t="s">
        <v>364</v>
      </c>
    </row>
    <row r="14101">
      <c r="H14101" s="8" t="s">
        <v>364</v>
      </c>
    </row>
    <row r="14102">
      <c r="H14102" s="8" t="s">
        <v>364</v>
      </c>
    </row>
    <row r="14103">
      <c r="H14103" s="8" t="s">
        <v>364</v>
      </c>
    </row>
    <row r="14104">
      <c r="H14104" s="8" t="s">
        <v>364</v>
      </c>
    </row>
    <row r="14105">
      <c r="H14105" s="8" t="s">
        <v>364</v>
      </c>
    </row>
    <row r="14106">
      <c r="H14106" s="8" t="s">
        <v>364</v>
      </c>
    </row>
    <row r="14107">
      <c r="H14107" s="8" t="s">
        <v>364</v>
      </c>
    </row>
    <row r="14108">
      <c r="H14108" s="8" t="s">
        <v>364</v>
      </c>
    </row>
    <row r="14109">
      <c r="H14109" s="8" t="s">
        <v>364</v>
      </c>
    </row>
    <row r="14110">
      <c r="H14110" s="8" t="s">
        <v>364</v>
      </c>
    </row>
    <row r="14111">
      <c r="H14111" s="8" t="s">
        <v>364</v>
      </c>
    </row>
    <row r="14112">
      <c r="H14112" s="8" t="s">
        <v>364</v>
      </c>
    </row>
    <row r="14113">
      <c r="H14113" s="8" t="s">
        <v>364</v>
      </c>
    </row>
    <row r="14114">
      <c r="H14114" s="8" t="s">
        <v>364</v>
      </c>
    </row>
    <row r="14115">
      <c r="H14115" s="8" t="s">
        <v>364</v>
      </c>
    </row>
    <row r="14116">
      <c r="H14116" s="8" t="s">
        <v>364</v>
      </c>
    </row>
    <row r="14117">
      <c r="H14117" s="8" t="s">
        <v>364</v>
      </c>
    </row>
    <row r="14118">
      <c r="H14118" s="8" t="s">
        <v>364</v>
      </c>
    </row>
    <row r="14119">
      <c r="H14119" s="8" t="s">
        <v>364</v>
      </c>
    </row>
    <row r="14120">
      <c r="H14120" s="8" t="s">
        <v>364</v>
      </c>
    </row>
    <row r="14121">
      <c r="H14121" s="8" t="s">
        <v>364</v>
      </c>
    </row>
    <row r="14122">
      <c r="H14122" s="8" t="s">
        <v>364</v>
      </c>
    </row>
    <row r="14123">
      <c r="H14123" s="8" t="s">
        <v>364</v>
      </c>
    </row>
    <row r="14124">
      <c r="H14124" s="8" t="s">
        <v>364</v>
      </c>
    </row>
    <row r="14125">
      <c r="H14125" s="8" t="s">
        <v>364</v>
      </c>
    </row>
    <row r="14126">
      <c r="H14126" s="8" t="s">
        <v>364</v>
      </c>
    </row>
    <row r="14127">
      <c r="H14127" s="8" t="s">
        <v>364</v>
      </c>
    </row>
    <row r="14128">
      <c r="H14128" s="8" t="s">
        <v>364</v>
      </c>
    </row>
    <row r="14129">
      <c r="H14129" s="8" t="s">
        <v>364</v>
      </c>
    </row>
    <row r="14130">
      <c r="H14130" s="8" t="s">
        <v>364</v>
      </c>
    </row>
    <row r="14131">
      <c r="H14131" s="8" t="s">
        <v>364</v>
      </c>
    </row>
    <row r="14132">
      <c r="H14132" s="8" t="s">
        <v>364</v>
      </c>
    </row>
    <row r="14133">
      <c r="H14133" s="8" t="s">
        <v>364</v>
      </c>
    </row>
    <row r="14134">
      <c r="H14134" s="8" t="s">
        <v>364</v>
      </c>
    </row>
    <row r="14135">
      <c r="H14135" s="8" t="s">
        <v>364</v>
      </c>
    </row>
    <row r="14136">
      <c r="H14136" s="8" t="s">
        <v>364</v>
      </c>
    </row>
    <row r="14137">
      <c r="H14137" s="8" t="s">
        <v>364</v>
      </c>
    </row>
    <row r="14138">
      <c r="H14138" s="8" t="s">
        <v>364</v>
      </c>
    </row>
    <row r="14139">
      <c r="H14139" s="8" t="s">
        <v>364</v>
      </c>
    </row>
    <row r="14140">
      <c r="H14140" s="8" t="s">
        <v>364</v>
      </c>
    </row>
    <row r="14141">
      <c r="H14141" s="8" t="s">
        <v>364</v>
      </c>
    </row>
    <row r="14142">
      <c r="H14142" s="8" t="s">
        <v>364</v>
      </c>
    </row>
    <row r="14143">
      <c r="H14143" s="8" t="s">
        <v>364</v>
      </c>
    </row>
    <row r="14144">
      <c r="H14144" s="8" t="s">
        <v>364</v>
      </c>
    </row>
    <row r="14145">
      <c r="H14145" s="8" t="s">
        <v>364</v>
      </c>
    </row>
    <row r="14146">
      <c r="H14146" s="8" t="s">
        <v>364</v>
      </c>
    </row>
    <row r="14147">
      <c r="H14147" s="8" t="s">
        <v>364</v>
      </c>
    </row>
    <row r="14148">
      <c r="H14148" s="8" t="s">
        <v>364</v>
      </c>
    </row>
    <row r="14149">
      <c r="H14149" s="8" t="s">
        <v>364</v>
      </c>
    </row>
    <row r="14150">
      <c r="H14150" s="8" t="s">
        <v>364</v>
      </c>
    </row>
    <row r="14151">
      <c r="H14151" s="8" t="s">
        <v>364</v>
      </c>
    </row>
    <row r="14152">
      <c r="H14152" s="8" t="s">
        <v>364</v>
      </c>
    </row>
    <row r="14153">
      <c r="H14153" s="8" t="s">
        <v>364</v>
      </c>
    </row>
    <row r="14154">
      <c r="H14154" s="8" t="s">
        <v>364</v>
      </c>
    </row>
    <row r="14155">
      <c r="H14155" s="8" t="s">
        <v>364</v>
      </c>
    </row>
    <row r="14156">
      <c r="H14156" s="8" t="s">
        <v>364</v>
      </c>
    </row>
    <row r="14157">
      <c r="H14157" s="8" t="s">
        <v>364</v>
      </c>
    </row>
    <row r="14158">
      <c r="H14158" s="8" t="s">
        <v>364</v>
      </c>
    </row>
    <row r="14159">
      <c r="H14159" s="8" t="s">
        <v>364</v>
      </c>
    </row>
    <row r="14160">
      <c r="H14160" s="8" t="s">
        <v>364</v>
      </c>
    </row>
    <row r="14161">
      <c r="H14161" s="8" t="s">
        <v>364</v>
      </c>
    </row>
    <row r="14162">
      <c r="H14162" s="8" t="s">
        <v>364</v>
      </c>
    </row>
    <row r="14163">
      <c r="H14163" s="8" t="s">
        <v>364</v>
      </c>
    </row>
    <row r="14164">
      <c r="H14164" s="8" t="s">
        <v>364</v>
      </c>
    </row>
    <row r="14165">
      <c r="H14165" s="8" t="s">
        <v>364</v>
      </c>
    </row>
    <row r="14166">
      <c r="H14166" s="8" t="s">
        <v>364</v>
      </c>
    </row>
    <row r="14167">
      <c r="H14167" s="8" t="s">
        <v>364</v>
      </c>
    </row>
    <row r="14168">
      <c r="H14168" s="8" t="s">
        <v>364</v>
      </c>
    </row>
    <row r="14169">
      <c r="H14169" s="8" t="s">
        <v>364</v>
      </c>
    </row>
    <row r="14170">
      <c r="H14170" s="8" t="s">
        <v>364</v>
      </c>
    </row>
    <row r="14171">
      <c r="H14171" s="8" t="s">
        <v>364</v>
      </c>
    </row>
    <row r="14172">
      <c r="H14172" s="8" t="s">
        <v>364</v>
      </c>
    </row>
    <row r="14173">
      <c r="H14173" s="8" t="s">
        <v>364</v>
      </c>
    </row>
    <row r="14174">
      <c r="H14174" s="8" t="s">
        <v>364</v>
      </c>
    </row>
    <row r="14175">
      <c r="H14175" s="8" t="s">
        <v>364</v>
      </c>
    </row>
    <row r="14176">
      <c r="H14176" s="8" t="s">
        <v>364</v>
      </c>
    </row>
    <row r="14177">
      <c r="H14177" s="8" t="s">
        <v>364</v>
      </c>
    </row>
    <row r="14178">
      <c r="H14178" s="8" t="s">
        <v>364</v>
      </c>
    </row>
    <row r="14179">
      <c r="H14179" s="8" t="s">
        <v>364</v>
      </c>
    </row>
    <row r="14180">
      <c r="H14180" s="8" t="s">
        <v>364</v>
      </c>
    </row>
    <row r="14181">
      <c r="H14181" s="8" t="s">
        <v>364</v>
      </c>
    </row>
    <row r="14182">
      <c r="H14182" s="8" t="s">
        <v>364</v>
      </c>
    </row>
    <row r="14183">
      <c r="H14183" s="8" t="s">
        <v>364</v>
      </c>
    </row>
    <row r="14184">
      <c r="H14184" s="8" t="s">
        <v>364</v>
      </c>
    </row>
    <row r="14185">
      <c r="H14185" s="8" t="s">
        <v>364</v>
      </c>
    </row>
    <row r="14186">
      <c r="H14186" s="8" t="s">
        <v>364</v>
      </c>
    </row>
    <row r="14187">
      <c r="H14187" s="8" t="s">
        <v>364</v>
      </c>
    </row>
    <row r="14188">
      <c r="H14188" s="8" t="s">
        <v>364</v>
      </c>
    </row>
    <row r="14189">
      <c r="H14189" s="8" t="s">
        <v>364</v>
      </c>
    </row>
    <row r="14190">
      <c r="H14190" s="8" t="s">
        <v>364</v>
      </c>
    </row>
    <row r="14191">
      <c r="H14191" s="8" t="s">
        <v>364</v>
      </c>
    </row>
    <row r="14192">
      <c r="H14192" s="8" t="s">
        <v>364</v>
      </c>
    </row>
    <row r="14193">
      <c r="H14193" s="8" t="s">
        <v>364</v>
      </c>
    </row>
    <row r="14194">
      <c r="H14194" s="8" t="s">
        <v>364</v>
      </c>
    </row>
    <row r="14195">
      <c r="H14195" s="8" t="s">
        <v>364</v>
      </c>
    </row>
    <row r="14196">
      <c r="H14196" s="8" t="s">
        <v>364</v>
      </c>
    </row>
    <row r="14197">
      <c r="H14197" s="8" t="s">
        <v>364</v>
      </c>
    </row>
    <row r="14198">
      <c r="H14198" s="8" t="s">
        <v>364</v>
      </c>
    </row>
    <row r="14199">
      <c r="H14199" s="8" t="s">
        <v>364</v>
      </c>
    </row>
    <row r="14200">
      <c r="H14200" s="8" t="s">
        <v>364</v>
      </c>
    </row>
    <row r="14201">
      <c r="H14201" s="8" t="s">
        <v>364</v>
      </c>
    </row>
    <row r="14202">
      <c r="H14202" s="8" t="s">
        <v>364</v>
      </c>
    </row>
    <row r="14203">
      <c r="H14203" s="8" t="s">
        <v>364</v>
      </c>
    </row>
    <row r="14204">
      <c r="H14204" s="8" t="s">
        <v>364</v>
      </c>
    </row>
    <row r="14205">
      <c r="H14205" s="8" t="s">
        <v>364</v>
      </c>
    </row>
    <row r="14206">
      <c r="H14206" s="8" t="s">
        <v>364</v>
      </c>
    </row>
    <row r="14207">
      <c r="H14207" s="8" t="s">
        <v>364</v>
      </c>
    </row>
    <row r="14208">
      <c r="H14208" s="8" t="s">
        <v>364</v>
      </c>
    </row>
    <row r="14209">
      <c r="H14209" s="8" t="s">
        <v>364</v>
      </c>
    </row>
    <row r="14210">
      <c r="H14210" s="8" t="s">
        <v>364</v>
      </c>
    </row>
    <row r="14211">
      <c r="H14211" s="8" t="s">
        <v>364</v>
      </c>
    </row>
    <row r="14212">
      <c r="H14212" s="8" t="s">
        <v>364</v>
      </c>
    </row>
    <row r="14213">
      <c r="H14213" s="8" t="s">
        <v>364</v>
      </c>
    </row>
    <row r="14214">
      <c r="H14214" s="8" t="s">
        <v>364</v>
      </c>
    </row>
    <row r="14215">
      <c r="H14215" s="8" t="s">
        <v>364</v>
      </c>
    </row>
    <row r="14216">
      <c r="H14216" s="8" t="s">
        <v>364</v>
      </c>
    </row>
    <row r="14217">
      <c r="H14217" s="8" t="s">
        <v>364</v>
      </c>
    </row>
    <row r="14218">
      <c r="H14218" s="8" t="s">
        <v>364</v>
      </c>
    </row>
    <row r="14219">
      <c r="H14219" s="8" t="s">
        <v>364</v>
      </c>
    </row>
    <row r="14220">
      <c r="H14220" s="8" t="s">
        <v>364</v>
      </c>
    </row>
    <row r="14221">
      <c r="H14221" s="8" t="s">
        <v>364</v>
      </c>
    </row>
    <row r="14222">
      <c r="H14222" s="8" t="s">
        <v>364</v>
      </c>
    </row>
    <row r="14223">
      <c r="H14223" s="8" t="s">
        <v>364</v>
      </c>
    </row>
    <row r="14224">
      <c r="H14224" s="8" t="s">
        <v>364</v>
      </c>
    </row>
    <row r="14225">
      <c r="H14225" s="8" t="s">
        <v>364</v>
      </c>
    </row>
    <row r="14226">
      <c r="H14226" s="8" t="s">
        <v>364</v>
      </c>
    </row>
    <row r="14227">
      <c r="H14227" s="8" t="s">
        <v>364</v>
      </c>
    </row>
    <row r="14228">
      <c r="H14228" s="8" t="s">
        <v>364</v>
      </c>
    </row>
    <row r="14229">
      <c r="H14229" s="8" t="s">
        <v>364</v>
      </c>
    </row>
    <row r="14230">
      <c r="H14230" s="8" t="s">
        <v>364</v>
      </c>
    </row>
    <row r="14231">
      <c r="H14231" s="8" t="s">
        <v>364</v>
      </c>
    </row>
    <row r="14232">
      <c r="H14232" s="8" t="s">
        <v>364</v>
      </c>
    </row>
    <row r="14233">
      <c r="H14233" s="8" t="s">
        <v>364</v>
      </c>
    </row>
    <row r="14234">
      <c r="H14234" s="8" t="s">
        <v>364</v>
      </c>
    </row>
    <row r="14235">
      <c r="H14235" s="8" t="s">
        <v>364</v>
      </c>
    </row>
    <row r="14236">
      <c r="H14236" s="8" t="s">
        <v>364</v>
      </c>
    </row>
    <row r="14237">
      <c r="H14237" s="8" t="s">
        <v>364</v>
      </c>
    </row>
    <row r="14238">
      <c r="H14238" s="8" t="s">
        <v>364</v>
      </c>
    </row>
    <row r="14239">
      <c r="H14239" s="8" t="s">
        <v>364</v>
      </c>
    </row>
    <row r="14240">
      <c r="H14240" s="8" t="s">
        <v>364</v>
      </c>
    </row>
    <row r="14241">
      <c r="H14241" s="8" t="s">
        <v>364</v>
      </c>
    </row>
    <row r="14242">
      <c r="H14242" s="8" t="s">
        <v>364</v>
      </c>
    </row>
    <row r="14243">
      <c r="H14243" s="8" t="s">
        <v>364</v>
      </c>
    </row>
    <row r="14244">
      <c r="H14244" s="8" t="s">
        <v>364</v>
      </c>
    </row>
    <row r="14245">
      <c r="H14245" s="8" t="s">
        <v>364</v>
      </c>
    </row>
    <row r="14246">
      <c r="H14246" s="8" t="s">
        <v>364</v>
      </c>
    </row>
    <row r="14247">
      <c r="H14247" s="8" t="s">
        <v>364</v>
      </c>
    </row>
    <row r="14248">
      <c r="H14248" s="8" t="s">
        <v>364</v>
      </c>
    </row>
    <row r="14249">
      <c r="H14249" s="8" t="s">
        <v>364</v>
      </c>
    </row>
    <row r="14250">
      <c r="H14250" s="8" t="s">
        <v>364</v>
      </c>
    </row>
    <row r="14251">
      <c r="H14251" s="8" t="s">
        <v>364</v>
      </c>
    </row>
    <row r="14252">
      <c r="H14252" s="8" t="s">
        <v>364</v>
      </c>
    </row>
    <row r="14253">
      <c r="H14253" s="8" t="s">
        <v>364</v>
      </c>
    </row>
    <row r="14254">
      <c r="H14254" s="8" t="s">
        <v>364</v>
      </c>
    </row>
    <row r="14255">
      <c r="H14255" s="8" t="s">
        <v>364</v>
      </c>
    </row>
    <row r="14256">
      <c r="H14256" s="8" t="s">
        <v>364</v>
      </c>
    </row>
    <row r="14257">
      <c r="H14257" s="8" t="s">
        <v>364</v>
      </c>
    </row>
    <row r="14258">
      <c r="H14258" s="8" t="s">
        <v>364</v>
      </c>
    </row>
    <row r="14259">
      <c r="H14259" s="8" t="s">
        <v>364</v>
      </c>
    </row>
    <row r="14260">
      <c r="H14260" s="8" t="s">
        <v>364</v>
      </c>
    </row>
    <row r="14261">
      <c r="H14261" s="8" t="s">
        <v>364</v>
      </c>
    </row>
    <row r="14262">
      <c r="H14262" s="8" t="s">
        <v>364</v>
      </c>
    </row>
    <row r="14263">
      <c r="H14263" s="8" t="s">
        <v>364</v>
      </c>
    </row>
    <row r="14264">
      <c r="H14264" s="8" t="s">
        <v>364</v>
      </c>
    </row>
    <row r="14265">
      <c r="H14265" s="8" t="s">
        <v>364</v>
      </c>
    </row>
    <row r="14266">
      <c r="H14266" s="8" t="s">
        <v>364</v>
      </c>
    </row>
    <row r="14267">
      <c r="H14267" s="8" t="s">
        <v>364</v>
      </c>
    </row>
    <row r="14268">
      <c r="H14268" s="8" t="s">
        <v>364</v>
      </c>
    </row>
    <row r="14269">
      <c r="H14269" s="8" t="s">
        <v>364</v>
      </c>
    </row>
    <row r="14270">
      <c r="H14270" s="8" t="s">
        <v>364</v>
      </c>
    </row>
    <row r="14271">
      <c r="H14271" s="8" t="s">
        <v>364</v>
      </c>
    </row>
    <row r="14272">
      <c r="H14272" s="8" t="s">
        <v>364</v>
      </c>
    </row>
    <row r="14273">
      <c r="H14273" s="8" t="s">
        <v>364</v>
      </c>
    </row>
    <row r="14274">
      <c r="H14274" s="8" t="s">
        <v>364</v>
      </c>
    </row>
    <row r="14275">
      <c r="H14275" s="8" t="s">
        <v>364</v>
      </c>
    </row>
    <row r="14276">
      <c r="H14276" s="8" t="s">
        <v>364</v>
      </c>
    </row>
    <row r="14277">
      <c r="H14277" s="8" t="s">
        <v>364</v>
      </c>
    </row>
    <row r="14278">
      <c r="H14278" s="8" t="s">
        <v>364</v>
      </c>
    </row>
    <row r="14279">
      <c r="H14279" s="8" t="s">
        <v>364</v>
      </c>
    </row>
    <row r="14280">
      <c r="H14280" s="8" t="s">
        <v>364</v>
      </c>
    </row>
    <row r="14281">
      <c r="H14281" s="8" t="s">
        <v>364</v>
      </c>
    </row>
    <row r="14282">
      <c r="H14282" s="8" t="s">
        <v>364</v>
      </c>
    </row>
    <row r="14283">
      <c r="H14283" s="8" t="s">
        <v>364</v>
      </c>
    </row>
    <row r="14284">
      <c r="H14284" s="8" t="s">
        <v>364</v>
      </c>
    </row>
    <row r="14285">
      <c r="H14285" s="8" t="s">
        <v>364</v>
      </c>
    </row>
    <row r="14286">
      <c r="H14286" s="8" t="s">
        <v>364</v>
      </c>
    </row>
    <row r="14287">
      <c r="H14287" s="8" t="s">
        <v>364</v>
      </c>
    </row>
    <row r="14288">
      <c r="H14288" s="8" t="s">
        <v>364</v>
      </c>
    </row>
    <row r="14289">
      <c r="H14289" s="8" t="s">
        <v>364</v>
      </c>
    </row>
    <row r="14290">
      <c r="H14290" s="8" t="s">
        <v>364</v>
      </c>
    </row>
    <row r="14291">
      <c r="H14291" s="8" t="s">
        <v>364</v>
      </c>
    </row>
    <row r="14292">
      <c r="H14292" s="8" t="s">
        <v>364</v>
      </c>
    </row>
    <row r="14293">
      <c r="H14293" s="8" t="s">
        <v>364</v>
      </c>
    </row>
    <row r="14294">
      <c r="H14294" s="8" t="s">
        <v>364</v>
      </c>
    </row>
    <row r="14295">
      <c r="H14295" s="8" t="s">
        <v>364</v>
      </c>
    </row>
    <row r="14296">
      <c r="H14296" s="8" t="s">
        <v>364</v>
      </c>
    </row>
    <row r="14297">
      <c r="H14297" s="8" t="s">
        <v>364</v>
      </c>
    </row>
    <row r="14298">
      <c r="H14298" s="8" t="s">
        <v>364</v>
      </c>
    </row>
    <row r="14299">
      <c r="H14299" s="8" t="s">
        <v>364</v>
      </c>
    </row>
    <row r="14300">
      <c r="H14300" s="8" t="s">
        <v>364</v>
      </c>
    </row>
    <row r="14301">
      <c r="H14301" s="8" t="s">
        <v>364</v>
      </c>
    </row>
    <row r="14302">
      <c r="H14302" s="8" t="s">
        <v>364</v>
      </c>
    </row>
    <row r="14303">
      <c r="H14303" s="8" t="s">
        <v>364</v>
      </c>
    </row>
    <row r="14304">
      <c r="H14304" s="8" t="s">
        <v>364</v>
      </c>
    </row>
    <row r="14305">
      <c r="H14305" s="8" t="s">
        <v>364</v>
      </c>
    </row>
    <row r="14306">
      <c r="H14306" s="8" t="s">
        <v>364</v>
      </c>
    </row>
    <row r="14307">
      <c r="H14307" s="8" t="s">
        <v>364</v>
      </c>
    </row>
    <row r="14308">
      <c r="H14308" s="8" t="s">
        <v>364</v>
      </c>
    </row>
    <row r="14309">
      <c r="H14309" s="8" t="s">
        <v>364</v>
      </c>
    </row>
    <row r="14310">
      <c r="H14310" s="8" t="s">
        <v>364</v>
      </c>
    </row>
    <row r="14311">
      <c r="H14311" s="8" t="s">
        <v>364</v>
      </c>
    </row>
    <row r="14312">
      <c r="H14312" s="8" t="s">
        <v>364</v>
      </c>
    </row>
    <row r="14313">
      <c r="H14313" s="8" t="s">
        <v>364</v>
      </c>
    </row>
    <row r="14314">
      <c r="H14314" s="8" t="s">
        <v>364</v>
      </c>
    </row>
    <row r="14315">
      <c r="H14315" s="8" t="s">
        <v>364</v>
      </c>
    </row>
    <row r="14316">
      <c r="H14316" s="8" t="s">
        <v>364</v>
      </c>
    </row>
    <row r="14317">
      <c r="H14317" s="8" t="s">
        <v>364</v>
      </c>
    </row>
    <row r="14318">
      <c r="H14318" s="8" t="s">
        <v>364</v>
      </c>
    </row>
    <row r="14319">
      <c r="H14319" s="8" t="s">
        <v>364</v>
      </c>
    </row>
    <row r="14320">
      <c r="H14320" s="8" t="s">
        <v>364</v>
      </c>
    </row>
    <row r="14321">
      <c r="H14321" s="8" t="s">
        <v>364</v>
      </c>
    </row>
    <row r="14322">
      <c r="H14322" s="8" t="s">
        <v>364</v>
      </c>
    </row>
    <row r="14323">
      <c r="H14323" s="8" t="s">
        <v>364</v>
      </c>
    </row>
    <row r="14324">
      <c r="H14324" s="8" t="s">
        <v>364</v>
      </c>
    </row>
    <row r="14325">
      <c r="H14325" s="8" t="s">
        <v>364</v>
      </c>
    </row>
    <row r="14326">
      <c r="H14326" s="8" t="s">
        <v>364</v>
      </c>
    </row>
    <row r="14327">
      <c r="H14327" s="8" t="s">
        <v>364</v>
      </c>
    </row>
    <row r="14328">
      <c r="H14328" s="8" t="s">
        <v>364</v>
      </c>
    </row>
    <row r="14329">
      <c r="H14329" s="8" t="s">
        <v>364</v>
      </c>
    </row>
    <row r="14330">
      <c r="H14330" s="8" t="s">
        <v>364</v>
      </c>
    </row>
    <row r="14331">
      <c r="H14331" s="8" t="s">
        <v>364</v>
      </c>
    </row>
    <row r="14332">
      <c r="H14332" s="8" t="s">
        <v>364</v>
      </c>
    </row>
    <row r="14333">
      <c r="H14333" s="8" t="s">
        <v>364</v>
      </c>
    </row>
    <row r="14334">
      <c r="H14334" s="8" t="s">
        <v>364</v>
      </c>
    </row>
    <row r="14335">
      <c r="H14335" s="8" t="s">
        <v>364</v>
      </c>
    </row>
    <row r="14336">
      <c r="H14336" s="8" t="s">
        <v>364</v>
      </c>
    </row>
    <row r="14337">
      <c r="H14337" s="8" t="s">
        <v>364</v>
      </c>
    </row>
    <row r="14338">
      <c r="H14338" s="8" t="s">
        <v>364</v>
      </c>
    </row>
    <row r="14339">
      <c r="H14339" s="8" t="s">
        <v>364</v>
      </c>
    </row>
    <row r="14340">
      <c r="H14340" s="8" t="s">
        <v>364</v>
      </c>
    </row>
    <row r="14341">
      <c r="H14341" s="8" t="s">
        <v>364</v>
      </c>
    </row>
    <row r="14342">
      <c r="H14342" s="8" t="s">
        <v>364</v>
      </c>
    </row>
    <row r="14343">
      <c r="H14343" s="8" t="s">
        <v>364</v>
      </c>
    </row>
    <row r="14344">
      <c r="H14344" s="8" t="s">
        <v>364</v>
      </c>
    </row>
    <row r="14345">
      <c r="H14345" s="8" t="s">
        <v>364</v>
      </c>
    </row>
    <row r="14346">
      <c r="H14346" s="8" t="s">
        <v>364</v>
      </c>
    </row>
    <row r="14347">
      <c r="H14347" s="8" t="s">
        <v>364</v>
      </c>
    </row>
    <row r="14348">
      <c r="H14348" s="8" t="s">
        <v>364</v>
      </c>
    </row>
    <row r="14349">
      <c r="H14349" s="8" t="s">
        <v>364</v>
      </c>
    </row>
    <row r="14350">
      <c r="H14350" s="8" t="s">
        <v>364</v>
      </c>
    </row>
    <row r="14351">
      <c r="H14351" s="8" t="s">
        <v>364</v>
      </c>
    </row>
    <row r="14352">
      <c r="H14352" s="8" t="s">
        <v>364</v>
      </c>
    </row>
    <row r="14353">
      <c r="H14353" s="8" t="s">
        <v>364</v>
      </c>
    </row>
    <row r="14354">
      <c r="H14354" s="8" t="s">
        <v>364</v>
      </c>
    </row>
    <row r="14355">
      <c r="H14355" s="8" t="s">
        <v>364</v>
      </c>
    </row>
    <row r="14356">
      <c r="H14356" s="8" t="s">
        <v>364</v>
      </c>
    </row>
    <row r="14357">
      <c r="H14357" s="8" t="s">
        <v>364</v>
      </c>
    </row>
    <row r="14358">
      <c r="H14358" s="8" t="s">
        <v>364</v>
      </c>
    </row>
    <row r="14359">
      <c r="H14359" s="8" t="s">
        <v>364</v>
      </c>
    </row>
    <row r="14360">
      <c r="H14360" s="8" t="s">
        <v>364</v>
      </c>
    </row>
    <row r="14361">
      <c r="H14361" s="8" t="s">
        <v>364</v>
      </c>
    </row>
    <row r="14362">
      <c r="H14362" s="8" t="s">
        <v>364</v>
      </c>
    </row>
    <row r="14363">
      <c r="H14363" s="8" t="s">
        <v>364</v>
      </c>
    </row>
    <row r="14364">
      <c r="H14364" s="8" t="s">
        <v>364</v>
      </c>
    </row>
    <row r="14365">
      <c r="H14365" s="8" t="s">
        <v>364</v>
      </c>
    </row>
    <row r="14366">
      <c r="H14366" s="8" t="s">
        <v>364</v>
      </c>
    </row>
    <row r="14367">
      <c r="H14367" s="8" t="s">
        <v>364</v>
      </c>
    </row>
    <row r="14368">
      <c r="H14368" s="8" t="s">
        <v>364</v>
      </c>
    </row>
    <row r="14369">
      <c r="H14369" s="8" t="s">
        <v>364</v>
      </c>
    </row>
    <row r="14370">
      <c r="H14370" s="8" t="s">
        <v>364</v>
      </c>
    </row>
    <row r="14371">
      <c r="H14371" s="8" t="s">
        <v>364</v>
      </c>
    </row>
    <row r="14372">
      <c r="H14372" s="8" t="s">
        <v>364</v>
      </c>
    </row>
    <row r="14373">
      <c r="H14373" s="8" t="s">
        <v>364</v>
      </c>
    </row>
    <row r="14374">
      <c r="H14374" s="8" t="s">
        <v>364</v>
      </c>
    </row>
    <row r="14375">
      <c r="H14375" s="8" t="s">
        <v>364</v>
      </c>
    </row>
    <row r="14376">
      <c r="H14376" s="8" t="s">
        <v>364</v>
      </c>
    </row>
    <row r="14377">
      <c r="H14377" s="8" t="s">
        <v>364</v>
      </c>
    </row>
    <row r="14378">
      <c r="H14378" s="8" t="s">
        <v>364</v>
      </c>
    </row>
    <row r="14379">
      <c r="H14379" s="8" t="s">
        <v>364</v>
      </c>
    </row>
    <row r="14380">
      <c r="H14380" s="8" t="s">
        <v>364</v>
      </c>
    </row>
    <row r="14381">
      <c r="H14381" s="8" t="s">
        <v>364</v>
      </c>
    </row>
    <row r="14382">
      <c r="H14382" s="8" t="s">
        <v>364</v>
      </c>
    </row>
    <row r="14383">
      <c r="H14383" s="8" t="s">
        <v>364</v>
      </c>
    </row>
    <row r="14384">
      <c r="H14384" s="8" t="s">
        <v>364</v>
      </c>
    </row>
    <row r="14385">
      <c r="H14385" s="8" t="s">
        <v>364</v>
      </c>
    </row>
    <row r="14386">
      <c r="H14386" s="8" t="s">
        <v>364</v>
      </c>
    </row>
    <row r="14387">
      <c r="H14387" s="8" t="s">
        <v>364</v>
      </c>
    </row>
    <row r="14388">
      <c r="H14388" s="8" t="s">
        <v>364</v>
      </c>
    </row>
    <row r="14389">
      <c r="H14389" s="8" t="s">
        <v>364</v>
      </c>
    </row>
    <row r="14390">
      <c r="H14390" s="8" t="s">
        <v>364</v>
      </c>
    </row>
    <row r="14391">
      <c r="H14391" s="8" t="s">
        <v>364</v>
      </c>
    </row>
    <row r="14392">
      <c r="H14392" s="8" t="s">
        <v>364</v>
      </c>
    </row>
    <row r="14393">
      <c r="H14393" s="8" t="s">
        <v>364</v>
      </c>
    </row>
    <row r="14394">
      <c r="H14394" s="8" t="s">
        <v>364</v>
      </c>
    </row>
    <row r="14395">
      <c r="H14395" s="8" t="s">
        <v>364</v>
      </c>
    </row>
    <row r="14396">
      <c r="H14396" s="8" t="s">
        <v>364</v>
      </c>
    </row>
    <row r="14397">
      <c r="H14397" s="8" t="s">
        <v>364</v>
      </c>
    </row>
    <row r="14398">
      <c r="H14398" s="8" t="s">
        <v>364</v>
      </c>
    </row>
    <row r="14399">
      <c r="H14399" s="8" t="s">
        <v>364</v>
      </c>
    </row>
    <row r="14400">
      <c r="H14400" s="8" t="s">
        <v>364</v>
      </c>
    </row>
    <row r="14401">
      <c r="H14401" s="8" t="s">
        <v>364</v>
      </c>
    </row>
    <row r="14402">
      <c r="H14402" s="8" t="s">
        <v>364</v>
      </c>
    </row>
    <row r="14403">
      <c r="H14403" s="8" t="s">
        <v>364</v>
      </c>
    </row>
    <row r="14404">
      <c r="H14404" s="8" t="s">
        <v>364</v>
      </c>
    </row>
    <row r="14405">
      <c r="H14405" s="8" t="s">
        <v>364</v>
      </c>
    </row>
    <row r="14406">
      <c r="H14406" s="8" t="s">
        <v>364</v>
      </c>
    </row>
    <row r="14407">
      <c r="H14407" s="8" t="s">
        <v>364</v>
      </c>
    </row>
    <row r="14408">
      <c r="H14408" s="8" t="s">
        <v>364</v>
      </c>
    </row>
    <row r="14409">
      <c r="H14409" s="8" t="s">
        <v>364</v>
      </c>
    </row>
    <row r="14410">
      <c r="H14410" s="8" t="s">
        <v>364</v>
      </c>
    </row>
    <row r="14411">
      <c r="H14411" s="8" t="s">
        <v>364</v>
      </c>
    </row>
    <row r="14412">
      <c r="H14412" s="8" t="s">
        <v>364</v>
      </c>
    </row>
    <row r="14413">
      <c r="H14413" s="8" t="s">
        <v>364</v>
      </c>
    </row>
    <row r="14414">
      <c r="H14414" s="8" t="s">
        <v>364</v>
      </c>
    </row>
    <row r="14415">
      <c r="H14415" s="8" t="s">
        <v>364</v>
      </c>
    </row>
    <row r="14416">
      <c r="H14416" s="8" t="s">
        <v>364</v>
      </c>
    </row>
    <row r="14417">
      <c r="H14417" s="8" t="s">
        <v>364</v>
      </c>
    </row>
    <row r="14418">
      <c r="H14418" s="8" t="s">
        <v>364</v>
      </c>
    </row>
    <row r="14419">
      <c r="H14419" s="8" t="s">
        <v>364</v>
      </c>
    </row>
    <row r="14420">
      <c r="H14420" s="8" t="s">
        <v>364</v>
      </c>
    </row>
    <row r="14421">
      <c r="H14421" s="8" t="s">
        <v>364</v>
      </c>
    </row>
    <row r="14422">
      <c r="H14422" s="8" t="s">
        <v>364</v>
      </c>
    </row>
    <row r="14423">
      <c r="H14423" s="8" t="s">
        <v>364</v>
      </c>
    </row>
    <row r="14424">
      <c r="H14424" s="8" t="s">
        <v>364</v>
      </c>
    </row>
    <row r="14425">
      <c r="H14425" s="8" t="s">
        <v>364</v>
      </c>
    </row>
    <row r="14426">
      <c r="H14426" s="8" t="s">
        <v>364</v>
      </c>
    </row>
    <row r="14427">
      <c r="H14427" s="8" t="s">
        <v>364</v>
      </c>
    </row>
    <row r="14428">
      <c r="H14428" s="8" t="s">
        <v>364</v>
      </c>
    </row>
    <row r="14429">
      <c r="H14429" s="8" t="s">
        <v>364</v>
      </c>
    </row>
    <row r="14430">
      <c r="H14430" s="8" t="s">
        <v>364</v>
      </c>
    </row>
    <row r="14431">
      <c r="H14431" s="8" t="s">
        <v>364</v>
      </c>
    </row>
    <row r="14432">
      <c r="H14432" s="8" t="s">
        <v>364</v>
      </c>
    </row>
    <row r="14433">
      <c r="H14433" s="8" t="s">
        <v>364</v>
      </c>
    </row>
    <row r="14434">
      <c r="H14434" s="8" t="s">
        <v>364</v>
      </c>
    </row>
    <row r="14435">
      <c r="H14435" s="8" t="s">
        <v>364</v>
      </c>
    </row>
    <row r="14436">
      <c r="H14436" s="8" t="s">
        <v>364</v>
      </c>
    </row>
    <row r="14437">
      <c r="H14437" s="8" t="s">
        <v>364</v>
      </c>
    </row>
    <row r="14438">
      <c r="H14438" s="8" t="s">
        <v>364</v>
      </c>
    </row>
    <row r="14439">
      <c r="H14439" s="8" t="s">
        <v>364</v>
      </c>
    </row>
    <row r="14440">
      <c r="H14440" s="8" t="s">
        <v>364</v>
      </c>
    </row>
    <row r="14441">
      <c r="H14441" s="8" t="s">
        <v>364</v>
      </c>
    </row>
    <row r="14442">
      <c r="H14442" s="8" t="s">
        <v>364</v>
      </c>
    </row>
    <row r="14443">
      <c r="H14443" s="8" t="s">
        <v>364</v>
      </c>
    </row>
    <row r="14444">
      <c r="H14444" s="8" t="s">
        <v>364</v>
      </c>
    </row>
    <row r="14445">
      <c r="H14445" s="8" t="s">
        <v>364</v>
      </c>
    </row>
    <row r="14446">
      <c r="H14446" s="8" t="s">
        <v>364</v>
      </c>
    </row>
    <row r="14447">
      <c r="H14447" s="8" t="s">
        <v>364</v>
      </c>
    </row>
    <row r="14448">
      <c r="H14448" s="8" t="s">
        <v>364</v>
      </c>
    </row>
    <row r="14449">
      <c r="H14449" s="8" t="s">
        <v>364</v>
      </c>
    </row>
    <row r="14450">
      <c r="H14450" s="8" t="s">
        <v>364</v>
      </c>
    </row>
    <row r="14451">
      <c r="H14451" s="8" t="s">
        <v>364</v>
      </c>
    </row>
    <row r="14452">
      <c r="H14452" s="8" t="s">
        <v>364</v>
      </c>
    </row>
    <row r="14453">
      <c r="H14453" s="8" t="s">
        <v>364</v>
      </c>
    </row>
    <row r="14454">
      <c r="H14454" s="8" t="s">
        <v>364</v>
      </c>
    </row>
    <row r="14455">
      <c r="H14455" s="8" t="s">
        <v>364</v>
      </c>
    </row>
    <row r="14456">
      <c r="H14456" s="8" t="s">
        <v>364</v>
      </c>
    </row>
    <row r="14457">
      <c r="H14457" s="8" t="s">
        <v>364</v>
      </c>
    </row>
    <row r="14458">
      <c r="H14458" s="8" t="s">
        <v>364</v>
      </c>
    </row>
    <row r="14459">
      <c r="H14459" s="8" t="s">
        <v>364</v>
      </c>
    </row>
    <row r="14460">
      <c r="H14460" s="8" t="s">
        <v>364</v>
      </c>
    </row>
    <row r="14461">
      <c r="H14461" s="8" t="s">
        <v>364</v>
      </c>
    </row>
    <row r="14462">
      <c r="H14462" s="8" t="s">
        <v>364</v>
      </c>
    </row>
    <row r="14463">
      <c r="H14463" s="8" t="s">
        <v>364</v>
      </c>
    </row>
    <row r="14464">
      <c r="H14464" s="8" t="s">
        <v>364</v>
      </c>
    </row>
    <row r="14465">
      <c r="H14465" s="8" t="s">
        <v>364</v>
      </c>
    </row>
    <row r="14466">
      <c r="H14466" s="8" t="s">
        <v>364</v>
      </c>
    </row>
    <row r="14467">
      <c r="H14467" s="8" t="s">
        <v>364</v>
      </c>
    </row>
    <row r="14468">
      <c r="H14468" s="8" t="s">
        <v>364</v>
      </c>
    </row>
    <row r="14469">
      <c r="H14469" s="8" t="s">
        <v>364</v>
      </c>
    </row>
    <row r="14470">
      <c r="H14470" s="8" t="s">
        <v>364</v>
      </c>
    </row>
    <row r="14471">
      <c r="H14471" s="8" t="s">
        <v>364</v>
      </c>
    </row>
    <row r="14472">
      <c r="H14472" s="8" t="s">
        <v>364</v>
      </c>
    </row>
    <row r="14473">
      <c r="H14473" s="8" t="s">
        <v>364</v>
      </c>
    </row>
    <row r="14474">
      <c r="H14474" s="8" t="s">
        <v>364</v>
      </c>
    </row>
    <row r="14475">
      <c r="H14475" s="8" t="s">
        <v>364</v>
      </c>
    </row>
    <row r="14476">
      <c r="H14476" s="8" t="s">
        <v>364</v>
      </c>
    </row>
    <row r="14477">
      <c r="H14477" s="8" t="s">
        <v>364</v>
      </c>
    </row>
    <row r="14478">
      <c r="H14478" s="8" t="s">
        <v>364</v>
      </c>
    </row>
    <row r="14479">
      <c r="H14479" s="8" t="s">
        <v>364</v>
      </c>
    </row>
    <row r="14480">
      <c r="H14480" s="8" t="s">
        <v>364</v>
      </c>
    </row>
    <row r="14481">
      <c r="H14481" s="8" t="s">
        <v>364</v>
      </c>
    </row>
    <row r="14482">
      <c r="H14482" s="8" t="s">
        <v>364</v>
      </c>
    </row>
    <row r="14483">
      <c r="H14483" s="8" t="s">
        <v>364</v>
      </c>
    </row>
    <row r="14484">
      <c r="H14484" s="8" t="s">
        <v>364</v>
      </c>
    </row>
    <row r="14485">
      <c r="H14485" s="8" t="s">
        <v>364</v>
      </c>
    </row>
    <row r="14486">
      <c r="H14486" s="8" t="s">
        <v>364</v>
      </c>
    </row>
    <row r="14487">
      <c r="H14487" s="8" t="s">
        <v>364</v>
      </c>
    </row>
    <row r="14488">
      <c r="H14488" s="8" t="s">
        <v>364</v>
      </c>
    </row>
    <row r="14489">
      <c r="H14489" s="8" t="s">
        <v>364</v>
      </c>
    </row>
    <row r="14490">
      <c r="H14490" s="8" t="s">
        <v>364</v>
      </c>
    </row>
    <row r="14491">
      <c r="H14491" s="8" t="s">
        <v>364</v>
      </c>
    </row>
    <row r="14492">
      <c r="H14492" s="8" t="s">
        <v>364</v>
      </c>
    </row>
    <row r="14493">
      <c r="H14493" s="8" t="s">
        <v>364</v>
      </c>
    </row>
    <row r="14494">
      <c r="H14494" s="8" t="s">
        <v>364</v>
      </c>
    </row>
    <row r="14495">
      <c r="H14495" s="8" t="s">
        <v>364</v>
      </c>
    </row>
    <row r="14496">
      <c r="H14496" s="8" t="s">
        <v>364</v>
      </c>
    </row>
    <row r="14497">
      <c r="H14497" s="8" t="s">
        <v>364</v>
      </c>
    </row>
    <row r="14498">
      <c r="H14498" s="8" t="s">
        <v>364</v>
      </c>
    </row>
    <row r="14499">
      <c r="H14499" s="8" t="s">
        <v>364</v>
      </c>
    </row>
    <row r="14500">
      <c r="H14500" s="8" t="s">
        <v>364</v>
      </c>
    </row>
    <row r="14501">
      <c r="H14501" s="8" t="s">
        <v>364</v>
      </c>
    </row>
    <row r="14502">
      <c r="H14502" s="8" t="s">
        <v>364</v>
      </c>
    </row>
    <row r="14503">
      <c r="H14503" s="8" t="s">
        <v>364</v>
      </c>
    </row>
    <row r="14504">
      <c r="H14504" s="8" t="s">
        <v>364</v>
      </c>
    </row>
    <row r="14505">
      <c r="H14505" s="8" t="s">
        <v>364</v>
      </c>
    </row>
    <row r="14506">
      <c r="H14506" s="8" t="s">
        <v>364</v>
      </c>
    </row>
    <row r="14507">
      <c r="H14507" s="8" t="s">
        <v>364</v>
      </c>
    </row>
    <row r="14508">
      <c r="H14508" s="8" t="s">
        <v>364</v>
      </c>
    </row>
    <row r="14509">
      <c r="H14509" s="8" t="s">
        <v>364</v>
      </c>
    </row>
    <row r="14510">
      <c r="H14510" s="8" t="s">
        <v>364</v>
      </c>
    </row>
    <row r="14511">
      <c r="H14511" s="8" t="s">
        <v>364</v>
      </c>
    </row>
    <row r="14512">
      <c r="H14512" s="8" t="s">
        <v>364</v>
      </c>
    </row>
    <row r="14513">
      <c r="H14513" s="8" t="s">
        <v>364</v>
      </c>
    </row>
    <row r="14514">
      <c r="H14514" s="8" t="s">
        <v>364</v>
      </c>
    </row>
    <row r="14515">
      <c r="H14515" s="8" t="s">
        <v>364</v>
      </c>
    </row>
    <row r="14516">
      <c r="H14516" s="8" t="s">
        <v>364</v>
      </c>
    </row>
    <row r="14517">
      <c r="H14517" s="8" t="s">
        <v>364</v>
      </c>
    </row>
    <row r="14518">
      <c r="H14518" s="8" t="s">
        <v>364</v>
      </c>
    </row>
    <row r="14519">
      <c r="H14519" s="8" t="s">
        <v>364</v>
      </c>
    </row>
    <row r="14520">
      <c r="H14520" s="8" t="s">
        <v>364</v>
      </c>
    </row>
    <row r="14521">
      <c r="H14521" s="8" t="s">
        <v>364</v>
      </c>
    </row>
    <row r="14522">
      <c r="H14522" s="8" t="s">
        <v>364</v>
      </c>
    </row>
    <row r="14523">
      <c r="H14523" s="8" t="s">
        <v>364</v>
      </c>
    </row>
    <row r="14524">
      <c r="H14524" s="8" t="s">
        <v>364</v>
      </c>
    </row>
    <row r="14525">
      <c r="H14525" s="8" t="s">
        <v>364</v>
      </c>
    </row>
    <row r="14526">
      <c r="H14526" s="8" t="s">
        <v>364</v>
      </c>
    </row>
    <row r="14527">
      <c r="H14527" s="8" t="s">
        <v>364</v>
      </c>
    </row>
    <row r="14528">
      <c r="H14528" s="8" t="s">
        <v>364</v>
      </c>
    </row>
    <row r="14529">
      <c r="H14529" s="8" t="s">
        <v>364</v>
      </c>
    </row>
    <row r="14530">
      <c r="H14530" s="8" t="s">
        <v>364</v>
      </c>
    </row>
    <row r="14531">
      <c r="H14531" s="8" t="s">
        <v>364</v>
      </c>
    </row>
    <row r="14532">
      <c r="H14532" s="8" t="s">
        <v>364</v>
      </c>
    </row>
    <row r="14533">
      <c r="H14533" s="8" t="s">
        <v>364</v>
      </c>
    </row>
    <row r="14534">
      <c r="H14534" s="8" t="s">
        <v>364</v>
      </c>
    </row>
    <row r="14535">
      <c r="H14535" s="8" t="s">
        <v>364</v>
      </c>
    </row>
    <row r="14536">
      <c r="H14536" s="8" t="s">
        <v>364</v>
      </c>
    </row>
    <row r="14537">
      <c r="H14537" s="8" t="s">
        <v>364</v>
      </c>
    </row>
    <row r="14538">
      <c r="H14538" s="8" t="s">
        <v>364</v>
      </c>
    </row>
    <row r="14539">
      <c r="H14539" s="8" t="s">
        <v>364</v>
      </c>
    </row>
    <row r="14540">
      <c r="H14540" s="8" t="s">
        <v>364</v>
      </c>
    </row>
    <row r="14541">
      <c r="H14541" s="8" t="s">
        <v>364</v>
      </c>
    </row>
    <row r="14542">
      <c r="H14542" s="8" t="s">
        <v>364</v>
      </c>
    </row>
    <row r="14543">
      <c r="H14543" s="8" t="s">
        <v>364</v>
      </c>
    </row>
    <row r="14544">
      <c r="H14544" s="8" t="s">
        <v>364</v>
      </c>
    </row>
    <row r="14545">
      <c r="H14545" s="8" t="s">
        <v>364</v>
      </c>
    </row>
    <row r="14546">
      <c r="H14546" s="8" t="s">
        <v>364</v>
      </c>
    </row>
    <row r="14547">
      <c r="H14547" s="8" t="s">
        <v>364</v>
      </c>
    </row>
    <row r="14548">
      <c r="H14548" s="8" t="s">
        <v>364</v>
      </c>
    </row>
    <row r="14549">
      <c r="H14549" s="8" t="s">
        <v>364</v>
      </c>
    </row>
    <row r="14550">
      <c r="H14550" s="8" t="s">
        <v>364</v>
      </c>
    </row>
    <row r="14551">
      <c r="H14551" s="8" t="s">
        <v>364</v>
      </c>
    </row>
    <row r="14552">
      <c r="H14552" s="8" t="s">
        <v>364</v>
      </c>
    </row>
    <row r="14553">
      <c r="H14553" s="8" t="s">
        <v>364</v>
      </c>
    </row>
    <row r="14554">
      <c r="H14554" s="8" t="s">
        <v>364</v>
      </c>
    </row>
    <row r="14555">
      <c r="H14555" s="8" t="s">
        <v>364</v>
      </c>
    </row>
    <row r="14556">
      <c r="H14556" s="8" t="s">
        <v>364</v>
      </c>
    </row>
    <row r="14557">
      <c r="H14557" s="8" t="s">
        <v>364</v>
      </c>
    </row>
    <row r="14558">
      <c r="H14558" s="8" t="s">
        <v>364</v>
      </c>
    </row>
    <row r="14559">
      <c r="H14559" s="8" t="s">
        <v>364</v>
      </c>
    </row>
    <row r="14560">
      <c r="H14560" s="8" t="s">
        <v>364</v>
      </c>
    </row>
    <row r="14561">
      <c r="H14561" s="8" t="s">
        <v>364</v>
      </c>
    </row>
    <row r="14562">
      <c r="H14562" s="8" t="s">
        <v>364</v>
      </c>
    </row>
    <row r="14563">
      <c r="H14563" s="8" t="s">
        <v>364</v>
      </c>
    </row>
    <row r="14564">
      <c r="H14564" s="8" t="s">
        <v>364</v>
      </c>
    </row>
    <row r="14565">
      <c r="H14565" s="8" t="s">
        <v>364</v>
      </c>
    </row>
    <row r="14566">
      <c r="H14566" s="8" t="s">
        <v>364</v>
      </c>
    </row>
    <row r="14567">
      <c r="H14567" s="8" t="s">
        <v>364</v>
      </c>
    </row>
    <row r="14568">
      <c r="H14568" s="8" t="s">
        <v>364</v>
      </c>
    </row>
    <row r="14569">
      <c r="H14569" s="8" t="s">
        <v>364</v>
      </c>
    </row>
    <row r="14570">
      <c r="H14570" s="8" t="s">
        <v>364</v>
      </c>
    </row>
    <row r="14571">
      <c r="H14571" s="8" t="s">
        <v>364</v>
      </c>
    </row>
    <row r="14572">
      <c r="H14572" s="8" t="s">
        <v>364</v>
      </c>
    </row>
    <row r="14573">
      <c r="H14573" s="8" t="s">
        <v>364</v>
      </c>
    </row>
    <row r="14574">
      <c r="H14574" s="8" t="s">
        <v>364</v>
      </c>
    </row>
    <row r="14575">
      <c r="H14575" s="8" t="s">
        <v>364</v>
      </c>
    </row>
    <row r="14576">
      <c r="H14576" s="8" t="s">
        <v>364</v>
      </c>
    </row>
    <row r="14577">
      <c r="H14577" s="8" t="s">
        <v>364</v>
      </c>
    </row>
    <row r="14578">
      <c r="H14578" s="8" t="s">
        <v>364</v>
      </c>
    </row>
    <row r="14579">
      <c r="H14579" s="8" t="s">
        <v>364</v>
      </c>
    </row>
    <row r="14580">
      <c r="H14580" s="8" t="s">
        <v>364</v>
      </c>
    </row>
    <row r="14581">
      <c r="H14581" s="8" t="s">
        <v>364</v>
      </c>
    </row>
    <row r="14582">
      <c r="H14582" s="8" t="s">
        <v>364</v>
      </c>
    </row>
    <row r="14583">
      <c r="H14583" s="8" t="s">
        <v>364</v>
      </c>
    </row>
    <row r="14584">
      <c r="H14584" s="8" t="s">
        <v>364</v>
      </c>
    </row>
    <row r="14585">
      <c r="H14585" s="8" t="s">
        <v>364</v>
      </c>
    </row>
    <row r="14586">
      <c r="H14586" s="8" t="s">
        <v>364</v>
      </c>
    </row>
    <row r="14587">
      <c r="H14587" s="8" t="s">
        <v>364</v>
      </c>
    </row>
    <row r="14588">
      <c r="H14588" s="8" t="s">
        <v>364</v>
      </c>
    </row>
    <row r="14589">
      <c r="H14589" s="8" t="s">
        <v>364</v>
      </c>
    </row>
    <row r="14590">
      <c r="H14590" s="8" t="s">
        <v>364</v>
      </c>
    </row>
    <row r="14591">
      <c r="H14591" s="8" t="s">
        <v>364</v>
      </c>
    </row>
    <row r="14592">
      <c r="H14592" s="8" t="s">
        <v>364</v>
      </c>
    </row>
    <row r="14593">
      <c r="H14593" s="8" t="s">
        <v>364</v>
      </c>
    </row>
    <row r="14594">
      <c r="H14594" s="8" t="s">
        <v>364</v>
      </c>
    </row>
    <row r="14595">
      <c r="H14595" s="8" t="s">
        <v>364</v>
      </c>
    </row>
    <row r="14596">
      <c r="H14596" s="8" t="s">
        <v>364</v>
      </c>
    </row>
    <row r="14597">
      <c r="H14597" s="8" t="s">
        <v>364</v>
      </c>
    </row>
    <row r="14598">
      <c r="H14598" s="8" t="s">
        <v>364</v>
      </c>
    </row>
    <row r="14599">
      <c r="H14599" s="8" t="s">
        <v>364</v>
      </c>
    </row>
    <row r="14600">
      <c r="H14600" s="8" t="s">
        <v>364</v>
      </c>
    </row>
    <row r="14601">
      <c r="H14601" s="8" t="s">
        <v>364</v>
      </c>
    </row>
    <row r="14602">
      <c r="H14602" s="8" t="s">
        <v>364</v>
      </c>
    </row>
    <row r="14603">
      <c r="H14603" s="8" t="s">
        <v>364</v>
      </c>
    </row>
    <row r="14604">
      <c r="H14604" s="8" t="s">
        <v>364</v>
      </c>
    </row>
    <row r="14605">
      <c r="H14605" s="8" t="s">
        <v>364</v>
      </c>
    </row>
    <row r="14606">
      <c r="H14606" s="8" t="s">
        <v>364</v>
      </c>
    </row>
    <row r="14607">
      <c r="H14607" s="8" t="s">
        <v>364</v>
      </c>
    </row>
    <row r="14608">
      <c r="H14608" s="8" t="s">
        <v>364</v>
      </c>
    </row>
    <row r="14609">
      <c r="H14609" s="8" t="s">
        <v>364</v>
      </c>
    </row>
    <row r="14610">
      <c r="H14610" s="8" t="s">
        <v>364</v>
      </c>
    </row>
    <row r="14611">
      <c r="H14611" s="8" t="s">
        <v>364</v>
      </c>
    </row>
    <row r="14612">
      <c r="H14612" s="8" t="s">
        <v>364</v>
      </c>
    </row>
    <row r="14613">
      <c r="H14613" s="8" t="s">
        <v>364</v>
      </c>
    </row>
    <row r="14614">
      <c r="H14614" s="8" t="s">
        <v>364</v>
      </c>
    </row>
    <row r="14615">
      <c r="H14615" s="8" t="s">
        <v>364</v>
      </c>
    </row>
    <row r="14616">
      <c r="H14616" s="8" t="s">
        <v>364</v>
      </c>
    </row>
    <row r="14617">
      <c r="H14617" s="8" t="s">
        <v>364</v>
      </c>
    </row>
    <row r="14618">
      <c r="H14618" s="8" t="s">
        <v>364</v>
      </c>
    </row>
    <row r="14619">
      <c r="H14619" s="8" t="s">
        <v>364</v>
      </c>
    </row>
    <row r="14620">
      <c r="H14620" s="8" t="s">
        <v>364</v>
      </c>
    </row>
    <row r="14621">
      <c r="H14621" s="8" t="s">
        <v>364</v>
      </c>
    </row>
    <row r="14622">
      <c r="H14622" s="8" t="s">
        <v>364</v>
      </c>
    </row>
    <row r="14623">
      <c r="H14623" s="8" t="s">
        <v>364</v>
      </c>
    </row>
    <row r="14624">
      <c r="H14624" s="8" t="s">
        <v>364</v>
      </c>
    </row>
    <row r="14625">
      <c r="H14625" s="8" t="s">
        <v>364</v>
      </c>
    </row>
    <row r="14626">
      <c r="H14626" s="8" t="s">
        <v>364</v>
      </c>
    </row>
    <row r="14627">
      <c r="H14627" s="8" t="s">
        <v>364</v>
      </c>
    </row>
    <row r="14628">
      <c r="H14628" s="8" t="s">
        <v>364</v>
      </c>
    </row>
    <row r="14629">
      <c r="H14629" s="8" t="s">
        <v>364</v>
      </c>
    </row>
    <row r="14630">
      <c r="H14630" s="8" t="s">
        <v>364</v>
      </c>
    </row>
    <row r="14631">
      <c r="H14631" s="8" t="s">
        <v>364</v>
      </c>
    </row>
    <row r="14632">
      <c r="H14632" s="8" t="s">
        <v>364</v>
      </c>
    </row>
    <row r="14633">
      <c r="H14633" s="8" t="s">
        <v>364</v>
      </c>
    </row>
    <row r="14634">
      <c r="H14634" s="8" t="s">
        <v>364</v>
      </c>
    </row>
    <row r="14635">
      <c r="H14635" s="8" t="s">
        <v>364</v>
      </c>
    </row>
    <row r="14636">
      <c r="H14636" s="8" t="s">
        <v>364</v>
      </c>
    </row>
    <row r="14637">
      <c r="H14637" s="8" t="s">
        <v>364</v>
      </c>
    </row>
    <row r="14638">
      <c r="H14638" s="8" t="s">
        <v>364</v>
      </c>
    </row>
    <row r="14639">
      <c r="H14639" s="8" t="s">
        <v>364</v>
      </c>
    </row>
    <row r="14640">
      <c r="H14640" s="8" t="s">
        <v>364</v>
      </c>
    </row>
    <row r="14641">
      <c r="H14641" s="8" t="s">
        <v>364</v>
      </c>
    </row>
    <row r="14642">
      <c r="H14642" s="8" t="s">
        <v>364</v>
      </c>
    </row>
    <row r="14643">
      <c r="H14643" s="8" t="s">
        <v>364</v>
      </c>
    </row>
    <row r="14644">
      <c r="H14644" s="8" t="s">
        <v>364</v>
      </c>
    </row>
    <row r="14645">
      <c r="H14645" s="8" t="s">
        <v>364</v>
      </c>
    </row>
    <row r="14646">
      <c r="H14646" s="8" t="s">
        <v>364</v>
      </c>
    </row>
    <row r="14647">
      <c r="H14647" s="8" t="s">
        <v>364</v>
      </c>
    </row>
    <row r="14648">
      <c r="H14648" s="8" t="s">
        <v>364</v>
      </c>
    </row>
    <row r="14649">
      <c r="H14649" s="8" t="s">
        <v>364</v>
      </c>
    </row>
    <row r="14650">
      <c r="H14650" s="8" t="s">
        <v>364</v>
      </c>
    </row>
    <row r="14651">
      <c r="H14651" s="8" t="s">
        <v>364</v>
      </c>
    </row>
    <row r="14652">
      <c r="H14652" s="8" t="s">
        <v>364</v>
      </c>
    </row>
    <row r="14653">
      <c r="H14653" s="8" t="s">
        <v>364</v>
      </c>
    </row>
    <row r="14654">
      <c r="H14654" s="8" t="s">
        <v>364</v>
      </c>
    </row>
    <row r="14655">
      <c r="H14655" s="8" t="s">
        <v>364</v>
      </c>
    </row>
    <row r="14656">
      <c r="H14656" s="8" t="s">
        <v>364</v>
      </c>
    </row>
    <row r="14657">
      <c r="H14657" s="8" t="s">
        <v>364</v>
      </c>
    </row>
    <row r="14658">
      <c r="H14658" s="8" t="s">
        <v>364</v>
      </c>
    </row>
    <row r="14659">
      <c r="H14659" s="8" t="s">
        <v>364</v>
      </c>
    </row>
    <row r="14660">
      <c r="H14660" s="8" t="s">
        <v>364</v>
      </c>
    </row>
    <row r="14661">
      <c r="H14661" s="8" t="s">
        <v>364</v>
      </c>
    </row>
    <row r="14662">
      <c r="H14662" s="8" t="s">
        <v>364</v>
      </c>
    </row>
    <row r="14663">
      <c r="H14663" s="8" t="s">
        <v>364</v>
      </c>
    </row>
    <row r="14664">
      <c r="H14664" s="8" t="s">
        <v>364</v>
      </c>
    </row>
    <row r="14665">
      <c r="H14665" s="8" t="s">
        <v>364</v>
      </c>
    </row>
    <row r="14666">
      <c r="H14666" s="8" t="s">
        <v>364</v>
      </c>
    </row>
    <row r="14667">
      <c r="H14667" s="8" t="s">
        <v>364</v>
      </c>
    </row>
    <row r="14668">
      <c r="H14668" s="8" t="s">
        <v>364</v>
      </c>
    </row>
    <row r="14669">
      <c r="H14669" s="8" t="s">
        <v>364</v>
      </c>
    </row>
    <row r="14670">
      <c r="H14670" s="8" t="s">
        <v>364</v>
      </c>
    </row>
    <row r="14671">
      <c r="H14671" s="8" t="s">
        <v>364</v>
      </c>
    </row>
    <row r="14672">
      <c r="H14672" s="8" t="s">
        <v>364</v>
      </c>
    </row>
    <row r="14673">
      <c r="H14673" s="8" t="s">
        <v>364</v>
      </c>
    </row>
    <row r="14674">
      <c r="H14674" s="8" t="s">
        <v>364</v>
      </c>
    </row>
    <row r="14675">
      <c r="H14675" s="8" t="s">
        <v>364</v>
      </c>
    </row>
    <row r="14676">
      <c r="H14676" s="8" t="s">
        <v>364</v>
      </c>
    </row>
    <row r="14677">
      <c r="H14677" s="8" t="s">
        <v>364</v>
      </c>
    </row>
    <row r="14678">
      <c r="H14678" s="8" t="s">
        <v>364</v>
      </c>
    </row>
    <row r="14679">
      <c r="H14679" s="8" t="s">
        <v>364</v>
      </c>
    </row>
    <row r="14680">
      <c r="H14680" s="8" t="s">
        <v>364</v>
      </c>
    </row>
    <row r="14681">
      <c r="H14681" s="8" t="s">
        <v>364</v>
      </c>
    </row>
    <row r="14682">
      <c r="H14682" s="8" t="s">
        <v>364</v>
      </c>
    </row>
    <row r="14683">
      <c r="H14683" s="8" t="s">
        <v>364</v>
      </c>
    </row>
    <row r="14684">
      <c r="H14684" s="8" t="s">
        <v>364</v>
      </c>
    </row>
    <row r="14685">
      <c r="H14685" s="8" t="s">
        <v>364</v>
      </c>
    </row>
    <row r="14686">
      <c r="H14686" s="8" t="s">
        <v>364</v>
      </c>
    </row>
    <row r="14687">
      <c r="H14687" s="8" t="s">
        <v>364</v>
      </c>
    </row>
    <row r="14688">
      <c r="H14688" s="8" t="s">
        <v>364</v>
      </c>
    </row>
    <row r="14689">
      <c r="H14689" s="8" t="s">
        <v>364</v>
      </c>
    </row>
    <row r="14690">
      <c r="H14690" s="8" t="s">
        <v>364</v>
      </c>
    </row>
    <row r="14691">
      <c r="H14691" s="8" t="s">
        <v>364</v>
      </c>
    </row>
    <row r="14692">
      <c r="H14692" s="8" t="s">
        <v>364</v>
      </c>
    </row>
    <row r="14693">
      <c r="H14693" s="8" t="s">
        <v>364</v>
      </c>
    </row>
    <row r="14694">
      <c r="H14694" s="8" t="s">
        <v>364</v>
      </c>
    </row>
    <row r="14695">
      <c r="H14695" s="8" t="s">
        <v>364</v>
      </c>
    </row>
    <row r="14696">
      <c r="H14696" s="8" t="s">
        <v>364</v>
      </c>
    </row>
    <row r="14697">
      <c r="H14697" s="8" t="s">
        <v>364</v>
      </c>
    </row>
    <row r="14698">
      <c r="H14698" s="8" t="s">
        <v>364</v>
      </c>
    </row>
    <row r="14699">
      <c r="H14699" s="8" t="s">
        <v>364</v>
      </c>
    </row>
    <row r="14700">
      <c r="H14700" s="8" t="s">
        <v>364</v>
      </c>
    </row>
    <row r="14701">
      <c r="H14701" s="8" t="s">
        <v>364</v>
      </c>
    </row>
    <row r="14702">
      <c r="H14702" s="8" t="s">
        <v>364</v>
      </c>
    </row>
    <row r="14703">
      <c r="H14703" s="8" t="s">
        <v>364</v>
      </c>
    </row>
    <row r="14704">
      <c r="H14704" s="8" t="s">
        <v>364</v>
      </c>
    </row>
    <row r="14705">
      <c r="H14705" s="8" t="s">
        <v>364</v>
      </c>
    </row>
    <row r="14706">
      <c r="H14706" s="8" t="s">
        <v>364</v>
      </c>
    </row>
    <row r="14707">
      <c r="H14707" s="8" t="s">
        <v>364</v>
      </c>
    </row>
    <row r="14708">
      <c r="H14708" s="8" t="s">
        <v>364</v>
      </c>
    </row>
    <row r="14709">
      <c r="H14709" s="8" t="s">
        <v>364</v>
      </c>
    </row>
    <row r="14710">
      <c r="H14710" s="8" t="s">
        <v>364</v>
      </c>
    </row>
    <row r="14711">
      <c r="H14711" s="8" t="s">
        <v>364</v>
      </c>
    </row>
    <row r="14712">
      <c r="H14712" s="8" t="s">
        <v>364</v>
      </c>
    </row>
    <row r="14713">
      <c r="H14713" s="8" t="s">
        <v>364</v>
      </c>
    </row>
    <row r="14714">
      <c r="H14714" s="8" t="s">
        <v>364</v>
      </c>
    </row>
    <row r="14715">
      <c r="H14715" s="8" t="s">
        <v>364</v>
      </c>
    </row>
    <row r="14716">
      <c r="H14716" s="8" t="s">
        <v>364</v>
      </c>
    </row>
    <row r="14717">
      <c r="H14717" s="8" t="s">
        <v>364</v>
      </c>
    </row>
    <row r="14718">
      <c r="H14718" s="8" t="s">
        <v>364</v>
      </c>
    </row>
    <row r="14719">
      <c r="H14719" s="8" t="s">
        <v>364</v>
      </c>
    </row>
    <row r="14720">
      <c r="H14720" s="8" t="s">
        <v>364</v>
      </c>
    </row>
    <row r="14721">
      <c r="H14721" s="8" t="s">
        <v>364</v>
      </c>
    </row>
    <row r="14722">
      <c r="H14722" s="8" t="s">
        <v>364</v>
      </c>
    </row>
    <row r="14723">
      <c r="H14723" s="8" t="s">
        <v>364</v>
      </c>
    </row>
    <row r="14724">
      <c r="H14724" s="8" t="s">
        <v>364</v>
      </c>
    </row>
    <row r="14725">
      <c r="H14725" s="8" t="s">
        <v>364</v>
      </c>
    </row>
    <row r="14726">
      <c r="H14726" s="8" t="s">
        <v>364</v>
      </c>
    </row>
    <row r="14727">
      <c r="H14727" s="8" t="s">
        <v>364</v>
      </c>
    </row>
    <row r="14728">
      <c r="H14728" s="8" t="s">
        <v>364</v>
      </c>
    </row>
    <row r="14729">
      <c r="H14729" s="8" t="s">
        <v>364</v>
      </c>
    </row>
    <row r="14730">
      <c r="H14730" s="8" t="s">
        <v>364</v>
      </c>
    </row>
    <row r="14731">
      <c r="H14731" s="8" t="s">
        <v>364</v>
      </c>
    </row>
    <row r="14732">
      <c r="H14732" s="8" t="s">
        <v>364</v>
      </c>
    </row>
    <row r="14733">
      <c r="H14733" s="8" t="s">
        <v>364</v>
      </c>
    </row>
    <row r="14734">
      <c r="H14734" s="8" t="s">
        <v>364</v>
      </c>
    </row>
    <row r="14735">
      <c r="H14735" s="8" t="s">
        <v>364</v>
      </c>
    </row>
    <row r="14736">
      <c r="H14736" s="8" t="s">
        <v>364</v>
      </c>
    </row>
    <row r="14737">
      <c r="H14737" s="8" t="s">
        <v>364</v>
      </c>
    </row>
    <row r="14738">
      <c r="H14738" s="8" t="s">
        <v>364</v>
      </c>
    </row>
    <row r="14739">
      <c r="H14739" s="8" t="s">
        <v>364</v>
      </c>
    </row>
    <row r="14740">
      <c r="H14740" s="8" t="s">
        <v>364</v>
      </c>
    </row>
    <row r="14741">
      <c r="H14741" s="8" t="s">
        <v>364</v>
      </c>
    </row>
    <row r="14742">
      <c r="H14742" s="8" t="s">
        <v>364</v>
      </c>
    </row>
    <row r="14743">
      <c r="H14743" s="8" t="s">
        <v>364</v>
      </c>
    </row>
    <row r="14744">
      <c r="H14744" s="8" t="s">
        <v>364</v>
      </c>
    </row>
    <row r="14745">
      <c r="H14745" s="8" t="s">
        <v>364</v>
      </c>
    </row>
    <row r="14746">
      <c r="H14746" s="8" t="s">
        <v>364</v>
      </c>
    </row>
    <row r="14747">
      <c r="H14747" s="8" t="s">
        <v>364</v>
      </c>
    </row>
    <row r="14748">
      <c r="H14748" s="8" t="s">
        <v>364</v>
      </c>
    </row>
    <row r="14749">
      <c r="H14749" s="8" t="s">
        <v>364</v>
      </c>
    </row>
    <row r="14750">
      <c r="H14750" s="8" t="s">
        <v>364</v>
      </c>
    </row>
    <row r="14751">
      <c r="H14751" s="8" t="s">
        <v>364</v>
      </c>
    </row>
    <row r="14752">
      <c r="H14752" s="8" t="s">
        <v>364</v>
      </c>
    </row>
    <row r="14753">
      <c r="H14753" s="8" t="s">
        <v>364</v>
      </c>
    </row>
    <row r="14754">
      <c r="H14754" s="8" t="s">
        <v>364</v>
      </c>
    </row>
    <row r="14755">
      <c r="H14755" s="8" t="s">
        <v>364</v>
      </c>
    </row>
    <row r="14756">
      <c r="H14756" s="8" t="s">
        <v>364</v>
      </c>
    </row>
    <row r="14757">
      <c r="H14757" s="8" t="s">
        <v>364</v>
      </c>
    </row>
    <row r="14758">
      <c r="H14758" s="8" t="s">
        <v>364</v>
      </c>
    </row>
    <row r="14759">
      <c r="H14759" s="8" t="s">
        <v>364</v>
      </c>
    </row>
    <row r="14760">
      <c r="H14760" s="8" t="s">
        <v>364</v>
      </c>
    </row>
    <row r="14761">
      <c r="H14761" s="8" t="s">
        <v>364</v>
      </c>
    </row>
    <row r="14762">
      <c r="H14762" s="8" t="s">
        <v>364</v>
      </c>
    </row>
    <row r="14763">
      <c r="H14763" s="8" t="s">
        <v>364</v>
      </c>
    </row>
    <row r="14764">
      <c r="H14764" s="8" t="s">
        <v>364</v>
      </c>
    </row>
    <row r="14765">
      <c r="H14765" s="8" t="s">
        <v>364</v>
      </c>
    </row>
    <row r="14766">
      <c r="H14766" s="8" t="s">
        <v>364</v>
      </c>
    </row>
    <row r="14767">
      <c r="H14767" s="8" t="s">
        <v>364</v>
      </c>
    </row>
    <row r="14768">
      <c r="H14768" s="8" t="s">
        <v>364</v>
      </c>
    </row>
    <row r="14769">
      <c r="H14769" s="8" t="s">
        <v>364</v>
      </c>
    </row>
    <row r="14770">
      <c r="H14770" s="8" t="s">
        <v>364</v>
      </c>
    </row>
    <row r="14771">
      <c r="H14771" s="8" t="s">
        <v>364</v>
      </c>
    </row>
    <row r="14772">
      <c r="H14772" s="8" t="s">
        <v>364</v>
      </c>
    </row>
    <row r="14773">
      <c r="H14773" s="8" t="s">
        <v>364</v>
      </c>
    </row>
    <row r="14774">
      <c r="H14774" s="8" t="s">
        <v>364</v>
      </c>
    </row>
    <row r="14775">
      <c r="H14775" s="8" t="s">
        <v>364</v>
      </c>
    </row>
    <row r="14776">
      <c r="H14776" s="8" t="s">
        <v>364</v>
      </c>
    </row>
    <row r="14777">
      <c r="H14777" s="8" t="s">
        <v>364</v>
      </c>
    </row>
    <row r="14778">
      <c r="H14778" s="8" t="s">
        <v>364</v>
      </c>
    </row>
    <row r="14779">
      <c r="H14779" s="8" t="s">
        <v>364</v>
      </c>
    </row>
    <row r="14780">
      <c r="H14780" s="8" t="s">
        <v>364</v>
      </c>
    </row>
    <row r="14781">
      <c r="H14781" s="8" t="s">
        <v>364</v>
      </c>
    </row>
    <row r="14782">
      <c r="H14782" s="8" t="s">
        <v>364</v>
      </c>
    </row>
    <row r="14783">
      <c r="H14783" s="8" t="s">
        <v>364</v>
      </c>
    </row>
    <row r="14784">
      <c r="H14784" s="8" t="s">
        <v>364</v>
      </c>
    </row>
    <row r="14785">
      <c r="H14785" s="8" t="s">
        <v>364</v>
      </c>
    </row>
    <row r="14786">
      <c r="H14786" s="8" t="s">
        <v>364</v>
      </c>
    </row>
    <row r="14787">
      <c r="H14787" s="8" t="s">
        <v>364</v>
      </c>
    </row>
    <row r="14788">
      <c r="H14788" s="8" t="s">
        <v>364</v>
      </c>
    </row>
    <row r="14789">
      <c r="H14789" s="8" t="s">
        <v>364</v>
      </c>
    </row>
    <row r="14790">
      <c r="H14790" s="8" t="s">
        <v>364</v>
      </c>
    </row>
    <row r="14791">
      <c r="H14791" s="8" t="s">
        <v>364</v>
      </c>
    </row>
    <row r="14792">
      <c r="H14792" s="8" t="s">
        <v>364</v>
      </c>
    </row>
    <row r="14793">
      <c r="H14793" s="8" t="s">
        <v>364</v>
      </c>
    </row>
    <row r="14794">
      <c r="H14794" s="8" t="s">
        <v>364</v>
      </c>
    </row>
    <row r="14795">
      <c r="H14795" s="8" t="s">
        <v>364</v>
      </c>
    </row>
    <row r="14796">
      <c r="H14796" s="8" t="s">
        <v>364</v>
      </c>
    </row>
    <row r="14797">
      <c r="H14797" s="8" t="s">
        <v>364</v>
      </c>
    </row>
    <row r="14798">
      <c r="H14798" s="8" t="s">
        <v>364</v>
      </c>
    </row>
    <row r="14799">
      <c r="H14799" s="8" t="s">
        <v>364</v>
      </c>
    </row>
    <row r="14800">
      <c r="H14800" s="8" t="s">
        <v>364</v>
      </c>
    </row>
    <row r="14801">
      <c r="H14801" s="8" t="s">
        <v>364</v>
      </c>
    </row>
    <row r="14802">
      <c r="H14802" s="8" t="s">
        <v>364</v>
      </c>
    </row>
    <row r="14803">
      <c r="H14803" s="8" t="s">
        <v>364</v>
      </c>
    </row>
    <row r="14804">
      <c r="H14804" s="8" t="s">
        <v>364</v>
      </c>
    </row>
    <row r="14805">
      <c r="H14805" s="8" t="s">
        <v>364</v>
      </c>
    </row>
    <row r="14806">
      <c r="H14806" s="8" t="s">
        <v>364</v>
      </c>
    </row>
    <row r="14807">
      <c r="H14807" s="8" t="s">
        <v>364</v>
      </c>
    </row>
    <row r="14808">
      <c r="H14808" s="8" t="s">
        <v>364</v>
      </c>
    </row>
    <row r="14809">
      <c r="H14809" s="8" t="s">
        <v>364</v>
      </c>
    </row>
    <row r="14810">
      <c r="H14810" s="8" t="s">
        <v>364</v>
      </c>
    </row>
    <row r="14811">
      <c r="H14811" s="8" t="s">
        <v>364</v>
      </c>
    </row>
    <row r="14812">
      <c r="H14812" s="8" t="s">
        <v>364</v>
      </c>
    </row>
    <row r="14813">
      <c r="H14813" s="8" t="s">
        <v>364</v>
      </c>
    </row>
    <row r="14814">
      <c r="H14814" s="8" t="s">
        <v>364</v>
      </c>
    </row>
    <row r="14815">
      <c r="H14815" s="8" t="s">
        <v>364</v>
      </c>
    </row>
    <row r="14816">
      <c r="H14816" s="8" t="s">
        <v>364</v>
      </c>
    </row>
    <row r="14817">
      <c r="H14817" s="8" t="s">
        <v>364</v>
      </c>
    </row>
    <row r="14818">
      <c r="H14818" s="8" t="s">
        <v>364</v>
      </c>
    </row>
    <row r="14819">
      <c r="H14819" s="8" t="s">
        <v>364</v>
      </c>
    </row>
    <row r="14820">
      <c r="H14820" s="8" t="s">
        <v>364</v>
      </c>
    </row>
    <row r="14821">
      <c r="H14821" s="8" t="s">
        <v>364</v>
      </c>
    </row>
    <row r="14822">
      <c r="H14822" s="8" t="s">
        <v>364</v>
      </c>
    </row>
    <row r="14823">
      <c r="H14823" s="8" t="s">
        <v>364</v>
      </c>
    </row>
    <row r="14824">
      <c r="H14824" s="8" t="s">
        <v>364</v>
      </c>
    </row>
    <row r="14825">
      <c r="H14825" s="8" t="s">
        <v>364</v>
      </c>
    </row>
    <row r="14826">
      <c r="H14826" s="8" t="s">
        <v>364</v>
      </c>
    </row>
    <row r="14827">
      <c r="H14827" s="8" t="s">
        <v>364</v>
      </c>
    </row>
    <row r="14828">
      <c r="H14828" s="8" t="s">
        <v>364</v>
      </c>
    </row>
    <row r="14829">
      <c r="H14829" s="8" t="s">
        <v>364</v>
      </c>
    </row>
    <row r="14830">
      <c r="H14830" s="8" t="s">
        <v>364</v>
      </c>
    </row>
    <row r="14831">
      <c r="H14831" s="8" t="s">
        <v>364</v>
      </c>
    </row>
    <row r="14832">
      <c r="H14832" s="8" t="s">
        <v>364</v>
      </c>
    </row>
    <row r="14833">
      <c r="H14833" s="8" t="s">
        <v>364</v>
      </c>
    </row>
    <row r="14834">
      <c r="H14834" s="8" t="s">
        <v>364</v>
      </c>
    </row>
    <row r="14835">
      <c r="H14835" s="8" t="s">
        <v>364</v>
      </c>
    </row>
    <row r="14836">
      <c r="H14836" s="8" t="s">
        <v>364</v>
      </c>
    </row>
    <row r="14837">
      <c r="H14837" s="8" t="s">
        <v>364</v>
      </c>
    </row>
    <row r="14838">
      <c r="H14838" s="8" t="s">
        <v>364</v>
      </c>
    </row>
    <row r="14839">
      <c r="H14839" s="8" t="s">
        <v>364</v>
      </c>
    </row>
    <row r="14840">
      <c r="H14840" s="8" t="s">
        <v>364</v>
      </c>
    </row>
    <row r="14841">
      <c r="H14841" s="8" t="s">
        <v>364</v>
      </c>
    </row>
    <row r="14842">
      <c r="H14842" s="8" t="s">
        <v>364</v>
      </c>
    </row>
    <row r="14843">
      <c r="H14843" s="8" t="s">
        <v>364</v>
      </c>
    </row>
    <row r="14844">
      <c r="H14844" s="8" t="s">
        <v>364</v>
      </c>
    </row>
    <row r="14845">
      <c r="H14845" s="8" t="s">
        <v>364</v>
      </c>
    </row>
    <row r="14846">
      <c r="H14846" s="8" t="s">
        <v>364</v>
      </c>
    </row>
    <row r="14847">
      <c r="H14847" s="8" t="s">
        <v>364</v>
      </c>
    </row>
    <row r="14848">
      <c r="H14848" s="8" t="s">
        <v>364</v>
      </c>
    </row>
    <row r="14849">
      <c r="H14849" s="8" t="s">
        <v>364</v>
      </c>
    </row>
    <row r="14850">
      <c r="H14850" s="8" t="s">
        <v>364</v>
      </c>
    </row>
    <row r="14851">
      <c r="H14851" s="8" t="s">
        <v>364</v>
      </c>
    </row>
    <row r="14852">
      <c r="H14852" s="8" t="s">
        <v>364</v>
      </c>
    </row>
    <row r="14853">
      <c r="H14853" s="8" t="s">
        <v>364</v>
      </c>
    </row>
    <row r="14854">
      <c r="H14854" s="8" t="s">
        <v>364</v>
      </c>
    </row>
    <row r="14855">
      <c r="H14855" s="8" t="s">
        <v>364</v>
      </c>
    </row>
    <row r="14856">
      <c r="H14856" s="8" t="s">
        <v>364</v>
      </c>
    </row>
    <row r="14857">
      <c r="H14857" s="8" t="s">
        <v>364</v>
      </c>
    </row>
    <row r="14858">
      <c r="H14858" s="8" t="s">
        <v>364</v>
      </c>
    </row>
    <row r="14859">
      <c r="H14859" s="8" t="s">
        <v>364</v>
      </c>
    </row>
    <row r="14860">
      <c r="H14860" s="8" t="s">
        <v>364</v>
      </c>
    </row>
    <row r="14861">
      <c r="H14861" s="8" t="s">
        <v>364</v>
      </c>
    </row>
    <row r="14862">
      <c r="H14862" s="8" t="s">
        <v>364</v>
      </c>
    </row>
    <row r="14863">
      <c r="H14863" s="8" t="s">
        <v>364</v>
      </c>
    </row>
    <row r="14864">
      <c r="H14864" s="8" t="s">
        <v>364</v>
      </c>
    </row>
    <row r="14865">
      <c r="H14865" s="8" t="s">
        <v>364</v>
      </c>
    </row>
    <row r="14866">
      <c r="H14866" s="8" t="s">
        <v>364</v>
      </c>
    </row>
    <row r="14867">
      <c r="H14867" s="8" t="s">
        <v>364</v>
      </c>
    </row>
    <row r="14868">
      <c r="H14868" s="8" t="s">
        <v>364</v>
      </c>
    </row>
    <row r="14869">
      <c r="H14869" s="8" t="s">
        <v>364</v>
      </c>
    </row>
    <row r="14870">
      <c r="H14870" s="8" t="s">
        <v>364</v>
      </c>
    </row>
    <row r="14871">
      <c r="H14871" s="8" t="s">
        <v>364</v>
      </c>
    </row>
    <row r="14872">
      <c r="H14872" s="8" t="s">
        <v>364</v>
      </c>
    </row>
    <row r="14873">
      <c r="H14873" s="8" t="s">
        <v>364</v>
      </c>
    </row>
    <row r="14874">
      <c r="H14874" s="8" t="s">
        <v>364</v>
      </c>
    </row>
    <row r="14875">
      <c r="H14875" s="8" t="s">
        <v>364</v>
      </c>
    </row>
    <row r="14876">
      <c r="H14876" s="8" t="s">
        <v>364</v>
      </c>
    </row>
    <row r="14877">
      <c r="H14877" s="8" t="s">
        <v>364</v>
      </c>
    </row>
    <row r="14878">
      <c r="H14878" s="8" t="s">
        <v>364</v>
      </c>
    </row>
    <row r="14879">
      <c r="H14879" s="8" t="s">
        <v>364</v>
      </c>
    </row>
    <row r="14880">
      <c r="H14880" s="8" t="s">
        <v>364</v>
      </c>
    </row>
    <row r="14881">
      <c r="H14881" s="8" t="s">
        <v>364</v>
      </c>
    </row>
    <row r="14882">
      <c r="H14882" s="8" t="s">
        <v>364</v>
      </c>
    </row>
    <row r="14883">
      <c r="H14883" s="8" t="s">
        <v>364</v>
      </c>
    </row>
    <row r="14884">
      <c r="H14884" s="8" t="s">
        <v>364</v>
      </c>
    </row>
    <row r="14885">
      <c r="H14885" s="8" t="s">
        <v>364</v>
      </c>
    </row>
    <row r="14886">
      <c r="H14886" s="8" t="s">
        <v>364</v>
      </c>
    </row>
    <row r="14887">
      <c r="H14887" s="8" t="s">
        <v>364</v>
      </c>
    </row>
    <row r="14888">
      <c r="H14888" s="8" t="s">
        <v>364</v>
      </c>
    </row>
    <row r="14889">
      <c r="H14889" s="8" t="s">
        <v>364</v>
      </c>
    </row>
    <row r="14890">
      <c r="H14890" s="8" t="s">
        <v>364</v>
      </c>
    </row>
    <row r="14891">
      <c r="H14891" s="8" t="s">
        <v>364</v>
      </c>
    </row>
    <row r="14892">
      <c r="H14892" s="8" t="s">
        <v>364</v>
      </c>
    </row>
    <row r="14893">
      <c r="H14893" s="8" t="s">
        <v>364</v>
      </c>
    </row>
    <row r="14894">
      <c r="H14894" s="8" t="s">
        <v>364</v>
      </c>
    </row>
    <row r="14895">
      <c r="H14895" s="8" t="s">
        <v>364</v>
      </c>
    </row>
    <row r="14896">
      <c r="H14896" s="8" t="s">
        <v>364</v>
      </c>
    </row>
    <row r="14897">
      <c r="H14897" s="8" t="s">
        <v>364</v>
      </c>
    </row>
    <row r="14898">
      <c r="H14898" s="8" t="s">
        <v>364</v>
      </c>
    </row>
    <row r="14899">
      <c r="H14899" s="8" t="s">
        <v>364</v>
      </c>
    </row>
    <row r="14900">
      <c r="H14900" s="8" t="s">
        <v>364</v>
      </c>
    </row>
    <row r="14901">
      <c r="H14901" s="8" t="s">
        <v>364</v>
      </c>
    </row>
    <row r="14902">
      <c r="H14902" s="8" t="s">
        <v>364</v>
      </c>
    </row>
    <row r="14903">
      <c r="H14903" s="8" t="s">
        <v>364</v>
      </c>
    </row>
    <row r="14904">
      <c r="H14904" s="8" t="s">
        <v>364</v>
      </c>
    </row>
    <row r="14905">
      <c r="H14905" s="8" t="s">
        <v>364</v>
      </c>
    </row>
    <row r="14906">
      <c r="H14906" s="8" t="s">
        <v>364</v>
      </c>
    </row>
    <row r="14907">
      <c r="H14907" s="8" t="s">
        <v>364</v>
      </c>
    </row>
    <row r="14908">
      <c r="H14908" s="8" t="s">
        <v>364</v>
      </c>
    </row>
    <row r="14909">
      <c r="H14909" s="8" t="s">
        <v>364</v>
      </c>
    </row>
    <row r="14910">
      <c r="H14910" s="8" t="s">
        <v>364</v>
      </c>
    </row>
    <row r="14911">
      <c r="H14911" s="8" t="s">
        <v>364</v>
      </c>
    </row>
    <row r="14912">
      <c r="H14912" s="8" t="s">
        <v>364</v>
      </c>
    </row>
    <row r="14913">
      <c r="H14913" s="8" t="s">
        <v>364</v>
      </c>
    </row>
    <row r="14914">
      <c r="H14914" s="8" t="s">
        <v>364</v>
      </c>
    </row>
    <row r="14915">
      <c r="H14915" s="8" t="s">
        <v>364</v>
      </c>
    </row>
    <row r="14916">
      <c r="H14916" s="8" t="s">
        <v>364</v>
      </c>
    </row>
    <row r="14917">
      <c r="H14917" s="8" t="s">
        <v>364</v>
      </c>
    </row>
    <row r="14918">
      <c r="H14918" s="8" t="s">
        <v>364</v>
      </c>
    </row>
    <row r="14919">
      <c r="H14919" s="8" t="s">
        <v>364</v>
      </c>
    </row>
    <row r="14920">
      <c r="H14920" s="8" t="s">
        <v>364</v>
      </c>
    </row>
    <row r="14921">
      <c r="H14921" s="8" t="s">
        <v>364</v>
      </c>
    </row>
    <row r="14922">
      <c r="H14922" s="8" t="s">
        <v>364</v>
      </c>
    </row>
    <row r="14923">
      <c r="H14923" s="8" t="s">
        <v>364</v>
      </c>
    </row>
    <row r="14924">
      <c r="H14924" s="8" t="s">
        <v>364</v>
      </c>
    </row>
    <row r="14925">
      <c r="H14925" s="8" t="s">
        <v>364</v>
      </c>
    </row>
    <row r="14926">
      <c r="H14926" s="8" t="s">
        <v>364</v>
      </c>
    </row>
    <row r="14927">
      <c r="H14927" s="8" t="s">
        <v>364</v>
      </c>
    </row>
    <row r="14928">
      <c r="H14928" s="8" t="s">
        <v>364</v>
      </c>
    </row>
    <row r="14929">
      <c r="H14929" s="8" t="s">
        <v>364</v>
      </c>
    </row>
    <row r="14930">
      <c r="H14930" s="8" t="s">
        <v>364</v>
      </c>
    </row>
    <row r="14931">
      <c r="H14931" s="8" t="s">
        <v>364</v>
      </c>
    </row>
    <row r="14932">
      <c r="H14932" s="8" t="s">
        <v>364</v>
      </c>
    </row>
    <row r="14933">
      <c r="H14933" s="8" t="s">
        <v>364</v>
      </c>
    </row>
    <row r="14934">
      <c r="H14934" s="8" t="s">
        <v>364</v>
      </c>
    </row>
    <row r="14935">
      <c r="H14935" s="8" t="s">
        <v>364</v>
      </c>
    </row>
    <row r="14936">
      <c r="H14936" s="8" t="s">
        <v>364</v>
      </c>
    </row>
    <row r="14937">
      <c r="H14937" s="8" t="s">
        <v>364</v>
      </c>
    </row>
    <row r="14938">
      <c r="H14938" s="8" t="s">
        <v>364</v>
      </c>
    </row>
    <row r="14939">
      <c r="H14939" s="8" t="s">
        <v>364</v>
      </c>
    </row>
    <row r="14940">
      <c r="H14940" s="8" t="s">
        <v>364</v>
      </c>
    </row>
    <row r="14941">
      <c r="H14941" s="8" t="s">
        <v>364</v>
      </c>
    </row>
    <row r="14942">
      <c r="H14942" s="8" t="s">
        <v>364</v>
      </c>
    </row>
    <row r="14943">
      <c r="H14943" s="8" t="s">
        <v>364</v>
      </c>
    </row>
    <row r="14944">
      <c r="H14944" s="8" t="s">
        <v>364</v>
      </c>
    </row>
    <row r="14945">
      <c r="H14945" s="8" t="s">
        <v>364</v>
      </c>
    </row>
    <row r="14946">
      <c r="H14946" s="8" t="s">
        <v>364</v>
      </c>
    </row>
    <row r="14947">
      <c r="H14947" s="8" t="s">
        <v>364</v>
      </c>
    </row>
    <row r="14948">
      <c r="H14948" s="8" t="s">
        <v>364</v>
      </c>
    </row>
    <row r="14949">
      <c r="H14949" s="8" t="s">
        <v>364</v>
      </c>
    </row>
    <row r="14950">
      <c r="H14950" s="8" t="s">
        <v>364</v>
      </c>
    </row>
    <row r="14951">
      <c r="H14951" s="8" t="s">
        <v>364</v>
      </c>
    </row>
    <row r="14952">
      <c r="H14952" s="8" t="s">
        <v>364</v>
      </c>
    </row>
    <row r="14953">
      <c r="H14953" s="8" t="s">
        <v>364</v>
      </c>
    </row>
    <row r="14954">
      <c r="H14954" s="8" t="s">
        <v>364</v>
      </c>
    </row>
    <row r="14955">
      <c r="H14955" s="8" t="s">
        <v>364</v>
      </c>
    </row>
    <row r="14956">
      <c r="H14956" s="8" t="s">
        <v>364</v>
      </c>
    </row>
    <row r="14957">
      <c r="H14957" s="8" t="s">
        <v>364</v>
      </c>
    </row>
    <row r="14958">
      <c r="H14958" s="8" t="s">
        <v>364</v>
      </c>
    </row>
    <row r="14959">
      <c r="H14959" s="8" t="s">
        <v>364</v>
      </c>
    </row>
    <row r="14960">
      <c r="H14960" s="8" t="s">
        <v>364</v>
      </c>
    </row>
    <row r="14961">
      <c r="H14961" s="8" t="s">
        <v>364</v>
      </c>
    </row>
    <row r="14962">
      <c r="H14962" s="8" t="s">
        <v>364</v>
      </c>
    </row>
    <row r="14963">
      <c r="H14963" s="8" t="s">
        <v>364</v>
      </c>
    </row>
    <row r="14964">
      <c r="H14964" s="8" t="s">
        <v>364</v>
      </c>
    </row>
    <row r="14965">
      <c r="H14965" s="8" t="s">
        <v>364</v>
      </c>
    </row>
    <row r="14966">
      <c r="H14966" s="8" t="s">
        <v>364</v>
      </c>
    </row>
    <row r="14967">
      <c r="H14967" s="8" t="s">
        <v>364</v>
      </c>
    </row>
    <row r="14968">
      <c r="H14968" s="8" t="s">
        <v>364</v>
      </c>
    </row>
    <row r="14969">
      <c r="H14969" s="8" t="s">
        <v>364</v>
      </c>
    </row>
    <row r="14970">
      <c r="H14970" s="8" t="s">
        <v>364</v>
      </c>
    </row>
    <row r="14971">
      <c r="H14971" s="8" t="s">
        <v>364</v>
      </c>
    </row>
    <row r="14972">
      <c r="H14972" s="8" t="s">
        <v>364</v>
      </c>
    </row>
    <row r="14973">
      <c r="H14973" s="8" t="s">
        <v>364</v>
      </c>
    </row>
    <row r="14974">
      <c r="H14974" s="8" t="s">
        <v>364</v>
      </c>
    </row>
    <row r="14975">
      <c r="H14975" s="8" t="s">
        <v>364</v>
      </c>
    </row>
    <row r="14976">
      <c r="H14976" s="8" t="s">
        <v>364</v>
      </c>
    </row>
    <row r="14977">
      <c r="H14977" s="8" t="s">
        <v>364</v>
      </c>
    </row>
    <row r="14978">
      <c r="H14978" s="8" t="s">
        <v>364</v>
      </c>
    </row>
    <row r="14979">
      <c r="H14979" s="8" t="s">
        <v>364</v>
      </c>
    </row>
    <row r="14980">
      <c r="H14980" s="8" t="s">
        <v>364</v>
      </c>
    </row>
    <row r="14981">
      <c r="H14981" s="8" t="s">
        <v>364</v>
      </c>
    </row>
    <row r="14982">
      <c r="H14982" s="8" t="s">
        <v>364</v>
      </c>
    </row>
    <row r="14983">
      <c r="H14983" s="8" t="s">
        <v>364</v>
      </c>
    </row>
    <row r="14984">
      <c r="H14984" s="8" t="s">
        <v>364</v>
      </c>
    </row>
    <row r="14985">
      <c r="H14985" s="8" t="s">
        <v>364</v>
      </c>
    </row>
    <row r="14986">
      <c r="H14986" s="8" t="s">
        <v>364</v>
      </c>
    </row>
    <row r="14987">
      <c r="H14987" s="8" t="s">
        <v>364</v>
      </c>
    </row>
    <row r="14988">
      <c r="H14988" s="8" t="s">
        <v>364</v>
      </c>
    </row>
    <row r="14989">
      <c r="H14989" s="8" t="s">
        <v>364</v>
      </c>
    </row>
    <row r="14990">
      <c r="H14990" s="8" t="s">
        <v>364</v>
      </c>
    </row>
    <row r="14991">
      <c r="H14991" s="8" t="s">
        <v>364</v>
      </c>
    </row>
    <row r="14992">
      <c r="H14992" s="8" t="s">
        <v>364</v>
      </c>
    </row>
    <row r="14993">
      <c r="H14993" s="8" t="s">
        <v>364</v>
      </c>
    </row>
    <row r="14994">
      <c r="H14994" s="8" t="s">
        <v>364</v>
      </c>
    </row>
    <row r="14995">
      <c r="H14995" s="8" t="s">
        <v>364</v>
      </c>
    </row>
    <row r="14996">
      <c r="H14996" s="8" t="s">
        <v>364</v>
      </c>
    </row>
    <row r="14997">
      <c r="H14997" s="8" t="s">
        <v>364</v>
      </c>
    </row>
    <row r="14998">
      <c r="H14998" s="8" t="s">
        <v>364</v>
      </c>
    </row>
    <row r="14999">
      <c r="H14999" s="8" t="s">
        <v>364</v>
      </c>
    </row>
    <row r="15000">
      <c r="H15000" s="8" t="s">
        <v>364</v>
      </c>
    </row>
    <row r="15001">
      <c r="H15001" s="8" t="s">
        <v>364</v>
      </c>
    </row>
    <row r="15002">
      <c r="H15002" s="8" t="s">
        <v>364</v>
      </c>
    </row>
    <row r="15003">
      <c r="H15003" s="8" t="s">
        <v>364</v>
      </c>
    </row>
    <row r="15004">
      <c r="H15004" s="8" t="s">
        <v>364</v>
      </c>
    </row>
    <row r="15005">
      <c r="H15005" s="8" t="s">
        <v>364</v>
      </c>
    </row>
    <row r="15006">
      <c r="H15006" s="8" t="s">
        <v>364</v>
      </c>
    </row>
    <row r="15007">
      <c r="H15007" s="8" t="s">
        <v>364</v>
      </c>
    </row>
    <row r="15008">
      <c r="H15008" s="8" t="s">
        <v>364</v>
      </c>
    </row>
    <row r="15009">
      <c r="H15009" s="8" t="s">
        <v>364</v>
      </c>
    </row>
    <row r="15010">
      <c r="H15010" s="8" t="s">
        <v>364</v>
      </c>
    </row>
    <row r="15011">
      <c r="H15011" s="8" t="s">
        <v>364</v>
      </c>
    </row>
    <row r="15012">
      <c r="H15012" s="8" t="s">
        <v>364</v>
      </c>
    </row>
    <row r="15013">
      <c r="H15013" s="8" t="s">
        <v>364</v>
      </c>
    </row>
    <row r="15014">
      <c r="H15014" s="8" t="s">
        <v>364</v>
      </c>
    </row>
    <row r="15015">
      <c r="H15015" s="8" t="s">
        <v>364</v>
      </c>
    </row>
    <row r="15016">
      <c r="H15016" s="8" t="s">
        <v>364</v>
      </c>
    </row>
    <row r="15017">
      <c r="H15017" s="8" t="s">
        <v>364</v>
      </c>
    </row>
    <row r="15018">
      <c r="H15018" s="8" t="s">
        <v>364</v>
      </c>
    </row>
    <row r="15019">
      <c r="H15019" s="8" t="s">
        <v>364</v>
      </c>
    </row>
    <row r="15020">
      <c r="H15020" s="8" t="s">
        <v>364</v>
      </c>
    </row>
    <row r="15021">
      <c r="H15021" s="8" t="s">
        <v>364</v>
      </c>
    </row>
    <row r="15022">
      <c r="H15022" s="8" t="s">
        <v>364</v>
      </c>
    </row>
    <row r="15023">
      <c r="H15023" s="8" t="s">
        <v>364</v>
      </c>
    </row>
    <row r="15024">
      <c r="H15024" s="8" t="s">
        <v>364</v>
      </c>
    </row>
    <row r="15025">
      <c r="H15025" s="8" t="s">
        <v>364</v>
      </c>
    </row>
    <row r="15026">
      <c r="H15026" s="8" t="s">
        <v>364</v>
      </c>
    </row>
    <row r="15027">
      <c r="H15027" s="8" t="s">
        <v>364</v>
      </c>
    </row>
    <row r="15028">
      <c r="H15028" s="8" t="s">
        <v>364</v>
      </c>
    </row>
    <row r="15029">
      <c r="H15029" s="8" t="s">
        <v>364</v>
      </c>
    </row>
    <row r="15030">
      <c r="H15030" s="8" t="s">
        <v>364</v>
      </c>
    </row>
    <row r="15031">
      <c r="H15031" s="8" t="s">
        <v>364</v>
      </c>
    </row>
    <row r="15032">
      <c r="H15032" s="8" t="s">
        <v>364</v>
      </c>
    </row>
    <row r="15033">
      <c r="H15033" s="8" t="s">
        <v>364</v>
      </c>
    </row>
    <row r="15034">
      <c r="H15034" s="8" t="s">
        <v>364</v>
      </c>
    </row>
    <row r="15035">
      <c r="H15035" s="8" t="s">
        <v>364</v>
      </c>
    </row>
    <row r="15036">
      <c r="H15036" s="8" t="s">
        <v>364</v>
      </c>
    </row>
    <row r="15037">
      <c r="H15037" s="8" t="s">
        <v>364</v>
      </c>
    </row>
    <row r="15038">
      <c r="H15038" s="8" t="s">
        <v>364</v>
      </c>
    </row>
    <row r="15039">
      <c r="H15039" s="8" t="s">
        <v>364</v>
      </c>
    </row>
    <row r="15040">
      <c r="H15040" s="8" t="s">
        <v>364</v>
      </c>
    </row>
    <row r="15041">
      <c r="H15041" s="8" t="s">
        <v>364</v>
      </c>
    </row>
    <row r="15042">
      <c r="H15042" s="8" t="s">
        <v>364</v>
      </c>
    </row>
    <row r="15043">
      <c r="H15043" s="8" t="s">
        <v>364</v>
      </c>
    </row>
    <row r="15044">
      <c r="H15044" s="8" t="s">
        <v>364</v>
      </c>
    </row>
    <row r="15045">
      <c r="H15045" s="8" t="s">
        <v>364</v>
      </c>
    </row>
    <row r="15046">
      <c r="H15046" s="8" t="s">
        <v>364</v>
      </c>
    </row>
    <row r="15047">
      <c r="H15047" s="8" t="s">
        <v>364</v>
      </c>
    </row>
    <row r="15048">
      <c r="H15048" s="8" t="s">
        <v>364</v>
      </c>
    </row>
    <row r="15049">
      <c r="H15049" s="8" t="s">
        <v>364</v>
      </c>
    </row>
    <row r="15050">
      <c r="H15050" s="8" t="s">
        <v>364</v>
      </c>
    </row>
    <row r="15051">
      <c r="H15051" s="8" t="s">
        <v>364</v>
      </c>
    </row>
    <row r="15052">
      <c r="H15052" s="8" t="s">
        <v>364</v>
      </c>
    </row>
    <row r="15053">
      <c r="H15053" s="8" t="s">
        <v>364</v>
      </c>
    </row>
    <row r="15054">
      <c r="H15054" s="8" t="s">
        <v>364</v>
      </c>
    </row>
    <row r="15055">
      <c r="H15055" s="8" t="s">
        <v>364</v>
      </c>
    </row>
    <row r="15056">
      <c r="H15056" s="8" t="s">
        <v>364</v>
      </c>
    </row>
    <row r="15057">
      <c r="H15057" s="8" t="s">
        <v>364</v>
      </c>
    </row>
    <row r="15058">
      <c r="H15058" s="8" t="s">
        <v>364</v>
      </c>
    </row>
    <row r="15059">
      <c r="H15059" s="8" t="s">
        <v>364</v>
      </c>
    </row>
    <row r="15060">
      <c r="H15060" s="8" t="s">
        <v>364</v>
      </c>
    </row>
    <row r="15061">
      <c r="H15061" s="8" t="s">
        <v>364</v>
      </c>
    </row>
    <row r="15062">
      <c r="H15062" s="8" t="s">
        <v>364</v>
      </c>
    </row>
    <row r="15063">
      <c r="H15063" s="8" t="s">
        <v>364</v>
      </c>
    </row>
    <row r="15064">
      <c r="H15064" s="8" t="s">
        <v>364</v>
      </c>
    </row>
    <row r="15065">
      <c r="H15065" s="8" t="s">
        <v>364</v>
      </c>
    </row>
    <row r="15066">
      <c r="H15066" s="8" t="s">
        <v>364</v>
      </c>
    </row>
    <row r="15067">
      <c r="H15067" s="8" t="s">
        <v>364</v>
      </c>
    </row>
    <row r="15068">
      <c r="H15068" s="8" t="s">
        <v>364</v>
      </c>
    </row>
    <row r="15069">
      <c r="H15069" s="8" t="s">
        <v>364</v>
      </c>
    </row>
    <row r="15070">
      <c r="H15070" s="8" t="s">
        <v>364</v>
      </c>
    </row>
    <row r="15071">
      <c r="H15071" s="8" t="s">
        <v>364</v>
      </c>
    </row>
    <row r="15072">
      <c r="H15072" s="8" t="s">
        <v>364</v>
      </c>
    </row>
    <row r="15073">
      <c r="H15073" s="8" t="s">
        <v>364</v>
      </c>
    </row>
    <row r="15074">
      <c r="H15074" s="8" t="s">
        <v>364</v>
      </c>
    </row>
    <row r="15075">
      <c r="H15075" s="8" t="s">
        <v>364</v>
      </c>
    </row>
    <row r="15076">
      <c r="H15076" s="8" t="s">
        <v>364</v>
      </c>
    </row>
    <row r="15077">
      <c r="H15077" s="8" t="s">
        <v>364</v>
      </c>
    </row>
    <row r="15078">
      <c r="H15078" s="8" t="s">
        <v>364</v>
      </c>
    </row>
    <row r="15079">
      <c r="H15079" s="8" t="s">
        <v>364</v>
      </c>
    </row>
    <row r="15080">
      <c r="H15080" s="8" t="s">
        <v>364</v>
      </c>
    </row>
    <row r="15081">
      <c r="H15081" s="8" t="s">
        <v>364</v>
      </c>
    </row>
    <row r="15082">
      <c r="H15082" s="8" t="s">
        <v>364</v>
      </c>
    </row>
    <row r="15083">
      <c r="H15083" s="8" t="s">
        <v>364</v>
      </c>
    </row>
    <row r="15084">
      <c r="H15084" s="8" t="s">
        <v>364</v>
      </c>
    </row>
    <row r="15085">
      <c r="H15085" s="8" t="s">
        <v>364</v>
      </c>
    </row>
    <row r="15086">
      <c r="H15086" s="8" t="s">
        <v>364</v>
      </c>
    </row>
    <row r="15087">
      <c r="H15087" s="8" t="s">
        <v>364</v>
      </c>
    </row>
    <row r="15088">
      <c r="H15088" s="8" t="s">
        <v>364</v>
      </c>
    </row>
    <row r="15089">
      <c r="H15089" s="8" t="s">
        <v>364</v>
      </c>
    </row>
    <row r="15090">
      <c r="H15090" s="8" t="s">
        <v>364</v>
      </c>
    </row>
    <row r="15091">
      <c r="H15091" s="8" t="s">
        <v>364</v>
      </c>
    </row>
    <row r="15092">
      <c r="H15092" s="8" t="s">
        <v>364</v>
      </c>
    </row>
    <row r="15093">
      <c r="H15093" s="8" t="s">
        <v>364</v>
      </c>
    </row>
    <row r="15094">
      <c r="H15094" s="8" t="s">
        <v>364</v>
      </c>
    </row>
    <row r="15095">
      <c r="H15095" s="8" t="s">
        <v>364</v>
      </c>
    </row>
    <row r="15096">
      <c r="H15096" s="8" t="s">
        <v>364</v>
      </c>
    </row>
    <row r="15097">
      <c r="H15097" s="8" t="s">
        <v>364</v>
      </c>
    </row>
    <row r="15098">
      <c r="H15098" s="8" t="s">
        <v>364</v>
      </c>
    </row>
    <row r="15099">
      <c r="H15099" s="8" t="s">
        <v>364</v>
      </c>
    </row>
    <row r="15100">
      <c r="H15100" s="8" t="s">
        <v>364</v>
      </c>
    </row>
    <row r="15101">
      <c r="H15101" s="8" t="s">
        <v>364</v>
      </c>
    </row>
    <row r="15102">
      <c r="H15102" s="8" t="s">
        <v>364</v>
      </c>
    </row>
    <row r="15103">
      <c r="H15103" s="8" t="s">
        <v>364</v>
      </c>
    </row>
    <row r="15104">
      <c r="H15104" s="8" t="s">
        <v>364</v>
      </c>
    </row>
    <row r="15105">
      <c r="H15105" s="8" t="s">
        <v>364</v>
      </c>
    </row>
    <row r="15106">
      <c r="H15106" s="8" t="s">
        <v>364</v>
      </c>
    </row>
    <row r="15107">
      <c r="H15107" s="8" t="s">
        <v>364</v>
      </c>
    </row>
    <row r="15108">
      <c r="H15108" s="8" t="s">
        <v>364</v>
      </c>
    </row>
    <row r="15109">
      <c r="H15109" s="8" t="s">
        <v>364</v>
      </c>
    </row>
    <row r="15110">
      <c r="H15110" s="8" t="s">
        <v>364</v>
      </c>
    </row>
    <row r="15111">
      <c r="H15111" s="8" t="s">
        <v>364</v>
      </c>
    </row>
    <row r="15112">
      <c r="H15112" s="8" t="s">
        <v>364</v>
      </c>
    </row>
    <row r="15113">
      <c r="H15113" s="8" t="s">
        <v>364</v>
      </c>
    </row>
    <row r="15114">
      <c r="H15114" s="8" t="s">
        <v>364</v>
      </c>
    </row>
    <row r="15115">
      <c r="H15115" s="8" t="s">
        <v>364</v>
      </c>
    </row>
    <row r="15116">
      <c r="H15116" s="8" t="s">
        <v>364</v>
      </c>
    </row>
    <row r="15117">
      <c r="H15117" s="8" t="s">
        <v>364</v>
      </c>
    </row>
    <row r="15118">
      <c r="H15118" s="8" t="s">
        <v>364</v>
      </c>
    </row>
    <row r="15119">
      <c r="H15119" s="8" t="s">
        <v>364</v>
      </c>
    </row>
    <row r="15120">
      <c r="H15120" s="8" t="s">
        <v>364</v>
      </c>
    </row>
    <row r="15121">
      <c r="H15121" s="8" t="s">
        <v>364</v>
      </c>
    </row>
    <row r="15122">
      <c r="H15122" s="8" t="s">
        <v>364</v>
      </c>
    </row>
    <row r="15123">
      <c r="H15123" s="8" t="s">
        <v>364</v>
      </c>
    </row>
    <row r="15124">
      <c r="H15124" s="8" t="s">
        <v>364</v>
      </c>
    </row>
    <row r="15125">
      <c r="H15125" s="8" t="s">
        <v>364</v>
      </c>
    </row>
    <row r="15126">
      <c r="H15126" s="8" t="s">
        <v>364</v>
      </c>
    </row>
    <row r="15127">
      <c r="H15127" s="8" t="s">
        <v>364</v>
      </c>
    </row>
    <row r="15128">
      <c r="H15128" s="8" t="s">
        <v>364</v>
      </c>
    </row>
    <row r="15129">
      <c r="H15129" s="8" t="s">
        <v>364</v>
      </c>
    </row>
    <row r="15130">
      <c r="H15130" s="8" t="s">
        <v>364</v>
      </c>
    </row>
    <row r="15131">
      <c r="H15131" s="8" t="s">
        <v>364</v>
      </c>
    </row>
    <row r="15132">
      <c r="H15132" s="8" t="s">
        <v>364</v>
      </c>
    </row>
    <row r="15133">
      <c r="H15133" s="8" t="s">
        <v>364</v>
      </c>
    </row>
    <row r="15134">
      <c r="H15134" s="8" t="s">
        <v>364</v>
      </c>
    </row>
    <row r="15135">
      <c r="H15135" s="8" t="s">
        <v>364</v>
      </c>
    </row>
    <row r="15136">
      <c r="H15136" s="8" t="s">
        <v>364</v>
      </c>
    </row>
    <row r="15137">
      <c r="H15137" s="8" t="s">
        <v>364</v>
      </c>
    </row>
    <row r="15138">
      <c r="H15138" s="8" t="s">
        <v>364</v>
      </c>
    </row>
    <row r="15139">
      <c r="H15139" s="8" t="s">
        <v>364</v>
      </c>
    </row>
    <row r="15140">
      <c r="H15140" s="8" t="s">
        <v>364</v>
      </c>
    </row>
    <row r="15141">
      <c r="H15141" s="8" t="s">
        <v>364</v>
      </c>
    </row>
    <row r="15142">
      <c r="H15142" s="8" t="s">
        <v>364</v>
      </c>
    </row>
    <row r="15143">
      <c r="H15143" s="8" t="s">
        <v>364</v>
      </c>
    </row>
    <row r="15144">
      <c r="H15144" s="8" t="s">
        <v>364</v>
      </c>
    </row>
    <row r="15145">
      <c r="H15145" s="8" t="s">
        <v>364</v>
      </c>
    </row>
    <row r="15146">
      <c r="H15146" s="8" t="s">
        <v>364</v>
      </c>
    </row>
    <row r="15147">
      <c r="H15147" s="8" t="s">
        <v>364</v>
      </c>
    </row>
    <row r="15148">
      <c r="H15148" s="8" t="s">
        <v>364</v>
      </c>
    </row>
    <row r="15149">
      <c r="H15149" s="8" t="s">
        <v>364</v>
      </c>
    </row>
    <row r="15150">
      <c r="H15150" s="8" t="s">
        <v>364</v>
      </c>
    </row>
    <row r="15151">
      <c r="H15151" s="8" t="s">
        <v>364</v>
      </c>
    </row>
    <row r="15152">
      <c r="H15152" s="8" t="s">
        <v>364</v>
      </c>
    </row>
    <row r="15153">
      <c r="H15153" s="8" t="s">
        <v>364</v>
      </c>
    </row>
    <row r="15154">
      <c r="H15154" s="8" t="s">
        <v>364</v>
      </c>
    </row>
    <row r="15155">
      <c r="H15155" s="8" t="s">
        <v>364</v>
      </c>
    </row>
    <row r="15156">
      <c r="H15156" s="8" t="s">
        <v>364</v>
      </c>
    </row>
    <row r="15157">
      <c r="H15157" s="8" t="s">
        <v>364</v>
      </c>
    </row>
    <row r="15158">
      <c r="H15158" s="8" t="s">
        <v>364</v>
      </c>
    </row>
    <row r="15159">
      <c r="H15159" s="8" t="s">
        <v>364</v>
      </c>
    </row>
    <row r="15160">
      <c r="H15160" s="8" t="s">
        <v>364</v>
      </c>
    </row>
    <row r="15161">
      <c r="H15161" s="8" t="s">
        <v>364</v>
      </c>
    </row>
    <row r="15162">
      <c r="H15162" s="8" t="s">
        <v>364</v>
      </c>
    </row>
    <row r="15163">
      <c r="H15163" s="8" t="s">
        <v>364</v>
      </c>
    </row>
    <row r="15164">
      <c r="H15164" s="8" t="s">
        <v>364</v>
      </c>
    </row>
    <row r="15165">
      <c r="H15165" s="8" t="s">
        <v>364</v>
      </c>
    </row>
    <row r="15166">
      <c r="H15166" s="8" t="s">
        <v>364</v>
      </c>
    </row>
    <row r="15167">
      <c r="H15167" s="8" t="s">
        <v>364</v>
      </c>
    </row>
    <row r="15168">
      <c r="H15168" s="8" t="s">
        <v>364</v>
      </c>
    </row>
    <row r="15169">
      <c r="H15169" s="8" t="s">
        <v>364</v>
      </c>
    </row>
    <row r="15170">
      <c r="H15170" s="8" t="s">
        <v>364</v>
      </c>
    </row>
    <row r="15171">
      <c r="H15171" s="8" t="s">
        <v>364</v>
      </c>
    </row>
    <row r="15172">
      <c r="H15172" s="8" t="s">
        <v>364</v>
      </c>
    </row>
    <row r="15173">
      <c r="H15173" s="8" t="s">
        <v>364</v>
      </c>
    </row>
    <row r="15174">
      <c r="H15174" s="8" t="s">
        <v>364</v>
      </c>
    </row>
    <row r="15175">
      <c r="H15175" s="8" t="s">
        <v>364</v>
      </c>
    </row>
    <row r="15176">
      <c r="H15176" s="8" t="s">
        <v>364</v>
      </c>
    </row>
    <row r="15177">
      <c r="H15177" s="8" t="s">
        <v>364</v>
      </c>
    </row>
    <row r="15178">
      <c r="H15178" s="8" t="s">
        <v>364</v>
      </c>
    </row>
    <row r="15179">
      <c r="H15179" s="8" t="s">
        <v>364</v>
      </c>
    </row>
    <row r="15180">
      <c r="H15180" s="8" t="s">
        <v>364</v>
      </c>
    </row>
    <row r="15181">
      <c r="H15181" s="8" t="s">
        <v>364</v>
      </c>
    </row>
    <row r="15182">
      <c r="H15182" s="8" t="s">
        <v>364</v>
      </c>
    </row>
    <row r="15183">
      <c r="H15183" s="8" t="s">
        <v>364</v>
      </c>
    </row>
    <row r="15184">
      <c r="H15184" s="8" t="s">
        <v>364</v>
      </c>
    </row>
    <row r="15185">
      <c r="H15185" s="8" t="s">
        <v>364</v>
      </c>
    </row>
    <row r="15186">
      <c r="H15186" s="8" t="s">
        <v>364</v>
      </c>
    </row>
    <row r="15187">
      <c r="H15187" s="8" t="s">
        <v>364</v>
      </c>
    </row>
    <row r="15188">
      <c r="H15188" s="8" t="s">
        <v>364</v>
      </c>
    </row>
    <row r="15189">
      <c r="H15189" s="8" t="s">
        <v>364</v>
      </c>
    </row>
    <row r="15190">
      <c r="H15190" s="8" t="s">
        <v>364</v>
      </c>
    </row>
    <row r="15191">
      <c r="H15191" s="8" t="s">
        <v>364</v>
      </c>
    </row>
    <row r="15192">
      <c r="H15192" s="8" t="s">
        <v>364</v>
      </c>
    </row>
    <row r="15193">
      <c r="H15193" s="8" t="s">
        <v>364</v>
      </c>
    </row>
    <row r="15194">
      <c r="H15194" s="8" t="s">
        <v>364</v>
      </c>
    </row>
    <row r="15195">
      <c r="H15195" s="8" t="s">
        <v>364</v>
      </c>
    </row>
    <row r="15196">
      <c r="H15196" s="8" t="s">
        <v>364</v>
      </c>
    </row>
    <row r="15197">
      <c r="H15197" s="8" t="s">
        <v>364</v>
      </c>
    </row>
    <row r="15198">
      <c r="H15198" s="8" t="s">
        <v>364</v>
      </c>
    </row>
    <row r="15199">
      <c r="H15199" s="8" t="s">
        <v>364</v>
      </c>
    </row>
    <row r="15200">
      <c r="H15200" s="8" t="s">
        <v>364</v>
      </c>
    </row>
    <row r="15201">
      <c r="H15201" s="8" t="s">
        <v>364</v>
      </c>
    </row>
    <row r="15202">
      <c r="H15202" s="8" t="s">
        <v>364</v>
      </c>
    </row>
    <row r="15203">
      <c r="H15203" s="8" t="s">
        <v>364</v>
      </c>
    </row>
    <row r="15204">
      <c r="H15204" s="8" t="s">
        <v>364</v>
      </c>
    </row>
    <row r="15205">
      <c r="H15205" s="8" t="s">
        <v>364</v>
      </c>
    </row>
    <row r="15206">
      <c r="H15206" s="8" t="s">
        <v>364</v>
      </c>
    </row>
    <row r="15207">
      <c r="H15207" s="8" t="s">
        <v>364</v>
      </c>
    </row>
    <row r="15208">
      <c r="H15208" s="8" t="s">
        <v>364</v>
      </c>
    </row>
    <row r="15209">
      <c r="H15209" s="8" t="s">
        <v>364</v>
      </c>
    </row>
    <row r="15210">
      <c r="H15210" s="8" t="s">
        <v>364</v>
      </c>
    </row>
    <row r="15211">
      <c r="H15211" s="8" t="s">
        <v>364</v>
      </c>
    </row>
    <row r="15212">
      <c r="H15212" s="8" t="s">
        <v>364</v>
      </c>
    </row>
    <row r="15213">
      <c r="H15213" s="8" t="s">
        <v>364</v>
      </c>
    </row>
    <row r="15214">
      <c r="H15214" s="8" t="s">
        <v>364</v>
      </c>
    </row>
    <row r="15215">
      <c r="H15215" s="8" t="s">
        <v>364</v>
      </c>
    </row>
    <row r="15216">
      <c r="H15216" s="8" t="s">
        <v>364</v>
      </c>
    </row>
    <row r="15217">
      <c r="H15217" s="8" t="s">
        <v>364</v>
      </c>
    </row>
    <row r="15218">
      <c r="H15218" s="8" t="s">
        <v>364</v>
      </c>
    </row>
    <row r="15219">
      <c r="H15219" s="8" t="s">
        <v>364</v>
      </c>
    </row>
    <row r="15220">
      <c r="H15220" s="8" t="s">
        <v>364</v>
      </c>
    </row>
    <row r="15221">
      <c r="H15221" s="8" t="s">
        <v>364</v>
      </c>
    </row>
    <row r="15222">
      <c r="H15222" s="8" t="s">
        <v>364</v>
      </c>
    </row>
    <row r="15223">
      <c r="H15223" s="8" t="s">
        <v>364</v>
      </c>
    </row>
    <row r="15224">
      <c r="H15224" s="8" t="s">
        <v>364</v>
      </c>
    </row>
    <row r="15225">
      <c r="H15225" s="8" t="s">
        <v>364</v>
      </c>
    </row>
    <row r="15226">
      <c r="H15226" s="8" t="s">
        <v>364</v>
      </c>
    </row>
    <row r="15227">
      <c r="H15227" s="8" t="s">
        <v>364</v>
      </c>
    </row>
    <row r="15228">
      <c r="H15228" s="8" t="s">
        <v>364</v>
      </c>
    </row>
    <row r="15229">
      <c r="H15229" s="8" t="s">
        <v>364</v>
      </c>
    </row>
    <row r="15230">
      <c r="H15230" s="8" t="s">
        <v>364</v>
      </c>
    </row>
    <row r="15231">
      <c r="H15231" s="8" t="s">
        <v>364</v>
      </c>
    </row>
    <row r="15232">
      <c r="H15232" s="8" t="s">
        <v>364</v>
      </c>
    </row>
    <row r="15233">
      <c r="H15233" s="8" t="s">
        <v>364</v>
      </c>
    </row>
    <row r="15234">
      <c r="H15234" s="8" t="s">
        <v>364</v>
      </c>
    </row>
    <row r="15235">
      <c r="H15235" s="8" t="s">
        <v>364</v>
      </c>
    </row>
    <row r="15236">
      <c r="H15236" s="8" t="s">
        <v>364</v>
      </c>
    </row>
    <row r="15237">
      <c r="H15237" s="8" t="s">
        <v>364</v>
      </c>
    </row>
    <row r="15238">
      <c r="H15238" s="8" t="s">
        <v>364</v>
      </c>
    </row>
    <row r="15239">
      <c r="H15239" s="8" t="s">
        <v>364</v>
      </c>
    </row>
    <row r="15240">
      <c r="H15240" s="8" t="s">
        <v>364</v>
      </c>
    </row>
    <row r="15241">
      <c r="H15241" s="8" t="s">
        <v>364</v>
      </c>
    </row>
    <row r="15242">
      <c r="H15242" s="8" t="s">
        <v>364</v>
      </c>
    </row>
    <row r="15243">
      <c r="H15243" s="8" t="s">
        <v>364</v>
      </c>
    </row>
    <row r="15244">
      <c r="H15244" s="8" t="s">
        <v>364</v>
      </c>
    </row>
    <row r="15245">
      <c r="H15245" s="8" t="s">
        <v>364</v>
      </c>
    </row>
    <row r="15246">
      <c r="H15246" s="8" t="s">
        <v>364</v>
      </c>
    </row>
    <row r="15247">
      <c r="H15247" s="8" t="s">
        <v>364</v>
      </c>
    </row>
    <row r="15248">
      <c r="H15248" s="8" t="s">
        <v>364</v>
      </c>
    </row>
    <row r="15249">
      <c r="H15249" s="8" t="s">
        <v>364</v>
      </c>
    </row>
    <row r="15250">
      <c r="H15250" s="8" t="s">
        <v>364</v>
      </c>
    </row>
    <row r="15251">
      <c r="H15251" s="8" t="s">
        <v>364</v>
      </c>
    </row>
    <row r="15252">
      <c r="H15252" s="8" t="s">
        <v>364</v>
      </c>
    </row>
    <row r="15253">
      <c r="H15253" s="8" t="s">
        <v>364</v>
      </c>
    </row>
    <row r="15254">
      <c r="H15254" s="8" t="s">
        <v>364</v>
      </c>
    </row>
    <row r="15255">
      <c r="H15255" s="8" t="s">
        <v>364</v>
      </c>
    </row>
    <row r="15256">
      <c r="H15256" s="8" t="s">
        <v>364</v>
      </c>
    </row>
    <row r="15257">
      <c r="H15257" s="8" t="s">
        <v>364</v>
      </c>
    </row>
    <row r="15258">
      <c r="H15258" s="8" t="s">
        <v>364</v>
      </c>
    </row>
    <row r="15259">
      <c r="H15259" s="8" t="s">
        <v>364</v>
      </c>
    </row>
    <row r="15260">
      <c r="H15260" s="8" t="s">
        <v>364</v>
      </c>
    </row>
    <row r="15261">
      <c r="H15261" s="8" t="s">
        <v>364</v>
      </c>
    </row>
    <row r="15262">
      <c r="H15262" s="8" t="s">
        <v>364</v>
      </c>
    </row>
    <row r="15263">
      <c r="H15263" s="8" t="s">
        <v>364</v>
      </c>
    </row>
    <row r="15264">
      <c r="H15264" s="8" t="s">
        <v>364</v>
      </c>
    </row>
    <row r="15265">
      <c r="H15265" s="8" t="s">
        <v>364</v>
      </c>
    </row>
    <row r="15266">
      <c r="H15266" s="8" t="s">
        <v>364</v>
      </c>
    </row>
    <row r="15267">
      <c r="H15267" s="8" t="s">
        <v>364</v>
      </c>
    </row>
    <row r="15268">
      <c r="H15268" s="8" t="s">
        <v>364</v>
      </c>
    </row>
    <row r="15269">
      <c r="H15269" s="8" t="s">
        <v>364</v>
      </c>
    </row>
    <row r="15270">
      <c r="H15270" s="8" t="s">
        <v>364</v>
      </c>
    </row>
    <row r="15271">
      <c r="H15271" s="8" t="s">
        <v>364</v>
      </c>
    </row>
    <row r="15272">
      <c r="H15272" s="8" t="s">
        <v>364</v>
      </c>
    </row>
    <row r="15273">
      <c r="H15273" s="8" t="s">
        <v>364</v>
      </c>
    </row>
    <row r="15274">
      <c r="H15274" s="8" t="s">
        <v>364</v>
      </c>
    </row>
    <row r="15275">
      <c r="H15275" s="8" t="s">
        <v>364</v>
      </c>
    </row>
    <row r="15276">
      <c r="H15276" s="8" t="s">
        <v>364</v>
      </c>
    </row>
    <row r="15277">
      <c r="H15277" s="8" t="s">
        <v>364</v>
      </c>
    </row>
    <row r="15278">
      <c r="H15278" s="8" t="s">
        <v>364</v>
      </c>
    </row>
    <row r="15279">
      <c r="H15279" s="8" t="s">
        <v>364</v>
      </c>
    </row>
    <row r="15280">
      <c r="H15280" s="8" t="s">
        <v>364</v>
      </c>
    </row>
    <row r="15281">
      <c r="H15281" s="8" t="s">
        <v>364</v>
      </c>
    </row>
    <row r="15282">
      <c r="H15282" s="8" t="s">
        <v>364</v>
      </c>
    </row>
    <row r="15283">
      <c r="H15283" s="8" t="s">
        <v>364</v>
      </c>
    </row>
    <row r="15284">
      <c r="H15284" s="8" t="s">
        <v>364</v>
      </c>
    </row>
    <row r="15285">
      <c r="H15285" s="8" t="s">
        <v>364</v>
      </c>
    </row>
    <row r="15286">
      <c r="H15286" s="8" t="s">
        <v>364</v>
      </c>
    </row>
    <row r="15287">
      <c r="H15287" s="8" t="s">
        <v>364</v>
      </c>
    </row>
    <row r="15288">
      <c r="H15288" s="8" t="s">
        <v>364</v>
      </c>
    </row>
    <row r="15289">
      <c r="H15289" s="8" t="s">
        <v>364</v>
      </c>
    </row>
    <row r="15290">
      <c r="H15290" s="8" t="s">
        <v>364</v>
      </c>
    </row>
    <row r="15291">
      <c r="H15291" s="8" t="s">
        <v>364</v>
      </c>
    </row>
    <row r="15292">
      <c r="H15292" s="8" t="s">
        <v>364</v>
      </c>
    </row>
    <row r="15293">
      <c r="H15293" s="8" t="s">
        <v>364</v>
      </c>
    </row>
    <row r="15294">
      <c r="H15294" s="8" t="s">
        <v>364</v>
      </c>
    </row>
    <row r="15295">
      <c r="H15295" s="8" t="s">
        <v>364</v>
      </c>
    </row>
    <row r="15296">
      <c r="H15296" s="8" t="s">
        <v>364</v>
      </c>
    </row>
    <row r="15297">
      <c r="H15297" s="8" t="s">
        <v>364</v>
      </c>
    </row>
    <row r="15298">
      <c r="H15298" s="8" t="s">
        <v>364</v>
      </c>
    </row>
    <row r="15299">
      <c r="H15299" s="8" t="s">
        <v>364</v>
      </c>
    </row>
    <row r="15300">
      <c r="H15300" s="8" t="s">
        <v>364</v>
      </c>
    </row>
    <row r="15301">
      <c r="H15301" s="8" t="s">
        <v>364</v>
      </c>
    </row>
    <row r="15302">
      <c r="H15302" s="8" t="s">
        <v>364</v>
      </c>
    </row>
    <row r="15303">
      <c r="H15303" s="8" t="s">
        <v>364</v>
      </c>
    </row>
    <row r="15304">
      <c r="H15304" s="8" t="s">
        <v>364</v>
      </c>
    </row>
    <row r="15305">
      <c r="H15305" s="8" t="s">
        <v>364</v>
      </c>
    </row>
    <row r="15306">
      <c r="H15306" s="8" t="s">
        <v>364</v>
      </c>
    </row>
    <row r="15307">
      <c r="H15307" s="8" t="s">
        <v>364</v>
      </c>
    </row>
    <row r="15308">
      <c r="H15308" s="8" t="s">
        <v>364</v>
      </c>
    </row>
    <row r="15309">
      <c r="H15309" s="8" t="s">
        <v>364</v>
      </c>
    </row>
    <row r="15310">
      <c r="H15310" s="8" t="s">
        <v>364</v>
      </c>
    </row>
    <row r="15311">
      <c r="H15311" s="8" t="s">
        <v>364</v>
      </c>
    </row>
    <row r="15312">
      <c r="H15312" s="8" t="s">
        <v>364</v>
      </c>
    </row>
    <row r="15313">
      <c r="H15313" s="8" t="s">
        <v>364</v>
      </c>
    </row>
    <row r="15314">
      <c r="H15314" s="8" t="s">
        <v>364</v>
      </c>
    </row>
    <row r="15315">
      <c r="H15315" s="8" t="s">
        <v>364</v>
      </c>
    </row>
    <row r="15316">
      <c r="H15316" s="8" t="s">
        <v>364</v>
      </c>
    </row>
    <row r="15317">
      <c r="H15317" s="8" t="s">
        <v>364</v>
      </c>
    </row>
    <row r="15318">
      <c r="H15318" s="8" t="s">
        <v>364</v>
      </c>
    </row>
    <row r="15319">
      <c r="H15319" s="8" t="s">
        <v>364</v>
      </c>
    </row>
    <row r="15320">
      <c r="H15320" s="8" t="s">
        <v>364</v>
      </c>
    </row>
    <row r="15321">
      <c r="H15321" s="8" t="s">
        <v>364</v>
      </c>
    </row>
    <row r="15322">
      <c r="H15322" s="8" t="s">
        <v>364</v>
      </c>
    </row>
    <row r="15323">
      <c r="H15323" s="8" t="s">
        <v>364</v>
      </c>
    </row>
    <row r="15324">
      <c r="H15324" s="8" t="s">
        <v>364</v>
      </c>
    </row>
    <row r="15325">
      <c r="H15325" s="8" t="s">
        <v>364</v>
      </c>
    </row>
    <row r="15326">
      <c r="H15326" s="8" t="s">
        <v>364</v>
      </c>
    </row>
    <row r="15327">
      <c r="H15327" s="8" t="s">
        <v>364</v>
      </c>
    </row>
    <row r="15328">
      <c r="H15328" s="8" t="s">
        <v>364</v>
      </c>
    </row>
    <row r="15329">
      <c r="H15329" s="8" t="s">
        <v>364</v>
      </c>
    </row>
    <row r="15330">
      <c r="H15330" s="8" t="s">
        <v>364</v>
      </c>
    </row>
    <row r="15331">
      <c r="H15331" s="8" t="s">
        <v>364</v>
      </c>
    </row>
    <row r="15332">
      <c r="H15332" s="8" t="s">
        <v>364</v>
      </c>
    </row>
    <row r="15333">
      <c r="H15333" s="8" t="s">
        <v>364</v>
      </c>
    </row>
    <row r="15334">
      <c r="H15334" s="8" t="s">
        <v>364</v>
      </c>
    </row>
    <row r="15335">
      <c r="H15335" s="8" t="s">
        <v>364</v>
      </c>
    </row>
    <row r="15336">
      <c r="H15336" s="8" t="s">
        <v>364</v>
      </c>
    </row>
    <row r="15337">
      <c r="H15337" s="8" t="s">
        <v>364</v>
      </c>
    </row>
    <row r="15338">
      <c r="H15338" s="8" t="s">
        <v>364</v>
      </c>
    </row>
    <row r="15339">
      <c r="H15339" s="8" t="s">
        <v>364</v>
      </c>
    </row>
    <row r="15340">
      <c r="H15340" s="8" t="s">
        <v>364</v>
      </c>
    </row>
    <row r="15341">
      <c r="H15341" s="8" t="s">
        <v>364</v>
      </c>
    </row>
    <row r="15342">
      <c r="H15342" s="8" t="s">
        <v>364</v>
      </c>
    </row>
    <row r="15343">
      <c r="H15343" s="8" t="s">
        <v>364</v>
      </c>
    </row>
    <row r="15344">
      <c r="H15344" s="8" t="s">
        <v>364</v>
      </c>
    </row>
    <row r="15345">
      <c r="H15345" s="8" t="s">
        <v>364</v>
      </c>
    </row>
    <row r="15346">
      <c r="H15346" s="8" t="s">
        <v>364</v>
      </c>
    </row>
    <row r="15347">
      <c r="H15347" s="8" t="s">
        <v>364</v>
      </c>
    </row>
    <row r="15348">
      <c r="H15348" s="8" t="s">
        <v>364</v>
      </c>
    </row>
    <row r="15349">
      <c r="H15349" s="8" t="s">
        <v>364</v>
      </c>
    </row>
    <row r="15350">
      <c r="H15350" s="8" t="s">
        <v>364</v>
      </c>
    </row>
    <row r="15351">
      <c r="H15351" s="8" t="s">
        <v>364</v>
      </c>
    </row>
    <row r="15352">
      <c r="H15352" s="8" t="s">
        <v>364</v>
      </c>
    </row>
    <row r="15353">
      <c r="H15353" s="8" t="s">
        <v>364</v>
      </c>
    </row>
    <row r="15354">
      <c r="H15354" s="8" t="s">
        <v>364</v>
      </c>
    </row>
    <row r="15355">
      <c r="H15355" s="8" t="s">
        <v>364</v>
      </c>
    </row>
    <row r="15356">
      <c r="H15356" s="8" t="s">
        <v>364</v>
      </c>
    </row>
    <row r="15357">
      <c r="H15357" s="8" t="s">
        <v>364</v>
      </c>
    </row>
    <row r="15358">
      <c r="H15358" s="8" t="s">
        <v>364</v>
      </c>
    </row>
    <row r="15359">
      <c r="H15359" s="8" t="s">
        <v>364</v>
      </c>
    </row>
    <row r="15360">
      <c r="H15360" s="8" t="s">
        <v>364</v>
      </c>
    </row>
    <row r="15361">
      <c r="H15361" s="8" t="s">
        <v>364</v>
      </c>
    </row>
    <row r="15362">
      <c r="H15362" s="8" t="s">
        <v>364</v>
      </c>
    </row>
    <row r="15363">
      <c r="H15363" s="8" t="s">
        <v>364</v>
      </c>
    </row>
    <row r="15364">
      <c r="H15364" s="8" t="s">
        <v>364</v>
      </c>
    </row>
    <row r="15365">
      <c r="H15365" s="8" t="s">
        <v>364</v>
      </c>
    </row>
    <row r="15366">
      <c r="H15366" s="8" t="s">
        <v>364</v>
      </c>
    </row>
    <row r="15367">
      <c r="H15367" s="8" t="s">
        <v>364</v>
      </c>
    </row>
    <row r="15368">
      <c r="H15368" s="8" t="s">
        <v>364</v>
      </c>
    </row>
    <row r="15369">
      <c r="H15369" s="8" t="s">
        <v>364</v>
      </c>
    </row>
    <row r="15370">
      <c r="H15370" s="8" t="s">
        <v>364</v>
      </c>
    </row>
    <row r="15371">
      <c r="H15371" s="8" t="s">
        <v>364</v>
      </c>
    </row>
    <row r="15372">
      <c r="H15372" s="8" t="s">
        <v>364</v>
      </c>
    </row>
    <row r="15373">
      <c r="H15373" s="8" t="s">
        <v>364</v>
      </c>
    </row>
    <row r="15374">
      <c r="H15374" s="8" t="s">
        <v>364</v>
      </c>
    </row>
    <row r="15375">
      <c r="H15375" s="8" t="s">
        <v>364</v>
      </c>
    </row>
    <row r="15376">
      <c r="H15376" s="8" t="s">
        <v>364</v>
      </c>
    </row>
    <row r="15377">
      <c r="H15377" s="8" t="s">
        <v>364</v>
      </c>
    </row>
    <row r="15378">
      <c r="H15378" s="8" t="s">
        <v>364</v>
      </c>
    </row>
    <row r="15379">
      <c r="H15379" s="8" t="s">
        <v>364</v>
      </c>
    </row>
    <row r="15380">
      <c r="H15380" s="8" t="s">
        <v>364</v>
      </c>
    </row>
    <row r="15381">
      <c r="H15381" s="8" t="s">
        <v>364</v>
      </c>
    </row>
    <row r="15382">
      <c r="H15382" s="8" t="s">
        <v>364</v>
      </c>
    </row>
    <row r="15383">
      <c r="H15383" s="8" t="s">
        <v>364</v>
      </c>
    </row>
    <row r="15384">
      <c r="H15384" s="8" t="s">
        <v>364</v>
      </c>
    </row>
    <row r="15385">
      <c r="H15385" s="8" t="s">
        <v>364</v>
      </c>
    </row>
    <row r="15386">
      <c r="H15386" s="8" t="s">
        <v>364</v>
      </c>
    </row>
    <row r="15387">
      <c r="H15387" s="8" t="s">
        <v>364</v>
      </c>
    </row>
    <row r="15388">
      <c r="H15388" s="8" t="s">
        <v>364</v>
      </c>
    </row>
    <row r="15389">
      <c r="H15389" s="8" t="s">
        <v>364</v>
      </c>
    </row>
    <row r="15390">
      <c r="H15390" s="8" t="s">
        <v>364</v>
      </c>
    </row>
    <row r="15391">
      <c r="H15391" s="8" t="s">
        <v>364</v>
      </c>
    </row>
    <row r="15392">
      <c r="H15392" s="8" t="s">
        <v>364</v>
      </c>
    </row>
    <row r="15393">
      <c r="H15393" s="8" t="s">
        <v>364</v>
      </c>
    </row>
    <row r="15394">
      <c r="H15394" s="8" t="s">
        <v>364</v>
      </c>
    </row>
    <row r="15395">
      <c r="H15395" s="8" t="s">
        <v>364</v>
      </c>
    </row>
    <row r="15396">
      <c r="H15396" s="8" t="s">
        <v>364</v>
      </c>
    </row>
    <row r="15397">
      <c r="H15397" s="8" t="s">
        <v>364</v>
      </c>
    </row>
    <row r="15398">
      <c r="H15398" s="8" t="s">
        <v>364</v>
      </c>
    </row>
    <row r="15399">
      <c r="H15399" s="8" t="s">
        <v>364</v>
      </c>
    </row>
    <row r="15400">
      <c r="H15400" s="8" t="s">
        <v>364</v>
      </c>
    </row>
    <row r="15401">
      <c r="H15401" s="8" t="s">
        <v>364</v>
      </c>
    </row>
    <row r="15402">
      <c r="H15402" s="8" t="s">
        <v>364</v>
      </c>
    </row>
    <row r="15403">
      <c r="H15403" s="8" t="s">
        <v>364</v>
      </c>
    </row>
    <row r="15404">
      <c r="H15404" s="8" t="s">
        <v>364</v>
      </c>
    </row>
    <row r="15405">
      <c r="H15405" s="8" t="s">
        <v>364</v>
      </c>
    </row>
    <row r="15406">
      <c r="H15406" s="8" t="s">
        <v>364</v>
      </c>
    </row>
    <row r="15407">
      <c r="H15407" s="8" t="s">
        <v>364</v>
      </c>
    </row>
    <row r="15408">
      <c r="H15408" s="8" t="s">
        <v>364</v>
      </c>
    </row>
    <row r="15409">
      <c r="H15409" s="8" t="s">
        <v>364</v>
      </c>
    </row>
    <row r="15410">
      <c r="H15410" s="8" t="s">
        <v>364</v>
      </c>
    </row>
    <row r="15411">
      <c r="H15411" s="8" t="s">
        <v>364</v>
      </c>
    </row>
    <row r="15412">
      <c r="H15412" s="8" t="s">
        <v>364</v>
      </c>
    </row>
    <row r="15413">
      <c r="H15413" s="8" t="s">
        <v>364</v>
      </c>
    </row>
    <row r="15414">
      <c r="H15414" s="8" t="s">
        <v>364</v>
      </c>
    </row>
    <row r="15415">
      <c r="H15415" s="8" t="s">
        <v>364</v>
      </c>
    </row>
    <row r="15416">
      <c r="H15416" s="8" t="s">
        <v>364</v>
      </c>
    </row>
    <row r="15417">
      <c r="H15417" s="8" t="s">
        <v>364</v>
      </c>
    </row>
    <row r="15418">
      <c r="H15418" s="8" t="s">
        <v>364</v>
      </c>
    </row>
    <row r="15419">
      <c r="H15419" s="8" t="s">
        <v>364</v>
      </c>
    </row>
    <row r="15420">
      <c r="H15420" s="8" t="s">
        <v>364</v>
      </c>
    </row>
    <row r="15421">
      <c r="H15421" s="8" t="s">
        <v>364</v>
      </c>
    </row>
    <row r="15422">
      <c r="H15422" s="8" t="s">
        <v>364</v>
      </c>
    </row>
    <row r="15423">
      <c r="H15423" s="8" t="s">
        <v>364</v>
      </c>
    </row>
    <row r="15424">
      <c r="H15424" s="8" t="s">
        <v>364</v>
      </c>
    </row>
    <row r="15425">
      <c r="H15425" s="8" t="s">
        <v>364</v>
      </c>
    </row>
    <row r="15426">
      <c r="H15426" s="8" t="s">
        <v>364</v>
      </c>
    </row>
    <row r="15427">
      <c r="H15427" s="8" t="s">
        <v>364</v>
      </c>
    </row>
    <row r="15428">
      <c r="H15428" s="8" t="s">
        <v>364</v>
      </c>
    </row>
    <row r="15429">
      <c r="H15429" s="8" t="s">
        <v>364</v>
      </c>
    </row>
    <row r="15430">
      <c r="H15430" s="8" t="s">
        <v>364</v>
      </c>
    </row>
    <row r="15431">
      <c r="H15431" s="8" t="s">
        <v>364</v>
      </c>
    </row>
    <row r="15432">
      <c r="H15432" s="8" t="s">
        <v>364</v>
      </c>
    </row>
    <row r="15433">
      <c r="H15433" s="8" t="s">
        <v>364</v>
      </c>
    </row>
    <row r="15434">
      <c r="H15434" s="8" t="s">
        <v>364</v>
      </c>
    </row>
    <row r="15435">
      <c r="H15435" s="8" t="s">
        <v>364</v>
      </c>
    </row>
    <row r="15436">
      <c r="H15436" s="8" t="s">
        <v>364</v>
      </c>
    </row>
    <row r="15437">
      <c r="H15437" s="8" t="s">
        <v>364</v>
      </c>
    </row>
    <row r="15438">
      <c r="H15438" s="8" t="s">
        <v>364</v>
      </c>
    </row>
    <row r="15439">
      <c r="H15439" s="8" t="s">
        <v>364</v>
      </c>
    </row>
    <row r="15440">
      <c r="H15440" s="8" t="s">
        <v>364</v>
      </c>
    </row>
    <row r="15441">
      <c r="H15441" s="8" t="s">
        <v>364</v>
      </c>
    </row>
    <row r="15442">
      <c r="H15442" s="8" t="s">
        <v>364</v>
      </c>
    </row>
    <row r="15443">
      <c r="H15443" s="8" t="s">
        <v>364</v>
      </c>
    </row>
    <row r="15444">
      <c r="H15444" s="8" t="s">
        <v>364</v>
      </c>
    </row>
    <row r="15445">
      <c r="H15445" s="8" t="s">
        <v>364</v>
      </c>
    </row>
    <row r="15446">
      <c r="H15446" s="8" t="s">
        <v>364</v>
      </c>
    </row>
    <row r="15447">
      <c r="H15447" s="8" t="s">
        <v>364</v>
      </c>
    </row>
    <row r="15448">
      <c r="H15448" s="8" t="s">
        <v>364</v>
      </c>
    </row>
    <row r="15449">
      <c r="H15449" s="8" t="s">
        <v>364</v>
      </c>
    </row>
    <row r="15450">
      <c r="H15450" s="8" t="s">
        <v>364</v>
      </c>
    </row>
    <row r="15451">
      <c r="H15451" s="8" t="s">
        <v>364</v>
      </c>
    </row>
    <row r="15452">
      <c r="H15452" s="8" t="s">
        <v>364</v>
      </c>
    </row>
    <row r="15453">
      <c r="H15453" s="8" t="s">
        <v>364</v>
      </c>
    </row>
    <row r="15454">
      <c r="H15454" s="8" t="s">
        <v>364</v>
      </c>
    </row>
    <row r="15455">
      <c r="H15455" s="8" t="s">
        <v>364</v>
      </c>
    </row>
    <row r="15456">
      <c r="H15456" s="8" t="s">
        <v>364</v>
      </c>
    </row>
    <row r="15457">
      <c r="H15457" s="8" t="s">
        <v>364</v>
      </c>
    </row>
    <row r="15458">
      <c r="H15458" s="8" t="s">
        <v>364</v>
      </c>
    </row>
    <row r="15459">
      <c r="H15459" s="8" t="s">
        <v>364</v>
      </c>
    </row>
    <row r="15460">
      <c r="H15460" s="8" t="s">
        <v>364</v>
      </c>
    </row>
    <row r="15461">
      <c r="H15461" s="8" t="s">
        <v>364</v>
      </c>
    </row>
    <row r="15462">
      <c r="H15462" s="8" t="s">
        <v>364</v>
      </c>
    </row>
    <row r="15463">
      <c r="H15463" s="8" t="s">
        <v>364</v>
      </c>
    </row>
    <row r="15464">
      <c r="H15464" s="8" t="s">
        <v>364</v>
      </c>
    </row>
    <row r="15465">
      <c r="H15465" s="8" t="s">
        <v>364</v>
      </c>
    </row>
    <row r="15466">
      <c r="H15466" s="8" t="s">
        <v>364</v>
      </c>
    </row>
    <row r="15467">
      <c r="H15467" s="8" t="s">
        <v>364</v>
      </c>
    </row>
    <row r="15468">
      <c r="H15468" s="8" t="s">
        <v>364</v>
      </c>
    </row>
    <row r="15469">
      <c r="H15469" s="8" t="s">
        <v>364</v>
      </c>
    </row>
    <row r="15470">
      <c r="H15470" s="8" t="s">
        <v>364</v>
      </c>
    </row>
    <row r="15471">
      <c r="H15471" s="8" t="s">
        <v>364</v>
      </c>
    </row>
    <row r="15472">
      <c r="H15472" s="8" t="s">
        <v>364</v>
      </c>
    </row>
    <row r="15473">
      <c r="H15473" s="8" t="s">
        <v>364</v>
      </c>
    </row>
    <row r="15474">
      <c r="H15474" s="8" t="s">
        <v>364</v>
      </c>
    </row>
    <row r="15475">
      <c r="H15475" s="8" t="s">
        <v>364</v>
      </c>
    </row>
    <row r="15476">
      <c r="H15476" s="8" t="s">
        <v>364</v>
      </c>
    </row>
    <row r="15477">
      <c r="H15477" s="8" t="s">
        <v>364</v>
      </c>
    </row>
    <row r="15478">
      <c r="H15478" s="8" t="s">
        <v>364</v>
      </c>
    </row>
    <row r="15479">
      <c r="H15479" s="8" t="s">
        <v>364</v>
      </c>
    </row>
    <row r="15480">
      <c r="H15480" s="8" t="s">
        <v>364</v>
      </c>
    </row>
    <row r="15481">
      <c r="H15481" s="8" t="s">
        <v>364</v>
      </c>
    </row>
    <row r="15482">
      <c r="H15482" s="8" t="s">
        <v>364</v>
      </c>
    </row>
    <row r="15483">
      <c r="H15483" s="8" t="s">
        <v>364</v>
      </c>
    </row>
    <row r="15484">
      <c r="H15484" s="8" t="s">
        <v>364</v>
      </c>
    </row>
    <row r="15485">
      <c r="H15485" s="8" t="s">
        <v>364</v>
      </c>
    </row>
    <row r="15486">
      <c r="H15486" s="8" t="s">
        <v>364</v>
      </c>
    </row>
    <row r="15487">
      <c r="H15487" s="8" t="s">
        <v>364</v>
      </c>
    </row>
    <row r="15488">
      <c r="H15488" s="8" t="s">
        <v>364</v>
      </c>
    </row>
    <row r="15489">
      <c r="H15489" s="8" t="s">
        <v>364</v>
      </c>
    </row>
    <row r="15490">
      <c r="H15490" s="8" t="s">
        <v>364</v>
      </c>
    </row>
    <row r="15491">
      <c r="H15491" s="8" t="s">
        <v>364</v>
      </c>
    </row>
    <row r="15492">
      <c r="H15492" s="8" t="s">
        <v>364</v>
      </c>
    </row>
    <row r="15493">
      <c r="H15493" s="8" t="s">
        <v>364</v>
      </c>
    </row>
    <row r="15494">
      <c r="H15494" s="8" t="s">
        <v>364</v>
      </c>
    </row>
    <row r="15495">
      <c r="H15495" s="8" t="s">
        <v>364</v>
      </c>
    </row>
    <row r="15496">
      <c r="H15496" s="8" t="s">
        <v>364</v>
      </c>
    </row>
    <row r="15497">
      <c r="H15497" s="8" t="s">
        <v>364</v>
      </c>
    </row>
    <row r="15498">
      <c r="H15498" s="8" t="s">
        <v>364</v>
      </c>
    </row>
    <row r="15499">
      <c r="H15499" s="8" t="s">
        <v>364</v>
      </c>
    </row>
    <row r="15500">
      <c r="H15500" s="8" t="s">
        <v>364</v>
      </c>
    </row>
    <row r="15501">
      <c r="H15501" s="8" t="s">
        <v>364</v>
      </c>
    </row>
    <row r="15502">
      <c r="H15502" s="8" t="s">
        <v>364</v>
      </c>
    </row>
    <row r="15503">
      <c r="H15503" s="8" t="s">
        <v>364</v>
      </c>
    </row>
    <row r="15504">
      <c r="H15504" s="8" t="s">
        <v>364</v>
      </c>
    </row>
    <row r="15505">
      <c r="H15505" s="8" t="s">
        <v>364</v>
      </c>
    </row>
    <row r="15506">
      <c r="H15506" s="8" t="s">
        <v>364</v>
      </c>
    </row>
    <row r="15507">
      <c r="H15507" s="8" t="s">
        <v>364</v>
      </c>
    </row>
    <row r="15508">
      <c r="H15508" s="8" t="s">
        <v>364</v>
      </c>
    </row>
    <row r="15509">
      <c r="H15509" s="8" t="s">
        <v>364</v>
      </c>
    </row>
    <row r="15510">
      <c r="H15510" s="8" t="s">
        <v>364</v>
      </c>
    </row>
    <row r="15511">
      <c r="H15511" s="8" t="s">
        <v>364</v>
      </c>
    </row>
    <row r="15512">
      <c r="H15512" s="8" t="s">
        <v>364</v>
      </c>
    </row>
    <row r="15513">
      <c r="H15513" s="8" t="s">
        <v>364</v>
      </c>
    </row>
    <row r="15514">
      <c r="H15514" s="8" t="s">
        <v>364</v>
      </c>
    </row>
    <row r="15515">
      <c r="H15515" s="8" t="s">
        <v>364</v>
      </c>
    </row>
    <row r="15516">
      <c r="H15516" s="8" t="s">
        <v>364</v>
      </c>
    </row>
    <row r="15517">
      <c r="H15517" s="8" t="s">
        <v>364</v>
      </c>
    </row>
    <row r="15518">
      <c r="H15518" s="8" t="s">
        <v>364</v>
      </c>
    </row>
    <row r="15519">
      <c r="H15519" s="8" t="s">
        <v>364</v>
      </c>
    </row>
    <row r="15520">
      <c r="H15520" s="8" t="s">
        <v>364</v>
      </c>
    </row>
    <row r="15521">
      <c r="H15521" s="8" t="s">
        <v>364</v>
      </c>
    </row>
    <row r="15522">
      <c r="H15522" s="8" t="s">
        <v>364</v>
      </c>
    </row>
    <row r="15523">
      <c r="H15523" s="8" t="s">
        <v>364</v>
      </c>
    </row>
    <row r="15524">
      <c r="H15524" s="8" t="s">
        <v>364</v>
      </c>
    </row>
    <row r="15525">
      <c r="H15525" s="8" t="s">
        <v>364</v>
      </c>
    </row>
    <row r="15526">
      <c r="H15526" s="8" t="s">
        <v>364</v>
      </c>
    </row>
    <row r="15527">
      <c r="H15527" s="8" t="s">
        <v>364</v>
      </c>
    </row>
    <row r="15528">
      <c r="H15528" s="8" t="s">
        <v>364</v>
      </c>
    </row>
    <row r="15529">
      <c r="H15529" s="8" t="s">
        <v>364</v>
      </c>
    </row>
    <row r="15530">
      <c r="H15530" s="8" t="s">
        <v>364</v>
      </c>
    </row>
    <row r="15531">
      <c r="H15531" s="8" t="s">
        <v>364</v>
      </c>
    </row>
    <row r="15532">
      <c r="H15532" s="8" t="s">
        <v>364</v>
      </c>
    </row>
    <row r="15533">
      <c r="H15533" s="8" t="s">
        <v>364</v>
      </c>
    </row>
    <row r="15534">
      <c r="H15534" s="8" t="s">
        <v>364</v>
      </c>
    </row>
    <row r="15535">
      <c r="H15535" s="8" t="s">
        <v>364</v>
      </c>
    </row>
    <row r="15536">
      <c r="H15536" s="8" t="s">
        <v>364</v>
      </c>
    </row>
    <row r="15537">
      <c r="H15537" s="8" t="s">
        <v>364</v>
      </c>
    </row>
    <row r="15538">
      <c r="H15538" s="8" t="s">
        <v>364</v>
      </c>
    </row>
    <row r="15539">
      <c r="H15539" s="8" t="s">
        <v>364</v>
      </c>
    </row>
    <row r="15540">
      <c r="H15540" s="8" t="s">
        <v>364</v>
      </c>
    </row>
    <row r="15541">
      <c r="H15541" s="8" t="s">
        <v>364</v>
      </c>
    </row>
    <row r="15542">
      <c r="H15542" s="8" t="s">
        <v>364</v>
      </c>
    </row>
    <row r="15543">
      <c r="H15543" s="8" t="s">
        <v>364</v>
      </c>
    </row>
    <row r="15544">
      <c r="H15544" s="8" t="s">
        <v>364</v>
      </c>
    </row>
    <row r="15545">
      <c r="H15545" s="8" t="s">
        <v>364</v>
      </c>
    </row>
    <row r="15546">
      <c r="H15546" s="8" t="s">
        <v>364</v>
      </c>
    </row>
    <row r="15547">
      <c r="H15547" s="8" t="s">
        <v>364</v>
      </c>
    </row>
    <row r="15548">
      <c r="H15548" s="8" t="s">
        <v>364</v>
      </c>
    </row>
    <row r="15549">
      <c r="H15549" s="8" t="s">
        <v>364</v>
      </c>
    </row>
    <row r="15550">
      <c r="H15550" s="8" t="s">
        <v>364</v>
      </c>
    </row>
    <row r="15551">
      <c r="H15551" s="8" t="s">
        <v>364</v>
      </c>
    </row>
    <row r="15552">
      <c r="H15552" s="8" t="s">
        <v>364</v>
      </c>
    </row>
    <row r="15553">
      <c r="H15553" s="8" t="s">
        <v>364</v>
      </c>
    </row>
    <row r="15554">
      <c r="H15554" s="8" t="s">
        <v>364</v>
      </c>
    </row>
    <row r="15555">
      <c r="H15555" s="8" t="s">
        <v>364</v>
      </c>
    </row>
    <row r="15556">
      <c r="H15556" s="8" t="s">
        <v>364</v>
      </c>
    </row>
    <row r="15557">
      <c r="H15557" s="8" t="s">
        <v>364</v>
      </c>
    </row>
    <row r="15558">
      <c r="H15558" s="8" t="s">
        <v>364</v>
      </c>
    </row>
    <row r="15559">
      <c r="H15559" s="8" t="s">
        <v>364</v>
      </c>
    </row>
    <row r="15560">
      <c r="H15560" s="8" t="s">
        <v>364</v>
      </c>
    </row>
    <row r="15561">
      <c r="H15561" s="8" t="s">
        <v>364</v>
      </c>
    </row>
    <row r="15562">
      <c r="H15562" s="8" t="s">
        <v>364</v>
      </c>
    </row>
    <row r="15563">
      <c r="H15563" s="8" t="s">
        <v>364</v>
      </c>
    </row>
    <row r="15564">
      <c r="H15564" s="8" t="s">
        <v>364</v>
      </c>
    </row>
    <row r="15565">
      <c r="H15565" s="8" t="s">
        <v>364</v>
      </c>
    </row>
    <row r="15566">
      <c r="H15566" s="8" t="s">
        <v>364</v>
      </c>
    </row>
    <row r="15567">
      <c r="H15567" s="8" t="s">
        <v>364</v>
      </c>
    </row>
    <row r="15568">
      <c r="H15568" s="8" t="s">
        <v>364</v>
      </c>
    </row>
    <row r="15569">
      <c r="H15569" s="8" t="s">
        <v>364</v>
      </c>
    </row>
    <row r="15570">
      <c r="H15570" s="8" t="s">
        <v>364</v>
      </c>
    </row>
    <row r="15571">
      <c r="H15571" s="8" t="s">
        <v>364</v>
      </c>
    </row>
    <row r="15572">
      <c r="H15572" s="8" t="s">
        <v>364</v>
      </c>
    </row>
    <row r="15573">
      <c r="H15573" s="8" t="s">
        <v>364</v>
      </c>
    </row>
    <row r="15574">
      <c r="H15574" s="8" t="s">
        <v>364</v>
      </c>
    </row>
    <row r="15575">
      <c r="H15575" s="8" t="s">
        <v>364</v>
      </c>
    </row>
    <row r="15576">
      <c r="H15576" s="8" t="s">
        <v>364</v>
      </c>
    </row>
    <row r="15577">
      <c r="H15577" s="8" t="s">
        <v>364</v>
      </c>
    </row>
    <row r="15578">
      <c r="H15578" s="8" t="s">
        <v>364</v>
      </c>
    </row>
    <row r="15579">
      <c r="H15579" s="8" t="s">
        <v>364</v>
      </c>
    </row>
    <row r="15580">
      <c r="H15580" s="8" t="s">
        <v>364</v>
      </c>
    </row>
    <row r="15581">
      <c r="H15581" s="8" t="s">
        <v>364</v>
      </c>
    </row>
    <row r="15582">
      <c r="H15582" s="8" t="s">
        <v>364</v>
      </c>
    </row>
    <row r="15583">
      <c r="H15583" s="8" t="s">
        <v>364</v>
      </c>
    </row>
    <row r="15584">
      <c r="H15584" s="8" t="s">
        <v>364</v>
      </c>
    </row>
    <row r="15585">
      <c r="H15585" s="8" t="s">
        <v>364</v>
      </c>
    </row>
    <row r="15586">
      <c r="H15586" s="8" t="s">
        <v>364</v>
      </c>
    </row>
    <row r="15587">
      <c r="H15587" s="8" t="s">
        <v>364</v>
      </c>
    </row>
    <row r="15588">
      <c r="H15588" s="8" t="s">
        <v>364</v>
      </c>
    </row>
    <row r="15589">
      <c r="H15589" s="8" t="s">
        <v>364</v>
      </c>
    </row>
    <row r="15590">
      <c r="H15590" s="8" t="s">
        <v>364</v>
      </c>
    </row>
    <row r="15591">
      <c r="H15591" s="8" t="s">
        <v>364</v>
      </c>
    </row>
    <row r="15592">
      <c r="H15592" s="8" t="s">
        <v>364</v>
      </c>
    </row>
    <row r="15593">
      <c r="H15593" s="8" t="s">
        <v>364</v>
      </c>
    </row>
    <row r="15594">
      <c r="H15594" s="8" t="s">
        <v>364</v>
      </c>
    </row>
    <row r="15595">
      <c r="H15595" s="8" t="s">
        <v>364</v>
      </c>
    </row>
    <row r="15596">
      <c r="H15596" s="8" t="s">
        <v>364</v>
      </c>
    </row>
    <row r="15597">
      <c r="H15597" s="8" t="s">
        <v>364</v>
      </c>
    </row>
    <row r="15598">
      <c r="H15598" s="8" t="s">
        <v>364</v>
      </c>
    </row>
    <row r="15599">
      <c r="H15599" s="8" t="s">
        <v>364</v>
      </c>
    </row>
    <row r="15600">
      <c r="H15600" s="8" t="s">
        <v>364</v>
      </c>
    </row>
    <row r="15601">
      <c r="H15601" s="8" t="s">
        <v>364</v>
      </c>
    </row>
    <row r="15602">
      <c r="H15602" s="8" t="s">
        <v>364</v>
      </c>
    </row>
    <row r="15603">
      <c r="H15603" s="8" t="s">
        <v>364</v>
      </c>
    </row>
    <row r="15604">
      <c r="H15604" s="8" t="s">
        <v>364</v>
      </c>
    </row>
    <row r="15605">
      <c r="H15605" s="8" t="s">
        <v>364</v>
      </c>
    </row>
    <row r="15606">
      <c r="H15606" s="8" t="s">
        <v>364</v>
      </c>
    </row>
    <row r="15607">
      <c r="H15607" s="8" t="s">
        <v>364</v>
      </c>
    </row>
    <row r="15608">
      <c r="H15608" s="8" t="s">
        <v>364</v>
      </c>
    </row>
    <row r="15609">
      <c r="H15609" s="8" t="s">
        <v>364</v>
      </c>
    </row>
    <row r="15610">
      <c r="H15610" s="8" t="s">
        <v>364</v>
      </c>
    </row>
    <row r="15611">
      <c r="H15611" s="8" t="s">
        <v>364</v>
      </c>
    </row>
    <row r="15612">
      <c r="H15612" s="8" t="s">
        <v>364</v>
      </c>
    </row>
    <row r="15613">
      <c r="H15613" s="8" t="s">
        <v>364</v>
      </c>
    </row>
    <row r="15614">
      <c r="H15614" s="8" t="s">
        <v>364</v>
      </c>
    </row>
    <row r="15615">
      <c r="H15615" s="8" t="s">
        <v>364</v>
      </c>
    </row>
    <row r="15616">
      <c r="H15616" s="8" t="s">
        <v>364</v>
      </c>
    </row>
    <row r="15617">
      <c r="H15617" s="8" t="s">
        <v>364</v>
      </c>
    </row>
    <row r="15618">
      <c r="H15618" s="8" t="s">
        <v>364</v>
      </c>
    </row>
    <row r="15619">
      <c r="H15619" s="8" t="s">
        <v>364</v>
      </c>
    </row>
    <row r="15620">
      <c r="H15620" s="8" t="s">
        <v>364</v>
      </c>
    </row>
    <row r="15621">
      <c r="H15621" s="8" t="s">
        <v>364</v>
      </c>
    </row>
    <row r="15622">
      <c r="H15622" s="8" t="s">
        <v>364</v>
      </c>
    </row>
    <row r="15623">
      <c r="H15623" s="8" t="s">
        <v>364</v>
      </c>
    </row>
    <row r="15624">
      <c r="H15624" s="8" t="s">
        <v>364</v>
      </c>
    </row>
    <row r="15625">
      <c r="H15625" s="8" t="s">
        <v>364</v>
      </c>
    </row>
    <row r="15626">
      <c r="H15626" s="8" t="s">
        <v>364</v>
      </c>
    </row>
    <row r="15627">
      <c r="H15627" s="8" t="s">
        <v>364</v>
      </c>
    </row>
    <row r="15628">
      <c r="H15628" s="8" t="s">
        <v>364</v>
      </c>
    </row>
    <row r="15629">
      <c r="H15629" s="8" t="s">
        <v>364</v>
      </c>
    </row>
    <row r="15630">
      <c r="H15630" s="8" t="s">
        <v>364</v>
      </c>
    </row>
    <row r="15631">
      <c r="H15631" s="8" t="s">
        <v>364</v>
      </c>
    </row>
    <row r="15632">
      <c r="H15632" s="8" t="s">
        <v>364</v>
      </c>
    </row>
    <row r="15633">
      <c r="H15633" s="8" t="s">
        <v>364</v>
      </c>
    </row>
    <row r="15634">
      <c r="H15634" s="8" t="s">
        <v>364</v>
      </c>
    </row>
    <row r="15635">
      <c r="H15635" s="8" t="s">
        <v>364</v>
      </c>
    </row>
    <row r="15636">
      <c r="H15636" s="8" t="s">
        <v>364</v>
      </c>
    </row>
    <row r="15637">
      <c r="H15637" s="8" t="s">
        <v>364</v>
      </c>
    </row>
    <row r="15638">
      <c r="H15638" s="8" t="s">
        <v>364</v>
      </c>
    </row>
    <row r="15639">
      <c r="H15639" s="8" t="s">
        <v>364</v>
      </c>
    </row>
    <row r="15640">
      <c r="H15640" s="8" t="s">
        <v>364</v>
      </c>
    </row>
    <row r="15641">
      <c r="H15641" s="8" t="s">
        <v>364</v>
      </c>
    </row>
    <row r="15642">
      <c r="H15642" s="8" t="s">
        <v>364</v>
      </c>
    </row>
    <row r="15643">
      <c r="H15643" s="8" t="s">
        <v>364</v>
      </c>
    </row>
    <row r="15644">
      <c r="H15644" s="8" t="s">
        <v>364</v>
      </c>
    </row>
    <row r="15645">
      <c r="H15645" s="8" t="s">
        <v>364</v>
      </c>
    </row>
    <row r="15646">
      <c r="H15646" s="8" t="s">
        <v>364</v>
      </c>
    </row>
    <row r="15647">
      <c r="H15647" s="8" t="s">
        <v>364</v>
      </c>
    </row>
    <row r="15648">
      <c r="H15648" s="8" t="s">
        <v>364</v>
      </c>
    </row>
    <row r="15649">
      <c r="H15649" s="8" t="s">
        <v>364</v>
      </c>
    </row>
    <row r="15650">
      <c r="H15650" s="8" t="s">
        <v>364</v>
      </c>
    </row>
    <row r="15651">
      <c r="H15651" s="8" t="s">
        <v>364</v>
      </c>
    </row>
    <row r="15652">
      <c r="H15652" s="8" t="s">
        <v>364</v>
      </c>
    </row>
    <row r="15653">
      <c r="H15653" s="8" t="s">
        <v>364</v>
      </c>
    </row>
    <row r="15654">
      <c r="H15654" s="8" t="s">
        <v>364</v>
      </c>
    </row>
    <row r="15655">
      <c r="H15655" s="8" t="s">
        <v>364</v>
      </c>
    </row>
    <row r="15656">
      <c r="H15656" s="8" t="s">
        <v>364</v>
      </c>
    </row>
    <row r="15657">
      <c r="H15657" s="8" t="s">
        <v>364</v>
      </c>
    </row>
    <row r="15658">
      <c r="H15658" s="8" t="s">
        <v>364</v>
      </c>
    </row>
    <row r="15659">
      <c r="H15659" s="8" t="s">
        <v>364</v>
      </c>
    </row>
    <row r="15660">
      <c r="H15660" s="8" t="s">
        <v>364</v>
      </c>
    </row>
    <row r="15661">
      <c r="H15661" s="8" t="s">
        <v>364</v>
      </c>
    </row>
    <row r="15662">
      <c r="H15662" s="8" t="s">
        <v>364</v>
      </c>
    </row>
    <row r="15663">
      <c r="H15663" s="8" t="s">
        <v>364</v>
      </c>
    </row>
    <row r="15664">
      <c r="H15664" s="8" t="s">
        <v>364</v>
      </c>
    </row>
    <row r="15665">
      <c r="H15665" s="8" t="s">
        <v>364</v>
      </c>
    </row>
    <row r="15666">
      <c r="H15666" s="8" t="s">
        <v>364</v>
      </c>
    </row>
    <row r="15667">
      <c r="H15667" s="8" t="s">
        <v>364</v>
      </c>
    </row>
    <row r="15668">
      <c r="H15668" s="8" t="s">
        <v>364</v>
      </c>
    </row>
    <row r="15669">
      <c r="H15669" s="8" t="s">
        <v>364</v>
      </c>
    </row>
    <row r="15670">
      <c r="H15670" s="8" t="s">
        <v>364</v>
      </c>
    </row>
    <row r="15671">
      <c r="H15671" s="8" t="s">
        <v>364</v>
      </c>
    </row>
    <row r="15672">
      <c r="H15672" s="8" t="s">
        <v>364</v>
      </c>
    </row>
    <row r="15673">
      <c r="H15673" s="8" t="s">
        <v>364</v>
      </c>
    </row>
    <row r="15674">
      <c r="H15674" s="8" t="s">
        <v>364</v>
      </c>
    </row>
    <row r="15675">
      <c r="H15675" s="8" t="s">
        <v>364</v>
      </c>
    </row>
    <row r="15676">
      <c r="H15676" s="8" t="s">
        <v>364</v>
      </c>
    </row>
    <row r="15677">
      <c r="H15677" s="8" t="s">
        <v>364</v>
      </c>
    </row>
    <row r="15678">
      <c r="H15678" s="8" t="s">
        <v>364</v>
      </c>
    </row>
    <row r="15679">
      <c r="H15679" s="8" t="s">
        <v>364</v>
      </c>
    </row>
    <row r="15680">
      <c r="H15680" s="8" t="s">
        <v>364</v>
      </c>
    </row>
    <row r="15681">
      <c r="H15681" s="8" t="s">
        <v>364</v>
      </c>
    </row>
    <row r="15682">
      <c r="H15682" s="8" t="s">
        <v>364</v>
      </c>
    </row>
    <row r="15683">
      <c r="H15683" s="8" t="s">
        <v>364</v>
      </c>
    </row>
    <row r="15684">
      <c r="H15684" s="8" t="s">
        <v>364</v>
      </c>
    </row>
    <row r="15685">
      <c r="H15685" s="8" t="s">
        <v>364</v>
      </c>
    </row>
    <row r="15686">
      <c r="H15686" s="8" t="s">
        <v>364</v>
      </c>
    </row>
    <row r="15687">
      <c r="H15687" s="8" t="s">
        <v>364</v>
      </c>
    </row>
    <row r="15688">
      <c r="H15688" s="8" t="s">
        <v>364</v>
      </c>
    </row>
    <row r="15689">
      <c r="H15689" s="8" t="s">
        <v>364</v>
      </c>
    </row>
    <row r="15690">
      <c r="H15690" s="8" t="s">
        <v>364</v>
      </c>
    </row>
    <row r="15691">
      <c r="H15691" s="8" t="s">
        <v>364</v>
      </c>
    </row>
    <row r="15692">
      <c r="H15692" s="8" t="s">
        <v>364</v>
      </c>
    </row>
    <row r="15693">
      <c r="H15693" s="8" t="s">
        <v>364</v>
      </c>
    </row>
    <row r="15694">
      <c r="H15694" s="8" t="s">
        <v>364</v>
      </c>
    </row>
    <row r="15695">
      <c r="H15695" s="8" t="s">
        <v>364</v>
      </c>
    </row>
    <row r="15696">
      <c r="H15696" s="8" t="s">
        <v>364</v>
      </c>
    </row>
    <row r="15697">
      <c r="H15697" s="8" t="s">
        <v>364</v>
      </c>
    </row>
    <row r="15698">
      <c r="H15698" s="8" t="s">
        <v>364</v>
      </c>
    </row>
    <row r="15699">
      <c r="H15699" s="8" t="s">
        <v>364</v>
      </c>
    </row>
    <row r="15700">
      <c r="H15700" s="8" t="s">
        <v>364</v>
      </c>
    </row>
    <row r="15701">
      <c r="H15701" s="8" t="s">
        <v>364</v>
      </c>
    </row>
    <row r="15702">
      <c r="H15702" s="8" t="s">
        <v>364</v>
      </c>
    </row>
    <row r="15703">
      <c r="H15703" s="8" t="s">
        <v>364</v>
      </c>
    </row>
    <row r="15704">
      <c r="H15704" s="8" t="s">
        <v>364</v>
      </c>
    </row>
    <row r="15705">
      <c r="H15705" s="8" t="s">
        <v>364</v>
      </c>
    </row>
    <row r="15706">
      <c r="H15706" s="8" t="s">
        <v>364</v>
      </c>
    </row>
    <row r="15707">
      <c r="H15707" s="8" t="s">
        <v>364</v>
      </c>
    </row>
    <row r="15708">
      <c r="H15708" s="8" t="s">
        <v>364</v>
      </c>
    </row>
    <row r="15709">
      <c r="H15709" s="8" t="s">
        <v>364</v>
      </c>
    </row>
    <row r="15710">
      <c r="H15710" s="8" t="s">
        <v>364</v>
      </c>
    </row>
    <row r="15711">
      <c r="H15711" s="8" t="s">
        <v>364</v>
      </c>
    </row>
    <row r="15712">
      <c r="H15712" s="8" t="s">
        <v>364</v>
      </c>
    </row>
    <row r="15713">
      <c r="H15713" s="8" t="s">
        <v>364</v>
      </c>
    </row>
    <row r="15714">
      <c r="H15714" s="8" t="s">
        <v>364</v>
      </c>
    </row>
    <row r="15715">
      <c r="H15715" s="8" t="s">
        <v>364</v>
      </c>
    </row>
    <row r="15716">
      <c r="H15716" s="8" t="s">
        <v>364</v>
      </c>
    </row>
    <row r="15717">
      <c r="H15717" s="8" t="s">
        <v>364</v>
      </c>
    </row>
    <row r="15718">
      <c r="H15718" s="8" t="s">
        <v>364</v>
      </c>
    </row>
    <row r="15719">
      <c r="H15719" s="8" t="s">
        <v>364</v>
      </c>
    </row>
    <row r="15720">
      <c r="H15720" s="8" t="s">
        <v>364</v>
      </c>
    </row>
    <row r="15721">
      <c r="H15721" s="8" t="s">
        <v>364</v>
      </c>
    </row>
    <row r="15722">
      <c r="H15722" s="8" t="s">
        <v>364</v>
      </c>
    </row>
    <row r="15723">
      <c r="H15723" s="8" t="s">
        <v>364</v>
      </c>
    </row>
    <row r="15724">
      <c r="H15724" s="8" t="s">
        <v>364</v>
      </c>
    </row>
    <row r="15725">
      <c r="H15725" s="8" t="s">
        <v>364</v>
      </c>
    </row>
    <row r="15726">
      <c r="H15726" s="8" t="s">
        <v>364</v>
      </c>
    </row>
    <row r="15727">
      <c r="H15727" s="8" t="s">
        <v>364</v>
      </c>
    </row>
    <row r="15728">
      <c r="H15728" s="8" t="s">
        <v>364</v>
      </c>
    </row>
    <row r="15729">
      <c r="H15729" s="8" t="s">
        <v>364</v>
      </c>
    </row>
    <row r="15730">
      <c r="H15730" s="8" t="s">
        <v>364</v>
      </c>
    </row>
    <row r="15731">
      <c r="H15731" s="8" t="s">
        <v>364</v>
      </c>
    </row>
    <row r="15732">
      <c r="H15732" s="8" t="s">
        <v>364</v>
      </c>
    </row>
    <row r="15733">
      <c r="H15733" s="8" t="s">
        <v>364</v>
      </c>
    </row>
    <row r="15734">
      <c r="H15734" s="8" t="s">
        <v>364</v>
      </c>
    </row>
    <row r="15735">
      <c r="H15735" s="8" t="s">
        <v>364</v>
      </c>
    </row>
    <row r="15736">
      <c r="H15736" s="8" t="s">
        <v>364</v>
      </c>
    </row>
    <row r="15737">
      <c r="H15737" s="8" t="s">
        <v>364</v>
      </c>
    </row>
    <row r="15738">
      <c r="H15738" s="8" t="s">
        <v>364</v>
      </c>
    </row>
    <row r="15739">
      <c r="H15739" s="8" t="s">
        <v>364</v>
      </c>
    </row>
    <row r="15740">
      <c r="H15740" s="8" t="s">
        <v>364</v>
      </c>
    </row>
    <row r="15741">
      <c r="H15741" s="8" t="s">
        <v>364</v>
      </c>
    </row>
    <row r="15742">
      <c r="H15742" s="8" t="s">
        <v>364</v>
      </c>
    </row>
    <row r="15743">
      <c r="H15743" s="8" t="s">
        <v>364</v>
      </c>
    </row>
    <row r="15744">
      <c r="H15744" s="8" t="s">
        <v>364</v>
      </c>
    </row>
    <row r="15745">
      <c r="H15745" s="8" t="s">
        <v>364</v>
      </c>
    </row>
    <row r="15746">
      <c r="H15746" s="8" t="s">
        <v>364</v>
      </c>
    </row>
    <row r="15747">
      <c r="H15747" s="8" t="s">
        <v>364</v>
      </c>
    </row>
    <row r="15748">
      <c r="H15748" s="8" t="s">
        <v>364</v>
      </c>
    </row>
    <row r="15749">
      <c r="H15749" s="8" t="s">
        <v>364</v>
      </c>
    </row>
    <row r="15750">
      <c r="H15750" s="8" t="s">
        <v>364</v>
      </c>
    </row>
    <row r="15751">
      <c r="H15751" s="8" t="s">
        <v>364</v>
      </c>
    </row>
    <row r="15752">
      <c r="H15752" s="8" t="s">
        <v>364</v>
      </c>
    </row>
    <row r="15753">
      <c r="H15753" s="8" t="s">
        <v>364</v>
      </c>
    </row>
    <row r="15754">
      <c r="H15754" s="8" t="s">
        <v>364</v>
      </c>
    </row>
    <row r="15755">
      <c r="H15755" s="8" t="s">
        <v>364</v>
      </c>
    </row>
    <row r="15756">
      <c r="H15756" s="8" t="s">
        <v>364</v>
      </c>
    </row>
    <row r="15757">
      <c r="H15757" s="8" t="s">
        <v>364</v>
      </c>
    </row>
    <row r="15758">
      <c r="H15758" s="8" t="s">
        <v>364</v>
      </c>
    </row>
    <row r="15759">
      <c r="H15759" s="8" t="s">
        <v>364</v>
      </c>
    </row>
    <row r="15760">
      <c r="H15760" s="8" t="s">
        <v>364</v>
      </c>
    </row>
    <row r="15761">
      <c r="H15761" s="8" t="s">
        <v>364</v>
      </c>
    </row>
    <row r="15762">
      <c r="H15762" s="8" t="s">
        <v>364</v>
      </c>
    </row>
    <row r="15763">
      <c r="H15763" s="8" t="s">
        <v>364</v>
      </c>
    </row>
    <row r="15764">
      <c r="H15764" s="8" t="s">
        <v>364</v>
      </c>
    </row>
    <row r="15765">
      <c r="H15765" s="8" t="s">
        <v>364</v>
      </c>
    </row>
    <row r="15766">
      <c r="H15766" s="8" t="s">
        <v>364</v>
      </c>
    </row>
    <row r="15767">
      <c r="H15767" s="8" t="s">
        <v>364</v>
      </c>
    </row>
    <row r="15768">
      <c r="H15768" s="8" t="s">
        <v>364</v>
      </c>
    </row>
    <row r="15769">
      <c r="H15769" s="8" t="s">
        <v>364</v>
      </c>
    </row>
    <row r="15770">
      <c r="H15770" s="8" t="s">
        <v>364</v>
      </c>
    </row>
    <row r="15771">
      <c r="H15771" s="8" t="s">
        <v>364</v>
      </c>
    </row>
    <row r="15772">
      <c r="H15772" s="8" t="s">
        <v>364</v>
      </c>
    </row>
    <row r="15773">
      <c r="H15773" s="8" t="s">
        <v>364</v>
      </c>
    </row>
    <row r="15774">
      <c r="H15774" s="8" t="s">
        <v>364</v>
      </c>
    </row>
    <row r="15775">
      <c r="H15775" s="8" t="s">
        <v>364</v>
      </c>
    </row>
    <row r="15776">
      <c r="H15776" s="8" t="s">
        <v>364</v>
      </c>
    </row>
    <row r="15777">
      <c r="H15777" s="8" t="s">
        <v>364</v>
      </c>
    </row>
    <row r="15778">
      <c r="H15778" s="8" t="s">
        <v>364</v>
      </c>
    </row>
    <row r="15779">
      <c r="H15779" s="8" t="s">
        <v>364</v>
      </c>
    </row>
    <row r="15780">
      <c r="H15780" s="8" t="s">
        <v>364</v>
      </c>
    </row>
    <row r="15781">
      <c r="H15781" s="8" t="s">
        <v>364</v>
      </c>
    </row>
    <row r="15782">
      <c r="H15782" s="8" t="s">
        <v>364</v>
      </c>
    </row>
    <row r="15783">
      <c r="H15783" s="8" t="s">
        <v>364</v>
      </c>
    </row>
    <row r="15784">
      <c r="H15784" s="8" t="s">
        <v>364</v>
      </c>
    </row>
    <row r="15785">
      <c r="H15785" s="8" t="s">
        <v>364</v>
      </c>
    </row>
    <row r="15786">
      <c r="H15786" s="8" t="s">
        <v>364</v>
      </c>
    </row>
    <row r="15787">
      <c r="H15787" s="8" t="s">
        <v>364</v>
      </c>
    </row>
    <row r="15788">
      <c r="H15788" s="8" t="s">
        <v>364</v>
      </c>
    </row>
    <row r="15789">
      <c r="H15789" s="8" t="s">
        <v>364</v>
      </c>
    </row>
    <row r="15790">
      <c r="H15790" s="8" t="s">
        <v>364</v>
      </c>
    </row>
    <row r="15791">
      <c r="H15791" s="8" t="s">
        <v>364</v>
      </c>
    </row>
    <row r="15792">
      <c r="H15792" s="8" t="s">
        <v>364</v>
      </c>
    </row>
    <row r="15793">
      <c r="H15793" s="8" t="s">
        <v>364</v>
      </c>
    </row>
    <row r="15794">
      <c r="H15794" s="8" t="s">
        <v>364</v>
      </c>
    </row>
    <row r="15795">
      <c r="H15795" s="8" t="s">
        <v>364</v>
      </c>
    </row>
    <row r="15796">
      <c r="H15796" s="8" t="s">
        <v>364</v>
      </c>
    </row>
    <row r="15797">
      <c r="H15797" s="8" t="s">
        <v>364</v>
      </c>
    </row>
    <row r="15798">
      <c r="H15798" s="8" t="s">
        <v>364</v>
      </c>
    </row>
    <row r="15799">
      <c r="H15799" s="8" t="s">
        <v>364</v>
      </c>
    </row>
    <row r="15800">
      <c r="H15800" s="8" t="s">
        <v>364</v>
      </c>
    </row>
    <row r="15801">
      <c r="H15801" s="8" t="s">
        <v>364</v>
      </c>
    </row>
    <row r="15802">
      <c r="H15802" s="8" t="s">
        <v>364</v>
      </c>
    </row>
    <row r="15803">
      <c r="H15803" s="8" t="s">
        <v>364</v>
      </c>
    </row>
    <row r="15804">
      <c r="H15804" s="8" t="s">
        <v>364</v>
      </c>
    </row>
    <row r="15805">
      <c r="H15805" s="8" t="s">
        <v>364</v>
      </c>
    </row>
    <row r="15806">
      <c r="H15806" s="8" t="s">
        <v>364</v>
      </c>
    </row>
    <row r="15807">
      <c r="H15807" s="8" t="s">
        <v>364</v>
      </c>
    </row>
    <row r="15808">
      <c r="H15808" s="8" t="s">
        <v>364</v>
      </c>
    </row>
    <row r="15809">
      <c r="H15809" s="8" t="s">
        <v>364</v>
      </c>
    </row>
    <row r="15810">
      <c r="H15810" s="8" t="s">
        <v>364</v>
      </c>
    </row>
    <row r="15811">
      <c r="H15811" s="8" t="s">
        <v>364</v>
      </c>
    </row>
    <row r="15812">
      <c r="H15812" s="8" t="s">
        <v>364</v>
      </c>
    </row>
    <row r="15813">
      <c r="H15813" s="8" t="s">
        <v>364</v>
      </c>
    </row>
    <row r="15814">
      <c r="H15814" s="8" t="s">
        <v>364</v>
      </c>
    </row>
    <row r="15815">
      <c r="H15815" s="8" t="s">
        <v>364</v>
      </c>
    </row>
    <row r="15816">
      <c r="H15816" s="8" t="s">
        <v>364</v>
      </c>
    </row>
    <row r="15817">
      <c r="H15817" s="8" t="s">
        <v>364</v>
      </c>
    </row>
    <row r="15818">
      <c r="H15818" s="8" t="s">
        <v>364</v>
      </c>
    </row>
    <row r="15819">
      <c r="H15819" s="8" t="s">
        <v>364</v>
      </c>
    </row>
    <row r="15820">
      <c r="H15820" s="8" t="s">
        <v>364</v>
      </c>
    </row>
    <row r="15821">
      <c r="H15821" s="8" t="s">
        <v>364</v>
      </c>
    </row>
    <row r="15822">
      <c r="H15822" s="8" t="s">
        <v>364</v>
      </c>
    </row>
    <row r="15823">
      <c r="H15823" s="8" t="s">
        <v>364</v>
      </c>
    </row>
    <row r="15824">
      <c r="H15824" s="8" t="s">
        <v>364</v>
      </c>
    </row>
    <row r="15825">
      <c r="H15825" s="8" t="s">
        <v>364</v>
      </c>
    </row>
    <row r="15826">
      <c r="H15826" s="8" t="s">
        <v>364</v>
      </c>
    </row>
    <row r="15827">
      <c r="H15827" s="8" t="s">
        <v>364</v>
      </c>
    </row>
    <row r="15828">
      <c r="H15828" s="8" t="s">
        <v>364</v>
      </c>
    </row>
    <row r="15829">
      <c r="H15829" s="8" t="s">
        <v>364</v>
      </c>
    </row>
    <row r="15830">
      <c r="H15830" s="8" t="s">
        <v>364</v>
      </c>
    </row>
    <row r="15831">
      <c r="H15831" s="8" t="s">
        <v>364</v>
      </c>
    </row>
    <row r="15832">
      <c r="H15832" s="8" t="s">
        <v>364</v>
      </c>
    </row>
    <row r="15833">
      <c r="H15833" s="8" t="s">
        <v>364</v>
      </c>
    </row>
    <row r="15834">
      <c r="H15834" s="8" t="s">
        <v>364</v>
      </c>
    </row>
    <row r="15835">
      <c r="H15835" s="8" t="s">
        <v>364</v>
      </c>
    </row>
    <row r="15836">
      <c r="H15836" s="8" t="s">
        <v>364</v>
      </c>
    </row>
    <row r="15837">
      <c r="H15837" s="8" t="s">
        <v>364</v>
      </c>
    </row>
    <row r="15838">
      <c r="H15838" s="8" t="s">
        <v>364</v>
      </c>
    </row>
    <row r="15839">
      <c r="H15839" s="8" t="s">
        <v>364</v>
      </c>
    </row>
    <row r="15840">
      <c r="H15840" s="8" t="s">
        <v>364</v>
      </c>
    </row>
    <row r="15841">
      <c r="H15841" s="8" t="s">
        <v>364</v>
      </c>
    </row>
    <row r="15842">
      <c r="H15842" s="8" t="s">
        <v>364</v>
      </c>
    </row>
    <row r="15843">
      <c r="H15843" s="8" t="s">
        <v>364</v>
      </c>
    </row>
    <row r="15844">
      <c r="H15844" s="8" t="s">
        <v>364</v>
      </c>
    </row>
    <row r="15845">
      <c r="H15845" s="8" t="s">
        <v>364</v>
      </c>
    </row>
    <row r="15846">
      <c r="H15846" s="8" t="s">
        <v>364</v>
      </c>
    </row>
    <row r="15847">
      <c r="H15847" s="8" t="s">
        <v>364</v>
      </c>
    </row>
    <row r="15848">
      <c r="H15848" s="8" t="s">
        <v>364</v>
      </c>
    </row>
    <row r="15849">
      <c r="H15849" s="8" t="s">
        <v>364</v>
      </c>
    </row>
    <row r="15850">
      <c r="H15850" s="8" t="s">
        <v>364</v>
      </c>
    </row>
    <row r="15851">
      <c r="H15851" s="8" t="s">
        <v>364</v>
      </c>
    </row>
    <row r="15852">
      <c r="H15852" s="8" t="s">
        <v>364</v>
      </c>
    </row>
    <row r="15853">
      <c r="H15853" s="8" t="s">
        <v>364</v>
      </c>
    </row>
    <row r="15854">
      <c r="H15854" s="8" t="s">
        <v>364</v>
      </c>
    </row>
    <row r="15855">
      <c r="H15855" s="8" t="s">
        <v>364</v>
      </c>
    </row>
    <row r="15856">
      <c r="H15856" s="8" t="s">
        <v>364</v>
      </c>
    </row>
    <row r="15857">
      <c r="H15857" s="8" t="s">
        <v>364</v>
      </c>
    </row>
    <row r="15858">
      <c r="H15858" s="8" t="s">
        <v>364</v>
      </c>
    </row>
    <row r="15859">
      <c r="H15859" s="8" t="s">
        <v>364</v>
      </c>
    </row>
    <row r="15860">
      <c r="H15860" s="8" t="s">
        <v>364</v>
      </c>
    </row>
    <row r="15861">
      <c r="H15861" s="8" t="s">
        <v>364</v>
      </c>
    </row>
    <row r="15862">
      <c r="H15862" s="8" t="s">
        <v>364</v>
      </c>
    </row>
    <row r="15863">
      <c r="H15863" s="8" t="s">
        <v>364</v>
      </c>
    </row>
    <row r="15864">
      <c r="H15864" s="8" t="s">
        <v>364</v>
      </c>
    </row>
    <row r="15865">
      <c r="H15865" s="8" t="s">
        <v>364</v>
      </c>
    </row>
    <row r="15866">
      <c r="H15866" s="8" t="s">
        <v>364</v>
      </c>
    </row>
    <row r="15867">
      <c r="H15867" s="8" t="s">
        <v>364</v>
      </c>
    </row>
    <row r="15868">
      <c r="H15868" s="8" t="s">
        <v>364</v>
      </c>
    </row>
    <row r="15869">
      <c r="H15869" s="8" t="s">
        <v>364</v>
      </c>
    </row>
    <row r="15870">
      <c r="H15870" s="8" t="s">
        <v>364</v>
      </c>
    </row>
    <row r="15871">
      <c r="H15871" s="8" t="s">
        <v>364</v>
      </c>
    </row>
    <row r="15872">
      <c r="H15872" s="8" t="s">
        <v>364</v>
      </c>
    </row>
    <row r="15873">
      <c r="H15873" s="8" t="s">
        <v>364</v>
      </c>
    </row>
    <row r="15874">
      <c r="H15874" s="8" t="s">
        <v>364</v>
      </c>
    </row>
    <row r="15875">
      <c r="H15875" s="8" t="s">
        <v>364</v>
      </c>
    </row>
    <row r="15876">
      <c r="H15876" s="8" t="s">
        <v>364</v>
      </c>
    </row>
    <row r="15877">
      <c r="H15877" s="8" t="s">
        <v>364</v>
      </c>
    </row>
    <row r="15878">
      <c r="H15878" s="8" t="s">
        <v>364</v>
      </c>
    </row>
    <row r="15879">
      <c r="H15879" s="8" t="s">
        <v>364</v>
      </c>
    </row>
    <row r="15880">
      <c r="H15880" s="8" t="s">
        <v>364</v>
      </c>
    </row>
    <row r="15881">
      <c r="H15881" s="8" t="s">
        <v>364</v>
      </c>
    </row>
    <row r="15882">
      <c r="H15882" s="8" t="s">
        <v>364</v>
      </c>
    </row>
    <row r="15883">
      <c r="H15883" s="8" t="s">
        <v>364</v>
      </c>
    </row>
    <row r="15884">
      <c r="H15884" s="8" t="s">
        <v>364</v>
      </c>
    </row>
    <row r="15885">
      <c r="H15885" s="8" t="s">
        <v>364</v>
      </c>
    </row>
    <row r="15886">
      <c r="H15886" s="8" t="s">
        <v>364</v>
      </c>
    </row>
    <row r="15887">
      <c r="H15887" s="8" t="s">
        <v>364</v>
      </c>
    </row>
    <row r="15888">
      <c r="H15888" s="8" t="s">
        <v>364</v>
      </c>
    </row>
    <row r="15889">
      <c r="H15889" s="8" t="s">
        <v>364</v>
      </c>
    </row>
    <row r="15890">
      <c r="H15890" s="8" t="s">
        <v>364</v>
      </c>
    </row>
    <row r="15891">
      <c r="H15891" s="8" t="s">
        <v>364</v>
      </c>
    </row>
    <row r="15892">
      <c r="H15892" s="8" t="s">
        <v>364</v>
      </c>
    </row>
    <row r="15893">
      <c r="H15893" s="8" t="s">
        <v>364</v>
      </c>
    </row>
    <row r="15894">
      <c r="H15894" s="8" t="s">
        <v>364</v>
      </c>
    </row>
    <row r="15895">
      <c r="H15895" s="8" t="s">
        <v>364</v>
      </c>
    </row>
    <row r="15896">
      <c r="H15896" s="8" t="s">
        <v>364</v>
      </c>
    </row>
    <row r="15897">
      <c r="H15897" s="8" t="s">
        <v>364</v>
      </c>
    </row>
    <row r="15898">
      <c r="H15898" s="8" t="s">
        <v>364</v>
      </c>
    </row>
    <row r="15899">
      <c r="H15899" s="8" t="s">
        <v>364</v>
      </c>
    </row>
    <row r="15900">
      <c r="H15900" s="8" t="s">
        <v>364</v>
      </c>
    </row>
    <row r="15901">
      <c r="H15901" s="8" t="s">
        <v>364</v>
      </c>
    </row>
    <row r="15902">
      <c r="H15902" s="8" t="s">
        <v>364</v>
      </c>
    </row>
    <row r="15903">
      <c r="H15903" s="8" t="s">
        <v>364</v>
      </c>
    </row>
    <row r="15904">
      <c r="H15904" s="8" t="s">
        <v>364</v>
      </c>
    </row>
    <row r="15905">
      <c r="H15905" s="8" t="s">
        <v>364</v>
      </c>
    </row>
    <row r="15906">
      <c r="H15906" s="8" t="s">
        <v>364</v>
      </c>
    </row>
    <row r="15907">
      <c r="H15907" s="8" t="s">
        <v>364</v>
      </c>
    </row>
    <row r="15908">
      <c r="H15908" s="8" t="s">
        <v>364</v>
      </c>
    </row>
    <row r="15909">
      <c r="H15909" s="8" t="s">
        <v>364</v>
      </c>
    </row>
    <row r="15910">
      <c r="H15910" s="8" t="s">
        <v>364</v>
      </c>
    </row>
    <row r="15911">
      <c r="H15911" s="8" t="s">
        <v>364</v>
      </c>
    </row>
    <row r="15912">
      <c r="H15912" s="8" t="s">
        <v>364</v>
      </c>
    </row>
    <row r="15913">
      <c r="H15913" s="8" t="s">
        <v>364</v>
      </c>
    </row>
    <row r="15914">
      <c r="H15914" s="8" t="s">
        <v>364</v>
      </c>
    </row>
    <row r="15915">
      <c r="H15915" s="8" t="s">
        <v>364</v>
      </c>
    </row>
    <row r="15916">
      <c r="H15916" s="8" t="s">
        <v>364</v>
      </c>
    </row>
    <row r="15917">
      <c r="H15917" s="8" t="s">
        <v>364</v>
      </c>
    </row>
    <row r="15918">
      <c r="H15918" s="8" t="s">
        <v>364</v>
      </c>
    </row>
    <row r="15919">
      <c r="H15919" s="8" t="s">
        <v>364</v>
      </c>
    </row>
    <row r="15920">
      <c r="H15920" s="8" t="s">
        <v>364</v>
      </c>
    </row>
    <row r="15921">
      <c r="H15921" s="8" t="s">
        <v>364</v>
      </c>
    </row>
    <row r="15922">
      <c r="H15922" s="8" t="s">
        <v>364</v>
      </c>
    </row>
    <row r="15923">
      <c r="H15923" s="8" t="s">
        <v>364</v>
      </c>
    </row>
    <row r="15924">
      <c r="H15924" s="8" t="s">
        <v>364</v>
      </c>
    </row>
    <row r="15925">
      <c r="H15925" s="8" t="s">
        <v>364</v>
      </c>
    </row>
    <row r="15926">
      <c r="H15926" s="8" t="s">
        <v>364</v>
      </c>
    </row>
    <row r="15927">
      <c r="H15927" s="8" t="s">
        <v>364</v>
      </c>
    </row>
    <row r="15928">
      <c r="H15928" s="8" t="s">
        <v>364</v>
      </c>
    </row>
    <row r="15929">
      <c r="H15929" s="8" t="s">
        <v>364</v>
      </c>
    </row>
    <row r="15930">
      <c r="H15930" s="8" t="s">
        <v>364</v>
      </c>
    </row>
    <row r="15931">
      <c r="H15931" s="8" t="s">
        <v>364</v>
      </c>
    </row>
    <row r="15932">
      <c r="H15932" s="8" t="s">
        <v>364</v>
      </c>
    </row>
    <row r="15933">
      <c r="H15933" s="8" t="s">
        <v>364</v>
      </c>
    </row>
    <row r="15934">
      <c r="H15934" s="8" t="s">
        <v>364</v>
      </c>
    </row>
    <row r="15935">
      <c r="H15935" s="8" t="s">
        <v>364</v>
      </c>
    </row>
    <row r="15936">
      <c r="H15936" s="8" t="s">
        <v>364</v>
      </c>
    </row>
    <row r="15937">
      <c r="H15937" s="8" t="s">
        <v>364</v>
      </c>
    </row>
    <row r="15938">
      <c r="H15938" s="8" t="s">
        <v>364</v>
      </c>
    </row>
    <row r="15939">
      <c r="H15939" s="8" t="s">
        <v>364</v>
      </c>
    </row>
    <row r="15940">
      <c r="H15940" s="8" t="s">
        <v>364</v>
      </c>
    </row>
    <row r="15941">
      <c r="H15941" s="8" t="s">
        <v>364</v>
      </c>
    </row>
    <row r="15942">
      <c r="H15942" s="8" t="s">
        <v>364</v>
      </c>
    </row>
    <row r="15943">
      <c r="H15943" s="8" t="s">
        <v>364</v>
      </c>
    </row>
    <row r="15944">
      <c r="H15944" s="8" t="s">
        <v>364</v>
      </c>
    </row>
    <row r="15945">
      <c r="H15945" s="8" t="s">
        <v>364</v>
      </c>
    </row>
    <row r="15946">
      <c r="H15946" s="8" t="s">
        <v>364</v>
      </c>
    </row>
    <row r="15947">
      <c r="H15947" s="8" t="s">
        <v>364</v>
      </c>
    </row>
    <row r="15948">
      <c r="H15948" s="8" t="s">
        <v>364</v>
      </c>
    </row>
    <row r="15949">
      <c r="H15949" s="8" t="s">
        <v>364</v>
      </c>
    </row>
    <row r="15950">
      <c r="H15950" s="8" t="s">
        <v>364</v>
      </c>
    </row>
    <row r="15951">
      <c r="H15951" s="8" t="s">
        <v>364</v>
      </c>
    </row>
    <row r="15952">
      <c r="H15952" s="8" t="s">
        <v>364</v>
      </c>
    </row>
    <row r="15953">
      <c r="H15953" s="8" t="s">
        <v>364</v>
      </c>
    </row>
    <row r="15954">
      <c r="H15954" s="8" t="s">
        <v>364</v>
      </c>
    </row>
    <row r="15955">
      <c r="H15955" s="8" t="s">
        <v>364</v>
      </c>
    </row>
    <row r="15956">
      <c r="H15956" s="8" t="s">
        <v>364</v>
      </c>
    </row>
    <row r="15957">
      <c r="H15957" s="8" t="s">
        <v>364</v>
      </c>
    </row>
    <row r="15958">
      <c r="H15958" s="8" t="s">
        <v>364</v>
      </c>
    </row>
    <row r="15959">
      <c r="H15959" s="8" t="s">
        <v>364</v>
      </c>
    </row>
    <row r="15960">
      <c r="H15960" s="8" t="s">
        <v>364</v>
      </c>
    </row>
    <row r="15961">
      <c r="H15961" s="8" t="s">
        <v>364</v>
      </c>
    </row>
    <row r="15962">
      <c r="H15962" s="8" t="s">
        <v>364</v>
      </c>
    </row>
    <row r="15963">
      <c r="H15963" s="8" t="s">
        <v>364</v>
      </c>
    </row>
    <row r="15964">
      <c r="H15964" s="8" t="s">
        <v>364</v>
      </c>
    </row>
    <row r="15965">
      <c r="H15965" s="8" t="s">
        <v>364</v>
      </c>
    </row>
    <row r="15966">
      <c r="H15966" s="8" t="s">
        <v>364</v>
      </c>
    </row>
    <row r="15967">
      <c r="H15967" s="8" t="s">
        <v>364</v>
      </c>
    </row>
    <row r="15968">
      <c r="H15968" s="8" t="s">
        <v>364</v>
      </c>
    </row>
    <row r="15969">
      <c r="H15969" s="8" t="s">
        <v>364</v>
      </c>
    </row>
    <row r="15970">
      <c r="H15970" s="8" t="s">
        <v>364</v>
      </c>
    </row>
    <row r="15971">
      <c r="H15971" s="8" t="s">
        <v>364</v>
      </c>
    </row>
    <row r="15972">
      <c r="H15972" s="8" t="s">
        <v>364</v>
      </c>
    </row>
    <row r="15973">
      <c r="H15973" s="8" t="s">
        <v>364</v>
      </c>
    </row>
    <row r="15974">
      <c r="H15974" s="8" t="s">
        <v>364</v>
      </c>
    </row>
    <row r="15975">
      <c r="H15975" s="8" t="s">
        <v>364</v>
      </c>
    </row>
    <row r="15976">
      <c r="H15976" s="8" t="s">
        <v>364</v>
      </c>
    </row>
    <row r="15977">
      <c r="H15977" s="8" t="s">
        <v>364</v>
      </c>
    </row>
    <row r="15978">
      <c r="H15978" s="8" t="s">
        <v>364</v>
      </c>
    </row>
    <row r="15979">
      <c r="H15979" s="8" t="s">
        <v>364</v>
      </c>
    </row>
    <row r="15980">
      <c r="H15980" s="8" t="s">
        <v>364</v>
      </c>
    </row>
    <row r="15981">
      <c r="H15981" s="8" t="s">
        <v>364</v>
      </c>
    </row>
    <row r="15982">
      <c r="H15982" s="8" t="s">
        <v>364</v>
      </c>
    </row>
    <row r="15983">
      <c r="H15983" s="8" t="s">
        <v>364</v>
      </c>
    </row>
    <row r="15984">
      <c r="H15984" s="8" t="s">
        <v>364</v>
      </c>
    </row>
    <row r="15985">
      <c r="H15985" s="8" t="s">
        <v>364</v>
      </c>
    </row>
    <row r="15986">
      <c r="H15986" s="8" t="s">
        <v>364</v>
      </c>
    </row>
    <row r="15987">
      <c r="H15987" s="8" t="s">
        <v>364</v>
      </c>
    </row>
    <row r="15988">
      <c r="H15988" s="8" t="s">
        <v>364</v>
      </c>
    </row>
    <row r="15989">
      <c r="H15989" s="8" t="s">
        <v>364</v>
      </c>
    </row>
    <row r="15990">
      <c r="H15990" s="8" t="s">
        <v>364</v>
      </c>
    </row>
    <row r="15991">
      <c r="H15991" s="8" t="s">
        <v>364</v>
      </c>
    </row>
    <row r="15992">
      <c r="H15992" s="8" t="s">
        <v>364</v>
      </c>
    </row>
    <row r="15993">
      <c r="H15993" s="8" t="s">
        <v>364</v>
      </c>
    </row>
    <row r="15994">
      <c r="H15994" s="8" t="s">
        <v>364</v>
      </c>
    </row>
    <row r="15995">
      <c r="H15995" s="8" t="s">
        <v>364</v>
      </c>
    </row>
    <row r="15996">
      <c r="H15996" s="8" t="s">
        <v>364</v>
      </c>
    </row>
    <row r="15997">
      <c r="H15997" s="8" t="s">
        <v>364</v>
      </c>
    </row>
    <row r="15998">
      <c r="H15998" s="8" t="s">
        <v>364</v>
      </c>
    </row>
    <row r="15999">
      <c r="H15999" s="8" t="s">
        <v>364</v>
      </c>
    </row>
    <row r="16000">
      <c r="H16000" s="8" t="s">
        <v>364</v>
      </c>
    </row>
    <row r="16001">
      <c r="H16001" s="8" t="s">
        <v>364</v>
      </c>
    </row>
    <row r="16002">
      <c r="H16002" s="8" t="s">
        <v>364</v>
      </c>
    </row>
    <row r="16003">
      <c r="H16003" s="8" t="s">
        <v>364</v>
      </c>
    </row>
    <row r="16004">
      <c r="H16004" s="8" t="s">
        <v>364</v>
      </c>
    </row>
    <row r="16005">
      <c r="H16005" s="8" t="s">
        <v>364</v>
      </c>
    </row>
    <row r="16006">
      <c r="H16006" s="8" t="s">
        <v>364</v>
      </c>
    </row>
    <row r="16007">
      <c r="H16007" s="8" t="s">
        <v>364</v>
      </c>
    </row>
    <row r="16008">
      <c r="H16008" s="8" t="s">
        <v>364</v>
      </c>
    </row>
    <row r="16009">
      <c r="H16009" s="8" t="s">
        <v>364</v>
      </c>
    </row>
    <row r="16010">
      <c r="H16010" s="8" t="s">
        <v>364</v>
      </c>
    </row>
    <row r="16011">
      <c r="H16011" s="8" t="s">
        <v>364</v>
      </c>
    </row>
    <row r="16012">
      <c r="H16012" s="8" t="s">
        <v>364</v>
      </c>
    </row>
    <row r="16013">
      <c r="H16013" s="8" t="s">
        <v>364</v>
      </c>
    </row>
    <row r="16014">
      <c r="H16014" s="8" t="s">
        <v>364</v>
      </c>
    </row>
    <row r="16015">
      <c r="H16015" s="8" t="s">
        <v>364</v>
      </c>
    </row>
    <row r="16016">
      <c r="H16016" s="8" t="s">
        <v>364</v>
      </c>
    </row>
    <row r="16017">
      <c r="H16017" s="8" t="s">
        <v>364</v>
      </c>
    </row>
    <row r="16018">
      <c r="H16018" s="8" t="s">
        <v>364</v>
      </c>
    </row>
    <row r="16019">
      <c r="H16019" s="8" t="s">
        <v>364</v>
      </c>
    </row>
    <row r="16020">
      <c r="H16020" s="8" t="s">
        <v>364</v>
      </c>
    </row>
    <row r="16021">
      <c r="H16021" s="8" t="s">
        <v>364</v>
      </c>
    </row>
    <row r="16022">
      <c r="H16022" s="8" t="s">
        <v>364</v>
      </c>
    </row>
    <row r="16023">
      <c r="H16023" s="8" t="s">
        <v>364</v>
      </c>
    </row>
    <row r="16024">
      <c r="H16024" s="8" t="s">
        <v>364</v>
      </c>
    </row>
    <row r="16025">
      <c r="H16025" s="8" t="s">
        <v>364</v>
      </c>
    </row>
    <row r="16026">
      <c r="H16026" s="8" t="s">
        <v>364</v>
      </c>
    </row>
    <row r="16027">
      <c r="H16027" s="8" t="s">
        <v>364</v>
      </c>
    </row>
    <row r="16028">
      <c r="H16028" s="8" t="s">
        <v>364</v>
      </c>
    </row>
    <row r="16029">
      <c r="H16029" s="8" t="s">
        <v>364</v>
      </c>
    </row>
    <row r="16030">
      <c r="H16030" s="8" t="s">
        <v>364</v>
      </c>
    </row>
    <row r="16031">
      <c r="H16031" s="8" t="s">
        <v>364</v>
      </c>
    </row>
    <row r="16032">
      <c r="H16032" s="8" t="s">
        <v>364</v>
      </c>
    </row>
    <row r="16033">
      <c r="H16033" s="8" t="s">
        <v>364</v>
      </c>
    </row>
    <row r="16034">
      <c r="H16034" s="8" t="s">
        <v>364</v>
      </c>
    </row>
    <row r="16035">
      <c r="H16035" s="8" t="s">
        <v>364</v>
      </c>
    </row>
    <row r="16036">
      <c r="H16036" s="8" t="s">
        <v>364</v>
      </c>
    </row>
    <row r="16037">
      <c r="H16037" s="8" t="s">
        <v>364</v>
      </c>
    </row>
    <row r="16038">
      <c r="H16038" s="8" t="s">
        <v>364</v>
      </c>
    </row>
    <row r="16039">
      <c r="H16039" s="8" t="s">
        <v>364</v>
      </c>
    </row>
    <row r="16040">
      <c r="H16040" s="8" t="s">
        <v>364</v>
      </c>
    </row>
    <row r="16041">
      <c r="H16041" s="8" t="s">
        <v>364</v>
      </c>
    </row>
    <row r="16042">
      <c r="H16042" s="8" t="s">
        <v>364</v>
      </c>
    </row>
    <row r="16043">
      <c r="H16043" s="8" t="s">
        <v>364</v>
      </c>
    </row>
    <row r="16044">
      <c r="H16044" s="8" t="s">
        <v>364</v>
      </c>
    </row>
    <row r="16045">
      <c r="H16045" s="8" t="s">
        <v>364</v>
      </c>
    </row>
    <row r="16046">
      <c r="H16046" s="8" t="s">
        <v>364</v>
      </c>
    </row>
    <row r="16047">
      <c r="H16047" s="8" t="s">
        <v>364</v>
      </c>
    </row>
    <row r="16048">
      <c r="H16048" s="8" t="s">
        <v>364</v>
      </c>
    </row>
    <row r="16049">
      <c r="H16049" s="8" t="s">
        <v>364</v>
      </c>
    </row>
    <row r="16050">
      <c r="H16050" s="8" t="s">
        <v>364</v>
      </c>
    </row>
    <row r="16051">
      <c r="H16051" s="8" t="s">
        <v>364</v>
      </c>
    </row>
    <row r="16052">
      <c r="H16052" s="8" t="s">
        <v>364</v>
      </c>
    </row>
    <row r="16053">
      <c r="H16053" s="8" t="s">
        <v>364</v>
      </c>
    </row>
    <row r="16054">
      <c r="H16054" s="8" t="s">
        <v>364</v>
      </c>
    </row>
    <row r="16055">
      <c r="H16055" s="8" t="s">
        <v>364</v>
      </c>
    </row>
    <row r="16056">
      <c r="H16056" s="8" t="s">
        <v>364</v>
      </c>
    </row>
    <row r="16057">
      <c r="H16057" s="8" t="s">
        <v>364</v>
      </c>
    </row>
    <row r="16058">
      <c r="H16058" s="8" t="s">
        <v>364</v>
      </c>
    </row>
    <row r="16059">
      <c r="H16059" s="8" t="s">
        <v>364</v>
      </c>
    </row>
    <row r="16060">
      <c r="H16060" s="8" t="s">
        <v>364</v>
      </c>
    </row>
    <row r="16061">
      <c r="H16061" s="8" t="s">
        <v>364</v>
      </c>
    </row>
    <row r="16062">
      <c r="H16062" s="8" t="s">
        <v>364</v>
      </c>
    </row>
    <row r="16063">
      <c r="H16063" s="8" t="s">
        <v>364</v>
      </c>
    </row>
    <row r="16064">
      <c r="H16064" s="8" t="s">
        <v>364</v>
      </c>
    </row>
    <row r="16065">
      <c r="H16065" s="8" t="s">
        <v>364</v>
      </c>
    </row>
    <row r="16066">
      <c r="H16066" s="8" t="s">
        <v>364</v>
      </c>
    </row>
    <row r="16067">
      <c r="H16067" s="8" t="s">
        <v>364</v>
      </c>
    </row>
    <row r="16068">
      <c r="H16068" s="8" t="s">
        <v>364</v>
      </c>
    </row>
    <row r="16069">
      <c r="H16069" s="8" t="s">
        <v>364</v>
      </c>
    </row>
    <row r="16070">
      <c r="H16070" s="8" t="s">
        <v>364</v>
      </c>
    </row>
    <row r="16071">
      <c r="H16071" s="8" t="s">
        <v>364</v>
      </c>
    </row>
    <row r="16072">
      <c r="H16072" s="8" t="s">
        <v>364</v>
      </c>
    </row>
    <row r="16073">
      <c r="H16073" s="8" t="s">
        <v>364</v>
      </c>
    </row>
    <row r="16074">
      <c r="H16074" s="8" t="s">
        <v>364</v>
      </c>
    </row>
    <row r="16075">
      <c r="H16075" s="8" t="s">
        <v>364</v>
      </c>
    </row>
    <row r="16076">
      <c r="H16076" s="8" t="s">
        <v>364</v>
      </c>
    </row>
    <row r="16077">
      <c r="H16077" s="8" t="s">
        <v>364</v>
      </c>
    </row>
    <row r="16078">
      <c r="H16078" s="8" t="s">
        <v>364</v>
      </c>
    </row>
    <row r="16079">
      <c r="H16079" s="8" t="s">
        <v>364</v>
      </c>
    </row>
    <row r="16080">
      <c r="H16080" s="8" t="s">
        <v>364</v>
      </c>
    </row>
    <row r="16081">
      <c r="H16081" s="8" t="s">
        <v>364</v>
      </c>
    </row>
    <row r="16082">
      <c r="H16082" s="8" t="s">
        <v>364</v>
      </c>
    </row>
    <row r="16083">
      <c r="H16083" s="8" t="s">
        <v>364</v>
      </c>
    </row>
    <row r="16084">
      <c r="H16084" s="8" t="s">
        <v>364</v>
      </c>
    </row>
    <row r="16085">
      <c r="H16085" s="8" t="s">
        <v>364</v>
      </c>
    </row>
    <row r="16086">
      <c r="H16086" s="8" t="s">
        <v>364</v>
      </c>
    </row>
    <row r="16087">
      <c r="H16087" s="8" t="s">
        <v>364</v>
      </c>
    </row>
    <row r="16088">
      <c r="H16088" s="8" t="s">
        <v>364</v>
      </c>
    </row>
    <row r="16089">
      <c r="H16089" s="8" t="s">
        <v>364</v>
      </c>
    </row>
    <row r="16090">
      <c r="H16090" s="8" t="s">
        <v>364</v>
      </c>
    </row>
    <row r="16091">
      <c r="H16091" s="8" t="s">
        <v>364</v>
      </c>
    </row>
    <row r="16092">
      <c r="H16092" s="8" t="s">
        <v>364</v>
      </c>
    </row>
    <row r="16093">
      <c r="H16093" s="8" t="s">
        <v>364</v>
      </c>
    </row>
    <row r="16094">
      <c r="H16094" s="8" t="s">
        <v>364</v>
      </c>
    </row>
    <row r="16095">
      <c r="H16095" s="8" t="s">
        <v>364</v>
      </c>
    </row>
    <row r="16096">
      <c r="H16096" s="8" t="s">
        <v>364</v>
      </c>
    </row>
    <row r="16097">
      <c r="H16097" s="8" t="s">
        <v>364</v>
      </c>
    </row>
    <row r="16098">
      <c r="H16098" s="8" t="s">
        <v>364</v>
      </c>
    </row>
    <row r="16099">
      <c r="H16099" s="8" t="s">
        <v>364</v>
      </c>
    </row>
    <row r="16100">
      <c r="H16100" s="8" t="s">
        <v>364</v>
      </c>
    </row>
    <row r="16101">
      <c r="H16101" s="8" t="s">
        <v>364</v>
      </c>
    </row>
    <row r="16102">
      <c r="H16102" s="8" t="s">
        <v>364</v>
      </c>
    </row>
    <row r="16103">
      <c r="H16103" s="8" t="s">
        <v>364</v>
      </c>
    </row>
    <row r="16104">
      <c r="H16104" s="8" t="s">
        <v>364</v>
      </c>
    </row>
    <row r="16105">
      <c r="H16105" s="8" t="s">
        <v>364</v>
      </c>
    </row>
    <row r="16106">
      <c r="H16106" s="8" t="s">
        <v>364</v>
      </c>
    </row>
    <row r="16107">
      <c r="H16107" s="8" t="s">
        <v>364</v>
      </c>
    </row>
    <row r="16108">
      <c r="H16108" s="8" t="s">
        <v>364</v>
      </c>
    </row>
    <row r="16109">
      <c r="H16109" s="8" t="s">
        <v>364</v>
      </c>
    </row>
    <row r="16110">
      <c r="H16110" s="8" t="s">
        <v>364</v>
      </c>
    </row>
    <row r="16111">
      <c r="H16111" s="8" t="s">
        <v>364</v>
      </c>
    </row>
    <row r="16112">
      <c r="H16112" s="8" t="s">
        <v>364</v>
      </c>
    </row>
    <row r="16113">
      <c r="H16113" s="8" t="s">
        <v>364</v>
      </c>
    </row>
    <row r="16114">
      <c r="H16114" s="8" t="s">
        <v>364</v>
      </c>
    </row>
    <row r="16115">
      <c r="H16115" s="8" t="s">
        <v>364</v>
      </c>
    </row>
    <row r="16116">
      <c r="H16116" s="8" t="s">
        <v>364</v>
      </c>
    </row>
    <row r="16117">
      <c r="H16117" s="8" t="s">
        <v>364</v>
      </c>
    </row>
    <row r="16118">
      <c r="H16118" s="8" t="s">
        <v>364</v>
      </c>
    </row>
    <row r="16119">
      <c r="H16119" s="8" t="s">
        <v>364</v>
      </c>
    </row>
    <row r="16120">
      <c r="H16120" s="8" t="s">
        <v>364</v>
      </c>
    </row>
    <row r="16121">
      <c r="H16121" s="8" t="s">
        <v>364</v>
      </c>
    </row>
    <row r="16122">
      <c r="H16122" s="8" t="s">
        <v>364</v>
      </c>
    </row>
    <row r="16123">
      <c r="H16123" s="8" t="s">
        <v>364</v>
      </c>
    </row>
    <row r="16124">
      <c r="H16124" s="8" t="s">
        <v>364</v>
      </c>
    </row>
    <row r="16125">
      <c r="H16125" s="8" t="s">
        <v>364</v>
      </c>
    </row>
    <row r="16126">
      <c r="H16126" s="8" t="s">
        <v>364</v>
      </c>
    </row>
    <row r="16127">
      <c r="H16127" s="8" t="s">
        <v>364</v>
      </c>
    </row>
    <row r="16128">
      <c r="H16128" s="8" t="s">
        <v>364</v>
      </c>
    </row>
    <row r="16129">
      <c r="H16129" s="8" t="s">
        <v>364</v>
      </c>
    </row>
    <row r="16130">
      <c r="H16130" s="8" t="s">
        <v>364</v>
      </c>
    </row>
    <row r="16131">
      <c r="H16131" s="8" t="s">
        <v>364</v>
      </c>
    </row>
    <row r="16132">
      <c r="H16132" s="8" t="s">
        <v>364</v>
      </c>
    </row>
    <row r="16133">
      <c r="H16133" s="8" t="s">
        <v>364</v>
      </c>
    </row>
    <row r="16134">
      <c r="H16134" s="8" t="s">
        <v>364</v>
      </c>
    </row>
    <row r="16135">
      <c r="H16135" s="8" t="s">
        <v>364</v>
      </c>
    </row>
    <row r="16136">
      <c r="H16136" s="8" t="s">
        <v>364</v>
      </c>
    </row>
    <row r="16137">
      <c r="H16137" s="8" t="s">
        <v>364</v>
      </c>
    </row>
    <row r="16138">
      <c r="H16138" s="8" t="s">
        <v>364</v>
      </c>
    </row>
    <row r="16139">
      <c r="H16139" s="8" t="s">
        <v>364</v>
      </c>
    </row>
    <row r="16140">
      <c r="H16140" s="8" t="s">
        <v>364</v>
      </c>
    </row>
    <row r="16141">
      <c r="H16141" s="8" t="s">
        <v>364</v>
      </c>
    </row>
    <row r="16142">
      <c r="H16142" s="8" t="s">
        <v>364</v>
      </c>
    </row>
    <row r="16143">
      <c r="H16143" s="8" t="s">
        <v>364</v>
      </c>
    </row>
    <row r="16144">
      <c r="H16144" s="8" t="s">
        <v>364</v>
      </c>
    </row>
    <row r="16145">
      <c r="H16145" s="8" t="s">
        <v>364</v>
      </c>
    </row>
    <row r="16146">
      <c r="H16146" s="8" t="s">
        <v>364</v>
      </c>
    </row>
    <row r="16147">
      <c r="H16147" s="8" t="s">
        <v>364</v>
      </c>
    </row>
    <row r="16148">
      <c r="H16148" s="8" t="s">
        <v>364</v>
      </c>
    </row>
    <row r="16149">
      <c r="H16149" s="8" t="s">
        <v>364</v>
      </c>
    </row>
    <row r="16150">
      <c r="H16150" s="8" t="s">
        <v>364</v>
      </c>
    </row>
    <row r="16151">
      <c r="H16151" s="8" t="s">
        <v>364</v>
      </c>
    </row>
    <row r="16152">
      <c r="H16152" s="8" t="s">
        <v>364</v>
      </c>
    </row>
    <row r="16153">
      <c r="H16153" s="8" t="s">
        <v>364</v>
      </c>
    </row>
    <row r="16154">
      <c r="H16154" s="8" t="s">
        <v>364</v>
      </c>
    </row>
    <row r="16155">
      <c r="H16155" s="8" t="s">
        <v>364</v>
      </c>
    </row>
    <row r="16156">
      <c r="H16156" s="8" t="s">
        <v>364</v>
      </c>
    </row>
    <row r="16157">
      <c r="H16157" s="8" t="s">
        <v>364</v>
      </c>
    </row>
    <row r="16158">
      <c r="H16158" s="8" t="s">
        <v>364</v>
      </c>
    </row>
    <row r="16159">
      <c r="H16159" s="8" t="s">
        <v>364</v>
      </c>
    </row>
    <row r="16160">
      <c r="H16160" s="8" t="s">
        <v>364</v>
      </c>
    </row>
    <row r="16161">
      <c r="H16161" s="8" t="s">
        <v>364</v>
      </c>
    </row>
    <row r="16162">
      <c r="H16162" s="8" t="s">
        <v>364</v>
      </c>
    </row>
    <row r="16163">
      <c r="H16163" s="8" t="s">
        <v>364</v>
      </c>
    </row>
    <row r="16164">
      <c r="H16164" s="8" t="s">
        <v>364</v>
      </c>
    </row>
    <row r="16165">
      <c r="H16165" s="8" t="s">
        <v>364</v>
      </c>
    </row>
    <row r="16166">
      <c r="H16166" s="8" t="s">
        <v>364</v>
      </c>
    </row>
    <row r="16167">
      <c r="H16167" s="8" t="s">
        <v>364</v>
      </c>
    </row>
    <row r="16168">
      <c r="H16168" s="8" t="s">
        <v>364</v>
      </c>
    </row>
    <row r="16169">
      <c r="H16169" s="8" t="s">
        <v>364</v>
      </c>
    </row>
    <row r="16170">
      <c r="H16170" s="8" t="s">
        <v>364</v>
      </c>
    </row>
    <row r="16171">
      <c r="H16171" s="8" t="s">
        <v>364</v>
      </c>
    </row>
    <row r="16172">
      <c r="H16172" s="8" t="s">
        <v>364</v>
      </c>
    </row>
    <row r="16173">
      <c r="H16173" s="8" t="s">
        <v>364</v>
      </c>
    </row>
    <row r="16174">
      <c r="H16174" s="8" t="s">
        <v>364</v>
      </c>
    </row>
    <row r="16175">
      <c r="H16175" s="8" t="s">
        <v>364</v>
      </c>
    </row>
    <row r="16176">
      <c r="H16176" s="8" t="s">
        <v>364</v>
      </c>
    </row>
    <row r="16177">
      <c r="H16177" s="8" t="s">
        <v>364</v>
      </c>
    </row>
    <row r="16178">
      <c r="H16178" s="8" t="s">
        <v>364</v>
      </c>
    </row>
    <row r="16179">
      <c r="H16179" s="8" t="s">
        <v>364</v>
      </c>
    </row>
    <row r="16180">
      <c r="H16180" s="8" t="s">
        <v>364</v>
      </c>
    </row>
    <row r="16181">
      <c r="H16181" s="8" t="s">
        <v>364</v>
      </c>
    </row>
    <row r="16182">
      <c r="H16182" s="8" t="s">
        <v>364</v>
      </c>
    </row>
    <row r="16183">
      <c r="H16183" s="8" t="s">
        <v>364</v>
      </c>
    </row>
    <row r="16184">
      <c r="H16184" s="8" t="s">
        <v>364</v>
      </c>
    </row>
    <row r="16185">
      <c r="H16185" s="8" t="s">
        <v>364</v>
      </c>
    </row>
    <row r="16186">
      <c r="H16186" s="8" t="s">
        <v>364</v>
      </c>
    </row>
    <row r="16187">
      <c r="H16187" s="8" t="s">
        <v>364</v>
      </c>
    </row>
    <row r="16188">
      <c r="H16188" s="8" t="s">
        <v>364</v>
      </c>
    </row>
    <row r="16189">
      <c r="H16189" s="8" t="s">
        <v>364</v>
      </c>
    </row>
    <row r="16190">
      <c r="H16190" s="8" t="s">
        <v>364</v>
      </c>
    </row>
    <row r="16191">
      <c r="H16191" s="8" t="s">
        <v>364</v>
      </c>
    </row>
    <row r="16192">
      <c r="H16192" s="8" t="s">
        <v>364</v>
      </c>
    </row>
    <row r="16193">
      <c r="H16193" s="8" t="s">
        <v>364</v>
      </c>
    </row>
    <row r="16194">
      <c r="H16194" s="8" t="s">
        <v>364</v>
      </c>
    </row>
    <row r="16195">
      <c r="H16195" s="8" t="s">
        <v>364</v>
      </c>
    </row>
    <row r="16196">
      <c r="H16196" s="8" t="s">
        <v>364</v>
      </c>
    </row>
    <row r="16197">
      <c r="H16197" s="8" t="s">
        <v>364</v>
      </c>
    </row>
    <row r="16198">
      <c r="H16198" s="8" t="s">
        <v>364</v>
      </c>
    </row>
    <row r="16199">
      <c r="H16199" s="8" t="s">
        <v>364</v>
      </c>
    </row>
    <row r="16200">
      <c r="H16200" s="8" t="s">
        <v>364</v>
      </c>
    </row>
    <row r="16201">
      <c r="H16201" s="8" t="s">
        <v>364</v>
      </c>
    </row>
    <row r="16202">
      <c r="H16202" s="8" t="s">
        <v>364</v>
      </c>
    </row>
    <row r="16203">
      <c r="H16203" s="8" t="s">
        <v>364</v>
      </c>
    </row>
    <row r="16204">
      <c r="H16204" s="8" t="s">
        <v>364</v>
      </c>
    </row>
    <row r="16205">
      <c r="H16205" s="8" t="s">
        <v>364</v>
      </c>
    </row>
    <row r="16206">
      <c r="H16206" s="8" t="s">
        <v>364</v>
      </c>
    </row>
    <row r="16207">
      <c r="H16207" s="8" t="s">
        <v>364</v>
      </c>
    </row>
    <row r="16208">
      <c r="H16208" s="8" t="s">
        <v>364</v>
      </c>
    </row>
    <row r="16209">
      <c r="H16209" s="8" t="s">
        <v>364</v>
      </c>
    </row>
    <row r="16210">
      <c r="H16210" s="8" t="s">
        <v>364</v>
      </c>
    </row>
    <row r="16211">
      <c r="H16211" s="8" t="s">
        <v>364</v>
      </c>
    </row>
    <row r="16212">
      <c r="H16212" s="8" t="s">
        <v>364</v>
      </c>
    </row>
    <row r="16213">
      <c r="H16213" s="8" t="s">
        <v>364</v>
      </c>
    </row>
    <row r="16214">
      <c r="H16214" s="8" t="s">
        <v>364</v>
      </c>
    </row>
    <row r="16215">
      <c r="H16215" s="8" t="s">
        <v>364</v>
      </c>
    </row>
    <row r="16216">
      <c r="H16216" s="8" t="s">
        <v>364</v>
      </c>
    </row>
    <row r="16217">
      <c r="H16217" s="8" t="s">
        <v>364</v>
      </c>
    </row>
    <row r="16218">
      <c r="H16218" s="8" t="s">
        <v>364</v>
      </c>
    </row>
    <row r="16219">
      <c r="H16219" s="8" t="s">
        <v>364</v>
      </c>
    </row>
    <row r="16220">
      <c r="H16220" s="8" t="s">
        <v>364</v>
      </c>
    </row>
    <row r="16221">
      <c r="H16221" s="8" t="s">
        <v>364</v>
      </c>
    </row>
    <row r="16222">
      <c r="H16222" s="8" t="s">
        <v>364</v>
      </c>
    </row>
    <row r="16223">
      <c r="H16223" s="8" t="s">
        <v>364</v>
      </c>
    </row>
    <row r="16224">
      <c r="H16224" s="8" t="s">
        <v>364</v>
      </c>
    </row>
    <row r="16225">
      <c r="H16225" s="8" t="s">
        <v>364</v>
      </c>
    </row>
    <row r="16226">
      <c r="H16226" s="8" t="s">
        <v>364</v>
      </c>
    </row>
    <row r="16227">
      <c r="H16227" s="8" t="s">
        <v>364</v>
      </c>
    </row>
    <row r="16228">
      <c r="H16228" s="8" t="s">
        <v>364</v>
      </c>
    </row>
    <row r="16229">
      <c r="H16229" s="8" t="s">
        <v>364</v>
      </c>
    </row>
    <row r="16230">
      <c r="H16230" s="8" t="s">
        <v>364</v>
      </c>
    </row>
    <row r="16231">
      <c r="H16231" s="8" t="s">
        <v>364</v>
      </c>
    </row>
    <row r="16232">
      <c r="H16232" s="8" t="s">
        <v>364</v>
      </c>
    </row>
    <row r="16233">
      <c r="H16233" s="8" t="s">
        <v>364</v>
      </c>
    </row>
    <row r="16234">
      <c r="H16234" s="8" t="s">
        <v>364</v>
      </c>
    </row>
    <row r="16235">
      <c r="H16235" s="8" t="s">
        <v>364</v>
      </c>
    </row>
    <row r="16236">
      <c r="H16236" s="8" t="s">
        <v>364</v>
      </c>
    </row>
    <row r="16237">
      <c r="H16237" s="8" t="s">
        <v>364</v>
      </c>
    </row>
    <row r="16238">
      <c r="H16238" s="8" t="s">
        <v>364</v>
      </c>
    </row>
    <row r="16239">
      <c r="H16239" s="8" t="s">
        <v>364</v>
      </c>
    </row>
    <row r="16240">
      <c r="H16240" s="8" t="s">
        <v>364</v>
      </c>
    </row>
    <row r="16241">
      <c r="H16241" s="8" t="s">
        <v>364</v>
      </c>
    </row>
    <row r="16242">
      <c r="H16242" s="8" t="s">
        <v>364</v>
      </c>
    </row>
    <row r="16243">
      <c r="H16243" s="8" t="s">
        <v>364</v>
      </c>
    </row>
    <row r="16244">
      <c r="H16244" s="8" t="s">
        <v>364</v>
      </c>
    </row>
    <row r="16245">
      <c r="H16245" s="8" t="s">
        <v>364</v>
      </c>
    </row>
    <row r="16246">
      <c r="H16246" s="8" t="s">
        <v>364</v>
      </c>
    </row>
    <row r="16247">
      <c r="H16247" s="8" t="s">
        <v>364</v>
      </c>
    </row>
    <row r="16248">
      <c r="H16248" s="8" t="s">
        <v>364</v>
      </c>
    </row>
    <row r="16249">
      <c r="H16249" s="8" t="s">
        <v>364</v>
      </c>
    </row>
    <row r="16250">
      <c r="H16250" s="8" t="s">
        <v>364</v>
      </c>
    </row>
    <row r="16251">
      <c r="H16251" s="8" t="s">
        <v>364</v>
      </c>
    </row>
    <row r="16252">
      <c r="H16252" s="8" t="s">
        <v>364</v>
      </c>
    </row>
    <row r="16253">
      <c r="H16253" s="8" t="s">
        <v>364</v>
      </c>
    </row>
    <row r="16254">
      <c r="H16254" s="8" t="s">
        <v>364</v>
      </c>
    </row>
    <row r="16255">
      <c r="H16255" s="8" t="s">
        <v>364</v>
      </c>
    </row>
    <row r="16256">
      <c r="H16256" s="8" t="s">
        <v>364</v>
      </c>
    </row>
    <row r="16257">
      <c r="H16257" s="8" t="s">
        <v>364</v>
      </c>
    </row>
    <row r="16258">
      <c r="H16258" s="8" t="s">
        <v>364</v>
      </c>
    </row>
    <row r="16259">
      <c r="H16259" s="8" t="s">
        <v>364</v>
      </c>
    </row>
    <row r="16260">
      <c r="H16260" s="8" t="s">
        <v>364</v>
      </c>
    </row>
    <row r="16261">
      <c r="H16261" s="8" t="s">
        <v>364</v>
      </c>
    </row>
    <row r="16262">
      <c r="H16262" s="8" t="s">
        <v>364</v>
      </c>
    </row>
    <row r="16263">
      <c r="H16263" s="8" t="s">
        <v>364</v>
      </c>
    </row>
    <row r="16264">
      <c r="H16264" s="8" t="s">
        <v>364</v>
      </c>
    </row>
    <row r="16265">
      <c r="H16265" s="8" t="s">
        <v>364</v>
      </c>
    </row>
    <row r="16266">
      <c r="H16266" s="8" t="s">
        <v>364</v>
      </c>
    </row>
    <row r="16267">
      <c r="H16267" s="8" t="s">
        <v>364</v>
      </c>
    </row>
    <row r="16268">
      <c r="H16268" s="8" t="s">
        <v>364</v>
      </c>
    </row>
    <row r="16269">
      <c r="H16269" s="8" t="s">
        <v>364</v>
      </c>
    </row>
    <row r="16270">
      <c r="H16270" s="8" t="s">
        <v>364</v>
      </c>
    </row>
    <row r="16271">
      <c r="H16271" s="8" t="s">
        <v>364</v>
      </c>
    </row>
    <row r="16272">
      <c r="H16272" s="8" t="s">
        <v>364</v>
      </c>
    </row>
    <row r="16273">
      <c r="H16273" s="8" t="s">
        <v>364</v>
      </c>
    </row>
    <row r="16274">
      <c r="H16274" s="8" t="s">
        <v>364</v>
      </c>
    </row>
    <row r="16275">
      <c r="H16275" s="8" t="s">
        <v>364</v>
      </c>
    </row>
    <row r="16276">
      <c r="H16276" s="8" t="s">
        <v>364</v>
      </c>
    </row>
    <row r="16277">
      <c r="H16277" s="8" t="s">
        <v>364</v>
      </c>
    </row>
    <row r="16278">
      <c r="H16278" s="8" t="s">
        <v>364</v>
      </c>
    </row>
    <row r="16279">
      <c r="H16279" s="8" t="s">
        <v>364</v>
      </c>
    </row>
    <row r="16280">
      <c r="H16280" s="8" t="s">
        <v>364</v>
      </c>
    </row>
    <row r="16281">
      <c r="H16281" s="8" t="s">
        <v>364</v>
      </c>
    </row>
    <row r="16282">
      <c r="H16282" s="8" t="s">
        <v>364</v>
      </c>
    </row>
    <row r="16283">
      <c r="H16283" s="8" t="s">
        <v>364</v>
      </c>
    </row>
    <row r="16284">
      <c r="H16284" s="8" t="s">
        <v>364</v>
      </c>
    </row>
    <row r="16285">
      <c r="H16285" s="8" t="s">
        <v>364</v>
      </c>
    </row>
    <row r="16286">
      <c r="H16286" s="8" t="s">
        <v>364</v>
      </c>
    </row>
    <row r="16287">
      <c r="H16287" s="8" t="s">
        <v>364</v>
      </c>
    </row>
    <row r="16288">
      <c r="H16288" s="8" t="s">
        <v>364</v>
      </c>
    </row>
    <row r="16289">
      <c r="H16289" s="8" t="s">
        <v>364</v>
      </c>
    </row>
    <row r="16290">
      <c r="H16290" s="8" t="s">
        <v>364</v>
      </c>
    </row>
    <row r="16291">
      <c r="H16291" s="8" t="s">
        <v>364</v>
      </c>
    </row>
    <row r="16292">
      <c r="H16292" s="8" t="s">
        <v>364</v>
      </c>
    </row>
    <row r="16293">
      <c r="H16293" s="8" t="s">
        <v>364</v>
      </c>
    </row>
    <row r="16294">
      <c r="H16294" s="8" t="s">
        <v>364</v>
      </c>
    </row>
    <row r="16295">
      <c r="H16295" s="8" t="s">
        <v>364</v>
      </c>
    </row>
    <row r="16296">
      <c r="H16296" s="8" t="s">
        <v>364</v>
      </c>
    </row>
    <row r="16297">
      <c r="H16297" s="8" t="s">
        <v>364</v>
      </c>
    </row>
    <row r="16298">
      <c r="H16298" s="8" t="s">
        <v>364</v>
      </c>
    </row>
    <row r="16299">
      <c r="H16299" s="8" t="s">
        <v>364</v>
      </c>
    </row>
    <row r="16300">
      <c r="H16300" s="8" t="s">
        <v>364</v>
      </c>
    </row>
    <row r="16301">
      <c r="H16301" s="8" t="s">
        <v>364</v>
      </c>
    </row>
    <row r="16302">
      <c r="H16302" s="8" t="s">
        <v>364</v>
      </c>
    </row>
    <row r="16303">
      <c r="H16303" s="8" t="s">
        <v>364</v>
      </c>
    </row>
    <row r="16304">
      <c r="H16304" s="8" t="s">
        <v>364</v>
      </c>
    </row>
    <row r="16305">
      <c r="H16305" s="8" t="s">
        <v>364</v>
      </c>
    </row>
    <row r="16306">
      <c r="H16306" s="8" t="s">
        <v>364</v>
      </c>
    </row>
    <row r="16307">
      <c r="H16307" s="8" t="s">
        <v>364</v>
      </c>
    </row>
    <row r="16308">
      <c r="H16308" s="8" t="s">
        <v>364</v>
      </c>
    </row>
    <row r="16309">
      <c r="H16309" s="8" t="s">
        <v>364</v>
      </c>
    </row>
    <row r="16310">
      <c r="H16310" s="8" t="s">
        <v>364</v>
      </c>
    </row>
    <row r="16311">
      <c r="H16311" s="8" t="s">
        <v>364</v>
      </c>
    </row>
    <row r="16312">
      <c r="H16312" s="8" t="s">
        <v>364</v>
      </c>
    </row>
    <row r="16313">
      <c r="H16313" s="8" t="s">
        <v>364</v>
      </c>
    </row>
    <row r="16314">
      <c r="H16314" s="8" t="s">
        <v>364</v>
      </c>
    </row>
    <row r="16315">
      <c r="H16315" s="8" t="s">
        <v>364</v>
      </c>
    </row>
    <row r="16316">
      <c r="H16316" s="8" t="s">
        <v>364</v>
      </c>
    </row>
    <row r="16317">
      <c r="H16317" s="8" t="s">
        <v>364</v>
      </c>
    </row>
    <row r="16318">
      <c r="H16318" s="8" t="s">
        <v>364</v>
      </c>
    </row>
    <row r="16319">
      <c r="H16319" s="8" t="s">
        <v>364</v>
      </c>
    </row>
    <row r="16320">
      <c r="H16320" s="8" t="s">
        <v>364</v>
      </c>
    </row>
    <row r="16321">
      <c r="H16321" s="8" t="s">
        <v>364</v>
      </c>
    </row>
    <row r="16322">
      <c r="H16322" s="8" t="s">
        <v>364</v>
      </c>
    </row>
    <row r="16323">
      <c r="H16323" s="8" t="s">
        <v>364</v>
      </c>
    </row>
    <row r="16324">
      <c r="H16324" s="8" t="s">
        <v>364</v>
      </c>
    </row>
    <row r="16325">
      <c r="H16325" s="8" t="s">
        <v>364</v>
      </c>
    </row>
    <row r="16326">
      <c r="H16326" s="8" t="s">
        <v>364</v>
      </c>
    </row>
    <row r="16327">
      <c r="H16327" s="8" t="s">
        <v>364</v>
      </c>
    </row>
    <row r="16328">
      <c r="H16328" s="8" t="s">
        <v>364</v>
      </c>
    </row>
    <row r="16329">
      <c r="H16329" s="8" t="s">
        <v>364</v>
      </c>
    </row>
    <row r="16330">
      <c r="H16330" s="8" t="s">
        <v>364</v>
      </c>
    </row>
    <row r="16331">
      <c r="H16331" s="8" t="s">
        <v>364</v>
      </c>
    </row>
    <row r="16332">
      <c r="H16332" s="8" t="s">
        <v>364</v>
      </c>
    </row>
    <row r="16333">
      <c r="H16333" s="8" t="s">
        <v>364</v>
      </c>
    </row>
    <row r="16334">
      <c r="H16334" s="8" t="s">
        <v>364</v>
      </c>
    </row>
    <row r="16335">
      <c r="H16335" s="8" t="s">
        <v>364</v>
      </c>
    </row>
    <row r="16336">
      <c r="H16336" s="8" t="s">
        <v>364</v>
      </c>
    </row>
    <row r="16337">
      <c r="H16337" s="8" t="s">
        <v>364</v>
      </c>
    </row>
    <row r="16338">
      <c r="H16338" s="8" t="s">
        <v>364</v>
      </c>
    </row>
    <row r="16339">
      <c r="H16339" s="8" t="s">
        <v>364</v>
      </c>
    </row>
    <row r="16340">
      <c r="H16340" s="8" t="s">
        <v>364</v>
      </c>
    </row>
    <row r="16341">
      <c r="H16341" s="8" t="s">
        <v>364</v>
      </c>
    </row>
    <row r="16342">
      <c r="H16342" s="8" t="s">
        <v>364</v>
      </c>
    </row>
    <row r="16343">
      <c r="H16343" s="8" t="s">
        <v>364</v>
      </c>
    </row>
    <row r="16344">
      <c r="H16344" s="8" t="s">
        <v>364</v>
      </c>
    </row>
    <row r="16345">
      <c r="H16345" s="8" t="s">
        <v>364</v>
      </c>
    </row>
    <row r="16346">
      <c r="H16346" s="8" t="s">
        <v>364</v>
      </c>
    </row>
    <row r="16347">
      <c r="H16347" s="8" t="s">
        <v>364</v>
      </c>
    </row>
    <row r="16348">
      <c r="H16348" s="8" t="s">
        <v>364</v>
      </c>
    </row>
    <row r="16349">
      <c r="H16349" s="8" t="s">
        <v>364</v>
      </c>
    </row>
    <row r="16350">
      <c r="H16350" s="8" t="s">
        <v>364</v>
      </c>
    </row>
    <row r="16351">
      <c r="H16351" s="8" t="s">
        <v>364</v>
      </c>
    </row>
    <row r="16352">
      <c r="H16352" s="8" t="s">
        <v>364</v>
      </c>
    </row>
    <row r="16353">
      <c r="H16353" s="8" t="s">
        <v>364</v>
      </c>
    </row>
    <row r="16354">
      <c r="H16354" s="8" t="s">
        <v>364</v>
      </c>
    </row>
    <row r="16355">
      <c r="H16355" s="8" t="s">
        <v>364</v>
      </c>
    </row>
    <row r="16356">
      <c r="H16356" s="8" t="s">
        <v>364</v>
      </c>
    </row>
    <row r="16357">
      <c r="H16357" s="8" t="s">
        <v>364</v>
      </c>
    </row>
    <row r="16358">
      <c r="H16358" s="8" t="s">
        <v>364</v>
      </c>
    </row>
    <row r="16359">
      <c r="H16359" s="8" t="s">
        <v>364</v>
      </c>
    </row>
    <row r="16360">
      <c r="H16360" s="8" t="s">
        <v>364</v>
      </c>
    </row>
    <row r="16361">
      <c r="H16361" s="8" t="s">
        <v>364</v>
      </c>
    </row>
    <row r="16362">
      <c r="H16362" s="8" t="s">
        <v>364</v>
      </c>
    </row>
    <row r="16363">
      <c r="H16363" s="8" t="s">
        <v>364</v>
      </c>
    </row>
    <row r="16364">
      <c r="H16364" s="8" t="s">
        <v>364</v>
      </c>
    </row>
    <row r="16365">
      <c r="H16365" s="8" t="s">
        <v>364</v>
      </c>
    </row>
    <row r="16366">
      <c r="H16366" s="8" t="s">
        <v>364</v>
      </c>
    </row>
    <row r="16367">
      <c r="H16367" s="8" t="s">
        <v>364</v>
      </c>
    </row>
    <row r="16368">
      <c r="H16368" s="8" t="s">
        <v>364</v>
      </c>
    </row>
    <row r="16369">
      <c r="H16369" s="8" t="s">
        <v>364</v>
      </c>
    </row>
    <row r="16370">
      <c r="H16370" s="8" t="s">
        <v>364</v>
      </c>
    </row>
    <row r="16371">
      <c r="H16371" s="8" t="s">
        <v>364</v>
      </c>
    </row>
    <row r="16372">
      <c r="H16372" s="8" t="s">
        <v>364</v>
      </c>
    </row>
    <row r="16373">
      <c r="H16373" s="8" t="s">
        <v>364</v>
      </c>
    </row>
    <row r="16374">
      <c r="H16374" s="8" t="s">
        <v>364</v>
      </c>
    </row>
    <row r="16375">
      <c r="H16375" s="8" t="s">
        <v>364</v>
      </c>
    </row>
    <row r="16376">
      <c r="H16376" s="8" t="s">
        <v>364</v>
      </c>
    </row>
    <row r="16377">
      <c r="H16377" s="8" t="s">
        <v>364</v>
      </c>
    </row>
    <row r="16378">
      <c r="H16378" s="8" t="s">
        <v>364</v>
      </c>
    </row>
    <row r="16379">
      <c r="H16379" s="8" t="s">
        <v>364</v>
      </c>
    </row>
    <row r="16380">
      <c r="H16380" s="8" t="s">
        <v>364</v>
      </c>
    </row>
    <row r="16381">
      <c r="H16381" s="8" t="s">
        <v>364</v>
      </c>
    </row>
    <row r="16382">
      <c r="H16382" s="8" t="s">
        <v>364</v>
      </c>
    </row>
    <row r="16383">
      <c r="H16383" s="8" t="s">
        <v>364</v>
      </c>
    </row>
    <row r="16384">
      <c r="H16384" s="8" t="s">
        <v>364</v>
      </c>
    </row>
    <row r="16385">
      <c r="H16385" s="8" t="s">
        <v>364</v>
      </c>
    </row>
    <row r="16386">
      <c r="H16386" s="8" t="s">
        <v>364</v>
      </c>
    </row>
    <row r="16387">
      <c r="H16387" s="8" t="s">
        <v>364</v>
      </c>
    </row>
    <row r="16388">
      <c r="H16388" s="8" t="s">
        <v>364</v>
      </c>
    </row>
    <row r="16389">
      <c r="H16389" s="8" t="s">
        <v>364</v>
      </c>
    </row>
    <row r="16390">
      <c r="H16390" s="8" t="s">
        <v>364</v>
      </c>
    </row>
    <row r="16391">
      <c r="H16391" s="8" t="s">
        <v>364</v>
      </c>
    </row>
    <row r="16392">
      <c r="H16392" s="8" t="s">
        <v>364</v>
      </c>
    </row>
    <row r="16393">
      <c r="H16393" s="8" t="s">
        <v>364</v>
      </c>
    </row>
    <row r="16394">
      <c r="H16394" s="8" t="s">
        <v>364</v>
      </c>
    </row>
    <row r="16395">
      <c r="H16395" s="8" t="s">
        <v>364</v>
      </c>
    </row>
    <row r="16396">
      <c r="H16396" s="8" t="s">
        <v>364</v>
      </c>
    </row>
    <row r="16397">
      <c r="H16397" s="8" t="s">
        <v>364</v>
      </c>
    </row>
    <row r="16398">
      <c r="H16398" s="8" t="s">
        <v>364</v>
      </c>
    </row>
    <row r="16399">
      <c r="H16399" s="8" t="s">
        <v>364</v>
      </c>
    </row>
    <row r="16400">
      <c r="H16400" s="8" t="s">
        <v>364</v>
      </c>
    </row>
    <row r="16401">
      <c r="H16401" s="8" t="s">
        <v>364</v>
      </c>
    </row>
    <row r="16402">
      <c r="H16402" s="8" t="s">
        <v>364</v>
      </c>
    </row>
    <row r="16403">
      <c r="H16403" s="8" t="s">
        <v>364</v>
      </c>
    </row>
    <row r="16404">
      <c r="H16404" s="8" t="s">
        <v>364</v>
      </c>
    </row>
    <row r="16405">
      <c r="H16405" s="8" t="s">
        <v>364</v>
      </c>
    </row>
    <row r="16406">
      <c r="H16406" s="8" t="s">
        <v>364</v>
      </c>
    </row>
    <row r="16407">
      <c r="H16407" s="8" t="s">
        <v>364</v>
      </c>
    </row>
    <row r="16408">
      <c r="H16408" s="8" t="s">
        <v>364</v>
      </c>
    </row>
    <row r="16409">
      <c r="H16409" s="8" t="s">
        <v>364</v>
      </c>
    </row>
    <row r="16410">
      <c r="H16410" s="8" t="s">
        <v>364</v>
      </c>
    </row>
    <row r="16411">
      <c r="H16411" s="8" t="s">
        <v>364</v>
      </c>
    </row>
    <row r="16412">
      <c r="H16412" s="8" t="s">
        <v>364</v>
      </c>
    </row>
    <row r="16413">
      <c r="H16413" s="8" t="s">
        <v>364</v>
      </c>
    </row>
    <row r="16414">
      <c r="H16414" s="8" t="s">
        <v>364</v>
      </c>
    </row>
    <row r="16415">
      <c r="H16415" s="8" t="s">
        <v>364</v>
      </c>
    </row>
    <row r="16416">
      <c r="H16416" s="8" t="s">
        <v>364</v>
      </c>
    </row>
    <row r="16417">
      <c r="H16417" s="8" t="s">
        <v>364</v>
      </c>
    </row>
    <row r="16418">
      <c r="H16418" s="8" t="s">
        <v>364</v>
      </c>
    </row>
    <row r="16419">
      <c r="H16419" s="8" t="s">
        <v>364</v>
      </c>
    </row>
    <row r="16420">
      <c r="H16420" s="8" t="s">
        <v>364</v>
      </c>
    </row>
    <row r="16421">
      <c r="H16421" s="8" t="s">
        <v>364</v>
      </c>
    </row>
    <row r="16422">
      <c r="H16422" s="8" t="s">
        <v>364</v>
      </c>
    </row>
    <row r="16423">
      <c r="H16423" s="8" t="s">
        <v>364</v>
      </c>
    </row>
    <row r="16424">
      <c r="H16424" s="8" t="s">
        <v>364</v>
      </c>
    </row>
    <row r="16425">
      <c r="H16425" s="8" t="s">
        <v>364</v>
      </c>
    </row>
    <row r="16426">
      <c r="H16426" s="8" t="s">
        <v>364</v>
      </c>
    </row>
    <row r="16427">
      <c r="H16427" s="8" t="s">
        <v>364</v>
      </c>
    </row>
    <row r="16428">
      <c r="H16428" s="8" t="s">
        <v>364</v>
      </c>
    </row>
    <row r="16429">
      <c r="H16429" s="8" t="s">
        <v>364</v>
      </c>
    </row>
    <row r="16430">
      <c r="H16430" s="8" t="s">
        <v>364</v>
      </c>
    </row>
    <row r="16431">
      <c r="H16431" s="8" t="s">
        <v>364</v>
      </c>
    </row>
    <row r="16432">
      <c r="H16432" s="8" t="s">
        <v>364</v>
      </c>
    </row>
    <row r="16433">
      <c r="H16433" s="8" t="s">
        <v>364</v>
      </c>
    </row>
    <row r="16434">
      <c r="H16434" s="8" t="s">
        <v>364</v>
      </c>
    </row>
    <row r="16435">
      <c r="H16435" s="8" t="s">
        <v>364</v>
      </c>
    </row>
    <row r="16436">
      <c r="H16436" s="8" t="s">
        <v>364</v>
      </c>
    </row>
    <row r="16437">
      <c r="H16437" s="8" t="s">
        <v>364</v>
      </c>
    </row>
    <row r="16438">
      <c r="H16438" s="8" t="s">
        <v>364</v>
      </c>
    </row>
    <row r="16439">
      <c r="H16439" s="8" t="s">
        <v>364</v>
      </c>
    </row>
    <row r="16440">
      <c r="H16440" s="8" t="s">
        <v>364</v>
      </c>
    </row>
    <row r="16441">
      <c r="H16441" s="8" t="s">
        <v>364</v>
      </c>
    </row>
    <row r="16442">
      <c r="H16442" s="8" t="s">
        <v>364</v>
      </c>
    </row>
    <row r="16443">
      <c r="H16443" s="8" t="s">
        <v>364</v>
      </c>
    </row>
    <row r="16444">
      <c r="H16444" s="8" t="s">
        <v>364</v>
      </c>
    </row>
    <row r="16445">
      <c r="H16445" s="8" t="s">
        <v>364</v>
      </c>
    </row>
    <row r="16446">
      <c r="H16446" s="8" t="s">
        <v>364</v>
      </c>
    </row>
    <row r="16447">
      <c r="H16447" s="8" t="s">
        <v>364</v>
      </c>
    </row>
    <row r="16448">
      <c r="H16448" s="8" t="s">
        <v>364</v>
      </c>
    </row>
    <row r="16449">
      <c r="H16449" s="8" t="s">
        <v>364</v>
      </c>
    </row>
    <row r="16450">
      <c r="H16450" s="8" t="s">
        <v>364</v>
      </c>
    </row>
    <row r="16451">
      <c r="H16451" s="8" t="s">
        <v>364</v>
      </c>
    </row>
    <row r="16452">
      <c r="H16452" s="8" t="s">
        <v>364</v>
      </c>
    </row>
    <row r="16453">
      <c r="H16453" s="8" t="s">
        <v>364</v>
      </c>
    </row>
    <row r="16454">
      <c r="H16454" s="8" t="s">
        <v>364</v>
      </c>
    </row>
    <row r="16455">
      <c r="H16455" s="8" t="s">
        <v>364</v>
      </c>
    </row>
    <row r="16456">
      <c r="H16456" s="8" t="s">
        <v>364</v>
      </c>
    </row>
    <row r="16457">
      <c r="H16457" s="8" t="s">
        <v>364</v>
      </c>
    </row>
    <row r="16458">
      <c r="H16458" s="8" t="s">
        <v>364</v>
      </c>
    </row>
    <row r="16459">
      <c r="H16459" s="8" t="s">
        <v>364</v>
      </c>
    </row>
    <row r="16460">
      <c r="H16460" s="8" t="s">
        <v>364</v>
      </c>
    </row>
    <row r="16461">
      <c r="H16461" s="8" t="s">
        <v>364</v>
      </c>
    </row>
    <row r="16462">
      <c r="H16462" s="8" t="s">
        <v>364</v>
      </c>
    </row>
    <row r="16463">
      <c r="H16463" s="8" t="s">
        <v>364</v>
      </c>
    </row>
    <row r="16464">
      <c r="H16464" s="8" t="s">
        <v>364</v>
      </c>
    </row>
    <row r="16465">
      <c r="H16465" s="8" t="s">
        <v>364</v>
      </c>
    </row>
    <row r="16466">
      <c r="H16466" s="8" t="s">
        <v>364</v>
      </c>
    </row>
    <row r="16467">
      <c r="H16467" s="8" t="s">
        <v>364</v>
      </c>
    </row>
    <row r="16468">
      <c r="H16468" s="8" t="s">
        <v>364</v>
      </c>
    </row>
    <row r="16469">
      <c r="H16469" s="8" t="s">
        <v>364</v>
      </c>
    </row>
    <row r="16470">
      <c r="H16470" s="8" t="s">
        <v>364</v>
      </c>
    </row>
    <row r="16471">
      <c r="H16471" s="8" t="s">
        <v>364</v>
      </c>
    </row>
    <row r="16472">
      <c r="H16472" s="8" t="s">
        <v>364</v>
      </c>
    </row>
    <row r="16473">
      <c r="H16473" s="8" t="s">
        <v>364</v>
      </c>
    </row>
    <row r="16474">
      <c r="H16474" s="8" t="s">
        <v>364</v>
      </c>
    </row>
    <row r="16475">
      <c r="H16475" s="8" t="s">
        <v>364</v>
      </c>
    </row>
    <row r="16476">
      <c r="H16476" s="8" t="s">
        <v>364</v>
      </c>
    </row>
    <row r="16477">
      <c r="H16477" s="8" t="s">
        <v>364</v>
      </c>
    </row>
    <row r="16478">
      <c r="H16478" s="8" t="s">
        <v>364</v>
      </c>
    </row>
    <row r="16479">
      <c r="H16479" s="8" t="s">
        <v>364</v>
      </c>
    </row>
    <row r="16480">
      <c r="H16480" s="8" t="s">
        <v>364</v>
      </c>
    </row>
    <row r="16481">
      <c r="H16481" s="8" t="s">
        <v>364</v>
      </c>
    </row>
    <row r="16482">
      <c r="H16482" s="8" t="s">
        <v>364</v>
      </c>
    </row>
    <row r="16483">
      <c r="H16483" s="8" t="s">
        <v>364</v>
      </c>
    </row>
    <row r="16484">
      <c r="H16484" s="8" t="s">
        <v>364</v>
      </c>
    </row>
    <row r="16485">
      <c r="H16485" s="8" t="s">
        <v>364</v>
      </c>
    </row>
    <row r="16486">
      <c r="H16486" s="8" t="s">
        <v>364</v>
      </c>
    </row>
    <row r="16487">
      <c r="H16487" s="8" t="s">
        <v>364</v>
      </c>
    </row>
    <row r="16488">
      <c r="H16488" s="8" t="s">
        <v>364</v>
      </c>
    </row>
    <row r="16489">
      <c r="H16489" s="8" t="s">
        <v>364</v>
      </c>
    </row>
    <row r="16490">
      <c r="H16490" s="8" t="s">
        <v>364</v>
      </c>
    </row>
    <row r="16491">
      <c r="H16491" s="8" t="s">
        <v>364</v>
      </c>
    </row>
    <row r="16492">
      <c r="H16492" s="8" t="s">
        <v>364</v>
      </c>
    </row>
    <row r="16493">
      <c r="H16493" s="8" t="s">
        <v>364</v>
      </c>
    </row>
    <row r="16494">
      <c r="H16494" s="8" t="s">
        <v>364</v>
      </c>
    </row>
    <row r="16495">
      <c r="H16495" s="8" t="s">
        <v>364</v>
      </c>
    </row>
    <row r="16496">
      <c r="H16496" s="8" t="s">
        <v>364</v>
      </c>
    </row>
    <row r="16497">
      <c r="H16497" s="8" t="s">
        <v>364</v>
      </c>
    </row>
    <row r="16498">
      <c r="H16498" s="8" t="s">
        <v>364</v>
      </c>
    </row>
    <row r="16499">
      <c r="H16499" s="8" t="s">
        <v>364</v>
      </c>
    </row>
    <row r="16500">
      <c r="H16500" s="8" t="s">
        <v>364</v>
      </c>
    </row>
    <row r="16501">
      <c r="H16501" s="8" t="s">
        <v>364</v>
      </c>
    </row>
    <row r="16502">
      <c r="H16502" s="8" t="s">
        <v>364</v>
      </c>
    </row>
    <row r="16503">
      <c r="H16503" s="8" t="s">
        <v>364</v>
      </c>
    </row>
    <row r="16504">
      <c r="H16504" s="8" t="s">
        <v>364</v>
      </c>
    </row>
    <row r="16505">
      <c r="H16505" s="8" t="s">
        <v>364</v>
      </c>
    </row>
    <row r="16506">
      <c r="H16506" s="8" t="s">
        <v>364</v>
      </c>
    </row>
    <row r="16507">
      <c r="H16507" s="8" t="s">
        <v>364</v>
      </c>
    </row>
    <row r="16508">
      <c r="H16508" s="8" t="s">
        <v>364</v>
      </c>
    </row>
    <row r="16509">
      <c r="H16509" s="8" t="s">
        <v>364</v>
      </c>
    </row>
    <row r="16510">
      <c r="H16510" s="8" t="s">
        <v>364</v>
      </c>
    </row>
    <row r="16511">
      <c r="H16511" s="8" t="s">
        <v>364</v>
      </c>
    </row>
    <row r="16512">
      <c r="H16512" s="8" t="s">
        <v>364</v>
      </c>
    </row>
    <row r="16513">
      <c r="H16513" s="8" t="s">
        <v>364</v>
      </c>
    </row>
    <row r="16514">
      <c r="H16514" s="8" t="s">
        <v>364</v>
      </c>
    </row>
    <row r="16515">
      <c r="H16515" s="8" t="s">
        <v>364</v>
      </c>
    </row>
    <row r="16516">
      <c r="H16516" s="8" t="s">
        <v>364</v>
      </c>
    </row>
    <row r="16517">
      <c r="H16517" s="8" t="s">
        <v>364</v>
      </c>
    </row>
    <row r="16518">
      <c r="H16518" s="8" t="s">
        <v>364</v>
      </c>
    </row>
    <row r="16519">
      <c r="H16519" s="8" t="s">
        <v>364</v>
      </c>
    </row>
    <row r="16520">
      <c r="H16520" s="8" t="s">
        <v>364</v>
      </c>
    </row>
    <row r="16521">
      <c r="H16521" s="8" t="s">
        <v>364</v>
      </c>
    </row>
    <row r="16522">
      <c r="H16522" s="8" t="s">
        <v>364</v>
      </c>
    </row>
    <row r="16523">
      <c r="H16523" s="8" t="s">
        <v>364</v>
      </c>
    </row>
    <row r="16524">
      <c r="H16524" s="8" t="s">
        <v>364</v>
      </c>
    </row>
    <row r="16525">
      <c r="H16525" s="8" t="s">
        <v>364</v>
      </c>
    </row>
    <row r="16526">
      <c r="H16526" s="8" t="s">
        <v>364</v>
      </c>
    </row>
    <row r="16527">
      <c r="H16527" s="8" t="s">
        <v>364</v>
      </c>
    </row>
    <row r="16528">
      <c r="H16528" s="8" t="s">
        <v>364</v>
      </c>
    </row>
    <row r="16529">
      <c r="H16529" s="8" t="s">
        <v>364</v>
      </c>
    </row>
    <row r="16530">
      <c r="H16530" s="8" t="s">
        <v>364</v>
      </c>
    </row>
    <row r="16531">
      <c r="H16531" s="8" t="s">
        <v>364</v>
      </c>
    </row>
    <row r="16532">
      <c r="H16532" s="8" t="s">
        <v>364</v>
      </c>
    </row>
    <row r="16533">
      <c r="H16533" s="8" t="s">
        <v>364</v>
      </c>
    </row>
    <row r="16534">
      <c r="H16534" s="8" t="s">
        <v>364</v>
      </c>
    </row>
    <row r="16535">
      <c r="H16535" s="8" t="s">
        <v>364</v>
      </c>
    </row>
    <row r="16536">
      <c r="H16536" s="8" t="s">
        <v>364</v>
      </c>
    </row>
    <row r="16537">
      <c r="H16537" s="8" t="s">
        <v>364</v>
      </c>
    </row>
    <row r="16538">
      <c r="H16538" s="8" t="s">
        <v>364</v>
      </c>
    </row>
    <row r="16539">
      <c r="H16539" s="8" t="s">
        <v>364</v>
      </c>
    </row>
    <row r="16540">
      <c r="H16540" s="8" t="s">
        <v>364</v>
      </c>
    </row>
    <row r="16541">
      <c r="H16541" s="8" t="s">
        <v>364</v>
      </c>
    </row>
    <row r="16542">
      <c r="H16542" s="8" t="s">
        <v>364</v>
      </c>
    </row>
    <row r="16543">
      <c r="H16543" s="8" t="s">
        <v>364</v>
      </c>
    </row>
    <row r="16544">
      <c r="H16544" s="8" t="s">
        <v>364</v>
      </c>
    </row>
    <row r="16545">
      <c r="H16545" s="8" t="s">
        <v>364</v>
      </c>
    </row>
    <row r="16546">
      <c r="H16546" s="8" t="s">
        <v>364</v>
      </c>
    </row>
    <row r="16547">
      <c r="H16547" s="8" t="s">
        <v>364</v>
      </c>
    </row>
    <row r="16548">
      <c r="H16548" s="8" t="s">
        <v>364</v>
      </c>
    </row>
    <row r="16549">
      <c r="H16549" s="8" t="s">
        <v>364</v>
      </c>
    </row>
    <row r="16550">
      <c r="H16550" s="8" t="s">
        <v>364</v>
      </c>
    </row>
    <row r="16551">
      <c r="H16551" s="8" t="s">
        <v>364</v>
      </c>
    </row>
    <row r="16552">
      <c r="H16552" s="8" t="s">
        <v>364</v>
      </c>
    </row>
    <row r="16553">
      <c r="H16553" s="8" t="s">
        <v>364</v>
      </c>
    </row>
    <row r="16554">
      <c r="H16554" s="8" t="s">
        <v>364</v>
      </c>
    </row>
    <row r="16555">
      <c r="H16555" s="8" t="s">
        <v>364</v>
      </c>
    </row>
    <row r="16556">
      <c r="H16556" s="8" t="s">
        <v>364</v>
      </c>
    </row>
    <row r="16557">
      <c r="H16557" s="8" t="s">
        <v>364</v>
      </c>
    </row>
    <row r="16558">
      <c r="H16558" s="8" t="s">
        <v>364</v>
      </c>
    </row>
    <row r="16559">
      <c r="H16559" s="8" t="s">
        <v>364</v>
      </c>
    </row>
    <row r="16560">
      <c r="H16560" s="8" t="s">
        <v>364</v>
      </c>
    </row>
    <row r="16561">
      <c r="H16561" s="8" t="s">
        <v>364</v>
      </c>
    </row>
    <row r="16562">
      <c r="H16562" s="8" t="s">
        <v>364</v>
      </c>
    </row>
    <row r="16563">
      <c r="H16563" s="8" t="s">
        <v>364</v>
      </c>
    </row>
    <row r="16564">
      <c r="H16564" s="8" t="s">
        <v>364</v>
      </c>
    </row>
    <row r="16565">
      <c r="H16565" s="8" t="s">
        <v>364</v>
      </c>
    </row>
    <row r="16566">
      <c r="H16566" s="8" t="s">
        <v>364</v>
      </c>
    </row>
    <row r="16567">
      <c r="H16567" s="8" t="s">
        <v>364</v>
      </c>
    </row>
    <row r="16568">
      <c r="H16568" s="8" t="s">
        <v>364</v>
      </c>
    </row>
    <row r="16569">
      <c r="H16569" s="8" t="s">
        <v>364</v>
      </c>
    </row>
    <row r="16570">
      <c r="H16570" s="8" t="s">
        <v>364</v>
      </c>
    </row>
    <row r="16571">
      <c r="H16571" s="8" t="s">
        <v>364</v>
      </c>
    </row>
    <row r="16572">
      <c r="H16572" s="8" t="s">
        <v>364</v>
      </c>
    </row>
    <row r="16573">
      <c r="H16573" s="8" t="s">
        <v>364</v>
      </c>
    </row>
    <row r="16574">
      <c r="H16574" s="8" t="s">
        <v>364</v>
      </c>
    </row>
    <row r="16575">
      <c r="H16575" s="8" t="s">
        <v>364</v>
      </c>
    </row>
    <row r="16576">
      <c r="H16576" s="8" t="s">
        <v>364</v>
      </c>
    </row>
    <row r="16577">
      <c r="H16577" s="8" t="s">
        <v>364</v>
      </c>
    </row>
    <row r="16578">
      <c r="H16578" s="8" t="s">
        <v>364</v>
      </c>
    </row>
    <row r="16579">
      <c r="H16579" s="8" t="s">
        <v>364</v>
      </c>
    </row>
    <row r="16580">
      <c r="H16580" s="8" t="s">
        <v>364</v>
      </c>
    </row>
    <row r="16581">
      <c r="H16581" s="8" t="s">
        <v>364</v>
      </c>
    </row>
    <row r="16582">
      <c r="H16582" s="8" t="s">
        <v>364</v>
      </c>
    </row>
    <row r="16583">
      <c r="H16583" s="8" t="s">
        <v>364</v>
      </c>
    </row>
    <row r="16584">
      <c r="H16584" s="8" t="s">
        <v>364</v>
      </c>
    </row>
    <row r="16585">
      <c r="H16585" s="8" t="s">
        <v>364</v>
      </c>
    </row>
    <row r="16586">
      <c r="H16586" s="8" t="s">
        <v>364</v>
      </c>
    </row>
    <row r="16587">
      <c r="H16587" s="8" t="s">
        <v>364</v>
      </c>
    </row>
    <row r="16588">
      <c r="H16588" s="8" t="s">
        <v>364</v>
      </c>
    </row>
    <row r="16589">
      <c r="H16589" s="8" t="s">
        <v>364</v>
      </c>
    </row>
    <row r="16590">
      <c r="H16590" s="8" t="s">
        <v>364</v>
      </c>
    </row>
    <row r="16591">
      <c r="H16591" s="8" t="s">
        <v>364</v>
      </c>
    </row>
    <row r="16592">
      <c r="H16592" s="8" t="s">
        <v>364</v>
      </c>
    </row>
    <row r="16593">
      <c r="H16593" s="8" t="s">
        <v>364</v>
      </c>
    </row>
    <row r="16594">
      <c r="H16594" s="8" t="s">
        <v>364</v>
      </c>
    </row>
    <row r="16595">
      <c r="H16595" s="8" t="s">
        <v>364</v>
      </c>
    </row>
    <row r="16596">
      <c r="H16596" s="8" t="s">
        <v>364</v>
      </c>
    </row>
    <row r="16597">
      <c r="H16597" s="8" t="s">
        <v>364</v>
      </c>
    </row>
    <row r="16598">
      <c r="H16598" s="8" t="s">
        <v>364</v>
      </c>
    </row>
    <row r="16599">
      <c r="H16599" s="8" t="s">
        <v>364</v>
      </c>
    </row>
    <row r="16600">
      <c r="H16600" s="8" t="s">
        <v>364</v>
      </c>
    </row>
    <row r="16601">
      <c r="H16601" s="8" t="s">
        <v>364</v>
      </c>
    </row>
    <row r="16602">
      <c r="H16602" s="8" t="s">
        <v>364</v>
      </c>
    </row>
    <row r="16603">
      <c r="H16603" s="8" t="s">
        <v>364</v>
      </c>
    </row>
    <row r="16604">
      <c r="H16604" s="8" t="s">
        <v>364</v>
      </c>
    </row>
    <row r="16605">
      <c r="H16605" s="8" t="s">
        <v>364</v>
      </c>
    </row>
    <row r="16606">
      <c r="H16606" s="8" t="s">
        <v>364</v>
      </c>
    </row>
    <row r="16607">
      <c r="H16607" s="8" t="s">
        <v>364</v>
      </c>
    </row>
    <row r="16608">
      <c r="H16608" s="8" t="s">
        <v>364</v>
      </c>
    </row>
    <row r="16609">
      <c r="H16609" s="8" t="s">
        <v>364</v>
      </c>
    </row>
    <row r="16610">
      <c r="H16610" s="8" t="s">
        <v>364</v>
      </c>
    </row>
    <row r="16611">
      <c r="H16611" s="8" t="s">
        <v>364</v>
      </c>
    </row>
    <row r="16612">
      <c r="H16612" s="8" t="s">
        <v>364</v>
      </c>
    </row>
    <row r="16613">
      <c r="H16613" s="8" t="s">
        <v>364</v>
      </c>
    </row>
    <row r="16614">
      <c r="H16614" s="8" t="s">
        <v>364</v>
      </c>
    </row>
    <row r="16615">
      <c r="H16615" s="8" t="s">
        <v>364</v>
      </c>
    </row>
    <row r="16616">
      <c r="H16616" s="8" t="s">
        <v>364</v>
      </c>
    </row>
    <row r="16617">
      <c r="H16617" s="8" t="s">
        <v>364</v>
      </c>
    </row>
    <row r="16618">
      <c r="H16618" s="8" t="s">
        <v>364</v>
      </c>
    </row>
    <row r="16619">
      <c r="H16619" s="8" t="s">
        <v>364</v>
      </c>
    </row>
    <row r="16620">
      <c r="H16620" s="8" t="s">
        <v>364</v>
      </c>
    </row>
    <row r="16621">
      <c r="H16621" s="8" t="s">
        <v>364</v>
      </c>
    </row>
    <row r="16622">
      <c r="H16622" s="8" t="s">
        <v>364</v>
      </c>
    </row>
    <row r="16623">
      <c r="H16623" s="8" t="s">
        <v>364</v>
      </c>
    </row>
    <row r="16624">
      <c r="H16624" s="8" t="s">
        <v>364</v>
      </c>
    </row>
    <row r="16625">
      <c r="H16625" s="8" t="s">
        <v>364</v>
      </c>
    </row>
    <row r="16626">
      <c r="H16626" s="8" t="s">
        <v>364</v>
      </c>
    </row>
    <row r="16627">
      <c r="H16627" s="8" t="s">
        <v>364</v>
      </c>
    </row>
    <row r="16628">
      <c r="H16628" s="8" t="s">
        <v>364</v>
      </c>
    </row>
    <row r="16629">
      <c r="H16629" s="8" t="s">
        <v>364</v>
      </c>
    </row>
    <row r="16630">
      <c r="H16630" s="8" t="s">
        <v>364</v>
      </c>
    </row>
    <row r="16631">
      <c r="H16631" s="8" t="s">
        <v>364</v>
      </c>
    </row>
    <row r="16632">
      <c r="H16632" s="8" t="s">
        <v>364</v>
      </c>
    </row>
    <row r="16633">
      <c r="H16633" s="8" t="s">
        <v>364</v>
      </c>
    </row>
    <row r="16634">
      <c r="H16634" s="8" t="s">
        <v>364</v>
      </c>
    </row>
    <row r="16635">
      <c r="H16635" s="8" t="s">
        <v>364</v>
      </c>
    </row>
    <row r="16636">
      <c r="H16636" s="8" t="s">
        <v>364</v>
      </c>
    </row>
    <row r="16637">
      <c r="H16637" s="8" t="s">
        <v>364</v>
      </c>
    </row>
    <row r="16638">
      <c r="H16638" s="8" t="s">
        <v>364</v>
      </c>
    </row>
    <row r="16639">
      <c r="H16639" s="8" t="s">
        <v>364</v>
      </c>
    </row>
    <row r="16640">
      <c r="H16640" s="8" t="s">
        <v>364</v>
      </c>
    </row>
    <row r="16641">
      <c r="H16641" s="8" t="s">
        <v>364</v>
      </c>
    </row>
    <row r="16642">
      <c r="H16642" s="8" t="s">
        <v>364</v>
      </c>
    </row>
    <row r="16643">
      <c r="H16643" s="8" t="s">
        <v>364</v>
      </c>
    </row>
    <row r="16644">
      <c r="H16644" s="8" t="s">
        <v>364</v>
      </c>
    </row>
    <row r="16645">
      <c r="H16645" s="8" t="s">
        <v>364</v>
      </c>
    </row>
    <row r="16646">
      <c r="H16646" s="8" t="s">
        <v>364</v>
      </c>
    </row>
    <row r="16647">
      <c r="H16647" s="8" t="s">
        <v>364</v>
      </c>
    </row>
    <row r="16648">
      <c r="H16648" s="8" t="s">
        <v>364</v>
      </c>
    </row>
    <row r="16649">
      <c r="H16649" s="8" t="s">
        <v>364</v>
      </c>
    </row>
    <row r="16650">
      <c r="H16650" s="8" t="s">
        <v>364</v>
      </c>
    </row>
    <row r="16651">
      <c r="H16651" s="8" t="s">
        <v>364</v>
      </c>
    </row>
    <row r="16652">
      <c r="H16652" s="8" t="s">
        <v>364</v>
      </c>
    </row>
    <row r="16653">
      <c r="H16653" s="8" t="s">
        <v>364</v>
      </c>
    </row>
    <row r="16654">
      <c r="H16654" s="8" t="s">
        <v>364</v>
      </c>
    </row>
    <row r="16655">
      <c r="H16655" s="8" t="s">
        <v>364</v>
      </c>
    </row>
    <row r="16656">
      <c r="H16656" s="8" t="s">
        <v>364</v>
      </c>
    </row>
    <row r="16657">
      <c r="H16657" s="8" t="s">
        <v>364</v>
      </c>
    </row>
    <row r="16658">
      <c r="H16658" s="8" t="s">
        <v>364</v>
      </c>
    </row>
    <row r="16659">
      <c r="H16659" s="8" t="s">
        <v>364</v>
      </c>
    </row>
    <row r="16660">
      <c r="H16660" s="8" t="s">
        <v>364</v>
      </c>
    </row>
    <row r="16661">
      <c r="H16661" s="8" t="s">
        <v>364</v>
      </c>
    </row>
    <row r="16662">
      <c r="H16662" s="8" t="s">
        <v>364</v>
      </c>
    </row>
    <row r="16663">
      <c r="H16663" s="8" t="s">
        <v>364</v>
      </c>
    </row>
    <row r="16664">
      <c r="H16664" s="8" t="s">
        <v>364</v>
      </c>
    </row>
    <row r="16665">
      <c r="H16665" s="8" t="s">
        <v>364</v>
      </c>
    </row>
    <row r="16666">
      <c r="H16666" s="8" t="s">
        <v>364</v>
      </c>
    </row>
    <row r="16667">
      <c r="H16667" s="8" t="s">
        <v>364</v>
      </c>
    </row>
    <row r="16668">
      <c r="H16668" s="8" t="s">
        <v>364</v>
      </c>
    </row>
    <row r="16669">
      <c r="H16669" s="8" t="s">
        <v>364</v>
      </c>
    </row>
    <row r="16670">
      <c r="H16670" s="8" t="s">
        <v>364</v>
      </c>
    </row>
    <row r="16671">
      <c r="H16671" s="8" t="s">
        <v>364</v>
      </c>
    </row>
    <row r="16672">
      <c r="H16672" s="8" t="s">
        <v>364</v>
      </c>
    </row>
    <row r="16673">
      <c r="H16673" s="8" t="s">
        <v>364</v>
      </c>
    </row>
    <row r="16674">
      <c r="H16674" s="8" t="s">
        <v>364</v>
      </c>
    </row>
    <row r="16675">
      <c r="H16675" s="8" t="s">
        <v>364</v>
      </c>
    </row>
    <row r="16676">
      <c r="H16676" s="8" t="s">
        <v>364</v>
      </c>
    </row>
    <row r="16677">
      <c r="H16677" s="8" t="s">
        <v>364</v>
      </c>
    </row>
    <row r="16678">
      <c r="H16678" s="8" t="s">
        <v>364</v>
      </c>
    </row>
    <row r="16679">
      <c r="H16679" s="8" t="s">
        <v>364</v>
      </c>
    </row>
    <row r="16680">
      <c r="H16680" s="8" t="s">
        <v>364</v>
      </c>
    </row>
    <row r="16681">
      <c r="H16681" s="8" t="s">
        <v>364</v>
      </c>
    </row>
    <row r="16682">
      <c r="H16682" s="8" t="s">
        <v>364</v>
      </c>
    </row>
    <row r="16683">
      <c r="H16683" s="8" t="s">
        <v>364</v>
      </c>
    </row>
    <row r="16684">
      <c r="H16684" s="8" t="s">
        <v>364</v>
      </c>
    </row>
    <row r="16685">
      <c r="H16685" s="8" t="s">
        <v>364</v>
      </c>
    </row>
    <row r="16686">
      <c r="H16686" s="8" t="s">
        <v>364</v>
      </c>
    </row>
    <row r="16687">
      <c r="H16687" s="8" t="s">
        <v>364</v>
      </c>
    </row>
    <row r="16688">
      <c r="H16688" s="8" t="s">
        <v>364</v>
      </c>
    </row>
    <row r="16689">
      <c r="H16689" s="8" t="s">
        <v>364</v>
      </c>
    </row>
    <row r="16690">
      <c r="H16690" s="8" t="s">
        <v>364</v>
      </c>
    </row>
    <row r="16691">
      <c r="H16691" s="8" t="s">
        <v>364</v>
      </c>
    </row>
    <row r="16692">
      <c r="H16692" s="8" t="s">
        <v>364</v>
      </c>
    </row>
    <row r="16693">
      <c r="H16693" s="8" t="s">
        <v>364</v>
      </c>
    </row>
    <row r="16694">
      <c r="H16694" s="8" t="s">
        <v>364</v>
      </c>
    </row>
    <row r="16695">
      <c r="H16695" s="8" t="s">
        <v>364</v>
      </c>
    </row>
    <row r="16696">
      <c r="H16696" s="8" t="s">
        <v>364</v>
      </c>
    </row>
    <row r="16697">
      <c r="H16697" s="8" t="s">
        <v>364</v>
      </c>
    </row>
    <row r="16698">
      <c r="H16698" s="8" t="s">
        <v>364</v>
      </c>
    </row>
    <row r="16699">
      <c r="H16699" s="8" t="s">
        <v>364</v>
      </c>
    </row>
    <row r="16700">
      <c r="H16700" s="8" t="s">
        <v>364</v>
      </c>
    </row>
    <row r="16701">
      <c r="H16701" s="8" t="s">
        <v>364</v>
      </c>
    </row>
    <row r="16702">
      <c r="H16702" s="8" t="s">
        <v>364</v>
      </c>
    </row>
    <row r="16703">
      <c r="H16703" s="8" t="s">
        <v>364</v>
      </c>
    </row>
    <row r="16704">
      <c r="H16704" s="8" t="s">
        <v>364</v>
      </c>
    </row>
    <row r="16705">
      <c r="H16705" s="8" t="s">
        <v>364</v>
      </c>
    </row>
    <row r="16706">
      <c r="H16706" s="8" t="s">
        <v>364</v>
      </c>
    </row>
    <row r="16707">
      <c r="H16707" s="8" t="s">
        <v>364</v>
      </c>
    </row>
    <row r="16708">
      <c r="H16708" s="8" t="s">
        <v>364</v>
      </c>
    </row>
    <row r="16709">
      <c r="H16709" s="8" t="s">
        <v>364</v>
      </c>
    </row>
    <row r="16710">
      <c r="H16710" s="8" t="s">
        <v>364</v>
      </c>
    </row>
    <row r="16711">
      <c r="H16711" s="8" t="s">
        <v>364</v>
      </c>
    </row>
    <row r="16712">
      <c r="H16712" s="8" t="s">
        <v>364</v>
      </c>
    </row>
    <row r="16713">
      <c r="H16713" s="8" t="s">
        <v>364</v>
      </c>
    </row>
    <row r="16714">
      <c r="H16714" s="8" t="s">
        <v>364</v>
      </c>
    </row>
    <row r="16715">
      <c r="H16715" s="8" t="s">
        <v>364</v>
      </c>
    </row>
    <row r="16716">
      <c r="H16716" s="8" t="s">
        <v>364</v>
      </c>
    </row>
    <row r="16717">
      <c r="H16717" s="8" t="s">
        <v>364</v>
      </c>
    </row>
    <row r="16718">
      <c r="H16718" s="8" t="s">
        <v>364</v>
      </c>
    </row>
    <row r="16719">
      <c r="H16719" s="8" t="s">
        <v>364</v>
      </c>
    </row>
    <row r="16720">
      <c r="H16720" s="8" t="s">
        <v>364</v>
      </c>
    </row>
    <row r="16721">
      <c r="H16721" s="8" t="s">
        <v>364</v>
      </c>
    </row>
    <row r="16722">
      <c r="H16722" s="8" t="s">
        <v>364</v>
      </c>
    </row>
    <row r="16723">
      <c r="H16723" s="8" t="s">
        <v>364</v>
      </c>
    </row>
    <row r="16724">
      <c r="H16724" s="8" t="s">
        <v>364</v>
      </c>
    </row>
    <row r="16725">
      <c r="H16725" s="8" t="s">
        <v>364</v>
      </c>
    </row>
    <row r="16726">
      <c r="H16726" s="8" t="s">
        <v>364</v>
      </c>
    </row>
    <row r="16727">
      <c r="H16727" s="8" t="s">
        <v>364</v>
      </c>
    </row>
    <row r="16728">
      <c r="H16728" s="8" t="s">
        <v>364</v>
      </c>
    </row>
    <row r="16729">
      <c r="H16729" s="8" t="s">
        <v>364</v>
      </c>
    </row>
    <row r="16730">
      <c r="H16730" s="8" t="s">
        <v>364</v>
      </c>
    </row>
    <row r="16731">
      <c r="H16731" s="8" t="s">
        <v>364</v>
      </c>
    </row>
    <row r="16732">
      <c r="H16732" s="8" t="s">
        <v>364</v>
      </c>
    </row>
    <row r="16733">
      <c r="H16733" s="8" t="s">
        <v>364</v>
      </c>
    </row>
    <row r="16734">
      <c r="H16734" s="8" t="s">
        <v>364</v>
      </c>
    </row>
    <row r="16735">
      <c r="H16735" s="8" t="s">
        <v>364</v>
      </c>
    </row>
    <row r="16736">
      <c r="H16736" s="8" t="s">
        <v>364</v>
      </c>
    </row>
    <row r="16737">
      <c r="H16737" s="8" t="s">
        <v>364</v>
      </c>
    </row>
    <row r="16738">
      <c r="H16738" s="8" t="s">
        <v>364</v>
      </c>
    </row>
    <row r="16739">
      <c r="H16739" s="8" t="s">
        <v>364</v>
      </c>
    </row>
    <row r="16740">
      <c r="H16740" s="8" t="s">
        <v>364</v>
      </c>
    </row>
    <row r="16741">
      <c r="H16741" s="8" t="s">
        <v>364</v>
      </c>
    </row>
    <row r="16742">
      <c r="H16742" s="8" t="s">
        <v>364</v>
      </c>
    </row>
    <row r="16743">
      <c r="H16743" s="8" t="s">
        <v>364</v>
      </c>
    </row>
    <row r="16744">
      <c r="H16744" s="8" t="s">
        <v>364</v>
      </c>
    </row>
    <row r="16745">
      <c r="H16745" s="8" t="s">
        <v>364</v>
      </c>
    </row>
    <row r="16746">
      <c r="H16746" s="8" t="s">
        <v>364</v>
      </c>
    </row>
    <row r="16747">
      <c r="H16747" s="8" t="s">
        <v>364</v>
      </c>
    </row>
    <row r="16748">
      <c r="H16748" s="8" t="s">
        <v>364</v>
      </c>
    </row>
    <row r="16749">
      <c r="H16749" s="8" t="s">
        <v>364</v>
      </c>
    </row>
    <row r="16750">
      <c r="H16750" s="8" t="s">
        <v>364</v>
      </c>
    </row>
    <row r="16751">
      <c r="H16751" s="8" t="s">
        <v>364</v>
      </c>
    </row>
    <row r="16752">
      <c r="H16752" s="8" t="s">
        <v>364</v>
      </c>
    </row>
    <row r="16753">
      <c r="H16753" s="8" t="s">
        <v>364</v>
      </c>
    </row>
    <row r="16754">
      <c r="H16754" s="8" t="s">
        <v>364</v>
      </c>
    </row>
    <row r="16755">
      <c r="H16755" s="8" t="s">
        <v>364</v>
      </c>
    </row>
    <row r="16756">
      <c r="H16756" s="8" t="s">
        <v>364</v>
      </c>
    </row>
    <row r="16757">
      <c r="H16757" s="8" t="s">
        <v>364</v>
      </c>
    </row>
    <row r="16758">
      <c r="H16758" s="8" t="s">
        <v>364</v>
      </c>
    </row>
    <row r="16759">
      <c r="H16759" s="8" t="s">
        <v>364</v>
      </c>
    </row>
    <row r="16760">
      <c r="H16760" s="8" t="s">
        <v>364</v>
      </c>
    </row>
    <row r="16761">
      <c r="H16761" s="8" t="s">
        <v>364</v>
      </c>
    </row>
    <row r="16762">
      <c r="H16762" s="8" t="s">
        <v>364</v>
      </c>
    </row>
    <row r="16763">
      <c r="H16763" s="8" t="s">
        <v>364</v>
      </c>
    </row>
    <row r="16764">
      <c r="H16764" s="8" t="s">
        <v>364</v>
      </c>
    </row>
    <row r="16765">
      <c r="H16765" s="8" t="s">
        <v>364</v>
      </c>
    </row>
    <row r="16766">
      <c r="H16766" s="8" t="s">
        <v>364</v>
      </c>
    </row>
    <row r="16767">
      <c r="H16767" s="8" t="s">
        <v>364</v>
      </c>
    </row>
    <row r="16768">
      <c r="H16768" s="8" t="s">
        <v>364</v>
      </c>
    </row>
    <row r="16769">
      <c r="H16769" s="8" t="s">
        <v>364</v>
      </c>
    </row>
    <row r="16770">
      <c r="H16770" s="8" t="s">
        <v>364</v>
      </c>
    </row>
    <row r="16771">
      <c r="H16771" s="8" t="s">
        <v>364</v>
      </c>
    </row>
    <row r="16772">
      <c r="H16772" s="8" t="s">
        <v>364</v>
      </c>
    </row>
    <row r="16773">
      <c r="H16773" s="8" t="s">
        <v>364</v>
      </c>
    </row>
    <row r="16774">
      <c r="H16774" s="8" t="s">
        <v>364</v>
      </c>
    </row>
    <row r="16775">
      <c r="H16775" s="8" t="s">
        <v>364</v>
      </c>
    </row>
    <row r="16776">
      <c r="H16776" s="8" t="s">
        <v>364</v>
      </c>
    </row>
    <row r="16777">
      <c r="H16777" s="8" t="s">
        <v>364</v>
      </c>
    </row>
    <row r="16778">
      <c r="H16778" s="8" t="s">
        <v>364</v>
      </c>
    </row>
    <row r="16779">
      <c r="H16779" s="8" t="s">
        <v>364</v>
      </c>
    </row>
    <row r="16780">
      <c r="H16780" s="8" t="s">
        <v>364</v>
      </c>
    </row>
    <row r="16781">
      <c r="H16781" s="8" t="s">
        <v>364</v>
      </c>
    </row>
    <row r="16782">
      <c r="H16782" s="8" t="s">
        <v>364</v>
      </c>
    </row>
    <row r="16783">
      <c r="H16783" s="8" t="s">
        <v>364</v>
      </c>
    </row>
    <row r="16784">
      <c r="H16784" s="8" t="s">
        <v>364</v>
      </c>
    </row>
    <row r="16785">
      <c r="H16785" s="8" t="s">
        <v>364</v>
      </c>
    </row>
    <row r="16786">
      <c r="H16786" s="8" t="s">
        <v>364</v>
      </c>
    </row>
    <row r="16787">
      <c r="H16787" s="8" t="s">
        <v>364</v>
      </c>
    </row>
    <row r="16788">
      <c r="H16788" s="8" t="s">
        <v>364</v>
      </c>
    </row>
    <row r="16789">
      <c r="H16789" s="8" t="s">
        <v>364</v>
      </c>
    </row>
    <row r="16790">
      <c r="H16790" s="8" t="s">
        <v>364</v>
      </c>
    </row>
    <row r="16791">
      <c r="H16791" s="8" t="s">
        <v>364</v>
      </c>
    </row>
    <row r="16792">
      <c r="H16792" s="8" t="s">
        <v>364</v>
      </c>
    </row>
    <row r="16793">
      <c r="H16793" s="8" t="s">
        <v>364</v>
      </c>
    </row>
    <row r="16794">
      <c r="H16794" s="8" t="s">
        <v>364</v>
      </c>
    </row>
    <row r="16795">
      <c r="H16795" s="8" t="s">
        <v>364</v>
      </c>
    </row>
    <row r="16796">
      <c r="H16796" s="8" t="s">
        <v>364</v>
      </c>
    </row>
    <row r="16797">
      <c r="H16797" s="8" t="s">
        <v>364</v>
      </c>
    </row>
    <row r="16798">
      <c r="H16798" s="8" t="s">
        <v>364</v>
      </c>
    </row>
    <row r="16799">
      <c r="H16799" s="8" t="s">
        <v>364</v>
      </c>
    </row>
    <row r="16800">
      <c r="H16800" s="8" t="s">
        <v>364</v>
      </c>
    </row>
    <row r="16801">
      <c r="H16801" s="8" t="s">
        <v>364</v>
      </c>
    </row>
    <row r="16802">
      <c r="H16802" s="8" t="s">
        <v>364</v>
      </c>
    </row>
    <row r="16803">
      <c r="H16803" s="8" t="s">
        <v>364</v>
      </c>
    </row>
    <row r="16804">
      <c r="H16804" s="8" t="s">
        <v>364</v>
      </c>
    </row>
    <row r="16805">
      <c r="H16805" s="8" t="s">
        <v>364</v>
      </c>
    </row>
    <row r="16806">
      <c r="H16806" s="8" t="s">
        <v>364</v>
      </c>
    </row>
    <row r="16807">
      <c r="H16807" s="8" t="s">
        <v>364</v>
      </c>
    </row>
    <row r="16808">
      <c r="H16808" s="8" t="s">
        <v>364</v>
      </c>
    </row>
    <row r="16809">
      <c r="H16809" s="8" t="s">
        <v>364</v>
      </c>
    </row>
    <row r="16810">
      <c r="H16810" s="8" t="s">
        <v>364</v>
      </c>
    </row>
    <row r="16811">
      <c r="H16811" s="8" t="s">
        <v>364</v>
      </c>
    </row>
    <row r="16812">
      <c r="H16812" s="8" t="s">
        <v>364</v>
      </c>
    </row>
    <row r="16813">
      <c r="H16813" s="8" t="s">
        <v>364</v>
      </c>
    </row>
    <row r="16814">
      <c r="H16814" s="8" t="s">
        <v>364</v>
      </c>
    </row>
    <row r="16815">
      <c r="H16815" s="8" t="s">
        <v>364</v>
      </c>
    </row>
    <row r="16816">
      <c r="H16816" s="8" t="s">
        <v>364</v>
      </c>
    </row>
    <row r="16817">
      <c r="H16817" s="8" t="s">
        <v>364</v>
      </c>
    </row>
    <row r="16818">
      <c r="H16818" s="8" t="s">
        <v>364</v>
      </c>
    </row>
    <row r="16819">
      <c r="H16819" s="8" t="s">
        <v>364</v>
      </c>
    </row>
    <row r="16820">
      <c r="H16820" s="8" t="s">
        <v>364</v>
      </c>
    </row>
    <row r="16821">
      <c r="H16821" s="8" t="s">
        <v>364</v>
      </c>
    </row>
    <row r="16822">
      <c r="H16822" s="8" t="s">
        <v>364</v>
      </c>
    </row>
    <row r="16823">
      <c r="H16823" s="8" t="s">
        <v>364</v>
      </c>
    </row>
    <row r="16824">
      <c r="H16824" s="8" t="s">
        <v>364</v>
      </c>
    </row>
    <row r="16825">
      <c r="H16825" s="8" t="s">
        <v>364</v>
      </c>
    </row>
    <row r="16826">
      <c r="H16826" s="8" t="s">
        <v>364</v>
      </c>
    </row>
    <row r="16827">
      <c r="H16827" s="8" t="s">
        <v>364</v>
      </c>
    </row>
    <row r="16828">
      <c r="H16828" s="8" t="s">
        <v>364</v>
      </c>
    </row>
    <row r="16829">
      <c r="H16829" s="8" t="s">
        <v>364</v>
      </c>
    </row>
    <row r="16830">
      <c r="H16830" s="8" t="s">
        <v>364</v>
      </c>
    </row>
    <row r="16831">
      <c r="H16831" s="8" t="s">
        <v>364</v>
      </c>
    </row>
    <row r="16832">
      <c r="H16832" s="8" t="s">
        <v>364</v>
      </c>
    </row>
    <row r="16833">
      <c r="H16833" s="8" t="s">
        <v>364</v>
      </c>
    </row>
    <row r="16834">
      <c r="H16834" s="8" t="s">
        <v>364</v>
      </c>
    </row>
    <row r="16835">
      <c r="H16835" s="8" t="s">
        <v>364</v>
      </c>
    </row>
    <row r="16836">
      <c r="H16836" s="8" t="s">
        <v>364</v>
      </c>
    </row>
    <row r="16837">
      <c r="H16837" s="8" t="s">
        <v>364</v>
      </c>
    </row>
    <row r="16838">
      <c r="H16838" s="8" t="s">
        <v>364</v>
      </c>
    </row>
    <row r="16839">
      <c r="H16839" s="8" t="s">
        <v>364</v>
      </c>
    </row>
    <row r="16840">
      <c r="H16840" s="8" t="s">
        <v>364</v>
      </c>
    </row>
    <row r="16841">
      <c r="H16841" s="8" t="s">
        <v>364</v>
      </c>
    </row>
    <row r="16842">
      <c r="H16842" s="8" t="s">
        <v>364</v>
      </c>
    </row>
    <row r="16843">
      <c r="H16843" s="8" t="s">
        <v>364</v>
      </c>
    </row>
    <row r="16844">
      <c r="H16844" s="8" t="s">
        <v>364</v>
      </c>
    </row>
    <row r="16845">
      <c r="H16845" s="8" t="s">
        <v>364</v>
      </c>
    </row>
    <row r="16846">
      <c r="H16846" s="8" t="s">
        <v>364</v>
      </c>
    </row>
    <row r="16847">
      <c r="H16847" s="8" t="s">
        <v>364</v>
      </c>
    </row>
    <row r="16848">
      <c r="H16848" s="8" t="s">
        <v>364</v>
      </c>
    </row>
    <row r="16849">
      <c r="H16849" s="8" t="s">
        <v>364</v>
      </c>
    </row>
    <row r="16850">
      <c r="H16850" s="8" t="s">
        <v>364</v>
      </c>
    </row>
    <row r="16851">
      <c r="H16851" s="8" t="s">
        <v>364</v>
      </c>
    </row>
    <row r="16852">
      <c r="H16852" s="8" t="s">
        <v>364</v>
      </c>
    </row>
    <row r="16853">
      <c r="H16853" s="8" t="s">
        <v>364</v>
      </c>
    </row>
    <row r="16854">
      <c r="H16854" s="8" t="s">
        <v>364</v>
      </c>
    </row>
    <row r="16855">
      <c r="H16855" s="8" t="s">
        <v>364</v>
      </c>
    </row>
    <row r="16856">
      <c r="H16856" s="8" t="s">
        <v>364</v>
      </c>
    </row>
    <row r="16857">
      <c r="H16857" s="8" t="s">
        <v>364</v>
      </c>
    </row>
    <row r="16858">
      <c r="H16858" s="8" t="s">
        <v>364</v>
      </c>
    </row>
    <row r="16859">
      <c r="H16859" s="8" t="s">
        <v>364</v>
      </c>
    </row>
    <row r="16860">
      <c r="H16860" s="8" t="s">
        <v>364</v>
      </c>
    </row>
    <row r="16861">
      <c r="H16861" s="8" t="s">
        <v>364</v>
      </c>
    </row>
    <row r="16862">
      <c r="H16862" s="8" t="s">
        <v>364</v>
      </c>
    </row>
    <row r="16863">
      <c r="H16863" s="8" t="s">
        <v>364</v>
      </c>
    </row>
    <row r="16864">
      <c r="H16864" s="8" t="s">
        <v>364</v>
      </c>
    </row>
    <row r="16865">
      <c r="H16865" s="8" t="s">
        <v>364</v>
      </c>
    </row>
    <row r="16866">
      <c r="H16866" s="8" t="s">
        <v>364</v>
      </c>
    </row>
    <row r="16867">
      <c r="H16867" s="8" t="s">
        <v>364</v>
      </c>
    </row>
    <row r="16868">
      <c r="H16868" s="8" t="s">
        <v>364</v>
      </c>
    </row>
    <row r="16869">
      <c r="H16869" s="8" t="s">
        <v>364</v>
      </c>
    </row>
    <row r="16870">
      <c r="H16870" s="8" t="s">
        <v>364</v>
      </c>
    </row>
    <row r="16871">
      <c r="H16871" s="8" t="s">
        <v>364</v>
      </c>
    </row>
    <row r="16872">
      <c r="H16872" s="8" t="s">
        <v>364</v>
      </c>
    </row>
    <row r="16873">
      <c r="H16873" s="8" t="s">
        <v>364</v>
      </c>
    </row>
    <row r="16874">
      <c r="H16874" s="8" t="s">
        <v>364</v>
      </c>
    </row>
    <row r="16875">
      <c r="H16875" s="8" t="s">
        <v>364</v>
      </c>
    </row>
    <row r="16876">
      <c r="H16876" s="8" t="s">
        <v>364</v>
      </c>
    </row>
    <row r="16877">
      <c r="H16877" s="8" t="s">
        <v>364</v>
      </c>
    </row>
    <row r="16878">
      <c r="H16878" s="8" t="s">
        <v>364</v>
      </c>
    </row>
    <row r="16879">
      <c r="H16879" s="8" t="s">
        <v>364</v>
      </c>
    </row>
    <row r="16880">
      <c r="H16880" s="8" t="s">
        <v>364</v>
      </c>
    </row>
    <row r="16881">
      <c r="H16881" s="8" t="s">
        <v>364</v>
      </c>
    </row>
    <row r="16882">
      <c r="H16882" s="8" t="s">
        <v>364</v>
      </c>
    </row>
    <row r="16883">
      <c r="H16883" s="8" t="s">
        <v>364</v>
      </c>
    </row>
    <row r="16884">
      <c r="H16884" s="8" t="s">
        <v>364</v>
      </c>
    </row>
    <row r="16885">
      <c r="H16885" s="8" t="s">
        <v>364</v>
      </c>
    </row>
    <row r="16886">
      <c r="H16886" s="8" t="s">
        <v>364</v>
      </c>
    </row>
    <row r="16887">
      <c r="H16887" s="8" t="s">
        <v>364</v>
      </c>
    </row>
    <row r="16888">
      <c r="H16888" s="8" t="s">
        <v>364</v>
      </c>
    </row>
    <row r="16889">
      <c r="H16889" s="8" t="s">
        <v>364</v>
      </c>
    </row>
    <row r="16890">
      <c r="H16890" s="8" t="s">
        <v>364</v>
      </c>
    </row>
    <row r="16891">
      <c r="H16891" s="8" t="s">
        <v>364</v>
      </c>
    </row>
    <row r="16892">
      <c r="H16892" s="8" t="s">
        <v>364</v>
      </c>
    </row>
    <row r="16893">
      <c r="H16893" s="8" t="s">
        <v>364</v>
      </c>
    </row>
    <row r="16894">
      <c r="H16894" s="8" t="s">
        <v>364</v>
      </c>
    </row>
    <row r="16895">
      <c r="H16895" s="8" t="s">
        <v>364</v>
      </c>
    </row>
    <row r="16896">
      <c r="H16896" s="8" t="s">
        <v>364</v>
      </c>
    </row>
    <row r="16897">
      <c r="H16897" s="8" t="s">
        <v>364</v>
      </c>
    </row>
    <row r="16898">
      <c r="H16898" s="8" t="s">
        <v>364</v>
      </c>
    </row>
    <row r="16899">
      <c r="H16899" s="8" t="s">
        <v>364</v>
      </c>
    </row>
    <row r="16900">
      <c r="H16900" s="8" t="s">
        <v>364</v>
      </c>
    </row>
    <row r="16901">
      <c r="H16901" s="8" t="s">
        <v>364</v>
      </c>
    </row>
    <row r="16902">
      <c r="H16902" s="8" t="s">
        <v>364</v>
      </c>
    </row>
    <row r="16903">
      <c r="H16903" s="8" t="s">
        <v>364</v>
      </c>
    </row>
    <row r="16904">
      <c r="H16904" s="8" t="s">
        <v>364</v>
      </c>
    </row>
    <row r="16905">
      <c r="H16905" s="8" t="s">
        <v>364</v>
      </c>
    </row>
    <row r="16906">
      <c r="H16906" s="8" t="s">
        <v>364</v>
      </c>
    </row>
    <row r="16907">
      <c r="H16907" s="8" t="s">
        <v>364</v>
      </c>
    </row>
    <row r="16908">
      <c r="H16908" s="8" t="s">
        <v>364</v>
      </c>
    </row>
    <row r="16909">
      <c r="H16909" s="8" t="s">
        <v>364</v>
      </c>
    </row>
    <row r="16910">
      <c r="H16910" s="8" t="s">
        <v>364</v>
      </c>
    </row>
    <row r="16911">
      <c r="H16911" s="8" t="s">
        <v>364</v>
      </c>
    </row>
    <row r="16912">
      <c r="H16912" s="8" t="s">
        <v>364</v>
      </c>
    </row>
    <row r="16913">
      <c r="H16913" s="8" t="s">
        <v>364</v>
      </c>
    </row>
    <row r="16914">
      <c r="H16914" s="8" t="s">
        <v>364</v>
      </c>
    </row>
    <row r="16915">
      <c r="H16915" s="8" t="s">
        <v>364</v>
      </c>
    </row>
    <row r="16916">
      <c r="H16916" s="8" t="s">
        <v>364</v>
      </c>
    </row>
    <row r="16917">
      <c r="H16917" s="8" t="s">
        <v>364</v>
      </c>
    </row>
    <row r="16918">
      <c r="H16918" s="8" t="s">
        <v>364</v>
      </c>
    </row>
    <row r="16919">
      <c r="H16919" s="8" t="s">
        <v>364</v>
      </c>
    </row>
    <row r="16920">
      <c r="H16920" s="8" t="s">
        <v>364</v>
      </c>
    </row>
    <row r="16921">
      <c r="H16921" s="8" t="s">
        <v>364</v>
      </c>
    </row>
    <row r="16922">
      <c r="H16922" s="8" t="s">
        <v>364</v>
      </c>
    </row>
    <row r="16923">
      <c r="H16923" s="8" t="s">
        <v>364</v>
      </c>
    </row>
    <row r="16924">
      <c r="H16924" s="8" t="s">
        <v>364</v>
      </c>
    </row>
    <row r="16925">
      <c r="H16925" s="8" t="s">
        <v>364</v>
      </c>
    </row>
    <row r="16926">
      <c r="H16926" s="8" t="s">
        <v>364</v>
      </c>
    </row>
    <row r="16927">
      <c r="H16927" s="8" t="s">
        <v>364</v>
      </c>
    </row>
    <row r="16928">
      <c r="H16928" s="8" t="s">
        <v>364</v>
      </c>
    </row>
    <row r="16929">
      <c r="H16929" s="8" t="s">
        <v>364</v>
      </c>
    </row>
    <row r="16930">
      <c r="H16930" s="8" t="s">
        <v>364</v>
      </c>
    </row>
    <row r="16931">
      <c r="H16931" s="8" t="s">
        <v>364</v>
      </c>
    </row>
    <row r="16932">
      <c r="H16932" s="8" t="s">
        <v>364</v>
      </c>
    </row>
    <row r="16933">
      <c r="H16933" s="8" t="s">
        <v>364</v>
      </c>
    </row>
    <row r="16934">
      <c r="H16934" s="8" t="s">
        <v>364</v>
      </c>
    </row>
    <row r="16935">
      <c r="H16935" s="8" t="s">
        <v>364</v>
      </c>
    </row>
    <row r="16936">
      <c r="H16936" s="8" t="s">
        <v>364</v>
      </c>
    </row>
    <row r="16937">
      <c r="H16937" s="8" t="s">
        <v>364</v>
      </c>
    </row>
    <row r="16938">
      <c r="H16938" s="8" t="s">
        <v>364</v>
      </c>
    </row>
    <row r="16939">
      <c r="H16939" s="8" t="s">
        <v>364</v>
      </c>
    </row>
    <row r="16940">
      <c r="H16940" s="8" t="s">
        <v>364</v>
      </c>
    </row>
    <row r="16941">
      <c r="H16941" s="8" t="s">
        <v>364</v>
      </c>
    </row>
    <row r="16942">
      <c r="H16942" s="8" t="s">
        <v>364</v>
      </c>
    </row>
    <row r="16943">
      <c r="H16943" s="8" t="s">
        <v>364</v>
      </c>
    </row>
    <row r="16944">
      <c r="H16944" s="8" t="s">
        <v>364</v>
      </c>
    </row>
    <row r="16945">
      <c r="H16945" s="8" t="s">
        <v>364</v>
      </c>
    </row>
    <row r="16946">
      <c r="H16946" s="8" t="s">
        <v>364</v>
      </c>
    </row>
    <row r="16947">
      <c r="H16947" s="8" t="s">
        <v>364</v>
      </c>
    </row>
    <row r="16948">
      <c r="H16948" s="8" t="s">
        <v>364</v>
      </c>
    </row>
    <row r="16949">
      <c r="H16949" s="8" t="s">
        <v>364</v>
      </c>
    </row>
    <row r="16950">
      <c r="H16950" s="8" t="s">
        <v>364</v>
      </c>
    </row>
    <row r="16951">
      <c r="H16951" s="8" t="s">
        <v>364</v>
      </c>
    </row>
    <row r="16952">
      <c r="H16952" s="8" t="s">
        <v>364</v>
      </c>
    </row>
    <row r="16953">
      <c r="H16953" s="8" t="s">
        <v>364</v>
      </c>
    </row>
    <row r="16954">
      <c r="H16954" s="8" t="s">
        <v>364</v>
      </c>
    </row>
    <row r="16955">
      <c r="H16955" s="8" t="s">
        <v>364</v>
      </c>
    </row>
    <row r="16956">
      <c r="H16956" s="8" t="s">
        <v>364</v>
      </c>
    </row>
    <row r="16957">
      <c r="H16957" s="8" t="s">
        <v>364</v>
      </c>
    </row>
    <row r="16958">
      <c r="H16958" s="8" t="s">
        <v>364</v>
      </c>
    </row>
    <row r="16959">
      <c r="H16959" s="8" t="s">
        <v>364</v>
      </c>
    </row>
    <row r="16960">
      <c r="H16960" s="8" t="s">
        <v>364</v>
      </c>
    </row>
    <row r="16961">
      <c r="H16961" s="8" t="s">
        <v>364</v>
      </c>
    </row>
    <row r="16962">
      <c r="H16962" s="8" t="s">
        <v>364</v>
      </c>
    </row>
    <row r="16963">
      <c r="H16963" s="8" t="s">
        <v>364</v>
      </c>
    </row>
    <row r="16964">
      <c r="H16964" s="8" t="s">
        <v>364</v>
      </c>
    </row>
    <row r="16965">
      <c r="H16965" s="8" t="s">
        <v>364</v>
      </c>
    </row>
    <row r="16966">
      <c r="H16966" s="8" t="s">
        <v>364</v>
      </c>
    </row>
    <row r="16967">
      <c r="H16967" s="8" t="s">
        <v>364</v>
      </c>
    </row>
    <row r="16968">
      <c r="H16968" s="8" t="s">
        <v>364</v>
      </c>
    </row>
    <row r="16969">
      <c r="H16969" s="8" t="s">
        <v>364</v>
      </c>
    </row>
    <row r="16970">
      <c r="H16970" s="8" t="s">
        <v>364</v>
      </c>
    </row>
    <row r="16971">
      <c r="H16971" s="8" t="s">
        <v>364</v>
      </c>
    </row>
    <row r="16972">
      <c r="H16972" s="8" t="s">
        <v>364</v>
      </c>
    </row>
    <row r="16973">
      <c r="H16973" s="8" t="s">
        <v>364</v>
      </c>
    </row>
    <row r="16974">
      <c r="H16974" s="8" t="s">
        <v>364</v>
      </c>
    </row>
    <row r="16975">
      <c r="H16975" s="8" t="s">
        <v>364</v>
      </c>
    </row>
    <row r="16976">
      <c r="H16976" s="8" t="s">
        <v>364</v>
      </c>
    </row>
    <row r="16977">
      <c r="H16977" s="8" t="s">
        <v>364</v>
      </c>
    </row>
    <row r="16978">
      <c r="H16978" s="8" t="s">
        <v>364</v>
      </c>
    </row>
    <row r="16979">
      <c r="H16979" s="8" t="s">
        <v>364</v>
      </c>
    </row>
    <row r="16980">
      <c r="H16980" s="8" t="s">
        <v>364</v>
      </c>
    </row>
    <row r="16981">
      <c r="H16981" s="8" t="s">
        <v>364</v>
      </c>
    </row>
    <row r="16982">
      <c r="H16982" s="8" t="s">
        <v>364</v>
      </c>
    </row>
    <row r="16983">
      <c r="H16983" s="8" t="s">
        <v>364</v>
      </c>
    </row>
    <row r="16984">
      <c r="H16984" s="8" t="s">
        <v>364</v>
      </c>
    </row>
    <row r="16985">
      <c r="H16985" s="8" t="s">
        <v>364</v>
      </c>
    </row>
    <row r="16986">
      <c r="H16986" s="8" t="s">
        <v>364</v>
      </c>
    </row>
    <row r="16987">
      <c r="H16987" s="8" t="s">
        <v>364</v>
      </c>
    </row>
    <row r="16988">
      <c r="H16988" s="8" t="s">
        <v>364</v>
      </c>
    </row>
    <row r="16989">
      <c r="H16989" s="8" t="s">
        <v>364</v>
      </c>
    </row>
    <row r="16990">
      <c r="H16990" s="8" t="s">
        <v>364</v>
      </c>
    </row>
    <row r="16991">
      <c r="H16991" s="8" t="s">
        <v>364</v>
      </c>
    </row>
    <row r="16992">
      <c r="H16992" s="8" t="s">
        <v>364</v>
      </c>
    </row>
    <row r="16993">
      <c r="H16993" s="8" t="s">
        <v>364</v>
      </c>
    </row>
    <row r="16994">
      <c r="H16994" s="8" t="s">
        <v>364</v>
      </c>
    </row>
    <row r="16995">
      <c r="H16995" s="8" t="s">
        <v>364</v>
      </c>
    </row>
    <row r="16996">
      <c r="H16996" s="8" t="s">
        <v>364</v>
      </c>
    </row>
    <row r="16997">
      <c r="H16997" s="8" t="s">
        <v>364</v>
      </c>
    </row>
    <row r="16998">
      <c r="H16998" s="8" t="s">
        <v>364</v>
      </c>
    </row>
    <row r="16999">
      <c r="H16999" s="8" t="s">
        <v>364</v>
      </c>
    </row>
    <row r="17000">
      <c r="H17000" s="8" t="s">
        <v>364</v>
      </c>
    </row>
    <row r="17001">
      <c r="H17001" s="8" t="s">
        <v>364</v>
      </c>
    </row>
    <row r="17002">
      <c r="H17002" s="8" t="s">
        <v>364</v>
      </c>
    </row>
    <row r="17003">
      <c r="H17003" s="8" t="s">
        <v>364</v>
      </c>
    </row>
    <row r="17004">
      <c r="H17004" s="8" t="s">
        <v>364</v>
      </c>
    </row>
    <row r="17005">
      <c r="H17005" s="8" t="s">
        <v>364</v>
      </c>
    </row>
    <row r="17006">
      <c r="H17006" s="8" t="s">
        <v>364</v>
      </c>
    </row>
    <row r="17007">
      <c r="H17007" s="8" t="s">
        <v>364</v>
      </c>
    </row>
    <row r="17008">
      <c r="H17008" s="8" t="s">
        <v>364</v>
      </c>
    </row>
    <row r="17009">
      <c r="H17009" s="8" t="s">
        <v>364</v>
      </c>
    </row>
    <row r="17010">
      <c r="H17010" s="8" t="s">
        <v>364</v>
      </c>
    </row>
    <row r="17011">
      <c r="H17011" s="8" t="s">
        <v>364</v>
      </c>
    </row>
    <row r="17012">
      <c r="H17012" s="8" t="s">
        <v>364</v>
      </c>
    </row>
    <row r="17013">
      <c r="H17013" s="8" t="s">
        <v>364</v>
      </c>
    </row>
    <row r="17014">
      <c r="H17014" s="8" t="s">
        <v>364</v>
      </c>
    </row>
    <row r="17015">
      <c r="H17015" s="8" t="s">
        <v>364</v>
      </c>
    </row>
    <row r="17016">
      <c r="H17016" s="8" t="s">
        <v>364</v>
      </c>
    </row>
    <row r="17017">
      <c r="H17017" s="8" t="s">
        <v>364</v>
      </c>
    </row>
    <row r="17018">
      <c r="H17018" s="8" t="s">
        <v>364</v>
      </c>
    </row>
    <row r="17019">
      <c r="H17019" s="8" t="s">
        <v>364</v>
      </c>
    </row>
    <row r="17020">
      <c r="H17020" s="8" t="s">
        <v>364</v>
      </c>
    </row>
    <row r="17021">
      <c r="H17021" s="8" t="s">
        <v>364</v>
      </c>
    </row>
    <row r="17022">
      <c r="H17022" s="8" t="s">
        <v>364</v>
      </c>
    </row>
    <row r="17023">
      <c r="H17023" s="8" t="s">
        <v>364</v>
      </c>
    </row>
    <row r="17024">
      <c r="H17024" s="8" t="s">
        <v>364</v>
      </c>
    </row>
    <row r="17025">
      <c r="H17025" s="8" t="s">
        <v>364</v>
      </c>
    </row>
    <row r="17026">
      <c r="H17026" s="8" t="s">
        <v>364</v>
      </c>
    </row>
    <row r="17027">
      <c r="H17027" s="8" t="s">
        <v>364</v>
      </c>
    </row>
    <row r="17028">
      <c r="H17028" s="8" t="s">
        <v>364</v>
      </c>
    </row>
    <row r="17029">
      <c r="H17029" s="8" t="s">
        <v>364</v>
      </c>
    </row>
    <row r="17030">
      <c r="H17030" s="8" t="s">
        <v>364</v>
      </c>
    </row>
    <row r="17031">
      <c r="H17031" s="8" t="s">
        <v>364</v>
      </c>
    </row>
    <row r="17032">
      <c r="H17032" s="8" t="s">
        <v>364</v>
      </c>
    </row>
    <row r="17033">
      <c r="H17033" s="8" t="s">
        <v>364</v>
      </c>
    </row>
    <row r="17034">
      <c r="H17034" s="8" t="s">
        <v>364</v>
      </c>
    </row>
    <row r="17035">
      <c r="H17035" s="8" t="s">
        <v>364</v>
      </c>
    </row>
    <row r="17036">
      <c r="H17036" s="8" t="s">
        <v>364</v>
      </c>
    </row>
    <row r="17037">
      <c r="H17037" s="8" t="s">
        <v>364</v>
      </c>
    </row>
    <row r="17038">
      <c r="H17038" s="8" t="s">
        <v>364</v>
      </c>
    </row>
    <row r="17039">
      <c r="H17039" s="8" t="s">
        <v>364</v>
      </c>
    </row>
    <row r="17040">
      <c r="H17040" s="8" t="s">
        <v>364</v>
      </c>
    </row>
    <row r="17041">
      <c r="H17041" s="8" t="s">
        <v>364</v>
      </c>
    </row>
    <row r="17042">
      <c r="H17042" s="8" t="s">
        <v>364</v>
      </c>
    </row>
    <row r="17043">
      <c r="H17043" s="8" t="s">
        <v>364</v>
      </c>
    </row>
    <row r="17044">
      <c r="H17044" s="8" t="s">
        <v>364</v>
      </c>
    </row>
    <row r="17045">
      <c r="H17045" s="8" t="s">
        <v>364</v>
      </c>
    </row>
    <row r="17046">
      <c r="H17046" s="8" t="s">
        <v>364</v>
      </c>
    </row>
    <row r="17047">
      <c r="H17047" s="8" t="s">
        <v>364</v>
      </c>
    </row>
    <row r="17048">
      <c r="H17048" s="8" t="s">
        <v>364</v>
      </c>
    </row>
    <row r="17049">
      <c r="H17049" s="8" t="s">
        <v>364</v>
      </c>
    </row>
    <row r="17050">
      <c r="H17050" s="8" t="s">
        <v>364</v>
      </c>
    </row>
    <row r="17051">
      <c r="H17051" s="8" t="s">
        <v>364</v>
      </c>
    </row>
    <row r="17052">
      <c r="H17052" s="8" t="s">
        <v>364</v>
      </c>
    </row>
    <row r="17053">
      <c r="H17053" s="8" t="s">
        <v>364</v>
      </c>
    </row>
    <row r="17054">
      <c r="H17054" s="8" t="s">
        <v>364</v>
      </c>
    </row>
    <row r="17055">
      <c r="H17055" s="8" t="s">
        <v>364</v>
      </c>
    </row>
    <row r="17056">
      <c r="H17056" s="8" t="s">
        <v>364</v>
      </c>
    </row>
    <row r="17057">
      <c r="H17057" s="8" t="s">
        <v>364</v>
      </c>
    </row>
    <row r="17058">
      <c r="H17058" s="8" t="s">
        <v>364</v>
      </c>
    </row>
    <row r="17059">
      <c r="H17059" s="8" t="s">
        <v>364</v>
      </c>
    </row>
    <row r="17060">
      <c r="H17060" s="8" t="s">
        <v>364</v>
      </c>
    </row>
    <row r="17061">
      <c r="H17061" s="8" t="s">
        <v>364</v>
      </c>
    </row>
    <row r="17062">
      <c r="H17062" s="8" t="s">
        <v>364</v>
      </c>
    </row>
    <row r="17063">
      <c r="H17063" s="8" t="s">
        <v>364</v>
      </c>
    </row>
    <row r="17064">
      <c r="H17064" s="8" t="s">
        <v>364</v>
      </c>
    </row>
    <row r="17065">
      <c r="H17065" s="8" t="s">
        <v>364</v>
      </c>
    </row>
    <row r="17066">
      <c r="H17066" s="8" t="s">
        <v>364</v>
      </c>
    </row>
    <row r="17067">
      <c r="H17067" s="8" t="s">
        <v>364</v>
      </c>
    </row>
    <row r="17068">
      <c r="H17068" s="8" t="s">
        <v>364</v>
      </c>
    </row>
    <row r="17069">
      <c r="H17069" s="8" t="s">
        <v>364</v>
      </c>
    </row>
    <row r="17070">
      <c r="H17070" s="8" t="s">
        <v>364</v>
      </c>
    </row>
    <row r="17071">
      <c r="H17071" s="8" t="s">
        <v>364</v>
      </c>
    </row>
    <row r="17072">
      <c r="H17072" s="8" t="s">
        <v>364</v>
      </c>
    </row>
    <row r="17073">
      <c r="H17073" s="8" t="s">
        <v>364</v>
      </c>
    </row>
    <row r="17074">
      <c r="H17074" s="8" t="s">
        <v>364</v>
      </c>
    </row>
    <row r="17075">
      <c r="H17075" s="8" t="s">
        <v>364</v>
      </c>
    </row>
    <row r="17076">
      <c r="H17076" s="8" t="s">
        <v>364</v>
      </c>
    </row>
    <row r="17077">
      <c r="H17077" s="8" t="s">
        <v>364</v>
      </c>
    </row>
    <row r="17078">
      <c r="H17078" s="8" t="s">
        <v>364</v>
      </c>
    </row>
    <row r="17079">
      <c r="H17079" s="8" t="s">
        <v>364</v>
      </c>
    </row>
    <row r="17080">
      <c r="H17080" s="8" t="s">
        <v>364</v>
      </c>
    </row>
    <row r="17081">
      <c r="H17081" s="8" t="s">
        <v>364</v>
      </c>
    </row>
    <row r="17082">
      <c r="H17082" s="8" t="s">
        <v>364</v>
      </c>
    </row>
    <row r="17083">
      <c r="H17083" s="8" t="s">
        <v>364</v>
      </c>
    </row>
    <row r="17084">
      <c r="H17084" s="8" t="s">
        <v>364</v>
      </c>
    </row>
    <row r="17085">
      <c r="H17085" s="8" t="s">
        <v>364</v>
      </c>
    </row>
    <row r="17086">
      <c r="H17086" s="8" t="s">
        <v>364</v>
      </c>
    </row>
    <row r="17087">
      <c r="H17087" s="8" t="s">
        <v>364</v>
      </c>
    </row>
    <row r="17088">
      <c r="H17088" s="8" t="s">
        <v>364</v>
      </c>
    </row>
    <row r="17089">
      <c r="H17089" s="8" t="s">
        <v>364</v>
      </c>
    </row>
    <row r="17090">
      <c r="H17090" s="8" t="s">
        <v>364</v>
      </c>
    </row>
    <row r="17091">
      <c r="H17091" s="8" t="s">
        <v>364</v>
      </c>
    </row>
    <row r="17092">
      <c r="H17092" s="8" t="s">
        <v>364</v>
      </c>
    </row>
    <row r="17093">
      <c r="H17093" s="8" t="s">
        <v>364</v>
      </c>
    </row>
    <row r="17094">
      <c r="H17094" s="8" t="s">
        <v>364</v>
      </c>
    </row>
    <row r="17095">
      <c r="H17095" s="8" t="s">
        <v>364</v>
      </c>
    </row>
    <row r="17096">
      <c r="H17096" s="8" t="s">
        <v>364</v>
      </c>
    </row>
    <row r="17097">
      <c r="H17097" s="8" t="s">
        <v>364</v>
      </c>
    </row>
    <row r="17098">
      <c r="H17098" s="8" t="s">
        <v>364</v>
      </c>
    </row>
    <row r="17099">
      <c r="H17099" s="8" t="s">
        <v>364</v>
      </c>
    </row>
    <row r="17100">
      <c r="H17100" s="8" t="s">
        <v>364</v>
      </c>
    </row>
    <row r="17101">
      <c r="H17101" s="8" t="s">
        <v>364</v>
      </c>
    </row>
    <row r="17102">
      <c r="H17102" s="8" t="s">
        <v>364</v>
      </c>
    </row>
    <row r="17103">
      <c r="H17103" s="8" t="s">
        <v>364</v>
      </c>
    </row>
    <row r="17104">
      <c r="H17104" s="8" t="s">
        <v>364</v>
      </c>
    </row>
    <row r="17105">
      <c r="H17105" s="8" t="s">
        <v>364</v>
      </c>
    </row>
    <row r="17106">
      <c r="H17106" s="8" t="s">
        <v>364</v>
      </c>
    </row>
    <row r="17107">
      <c r="H17107" s="8" t="s">
        <v>364</v>
      </c>
    </row>
    <row r="17108">
      <c r="H17108" s="8" t="s">
        <v>364</v>
      </c>
    </row>
    <row r="17109">
      <c r="H17109" s="8" t="s">
        <v>364</v>
      </c>
    </row>
    <row r="17110">
      <c r="H17110" s="8" t="s">
        <v>364</v>
      </c>
    </row>
    <row r="17111">
      <c r="H17111" s="8" t="s">
        <v>364</v>
      </c>
    </row>
    <row r="17112">
      <c r="H17112" s="8" t="s">
        <v>364</v>
      </c>
    </row>
    <row r="17113">
      <c r="H17113" s="8" t="s">
        <v>364</v>
      </c>
    </row>
    <row r="17114">
      <c r="H17114" s="8" t="s">
        <v>364</v>
      </c>
    </row>
    <row r="17115">
      <c r="H17115" s="8" t="s">
        <v>364</v>
      </c>
    </row>
    <row r="17116">
      <c r="H17116" s="8" t="s">
        <v>364</v>
      </c>
    </row>
    <row r="17117">
      <c r="H17117" s="8" t="s">
        <v>364</v>
      </c>
    </row>
    <row r="17118">
      <c r="H17118" s="8" t="s">
        <v>364</v>
      </c>
    </row>
    <row r="17119">
      <c r="H17119" s="8" t="s">
        <v>364</v>
      </c>
    </row>
    <row r="17120">
      <c r="H17120" s="8" t="s">
        <v>364</v>
      </c>
    </row>
    <row r="17121">
      <c r="H17121" s="8" t="s">
        <v>364</v>
      </c>
    </row>
    <row r="17122">
      <c r="H17122" s="8" t="s">
        <v>364</v>
      </c>
    </row>
    <row r="17123">
      <c r="H17123" s="8" t="s">
        <v>364</v>
      </c>
    </row>
    <row r="17124">
      <c r="H17124" s="8" t="s">
        <v>364</v>
      </c>
    </row>
    <row r="17125">
      <c r="H17125" s="8" t="s">
        <v>364</v>
      </c>
    </row>
    <row r="17126">
      <c r="H17126" s="8" t="s">
        <v>364</v>
      </c>
    </row>
    <row r="17127">
      <c r="H17127" s="8" t="s">
        <v>364</v>
      </c>
    </row>
    <row r="17128">
      <c r="H17128" s="8" t="s">
        <v>364</v>
      </c>
    </row>
    <row r="17129">
      <c r="H17129" s="8" t="s">
        <v>364</v>
      </c>
    </row>
    <row r="17130">
      <c r="H17130" s="8" t="s">
        <v>364</v>
      </c>
    </row>
    <row r="17131">
      <c r="H17131" s="8" t="s">
        <v>364</v>
      </c>
    </row>
    <row r="17132">
      <c r="H17132" s="8" t="s">
        <v>364</v>
      </c>
    </row>
    <row r="17133">
      <c r="H17133" s="8" t="s">
        <v>364</v>
      </c>
    </row>
    <row r="17134">
      <c r="H17134" s="8" t="s">
        <v>364</v>
      </c>
    </row>
    <row r="17135">
      <c r="H17135" s="8" t="s">
        <v>364</v>
      </c>
    </row>
    <row r="17136">
      <c r="H17136" s="8" t="s">
        <v>364</v>
      </c>
    </row>
    <row r="17137">
      <c r="H17137" s="8" t="s">
        <v>364</v>
      </c>
    </row>
    <row r="17138">
      <c r="H17138" s="8" t="s">
        <v>364</v>
      </c>
    </row>
    <row r="17139">
      <c r="H17139" s="8" t="s">
        <v>364</v>
      </c>
    </row>
    <row r="17140">
      <c r="H17140" s="8" t="s">
        <v>364</v>
      </c>
    </row>
    <row r="17141">
      <c r="H17141" s="8" t="s">
        <v>364</v>
      </c>
    </row>
    <row r="17142">
      <c r="H17142" s="8" t="s">
        <v>364</v>
      </c>
    </row>
    <row r="17143">
      <c r="H17143" s="8" t="s">
        <v>364</v>
      </c>
    </row>
    <row r="17144">
      <c r="H17144" s="8" t="s">
        <v>364</v>
      </c>
    </row>
    <row r="17145">
      <c r="H17145" s="8" t="s">
        <v>364</v>
      </c>
    </row>
    <row r="17146">
      <c r="H17146" s="8" t="s">
        <v>364</v>
      </c>
    </row>
    <row r="17147">
      <c r="H17147" s="8" t="s">
        <v>364</v>
      </c>
    </row>
    <row r="17148">
      <c r="H17148" s="8" t="s">
        <v>364</v>
      </c>
    </row>
    <row r="17149">
      <c r="H17149" s="8" t="s">
        <v>364</v>
      </c>
    </row>
    <row r="17150">
      <c r="H17150" s="8" t="s">
        <v>364</v>
      </c>
    </row>
    <row r="17151">
      <c r="H17151" s="8" t="s">
        <v>364</v>
      </c>
    </row>
    <row r="17152">
      <c r="H17152" s="8" t="s">
        <v>364</v>
      </c>
    </row>
    <row r="17153">
      <c r="H17153" s="8" t="s">
        <v>364</v>
      </c>
    </row>
    <row r="17154">
      <c r="H17154" s="8" t="s">
        <v>364</v>
      </c>
    </row>
    <row r="17155">
      <c r="H17155" s="8" t="s">
        <v>364</v>
      </c>
    </row>
    <row r="17156">
      <c r="H17156" s="8" t="s">
        <v>364</v>
      </c>
    </row>
    <row r="17157">
      <c r="H17157" s="8" t="s">
        <v>364</v>
      </c>
    </row>
    <row r="17158">
      <c r="H17158" s="8" t="s">
        <v>364</v>
      </c>
    </row>
    <row r="17159">
      <c r="H17159" s="8" t="s">
        <v>364</v>
      </c>
    </row>
    <row r="17160">
      <c r="H17160" s="8" t="s">
        <v>364</v>
      </c>
    </row>
    <row r="17161">
      <c r="H17161" s="8" t="s">
        <v>364</v>
      </c>
    </row>
    <row r="17162">
      <c r="H17162" s="8" t="s">
        <v>364</v>
      </c>
    </row>
    <row r="17163">
      <c r="H17163" s="8" t="s">
        <v>364</v>
      </c>
    </row>
    <row r="17164">
      <c r="H17164" s="8" t="s">
        <v>364</v>
      </c>
    </row>
    <row r="17165">
      <c r="H17165" s="8" t="s">
        <v>364</v>
      </c>
    </row>
    <row r="17166">
      <c r="H17166" s="8" t="s">
        <v>364</v>
      </c>
    </row>
    <row r="17167">
      <c r="H17167" s="8" t="s">
        <v>364</v>
      </c>
    </row>
    <row r="17168">
      <c r="H17168" s="8" t="s">
        <v>364</v>
      </c>
    </row>
    <row r="17169">
      <c r="H17169" s="8" t="s">
        <v>364</v>
      </c>
    </row>
    <row r="17170">
      <c r="H17170" s="8" t="s">
        <v>364</v>
      </c>
    </row>
    <row r="17171">
      <c r="H17171" s="8" t="s">
        <v>364</v>
      </c>
    </row>
    <row r="17172">
      <c r="H17172" s="8" t="s">
        <v>364</v>
      </c>
    </row>
    <row r="17173">
      <c r="H17173" s="8" t="s">
        <v>364</v>
      </c>
    </row>
    <row r="17174">
      <c r="H17174" s="8" t="s">
        <v>364</v>
      </c>
    </row>
    <row r="17175">
      <c r="H17175" s="8" t="s">
        <v>364</v>
      </c>
    </row>
    <row r="17176">
      <c r="H17176" s="8" t="s">
        <v>364</v>
      </c>
    </row>
    <row r="17177">
      <c r="H17177" s="8" t="s">
        <v>364</v>
      </c>
    </row>
    <row r="17178">
      <c r="H17178" s="8" t="s">
        <v>364</v>
      </c>
    </row>
    <row r="17179">
      <c r="H17179" s="8" t="s">
        <v>364</v>
      </c>
    </row>
    <row r="17180">
      <c r="H17180" s="8" t="s">
        <v>364</v>
      </c>
    </row>
    <row r="17181">
      <c r="H17181" s="8" t="s">
        <v>364</v>
      </c>
    </row>
    <row r="17182">
      <c r="H17182" s="8" t="s">
        <v>364</v>
      </c>
    </row>
    <row r="17183">
      <c r="H17183" s="8" t="s">
        <v>364</v>
      </c>
    </row>
    <row r="17184">
      <c r="H17184" s="8" t="s">
        <v>364</v>
      </c>
    </row>
    <row r="17185">
      <c r="H17185" s="8" t="s">
        <v>364</v>
      </c>
    </row>
    <row r="17186">
      <c r="H17186" s="8" t="s">
        <v>364</v>
      </c>
    </row>
    <row r="17187">
      <c r="H17187" s="8" t="s">
        <v>364</v>
      </c>
    </row>
    <row r="17188">
      <c r="H17188" s="8" t="s">
        <v>364</v>
      </c>
    </row>
    <row r="17189">
      <c r="H17189" s="8" t="s">
        <v>364</v>
      </c>
    </row>
    <row r="17190">
      <c r="H17190" s="8" t="s">
        <v>364</v>
      </c>
    </row>
    <row r="17191">
      <c r="H17191" s="8" t="s">
        <v>364</v>
      </c>
    </row>
    <row r="17192">
      <c r="H17192" s="8" t="s">
        <v>364</v>
      </c>
    </row>
    <row r="17193">
      <c r="H17193" s="8" t="s">
        <v>364</v>
      </c>
    </row>
    <row r="17194">
      <c r="H17194" s="8" t="s">
        <v>364</v>
      </c>
    </row>
    <row r="17195">
      <c r="H17195" s="8" t="s">
        <v>364</v>
      </c>
    </row>
    <row r="17196">
      <c r="H17196" s="8" t="s">
        <v>364</v>
      </c>
    </row>
    <row r="17197">
      <c r="H17197" s="8" t="s">
        <v>364</v>
      </c>
    </row>
    <row r="17198">
      <c r="H17198" s="8" t="s">
        <v>364</v>
      </c>
    </row>
    <row r="17199">
      <c r="H17199" s="8" t="s">
        <v>364</v>
      </c>
    </row>
    <row r="17200">
      <c r="H17200" s="8" t="s">
        <v>364</v>
      </c>
    </row>
    <row r="17201">
      <c r="H17201" s="8" t="s">
        <v>364</v>
      </c>
    </row>
    <row r="17202">
      <c r="H17202" s="8" t="s">
        <v>364</v>
      </c>
    </row>
    <row r="17203">
      <c r="H17203" s="8" t="s">
        <v>364</v>
      </c>
    </row>
    <row r="17204">
      <c r="H17204" s="8" t="s">
        <v>364</v>
      </c>
    </row>
    <row r="17205">
      <c r="H17205" s="8" t="s">
        <v>364</v>
      </c>
    </row>
    <row r="17206">
      <c r="H17206" s="8" t="s">
        <v>364</v>
      </c>
    </row>
    <row r="17207">
      <c r="H17207" s="8" t="s">
        <v>364</v>
      </c>
    </row>
    <row r="17208">
      <c r="H17208" s="8" t="s">
        <v>364</v>
      </c>
    </row>
    <row r="17209">
      <c r="H17209" s="8" t="s">
        <v>364</v>
      </c>
    </row>
    <row r="17210">
      <c r="H17210" s="8" t="s">
        <v>364</v>
      </c>
    </row>
    <row r="17211">
      <c r="H17211" s="8" t="s">
        <v>364</v>
      </c>
    </row>
    <row r="17212">
      <c r="H17212" s="8" t="s">
        <v>364</v>
      </c>
    </row>
    <row r="17213">
      <c r="H17213" s="8" t="s">
        <v>364</v>
      </c>
    </row>
    <row r="17214">
      <c r="H17214" s="8" t="s">
        <v>364</v>
      </c>
    </row>
    <row r="17215">
      <c r="H17215" s="8" t="s">
        <v>364</v>
      </c>
    </row>
    <row r="17216">
      <c r="H17216" s="8" t="s">
        <v>364</v>
      </c>
    </row>
    <row r="17217">
      <c r="H17217" s="8" t="s">
        <v>364</v>
      </c>
    </row>
    <row r="17218">
      <c r="H17218" s="8" t="s">
        <v>364</v>
      </c>
    </row>
    <row r="17219">
      <c r="H17219" s="8" t="s">
        <v>364</v>
      </c>
    </row>
    <row r="17220">
      <c r="H17220" s="8" t="s">
        <v>364</v>
      </c>
    </row>
    <row r="17221">
      <c r="H17221" s="8" t="s">
        <v>364</v>
      </c>
    </row>
    <row r="17222">
      <c r="H17222" s="8" t="s">
        <v>364</v>
      </c>
    </row>
    <row r="17223">
      <c r="H17223" s="8" t="s">
        <v>364</v>
      </c>
    </row>
    <row r="17224">
      <c r="H17224" s="8" t="s">
        <v>364</v>
      </c>
    </row>
    <row r="17225">
      <c r="H17225" s="8" t="s">
        <v>364</v>
      </c>
    </row>
    <row r="17226">
      <c r="H17226" s="8" t="s">
        <v>364</v>
      </c>
    </row>
    <row r="17227">
      <c r="H17227" s="8" t="s">
        <v>364</v>
      </c>
    </row>
    <row r="17228">
      <c r="H17228" s="8" t="s">
        <v>364</v>
      </c>
    </row>
    <row r="17229">
      <c r="H17229" s="8" t="s">
        <v>364</v>
      </c>
    </row>
    <row r="17230">
      <c r="H17230" s="8" t="s">
        <v>364</v>
      </c>
    </row>
    <row r="17231">
      <c r="H17231" s="8" t="s">
        <v>364</v>
      </c>
    </row>
    <row r="17232">
      <c r="H17232" s="8" t="s">
        <v>364</v>
      </c>
    </row>
    <row r="17233">
      <c r="H17233" s="8" t="s">
        <v>364</v>
      </c>
    </row>
    <row r="17234">
      <c r="H17234" s="8" t="s">
        <v>364</v>
      </c>
    </row>
    <row r="17235">
      <c r="H17235" s="8" t="s">
        <v>364</v>
      </c>
    </row>
    <row r="17236">
      <c r="H17236" s="8" t="s">
        <v>364</v>
      </c>
    </row>
    <row r="17237">
      <c r="H17237" s="8" t="s">
        <v>364</v>
      </c>
    </row>
    <row r="17238">
      <c r="H17238" s="8" t="s">
        <v>364</v>
      </c>
    </row>
    <row r="17239">
      <c r="H17239" s="8" t="s">
        <v>364</v>
      </c>
    </row>
    <row r="17240">
      <c r="H17240" s="8" t="s">
        <v>364</v>
      </c>
    </row>
    <row r="17241">
      <c r="H17241" s="8" t="s">
        <v>364</v>
      </c>
    </row>
    <row r="17242">
      <c r="H17242" s="8" t="s">
        <v>364</v>
      </c>
    </row>
    <row r="17243">
      <c r="H17243" s="8" t="s">
        <v>364</v>
      </c>
    </row>
    <row r="17244">
      <c r="H17244" s="8" t="s">
        <v>364</v>
      </c>
    </row>
    <row r="17245">
      <c r="H17245" s="8" t="s">
        <v>364</v>
      </c>
    </row>
    <row r="17246">
      <c r="H17246" s="8" t="s">
        <v>364</v>
      </c>
    </row>
    <row r="17247">
      <c r="H17247" s="8" t="s">
        <v>364</v>
      </c>
    </row>
    <row r="17248">
      <c r="H17248" s="8" t="s">
        <v>364</v>
      </c>
    </row>
    <row r="17249">
      <c r="H17249" s="8" t="s">
        <v>364</v>
      </c>
    </row>
    <row r="17250">
      <c r="H17250" s="8" t="s">
        <v>364</v>
      </c>
    </row>
    <row r="17251">
      <c r="H17251" s="8" t="s">
        <v>364</v>
      </c>
    </row>
    <row r="17252">
      <c r="H17252" s="8" t="s">
        <v>364</v>
      </c>
    </row>
    <row r="17253">
      <c r="H17253" s="8" t="s">
        <v>364</v>
      </c>
    </row>
    <row r="17254">
      <c r="H17254" s="8" t="s">
        <v>364</v>
      </c>
    </row>
    <row r="17255">
      <c r="H17255" s="8" t="s">
        <v>364</v>
      </c>
    </row>
    <row r="17256">
      <c r="H17256" s="8" t="s">
        <v>364</v>
      </c>
    </row>
    <row r="17257">
      <c r="H17257" s="8" t="s">
        <v>364</v>
      </c>
    </row>
    <row r="17258">
      <c r="H17258" s="8" t="s">
        <v>364</v>
      </c>
    </row>
    <row r="17259">
      <c r="H17259" s="8" t="s">
        <v>364</v>
      </c>
    </row>
    <row r="17260">
      <c r="H17260" s="8" t="s">
        <v>364</v>
      </c>
    </row>
    <row r="17261">
      <c r="H17261" s="8" t="s">
        <v>364</v>
      </c>
    </row>
    <row r="17262">
      <c r="H17262" s="8" t="s">
        <v>364</v>
      </c>
    </row>
    <row r="17263">
      <c r="H17263" s="8" t="s">
        <v>364</v>
      </c>
    </row>
    <row r="17264">
      <c r="H17264" s="8" t="s">
        <v>364</v>
      </c>
    </row>
    <row r="17265">
      <c r="H17265" s="8" t="s">
        <v>364</v>
      </c>
    </row>
    <row r="17266">
      <c r="H17266" s="8" t="s">
        <v>364</v>
      </c>
    </row>
    <row r="17267">
      <c r="H17267" s="8" t="s">
        <v>364</v>
      </c>
    </row>
    <row r="17268">
      <c r="H17268" s="8" t="s">
        <v>364</v>
      </c>
    </row>
    <row r="17269">
      <c r="H17269" s="8" t="s">
        <v>364</v>
      </c>
    </row>
    <row r="17270">
      <c r="H17270" s="8" t="s">
        <v>364</v>
      </c>
    </row>
    <row r="17271">
      <c r="H17271" s="8" t="s">
        <v>364</v>
      </c>
    </row>
    <row r="17272">
      <c r="H17272" s="8" t="s">
        <v>364</v>
      </c>
    </row>
    <row r="17273">
      <c r="H17273" s="8" t="s">
        <v>364</v>
      </c>
    </row>
    <row r="17274">
      <c r="H17274" s="8" t="s">
        <v>364</v>
      </c>
    </row>
    <row r="17275">
      <c r="H17275" s="8" t="s">
        <v>364</v>
      </c>
    </row>
    <row r="17276">
      <c r="H17276" s="8" t="s">
        <v>364</v>
      </c>
    </row>
    <row r="17277">
      <c r="H17277" s="8" t="s">
        <v>364</v>
      </c>
    </row>
    <row r="17278">
      <c r="H17278" s="8" t="s">
        <v>364</v>
      </c>
    </row>
    <row r="17279">
      <c r="H17279" s="8" t="s">
        <v>364</v>
      </c>
    </row>
    <row r="17280">
      <c r="H17280" s="8" t="s">
        <v>364</v>
      </c>
    </row>
    <row r="17281">
      <c r="H17281" s="8" t="s">
        <v>364</v>
      </c>
    </row>
    <row r="17282">
      <c r="H17282" s="8" t="s">
        <v>364</v>
      </c>
    </row>
    <row r="17283">
      <c r="H17283" s="8" t="s">
        <v>364</v>
      </c>
    </row>
    <row r="17284">
      <c r="H17284" s="8" t="s">
        <v>364</v>
      </c>
    </row>
    <row r="17285">
      <c r="H17285" s="8" t="s">
        <v>364</v>
      </c>
    </row>
    <row r="17286">
      <c r="H17286" s="8" t="s">
        <v>364</v>
      </c>
    </row>
    <row r="17287">
      <c r="H17287" s="8" t="s">
        <v>364</v>
      </c>
    </row>
    <row r="17288">
      <c r="H17288" s="8" t="s">
        <v>364</v>
      </c>
    </row>
    <row r="17289">
      <c r="H17289" s="8" t="s">
        <v>364</v>
      </c>
    </row>
    <row r="17290">
      <c r="H17290" s="8" t="s">
        <v>364</v>
      </c>
    </row>
    <row r="17291">
      <c r="H17291" s="8" t="s">
        <v>364</v>
      </c>
    </row>
    <row r="17292">
      <c r="H17292" s="8" t="s">
        <v>364</v>
      </c>
    </row>
    <row r="17293">
      <c r="H17293" s="8" t="s">
        <v>364</v>
      </c>
    </row>
    <row r="17294">
      <c r="H17294" s="8" t="s">
        <v>364</v>
      </c>
    </row>
    <row r="17295">
      <c r="H17295" s="8" t="s">
        <v>364</v>
      </c>
    </row>
    <row r="17296">
      <c r="H17296" s="8" t="s">
        <v>364</v>
      </c>
    </row>
    <row r="17297">
      <c r="H17297" s="8" t="s">
        <v>364</v>
      </c>
    </row>
    <row r="17298">
      <c r="H17298" s="8" t="s">
        <v>364</v>
      </c>
    </row>
    <row r="17299">
      <c r="H17299" s="8" t="s">
        <v>364</v>
      </c>
    </row>
    <row r="17300">
      <c r="H17300" s="8" t="s">
        <v>364</v>
      </c>
    </row>
    <row r="17301">
      <c r="H17301" s="8" t="s">
        <v>364</v>
      </c>
    </row>
    <row r="17302">
      <c r="H17302" s="8" t="s">
        <v>364</v>
      </c>
    </row>
    <row r="17303">
      <c r="H17303" s="8" t="s">
        <v>364</v>
      </c>
    </row>
    <row r="17304">
      <c r="H17304" s="8" t="s">
        <v>364</v>
      </c>
    </row>
    <row r="17305">
      <c r="H17305" s="8" t="s">
        <v>364</v>
      </c>
    </row>
    <row r="17306">
      <c r="H17306" s="8" t="s">
        <v>364</v>
      </c>
    </row>
    <row r="17307">
      <c r="H17307" s="8" t="s">
        <v>364</v>
      </c>
    </row>
    <row r="17308">
      <c r="H17308" s="8" t="s">
        <v>364</v>
      </c>
    </row>
    <row r="17309">
      <c r="H17309" s="8" t="s">
        <v>364</v>
      </c>
    </row>
    <row r="17310">
      <c r="H17310" s="8" t="s">
        <v>364</v>
      </c>
    </row>
    <row r="17311">
      <c r="H17311" s="8" t="s">
        <v>364</v>
      </c>
    </row>
    <row r="17312">
      <c r="H17312" s="8" t="s">
        <v>364</v>
      </c>
    </row>
    <row r="17313">
      <c r="H17313" s="8" t="s">
        <v>364</v>
      </c>
    </row>
    <row r="17314">
      <c r="H17314" s="8" t="s">
        <v>364</v>
      </c>
    </row>
    <row r="17315">
      <c r="H17315" s="8" t="s">
        <v>364</v>
      </c>
    </row>
    <row r="17316">
      <c r="H17316" s="8" t="s">
        <v>364</v>
      </c>
    </row>
    <row r="17317">
      <c r="H17317" s="8" t="s">
        <v>364</v>
      </c>
    </row>
    <row r="17318">
      <c r="H17318" s="8" t="s">
        <v>364</v>
      </c>
    </row>
    <row r="17319">
      <c r="H17319" s="8" t="s">
        <v>364</v>
      </c>
    </row>
    <row r="17320">
      <c r="H17320" s="8" t="s">
        <v>364</v>
      </c>
    </row>
    <row r="17321">
      <c r="H17321" s="8" t="s">
        <v>364</v>
      </c>
    </row>
    <row r="17322">
      <c r="H17322" s="8" t="s">
        <v>364</v>
      </c>
    </row>
    <row r="17323">
      <c r="H17323" s="8" t="s">
        <v>364</v>
      </c>
    </row>
    <row r="17324">
      <c r="H17324" s="8" t="s">
        <v>364</v>
      </c>
    </row>
    <row r="17325">
      <c r="H17325" s="8" t="s">
        <v>364</v>
      </c>
    </row>
    <row r="17326">
      <c r="H17326" s="8" t="s">
        <v>364</v>
      </c>
    </row>
    <row r="17327">
      <c r="H17327" s="8" t="s">
        <v>364</v>
      </c>
    </row>
    <row r="17328">
      <c r="H17328" s="8" t="s">
        <v>364</v>
      </c>
    </row>
    <row r="17329">
      <c r="H17329" s="8" t="s">
        <v>364</v>
      </c>
    </row>
    <row r="17330">
      <c r="H17330" s="8" t="s">
        <v>364</v>
      </c>
    </row>
    <row r="17331">
      <c r="H17331" s="8" t="s">
        <v>364</v>
      </c>
    </row>
    <row r="17332">
      <c r="H17332" s="8" t="s">
        <v>364</v>
      </c>
    </row>
    <row r="17333">
      <c r="H17333" s="8" t="s">
        <v>364</v>
      </c>
    </row>
    <row r="17334">
      <c r="H17334" s="8" t="s">
        <v>364</v>
      </c>
    </row>
    <row r="17335">
      <c r="H17335" s="8" t="s">
        <v>364</v>
      </c>
    </row>
    <row r="17336">
      <c r="H17336" s="8" t="s">
        <v>364</v>
      </c>
    </row>
    <row r="17337">
      <c r="H17337" s="8" t="s">
        <v>364</v>
      </c>
    </row>
    <row r="17338">
      <c r="H17338" s="8" t="s">
        <v>364</v>
      </c>
    </row>
    <row r="17339">
      <c r="H17339" s="8" t="s">
        <v>364</v>
      </c>
    </row>
    <row r="17340">
      <c r="H17340" s="8" t="s">
        <v>364</v>
      </c>
    </row>
    <row r="17341">
      <c r="H17341" s="8" t="s">
        <v>364</v>
      </c>
    </row>
    <row r="17342">
      <c r="H17342" s="8" t="s">
        <v>364</v>
      </c>
    </row>
    <row r="17343">
      <c r="H17343" s="8" t="s">
        <v>364</v>
      </c>
    </row>
    <row r="17344">
      <c r="H17344" s="8" t="s">
        <v>364</v>
      </c>
    </row>
    <row r="17345">
      <c r="H17345" s="8" t="s">
        <v>364</v>
      </c>
    </row>
    <row r="17346">
      <c r="H17346" s="8" t="s">
        <v>364</v>
      </c>
    </row>
    <row r="17347">
      <c r="H17347" s="8" t="s">
        <v>364</v>
      </c>
    </row>
    <row r="17348">
      <c r="H17348" s="8" t="s">
        <v>364</v>
      </c>
    </row>
    <row r="17349">
      <c r="H17349" s="8" t="s">
        <v>364</v>
      </c>
    </row>
    <row r="17350">
      <c r="H17350" s="8" t="s">
        <v>364</v>
      </c>
    </row>
    <row r="17351">
      <c r="H17351" s="8" t="s">
        <v>364</v>
      </c>
    </row>
    <row r="17352">
      <c r="H17352" s="8" t="s">
        <v>364</v>
      </c>
    </row>
    <row r="17353">
      <c r="H17353" s="8" t="s">
        <v>364</v>
      </c>
    </row>
    <row r="17354">
      <c r="H17354" s="8" t="s">
        <v>364</v>
      </c>
    </row>
    <row r="17355">
      <c r="H17355" s="8" t="s">
        <v>364</v>
      </c>
    </row>
    <row r="17356">
      <c r="H17356" s="8" t="s">
        <v>364</v>
      </c>
    </row>
    <row r="17357">
      <c r="H17357" s="8" t="s">
        <v>364</v>
      </c>
    </row>
    <row r="17358">
      <c r="H17358" s="8" t="s">
        <v>364</v>
      </c>
    </row>
    <row r="17359">
      <c r="H17359" s="8" t="s">
        <v>364</v>
      </c>
    </row>
    <row r="17360">
      <c r="H17360" s="8" t="s">
        <v>364</v>
      </c>
    </row>
    <row r="17361">
      <c r="H17361" s="8" t="s">
        <v>364</v>
      </c>
    </row>
    <row r="17362">
      <c r="H17362" s="8" t="s">
        <v>364</v>
      </c>
    </row>
    <row r="17363">
      <c r="H17363" s="8" t="s">
        <v>364</v>
      </c>
    </row>
    <row r="17364">
      <c r="H17364" s="8" t="s">
        <v>364</v>
      </c>
    </row>
    <row r="17365">
      <c r="H17365" s="8" t="s">
        <v>364</v>
      </c>
    </row>
    <row r="17366">
      <c r="H17366" s="8" t="s">
        <v>364</v>
      </c>
    </row>
    <row r="17367">
      <c r="H17367" s="8" t="s">
        <v>364</v>
      </c>
    </row>
    <row r="17368">
      <c r="H17368" s="8" t="s">
        <v>364</v>
      </c>
    </row>
    <row r="17369">
      <c r="H17369" s="8" t="s">
        <v>364</v>
      </c>
    </row>
    <row r="17370">
      <c r="H17370" s="8" t="s">
        <v>364</v>
      </c>
    </row>
    <row r="17371">
      <c r="H17371" s="8" t="s">
        <v>364</v>
      </c>
    </row>
    <row r="17372">
      <c r="H17372" s="8" t="s">
        <v>364</v>
      </c>
    </row>
    <row r="17373">
      <c r="H17373" s="8" t="s">
        <v>364</v>
      </c>
    </row>
    <row r="17374">
      <c r="H17374" s="8" t="s">
        <v>364</v>
      </c>
    </row>
    <row r="17375">
      <c r="H17375" s="8" t="s">
        <v>364</v>
      </c>
    </row>
    <row r="17376">
      <c r="H17376" s="8" t="s">
        <v>364</v>
      </c>
    </row>
    <row r="17377">
      <c r="H17377" s="8" t="s">
        <v>364</v>
      </c>
    </row>
    <row r="17378">
      <c r="H17378" s="8" t="s">
        <v>364</v>
      </c>
    </row>
    <row r="17379">
      <c r="H17379" s="8" t="s">
        <v>364</v>
      </c>
    </row>
    <row r="17380">
      <c r="H17380" s="8" t="s">
        <v>364</v>
      </c>
    </row>
    <row r="17381">
      <c r="H17381" s="8" t="s">
        <v>364</v>
      </c>
    </row>
    <row r="17382">
      <c r="H17382" s="8" t="s">
        <v>364</v>
      </c>
    </row>
    <row r="17383">
      <c r="H17383" s="8" t="s">
        <v>364</v>
      </c>
    </row>
    <row r="17384">
      <c r="H17384" s="8" t="s">
        <v>364</v>
      </c>
    </row>
    <row r="17385">
      <c r="H17385" s="8" t="s">
        <v>364</v>
      </c>
    </row>
    <row r="17386">
      <c r="H17386" s="8" t="s">
        <v>364</v>
      </c>
    </row>
    <row r="17387">
      <c r="H17387" s="8" t="s">
        <v>364</v>
      </c>
    </row>
    <row r="17388">
      <c r="H17388" s="8" t="s">
        <v>364</v>
      </c>
    </row>
    <row r="17389">
      <c r="H17389" s="8" t="s">
        <v>364</v>
      </c>
    </row>
    <row r="17390">
      <c r="H17390" s="8" t="s">
        <v>364</v>
      </c>
    </row>
    <row r="17391">
      <c r="H17391" s="8" t="s">
        <v>364</v>
      </c>
    </row>
    <row r="17392">
      <c r="H17392" s="8" t="s">
        <v>364</v>
      </c>
    </row>
    <row r="17393">
      <c r="H17393" s="8" t="s">
        <v>364</v>
      </c>
    </row>
    <row r="17394">
      <c r="H17394" s="8" t="s">
        <v>364</v>
      </c>
    </row>
    <row r="17395">
      <c r="H17395" s="8" t="s">
        <v>364</v>
      </c>
    </row>
    <row r="17396">
      <c r="H17396" s="8" t="s">
        <v>364</v>
      </c>
    </row>
    <row r="17397">
      <c r="H17397" s="8" t="s">
        <v>364</v>
      </c>
    </row>
    <row r="17398">
      <c r="H17398" s="8" t="s">
        <v>364</v>
      </c>
    </row>
    <row r="17399">
      <c r="H17399" s="8" t="s">
        <v>364</v>
      </c>
    </row>
    <row r="17400">
      <c r="H17400" s="8" t="s">
        <v>364</v>
      </c>
    </row>
    <row r="17401">
      <c r="H17401" s="8" t="s">
        <v>364</v>
      </c>
    </row>
    <row r="17402">
      <c r="H17402" s="8" t="s">
        <v>364</v>
      </c>
    </row>
    <row r="17403">
      <c r="H17403" s="8" t="s">
        <v>364</v>
      </c>
    </row>
    <row r="17404">
      <c r="H17404" s="8" t="s">
        <v>364</v>
      </c>
    </row>
    <row r="17405">
      <c r="H17405" s="8" t="s">
        <v>364</v>
      </c>
    </row>
    <row r="17406">
      <c r="H17406" s="8" t="s">
        <v>364</v>
      </c>
    </row>
    <row r="17407">
      <c r="H17407" s="8" t="s">
        <v>364</v>
      </c>
    </row>
    <row r="17408">
      <c r="H17408" s="8" t="s">
        <v>364</v>
      </c>
    </row>
    <row r="17409">
      <c r="H17409" s="8" t="s">
        <v>364</v>
      </c>
    </row>
    <row r="17410">
      <c r="H17410" s="8" t="s">
        <v>364</v>
      </c>
    </row>
    <row r="17411">
      <c r="H17411" s="8" t="s">
        <v>364</v>
      </c>
    </row>
    <row r="17412">
      <c r="H17412" s="8" t="s">
        <v>364</v>
      </c>
    </row>
    <row r="17413">
      <c r="H17413" s="8" t="s">
        <v>364</v>
      </c>
    </row>
    <row r="17414">
      <c r="H17414" s="8" t="s">
        <v>364</v>
      </c>
    </row>
    <row r="17415">
      <c r="H17415" s="8" t="s">
        <v>364</v>
      </c>
    </row>
    <row r="17416">
      <c r="H17416" s="8" t="s">
        <v>364</v>
      </c>
    </row>
    <row r="17417">
      <c r="H17417" s="8" t="s">
        <v>364</v>
      </c>
    </row>
    <row r="17418">
      <c r="H17418" s="8" t="s">
        <v>364</v>
      </c>
    </row>
    <row r="17419">
      <c r="H17419" s="8" t="s">
        <v>364</v>
      </c>
    </row>
    <row r="17420">
      <c r="H17420" s="8" t="s">
        <v>364</v>
      </c>
    </row>
    <row r="17421">
      <c r="H17421" s="8" t="s">
        <v>364</v>
      </c>
    </row>
    <row r="17422">
      <c r="H17422" s="8" t="s">
        <v>364</v>
      </c>
    </row>
    <row r="17423">
      <c r="H17423" s="8" t="s">
        <v>364</v>
      </c>
    </row>
    <row r="17424">
      <c r="H17424" s="8" t="s">
        <v>364</v>
      </c>
    </row>
    <row r="17425">
      <c r="H17425" s="8" t="s">
        <v>364</v>
      </c>
    </row>
    <row r="17426">
      <c r="H17426" s="8" t="s">
        <v>364</v>
      </c>
    </row>
    <row r="17427">
      <c r="H17427" s="8" t="s">
        <v>364</v>
      </c>
    </row>
    <row r="17428">
      <c r="H17428" s="8" t="s">
        <v>364</v>
      </c>
    </row>
    <row r="17429">
      <c r="H17429" s="8" t="s">
        <v>364</v>
      </c>
    </row>
    <row r="17430">
      <c r="H17430" s="8" t="s">
        <v>364</v>
      </c>
    </row>
    <row r="17431">
      <c r="H17431" s="8" t="s">
        <v>364</v>
      </c>
    </row>
    <row r="17432">
      <c r="H17432" s="8" t="s">
        <v>364</v>
      </c>
    </row>
    <row r="17433">
      <c r="H17433" s="8" t="s">
        <v>364</v>
      </c>
    </row>
    <row r="17434">
      <c r="H17434" s="8" t="s">
        <v>364</v>
      </c>
    </row>
    <row r="17435">
      <c r="H17435" s="8" t="s">
        <v>364</v>
      </c>
    </row>
    <row r="17436">
      <c r="H17436" s="8" t="s">
        <v>364</v>
      </c>
    </row>
    <row r="17437">
      <c r="H17437" s="8" t="s">
        <v>364</v>
      </c>
    </row>
    <row r="17438">
      <c r="H17438" s="8" t="s">
        <v>364</v>
      </c>
    </row>
    <row r="17439">
      <c r="H17439" s="8" t="s">
        <v>364</v>
      </c>
    </row>
    <row r="17440">
      <c r="H17440" s="8" t="s">
        <v>364</v>
      </c>
    </row>
    <row r="17441">
      <c r="H17441" s="8" t="s">
        <v>364</v>
      </c>
    </row>
    <row r="17442">
      <c r="H17442" s="8" t="s">
        <v>364</v>
      </c>
    </row>
    <row r="17443">
      <c r="H17443" s="8" t="s">
        <v>364</v>
      </c>
    </row>
    <row r="17444">
      <c r="H17444" s="8" t="s">
        <v>364</v>
      </c>
    </row>
    <row r="17445">
      <c r="H17445" s="8" t="s">
        <v>364</v>
      </c>
    </row>
    <row r="17446">
      <c r="H17446" s="8" t="s">
        <v>364</v>
      </c>
    </row>
    <row r="17447">
      <c r="H17447" s="8" t="s">
        <v>364</v>
      </c>
    </row>
    <row r="17448">
      <c r="H17448" s="8" t="s">
        <v>364</v>
      </c>
    </row>
    <row r="17449">
      <c r="H17449" s="8" t="s">
        <v>364</v>
      </c>
    </row>
    <row r="17450">
      <c r="H17450" s="8" t="s">
        <v>364</v>
      </c>
    </row>
    <row r="17451">
      <c r="H17451" s="8" t="s">
        <v>364</v>
      </c>
    </row>
    <row r="17452">
      <c r="H17452" s="8" t="s">
        <v>364</v>
      </c>
    </row>
    <row r="17453">
      <c r="H17453" s="8" t="s">
        <v>364</v>
      </c>
    </row>
    <row r="17454">
      <c r="H17454" s="8" t="s">
        <v>364</v>
      </c>
    </row>
    <row r="17455">
      <c r="H17455" s="8" t="s">
        <v>364</v>
      </c>
    </row>
    <row r="17456">
      <c r="H17456" s="8" t="s">
        <v>364</v>
      </c>
    </row>
    <row r="17457">
      <c r="H17457" s="8" t="s">
        <v>364</v>
      </c>
    </row>
    <row r="17458">
      <c r="H17458" s="8" t="s">
        <v>364</v>
      </c>
    </row>
    <row r="17459">
      <c r="H17459" s="8" t="s">
        <v>364</v>
      </c>
    </row>
    <row r="17460">
      <c r="H17460" s="8" t="s">
        <v>364</v>
      </c>
    </row>
    <row r="17461">
      <c r="H17461" s="8" t="s">
        <v>364</v>
      </c>
    </row>
    <row r="17462">
      <c r="H17462" s="8" t="s">
        <v>364</v>
      </c>
    </row>
    <row r="17463">
      <c r="H17463" s="8" t="s">
        <v>364</v>
      </c>
    </row>
    <row r="17464">
      <c r="H17464" s="8" t="s">
        <v>364</v>
      </c>
    </row>
    <row r="17465">
      <c r="H17465" s="8" t="s">
        <v>364</v>
      </c>
    </row>
    <row r="17466">
      <c r="H17466" s="8" t="s">
        <v>364</v>
      </c>
    </row>
    <row r="17467">
      <c r="H17467" s="8" t="s">
        <v>364</v>
      </c>
    </row>
    <row r="17468">
      <c r="H17468" s="8" t="s">
        <v>364</v>
      </c>
    </row>
    <row r="17469">
      <c r="H17469" s="8" t="s">
        <v>364</v>
      </c>
    </row>
    <row r="17470">
      <c r="H17470" s="8" t="s">
        <v>364</v>
      </c>
    </row>
    <row r="17471">
      <c r="H17471" s="8" t="s">
        <v>364</v>
      </c>
    </row>
    <row r="17472">
      <c r="H17472" s="8" t="s">
        <v>364</v>
      </c>
    </row>
    <row r="17473">
      <c r="H17473" s="8" t="s">
        <v>364</v>
      </c>
    </row>
    <row r="17474">
      <c r="H17474" s="8" t="s">
        <v>364</v>
      </c>
    </row>
    <row r="17475">
      <c r="H17475" s="8" t="s">
        <v>364</v>
      </c>
    </row>
    <row r="17476">
      <c r="H17476" s="8" t="s">
        <v>364</v>
      </c>
    </row>
    <row r="17477">
      <c r="H17477" s="8" t="s">
        <v>364</v>
      </c>
    </row>
    <row r="17478">
      <c r="H17478" s="8" t="s">
        <v>364</v>
      </c>
    </row>
    <row r="17479">
      <c r="H17479" s="8" t="s">
        <v>364</v>
      </c>
    </row>
    <row r="17480">
      <c r="H17480" s="8" t="s">
        <v>364</v>
      </c>
    </row>
    <row r="17481">
      <c r="H17481" s="8" t="s">
        <v>364</v>
      </c>
    </row>
    <row r="17482">
      <c r="H17482" s="8" t="s">
        <v>364</v>
      </c>
    </row>
    <row r="17483">
      <c r="H17483" s="8" t="s">
        <v>364</v>
      </c>
    </row>
    <row r="17484">
      <c r="H17484" s="8" t="s">
        <v>364</v>
      </c>
    </row>
    <row r="17485">
      <c r="H17485" s="8" t="s">
        <v>364</v>
      </c>
    </row>
    <row r="17486">
      <c r="H17486" s="8" t="s">
        <v>364</v>
      </c>
    </row>
    <row r="17487">
      <c r="H17487" s="8" t="s">
        <v>364</v>
      </c>
    </row>
    <row r="17488">
      <c r="H17488" s="8" t="s">
        <v>364</v>
      </c>
    </row>
    <row r="17489">
      <c r="H17489" s="8" t="s">
        <v>364</v>
      </c>
    </row>
    <row r="17490">
      <c r="H17490" s="8" t="s">
        <v>364</v>
      </c>
    </row>
    <row r="17491">
      <c r="H17491" s="8" t="s">
        <v>364</v>
      </c>
    </row>
    <row r="17492">
      <c r="H17492" s="8" t="s">
        <v>364</v>
      </c>
    </row>
    <row r="17493">
      <c r="H17493" s="8" t="s">
        <v>364</v>
      </c>
    </row>
    <row r="17494">
      <c r="H17494" s="8" t="s">
        <v>364</v>
      </c>
    </row>
    <row r="17495">
      <c r="H17495" s="8" t="s">
        <v>364</v>
      </c>
    </row>
    <row r="17496">
      <c r="H17496" s="8" t="s">
        <v>364</v>
      </c>
    </row>
    <row r="17497">
      <c r="H17497" s="8" t="s">
        <v>364</v>
      </c>
    </row>
    <row r="17498">
      <c r="H17498" s="8" t="s">
        <v>364</v>
      </c>
    </row>
    <row r="17499">
      <c r="H17499" s="8" t="s">
        <v>364</v>
      </c>
    </row>
    <row r="17500">
      <c r="H17500" s="8" t="s">
        <v>364</v>
      </c>
    </row>
    <row r="17501">
      <c r="H17501" s="8" t="s">
        <v>364</v>
      </c>
    </row>
    <row r="17502">
      <c r="H17502" s="8" t="s">
        <v>364</v>
      </c>
    </row>
    <row r="17503">
      <c r="H17503" s="8" t="s">
        <v>364</v>
      </c>
    </row>
    <row r="17504">
      <c r="H17504" s="8" t="s">
        <v>364</v>
      </c>
    </row>
    <row r="17505">
      <c r="H17505" s="8" t="s">
        <v>364</v>
      </c>
    </row>
    <row r="17506">
      <c r="H17506" s="8" t="s">
        <v>364</v>
      </c>
    </row>
    <row r="17507">
      <c r="H17507" s="8" t="s">
        <v>364</v>
      </c>
    </row>
    <row r="17508">
      <c r="H17508" s="8" t="s">
        <v>364</v>
      </c>
    </row>
    <row r="17509">
      <c r="H17509" s="8" t="s">
        <v>364</v>
      </c>
    </row>
    <row r="17510">
      <c r="H17510" s="8" t="s">
        <v>364</v>
      </c>
    </row>
    <row r="17511">
      <c r="H17511" s="8" t="s">
        <v>364</v>
      </c>
    </row>
    <row r="17512">
      <c r="H17512" s="8" t="s">
        <v>364</v>
      </c>
    </row>
    <row r="17513">
      <c r="H17513" s="8" t="s">
        <v>364</v>
      </c>
    </row>
    <row r="17514">
      <c r="H17514" s="8" t="s">
        <v>364</v>
      </c>
    </row>
    <row r="17515">
      <c r="H17515" s="8" t="s">
        <v>364</v>
      </c>
    </row>
    <row r="17516">
      <c r="H17516" s="8" t="s">
        <v>364</v>
      </c>
    </row>
    <row r="17517">
      <c r="H17517" s="8" t="s">
        <v>364</v>
      </c>
    </row>
    <row r="17518">
      <c r="H17518" s="8" t="s">
        <v>364</v>
      </c>
    </row>
    <row r="17519">
      <c r="H17519" s="8" t="s">
        <v>364</v>
      </c>
    </row>
    <row r="17520">
      <c r="H17520" s="8" t="s">
        <v>364</v>
      </c>
    </row>
    <row r="17521">
      <c r="H17521" s="8" t="s">
        <v>364</v>
      </c>
    </row>
    <row r="17522">
      <c r="H17522" s="8" t="s">
        <v>364</v>
      </c>
    </row>
    <row r="17523">
      <c r="H17523" s="8" t="s">
        <v>364</v>
      </c>
    </row>
    <row r="17524">
      <c r="H17524" s="8" t="s">
        <v>364</v>
      </c>
    </row>
    <row r="17525">
      <c r="H17525" s="8" t="s">
        <v>364</v>
      </c>
    </row>
    <row r="17526">
      <c r="H17526" s="8" t="s">
        <v>364</v>
      </c>
    </row>
    <row r="17527">
      <c r="H17527" s="8" t="s">
        <v>364</v>
      </c>
    </row>
    <row r="17528">
      <c r="H17528" s="8" t="s">
        <v>364</v>
      </c>
    </row>
    <row r="17529">
      <c r="H17529" s="8" t="s">
        <v>364</v>
      </c>
    </row>
    <row r="17530">
      <c r="H17530" s="8" t="s">
        <v>364</v>
      </c>
    </row>
    <row r="17531">
      <c r="H17531" s="8" t="s">
        <v>364</v>
      </c>
    </row>
    <row r="17532">
      <c r="H17532" s="8" t="s">
        <v>364</v>
      </c>
    </row>
    <row r="17533">
      <c r="H17533" s="8" t="s">
        <v>364</v>
      </c>
    </row>
    <row r="17534">
      <c r="H17534" s="8" t="s">
        <v>364</v>
      </c>
    </row>
    <row r="17535">
      <c r="H17535" s="8" t="s">
        <v>364</v>
      </c>
    </row>
    <row r="17536">
      <c r="H17536" s="8" t="s">
        <v>364</v>
      </c>
    </row>
    <row r="17537">
      <c r="H17537" s="8" t="s">
        <v>364</v>
      </c>
    </row>
    <row r="17538">
      <c r="H17538" s="8" t="s">
        <v>364</v>
      </c>
    </row>
    <row r="17539">
      <c r="H17539" s="8" t="s">
        <v>364</v>
      </c>
    </row>
    <row r="17540">
      <c r="H17540" s="8" t="s">
        <v>364</v>
      </c>
    </row>
    <row r="17541">
      <c r="H17541" s="8" t="s">
        <v>364</v>
      </c>
    </row>
    <row r="17542">
      <c r="H17542" s="8" t="s">
        <v>364</v>
      </c>
    </row>
    <row r="17543">
      <c r="H17543" s="8" t="s">
        <v>364</v>
      </c>
    </row>
    <row r="17544">
      <c r="H17544" s="8" t="s">
        <v>364</v>
      </c>
    </row>
    <row r="17545">
      <c r="H17545" s="8" t="s">
        <v>364</v>
      </c>
    </row>
    <row r="17546">
      <c r="H17546" s="8" t="s">
        <v>364</v>
      </c>
    </row>
    <row r="17547">
      <c r="H17547" s="8" t="s">
        <v>364</v>
      </c>
    </row>
    <row r="17548">
      <c r="H17548" s="8" t="s">
        <v>364</v>
      </c>
    </row>
    <row r="17549">
      <c r="H17549" s="8" t="s">
        <v>364</v>
      </c>
    </row>
    <row r="17550">
      <c r="H17550" s="8" t="s">
        <v>364</v>
      </c>
    </row>
    <row r="17551">
      <c r="H17551" s="8" t="s">
        <v>364</v>
      </c>
    </row>
    <row r="17552">
      <c r="H17552" s="8" t="s">
        <v>364</v>
      </c>
    </row>
    <row r="17553">
      <c r="H17553" s="8" t="s">
        <v>364</v>
      </c>
    </row>
    <row r="17554">
      <c r="H17554" s="8" t="s">
        <v>364</v>
      </c>
    </row>
    <row r="17555">
      <c r="H17555" s="8" t="s">
        <v>364</v>
      </c>
    </row>
    <row r="17556">
      <c r="H17556" s="8" t="s">
        <v>364</v>
      </c>
    </row>
    <row r="17557">
      <c r="H17557" s="8" t="s">
        <v>364</v>
      </c>
    </row>
    <row r="17558">
      <c r="H17558" s="8" t="s">
        <v>364</v>
      </c>
    </row>
    <row r="17559">
      <c r="H17559" s="8" t="s">
        <v>364</v>
      </c>
    </row>
    <row r="17560">
      <c r="H17560" s="8" t="s">
        <v>364</v>
      </c>
    </row>
    <row r="17561">
      <c r="H17561" s="8" t="s">
        <v>364</v>
      </c>
    </row>
    <row r="17562">
      <c r="H17562" s="8" t="s">
        <v>364</v>
      </c>
    </row>
    <row r="17563">
      <c r="H17563" s="8" t="s">
        <v>364</v>
      </c>
    </row>
    <row r="17564">
      <c r="H17564" s="8" t="s">
        <v>364</v>
      </c>
    </row>
    <row r="17565">
      <c r="H17565" s="8" t="s">
        <v>364</v>
      </c>
    </row>
    <row r="17566">
      <c r="H17566" s="8" t="s">
        <v>364</v>
      </c>
    </row>
    <row r="17567">
      <c r="H17567" s="8" t="s">
        <v>364</v>
      </c>
    </row>
    <row r="17568">
      <c r="H17568" s="8" t="s">
        <v>364</v>
      </c>
    </row>
    <row r="17569">
      <c r="H17569" s="8" t="s">
        <v>364</v>
      </c>
    </row>
    <row r="17570">
      <c r="H17570" s="8" t="s">
        <v>364</v>
      </c>
    </row>
    <row r="17571">
      <c r="H17571" s="8" t="s">
        <v>364</v>
      </c>
    </row>
    <row r="17572">
      <c r="H17572" s="8" t="s">
        <v>364</v>
      </c>
    </row>
    <row r="17573">
      <c r="H17573" s="8" t="s">
        <v>364</v>
      </c>
    </row>
    <row r="17574">
      <c r="H17574" s="8" t="s">
        <v>364</v>
      </c>
    </row>
    <row r="17575">
      <c r="H17575" s="8" t="s">
        <v>364</v>
      </c>
    </row>
    <row r="17576">
      <c r="H17576" s="8" t="s">
        <v>364</v>
      </c>
    </row>
    <row r="17577">
      <c r="H17577" s="8" t="s">
        <v>364</v>
      </c>
    </row>
    <row r="17578">
      <c r="H17578" s="8" t="s">
        <v>364</v>
      </c>
    </row>
    <row r="17579">
      <c r="H17579" s="8" t="s">
        <v>364</v>
      </c>
    </row>
    <row r="17580">
      <c r="H17580" s="8" t="s">
        <v>364</v>
      </c>
    </row>
    <row r="17581">
      <c r="H17581" s="8" t="s">
        <v>364</v>
      </c>
    </row>
    <row r="17582">
      <c r="H17582" s="8" t="s">
        <v>364</v>
      </c>
    </row>
    <row r="17583">
      <c r="H17583" s="8" t="s">
        <v>364</v>
      </c>
    </row>
    <row r="17584">
      <c r="H17584" s="8" t="s">
        <v>364</v>
      </c>
    </row>
    <row r="17585">
      <c r="H17585" s="8" t="s">
        <v>364</v>
      </c>
    </row>
    <row r="17586">
      <c r="H17586" s="8" t="s">
        <v>364</v>
      </c>
    </row>
    <row r="17587">
      <c r="H17587" s="8" t="s">
        <v>364</v>
      </c>
    </row>
    <row r="17588">
      <c r="H17588" s="8" t="s">
        <v>364</v>
      </c>
    </row>
    <row r="17589">
      <c r="H17589" s="8" t="s">
        <v>364</v>
      </c>
    </row>
    <row r="17590">
      <c r="H17590" s="8" t="s">
        <v>364</v>
      </c>
    </row>
    <row r="17591">
      <c r="H17591" s="8" t="s">
        <v>364</v>
      </c>
    </row>
    <row r="17592">
      <c r="H17592" s="8" t="s">
        <v>364</v>
      </c>
    </row>
    <row r="17593">
      <c r="H17593" s="8" t="s">
        <v>364</v>
      </c>
    </row>
    <row r="17594">
      <c r="H17594" s="8" t="s">
        <v>364</v>
      </c>
    </row>
    <row r="17595">
      <c r="H17595" s="8" t="s">
        <v>364</v>
      </c>
    </row>
    <row r="17596">
      <c r="H17596" s="8" t="s">
        <v>364</v>
      </c>
    </row>
    <row r="17597">
      <c r="H17597" s="8" t="s">
        <v>364</v>
      </c>
    </row>
    <row r="17598">
      <c r="H17598" s="8" t="s">
        <v>364</v>
      </c>
    </row>
    <row r="17599">
      <c r="H17599" s="8" t="s">
        <v>364</v>
      </c>
    </row>
    <row r="17600">
      <c r="H17600" s="8" t="s">
        <v>364</v>
      </c>
    </row>
    <row r="17601">
      <c r="H17601" s="8" t="s">
        <v>364</v>
      </c>
    </row>
    <row r="17602">
      <c r="H17602" s="8" t="s">
        <v>364</v>
      </c>
    </row>
    <row r="17603">
      <c r="H17603" s="8" t="s">
        <v>364</v>
      </c>
    </row>
    <row r="17604">
      <c r="H17604" s="8" t="s">
        <v>364</v>
      </c>
    </row>
    <row r="17605">
      <c r="H17605" s="8" t="s">
        <v>364</v>
      </c>
    </row>
    <row r="17606">
      <c r="H17606" s="8" t="s">
        <v>364</v>
      </c>
    </row>
    <row r="17607">
      <c r="H17607" s="8" t="s">
        <v>364</v>
      </c>
    </row>
    <row r="17608">
      <c r="H17608" s="8" t="s">
        <v>364</v>
      </c>
    </row>
    <row r="17609">
      <c r="H17609" s="8" t="s">
        <v>364</v>
      </c>
    </row>
    <row r="17610">
      <c r="H17610" s="8" t="s">
        <v>364</v>
      </c>
    </row>
    <row r="17611">
      <c r="H17611" s="8" t="s">
        <v>364</v>
      </c>
    </row>
    <row r="17612">
      <c r="H17612" s="8" t="s">
        <v>364</v>
      </c>
    </row>
    <row r="17613">
      <c r="H17613" s="8" t="s">
        <v>364</v>
      </c>
    </row>
    <row r="17614">
      <c r="H17614" s="8" t="s">
        <v>364</v>
      </c>
    </row>
    <row r="17615">
      <c r="H17615" s="8" t="s">
        <v>364</v>
      </c>
    </row>
    <row r="17616">
      <c r="H17616" s="8" t="s">
        <v>364</v>
      </c>
    </row>
    <row r="17617">
      <c r="H17617" s="8" t="s">
        <v>364</v>
      </c>
    </row>
    <row r="17618">
      <c r="H17618" s="8" t="s">
        <v>364</v>
      </c>
    </row>
    <row r="17619">
      <c r="H17619" s="8" t="s">
        <v>364</v>
      </c>
    </row>
    <row r="17620">
      <c r="H17620" s="8" t="s">
        <v>364</v>
      </c>
    </row>
    <row r="17621">
      <c r="H17621" s="8" t="s">
        <v>364</v>
      </c>
    </row>
    <row r="17622">
      <c r="H17622" s="8" t="s">
        <v>364</v>
      </c>
    </row>
    <row r="17623">
      <c r="H17623" s="8" t="s">
        <v>364</v>
      </c>
    </row>
    <row r="17624">
      <c r="H17624" s="8" t="s">
        <v>364</v>
      </c>
    </row>
    <row r="17625">
      <c r="H17625" s="8" t="s">
        <v>364</v>
      </c>
    </row>
    <row r="17626">
      <c r="H17626" s="8" t="s">
        <v>364</v>
      </c>
    </row>
    <row r="17627">
      <c r="H17627" s="8" t="s">
        <v>364</v>
      </c>
    </row>
    <row r="17628">
      <c r="H17628" s="8" t="s">
        <v>364</v>
      </c>
    </row>
    <row r="17629">
      <c r="H17629" s="8" t="s">
        <v>364</v>
      </c>
    </row>
    <row r="17630">
      <c r="H17630" s="8" t="s">
        <v>364</v>
      </c>
    </row>
    <row r="17631">
      <c r="H17631" s="8" t="s">
        <v>364</v>
      </c>
    </row>
    <row r="17632">
      <c r="H17632" s="8" t="s">
        <v>364</v>
      </c>
    </row>
    <row r="17633">
      <c r="H17633" s="8" t="s">
        <v>364</v>
      </c>
    </row>
    <row r="17634">
      <c r="H17634" s="8" t="s">
        <v>364</v>
      </c>
    </row>
    <row r="17635">
      <c r="H17635" s="8" t="s">
        <v>364</v>
      </c>
    </row>
    <row r="17636">
      <c r="H17636" s="8" t="s">
        <v>364</v>
      </c>
    </row>
    <row r="17637">
      <c r="H17637" s="8" t="s">
        <v>364</v>
      </c>
    </row>
    <row r="17638">
      <c r="H17638" s="8" t="s">
        <v>364</v>
      </c>
    </row>
    <row r="17639">
      <c r="H17639" s="8" t="s">
        <v>364</v>
      </c>
    </row>
    <row r="17640">
      <c r="H17640" s="8" t="s">
        <v>364</v>
      </c>
    </row>
    <row r="17641">
      <c r="H17641" s="8" t="s">
        <v>364</v>
      </c>
    </row>
    <row r="17642">
      <c r="H17642" s="8" t="s">
        <v>364</v>
      </c>
    </row>
    <row r="17643">
      <c r="H17643" s="8" t="s">
        <v>364</v>
      </c>
    </row>
    <row r="17644">
      <c r="H17644" s="8" t="s">
        <v>364</v>
      </c>
    </row>
    <row r="17645">
      <c r="H17645" s="8" t="s">
        <v>364</v>
      </c>
    </row>
    <row r="17646">
      <c r="H17646" s="8" t="s">
        <v>364</v>
      </c>
    </row>
    <row r="17647">
      <c r="H17647" s="8" t="s">
        <v>364</v>
      </c>
    </row>
    <row r="17648">
      <c r="H17648" s="8" t="s">
        <v>364</v>
      </c>
    </row>
    <row r="17649">
      <c r="H17649" s="8" t="s">
        <v>364</v>
      </c>
    </row>
    <row r="17650">
      <c r="H17650" s="8" t="s">
        <v>364</v>
      </c>
    </row>
    <row r="17651">
      <c r="H17651" s="8" t="s">
        <v>364</v>
      </c>
    </row>
    <row r="17652">
      <c r="H17652" s="8" t="s">
        <v>364</v>
      </c>
    </row>
    <row r="17653">
      <c r="H17653" s="8" t="s">
        <v>364</v>
      </c>
    </row>
    <row r="17654">
      <c r="H17654" s="8" t="s">
        <v>364</v>
      </c>
    </row>
    <row r="17655">
      <c r="H17655" s="8" t="s">
        <v>364</v>
      </c>
    </row>
    <row r="17656">
      <c r="H17656" s="8" t="s">
        <v>364</v>
      </c>
    </row>
    <row r="17657">
      <c r="H17657" s="8" t="s">
        <v>364</v>
      </c>
    </row>
    <row r="17658">
      <c r="H17658" s="8" t="s">
        <v>364</v>
      </c>
    </row>
    <row r="17659">
      <c r="H17659" s="8" t="s">
        <v>364</v>
      </c>
    </row>
    <row r="17660">
      <c r="H17660" s="8" t="s">
        <v>364</v>
      </c>
    </row>
    <row r="17661">
      <c r="H17661" s="8" t="s">
        <v>364</v>
      </c>
    </row>
    <row r="17662">
      <c r="H17662" s="8" t="s">
        <v>364</v>
      </c>
    </row>
    <row r="17663">
      <c r="H17663" s="8" t="s">
        <v>364</v>
      </c>
    </row>
    <row r="17664">
      <c r="H17664" s="8" t="s">
        <v>364</v>
      </c>
    </row>
    <row r="17665">
      <c r="H17665" s="8" t="s">
        <v>364</v>
      </c>
    </row>
    <row r="17666">
      <c r="H17666" s="8" t="s">
        <v>364</v>
      </c>
    </row>
    <row r="17667">
      <c r="H17667" s="8" t="s">
        <v>364</v>
      </c>
    </row>
    <row r="17668">
      <c r="H17668" s="8" t="s">
        <v>364</v>
      </c>
    </row>
    <row r="17669">
      <c r="H17669" s="8" t="s">
        <v>364</v>
      </c>
    </row>
    <row r="17670">
      <c r="H17670" s="8" t="s">
        <v>364</v>
      </c>
    </row>
    <row r="17671">
      <c r="H17671" s="8" t="s">
        <v>364</v>
      </c>
    </row>
    <row r="17672">
      <c r="H17672" s="8" t="s">
        <v>364</v>
      </c>
    </row>
    <row r="17673">
      <c r="H17673" s="8" t="s">
        <v>364</v>
      </c>
    </row>
    <row r="17674">
      <c r="H17674" s="8" t="s">
        <v>364</v>
      </c>
    </row>
    <row r="17675">
      <c r="H17675" s="8" t="s">
        <v>364</v>
      </c>
    </row>
    <row r="17676">
      <c r="H17676" s="8" t="s">
        <v>364</v>
      </c>
    </row>
    <row r="17677">
      <c r="H17677" s="8" t="s">
        <v>364</v>
      </c>
    </row>
    <row r="17678">
      <c r="H17678" s="8" t="s">
        <v>364</v>
      </c>
    </row>
    <row r="17679">
      <c r="H17679" s="8" t="s">
        <v>364</v>
      </c>
    </row>
    <row r="17680">
      <c r="H17680" s="8" t="s">
        <v>364</v>
      </c>
    </row>
    <row r="17681">
      <c r="H17681" s="8" t="s">
        <v>364</v>
      </c>
    </row>
    <row r="17682">
      <c r="H17682" s="8" t="s">
        <v>364</v>
      </c>
    </row>
    <row r="17683">
      <c r="H17683" s="8" t="s">
        <v>364</v>
      </c>
    </row>
    <row r="17684">
      <c r="H17684" s="8" t="s">
        <v>364</v>
      </c>
    </row>
    <row r="17685">
      <c r="H17685" s="8" t="s">
        <v>364</v>
      </c>
    </row>
    <row r="17686">
      <c r="H17686" s="8" t="s">
        <v>364</v>
      </c>
    </row>
    <row r="17687">
      <c r="H17687" s="8" t="s">
        <v>364</v>
      </c>
    </row>
    <row r="17688">
      <c r="H17688" s="8" t="s">
        <v>364</v>
      </c>
    </row>
    <row r="17689">
      <c r="H17689" s="8" t="s">
        <v>364</v>
      </c>
    </row>
    <row r="17690">
      <c r="H17690" s="8" t="s">
        <v>364</v>
      </c>
    </row>
    <row r="17691">
      <c r="H17691" s="8" t="s">
        <v>364</v>
      </c>
    </row>
    <row r="17692">
      <c r="H17692" s="8" t="s">
        <v>364</v>
      </c>
    </row>
    <row r="17693">
      <c r="H17693" s="8" t="s">
        <v>364</v>
      </c>
    </row>
    <row r="17694">
      <c r="H17694" s="8" t="s">
        <v>364</v>
      </c>
    </row>
    <row r="17695">
      <c r="H17695" s="8" t="s">
        <v>364</v>
      </c>
    </row>
    <row r="17696">
      <c r="H17696" s="8" t="s">
        <v>364</v>
      </c>
    </row>
    <row r="17697">
      <c r="H17697" s="8" t="s">
        <v>364</v>
      </c>
    </row>
    <row r="17698">
      <c r="H17698" s="8" t="s">
        <v>364</v>
      </c>
    </row>
    <row r="17699">
      <c r="H17699" s="8" t="s">
        <v>364</v>
      </c>
    </row>
    <row r="17700">
      <c r="H17700" s="8" t="s">
        <v>364</v>
      </c>
    </row>
    <row r="17701">
      <c r="H17701" s="8" t="s">
        <v>364</v>
      </c>
    </row>
    <row r="17702">
      <c r="H17702" s="8" t="s">
        <v>364</v>
      </c>
    </row>
    <row r="17703">
      <c r="H17703" s="8" t="s">
        <v>364</v>
      </c>
    </row>
    <row r="17704">
      <c r="H17704" s="8" t="s">
        <v>364</v>
      </c>
    </row>
    <row r="17705">
      <c r="H17705" s="8" t="s">
        <v>364</v>
      </c>
    </row>
    <row r="17706">
      <c r="H17706" s="8" t="s">
        <v>364</v>
      </c>
    </row>
    <row r="17707">
      <c r="H17707" s="8" t="s">
        <v>364</v>
      </c>
    </row>
    <row r="17708">
      <c r="H17708" s="8" t="s">
        <v>364</v>
      </c>
    </row>
    <row r="17709">
      <c r="H17709" s="8" t="s">
        <v>364</v>
      </c>
    </row>
    <row r="17710">
      <c r="H17710" s="8" t="s">
        <v>364</v>
      </c>
    </row>
    <row r="17711">
      <c r="H17711" s="8" t="s">
        <v>364</v>
      </c>
    </row>
    <row r="17712">
      <c r="H17712" s="8" t="s">
        <v>364</v>
      </c>
    </row>
    <row r="17713">
      <c r="H17713" s="8" t="s">
        <v>364</v>
      </c>
    </row>
    <row r="17714">
      <c r="H17714" s="8" t="s">
        <v>364</v>
      </c>
    </row>
    <row r="17715">
      <c r="H17715" s="8" t="s">
        <v>364</v>
      </c>
    </row>
    <row r="17716">
      <c r="H17716" s="8" t="s">
        <v>364</v>
      </c>
    </row>
    <row r="17717">
      <c r="H17717" s="8" t="s">
        <v>364</v>
      </c>
    </row>
    <row r="17718">
      <c r="H17718" s="8" t="s">
        <v>364</v>
      </c>
    </row>
    <row r="17719">
      <c r="H17719" s="8" t="s">
        <v>364</v>
      </c>
    </row>
    <row r="17720">
      <c r="H17720" s="8" t="s">
        <v>364</v>
      </c>
    </row>
    <row r="17721">
      <c r="H17721" s="8" t="s">
        <v>364</v>
      </c>
    </row>
    <row r="17722">
      <c r="H17722" s="8" t="s">
        <v>364</v>
      </c>
    </row>
    <row r="17723">
      <c r="H17723" s="8" t="s">
        <v>364</v>
      </c>
    </row>
    <row r="17724">
      <c r="H17724" s="8" t="s">
        <v>364</v>
      </c>
    </row>
    <row r="17725">
      <c r="H17725" s="8" t="s">
        <v>364</v>
      </c>
    </row>
    <row r="17726">
      <c r="H17726" s="8" t="s">
        <v>364</v>
      </c>
    </row>
    <row r="17727">
      <c r="H17727" s="8" t="s">
        <v>364</v>
      </c>
    </row>
    <row r="17728">
      <c r="H17728" s="8" t="s">
        <v>364</v>
      </c>
    </row>
    <row r="17729">
      <c r="H17729" s="8" t="s">
        <v>364</v>
      </c>
    </row>
    <row r="17730">
      <c r="H17730" s="8" t="s">
        <v>364</v>
      </c>
    </row>
    <row r="17731">
      <c r="H17731" s="8" t="s">
        <v>364</v>
      </c>
    </row>
    <row r="17732">
      <c r="H17732" s="8" t="s">
        <v>364</v>
      </c>
    </row>
    <row r="17733">
      <c r="H17733" s="8" t="s">
        <v>364</v>
      </c>
    </row>
    <row r="17734">
      <c r="H17734" s="8" t="s">
        <v>364</v>
      </c>
    </row>
    <row r="17735">
      <c r="H17735" s="8" t="s">
        <v>364</v>
      </c>
    </row>
    <row r="17736">
      <c r="H17736" s="8" t="s">
        <v>364</v>
      </c>
    </row>
    <row r="17737">
      <c r="H17737" s="8" t="s">
        <v>364</v>
      </c>
    </row>
    <row r="17738">
      <c r="H17738" s="8" t="s">
        <v>364</v>
      </c>
    </row>
    <row r="17739">
      <c r="H17739" s="8" t="s">
        <v>364</v>
      </c>
    </row>
    <row r="17740">
      <c r="H17740" s="8" t="s">
        <v>364</v>
      </c>
    </row>
    <row r="17741">
      <c r="H17741" s="8" t="s">
        <v>364</v>
      </c>
    </row>
    <row r="17742">
      <c r="H17742" s="8" t="s">
        <v>364</v>
      </c>
    </row>
    <row r="17743">
      <c r="H17743" s="8" t="s">
        <v>364</v>
      </c>
    </row>
    <row r="17744">
      <c r="H17744" s="8" t="s">
        <v>364</v>
      </c>
    </row>
    <row r="17745">
      <c r="H17745" s="8" t="s">
        <v>364</v>
      </c>
    </row>
    <row r="17746">
      <c r="H17746" s="8" t="s">
        <v>364</v>
      </c>
    </row>
    <row r="17747">
      <c r="H17747" s="8" t="s">
        <v>364</v>
      </c>
    </row>
    <row r="17748">
      <c r="H17748" s="8" t="s">
        <v>364</v>
      </c>
    </row>
    <row r="17749">
      <c r="H17749" s="8" t="s">
        <v>364</v>
      </c>
    </row>
    <row r="17750">
      <c r="H17750" s="8" t="s">
        <v>364</v>
      </c>
    </row>
    <row r="17751">
      <c r="H17751" s="8" t="s">
        <v>364</v>
      </c>
    </row>
    <row r="17752">
      <c r="H17752" s="8" t="s">
        <v>364</v>
      </c>
    </row>
    <row r="17753">
      <c r="H17753" s="8" t="s">
        <v>364</v>
      </c>
    </row>
    <row r="17754">
      <c r="H17754" s="8" t="s">
        <v>364</v>
      </c>
    </row>
    <row r="17755">
      <c r="H17755" s="8" t="s">
        <v>364</v>
      </c>
    </row>
    <row r="17756">
      <c r="H17756" s="8" t="s">
        <v>364</v>
      </c>
    </row>
    <row r="17757">
      <c r="H17757" s="8" t="s">
        <v>364</v>
      </c>
    </row>
    <row r="17758">
      <c r="H17758" s="8" t="s">
        <v>364</v>
      </c>
    </row>
    <row r="17759">
      <c r="H17759" s="8" t="s">
        <v>364</v>
      </c>
    </row>
    <row r="17760">
      <c r="H17760" s="8" t="s">
        <v>364</v>
      </c>
    </row>
    <row r="17761">
      <c r="H17761" s="8" t="s">
        <v>364</v>
      </c>
    </row>
    <row r="17762">
      <c r="H17762" s="8" t="s">
        <v>364</v>
      </c>
    </row>
    <row r="17763">
      <c r="H17763" s="8" t="s">
        <v>364</v>
      </c>
    </row>
    <row r="17764">
      <c r="H17764" s="8" t="s">
        <v>364</v>
      </c>
    </row>
    <row r="17765">
      <c r="H17765" s="8" t="s">
        <v>364</v>
      </c>
    </row>
    <row r="17766">
      <c r="H17766" s="8" t="s">
        <v>364</v>
      </c>
    </row>
    <row r="17767">
      <c r="H17767" s="8" t="s">
        <v>364</v>
      </c>
    </row>
    <row r="17768">
      <c r="H17768" s="8" t="s">
        <v>364</v>
      </c>
    </row>
    <row r="17769">
      <c r="H17769" s="8" t="s">
        <v>364</v>
      </c>
    </row>
    <row r="17770">
      <c r="H17770" s="8" t="s">
        <v>364</v>
      </c>
    </row>
    <row r="17771">
      <c r="H17771" s="8" t="s">
        <v>364</v>
      </c>
    </row>
    <row r="17772">
      <c r="H17772" s="8" t="s">
        <v>364</v>
      </c>
    </row>
    <row r="17773">
      <c r="H17773" s="8" t="s">
        <v>364</v>
      </c>
    </row>
    <row r="17774">
      <c r="H17774" s="8" t="s">
        <v>364</v>
      </c>
    </row>
    <row r="17775">
      <c r="H17775" s="8" t="s">
        <v>364</v>
      </c>
    </row>
    <row r="17776">
      <c r="H17776" s="8" t="s">
        <v>364</v>
      </c>
    </row>
    <row r="17777">
      <c r="H17777" s="8" t="s">
        <v>364</v>
      </c>
    </row>
    <row r="17778">
      <c r="H17778" s="8" t="s">
        <v>364</v>
      </c>
    </row>
    <row r="17779">
      <c r="H17779" s="8" t="s">
        <v>364</v>
      </c>
    </row>
    <row r="17780">
      <c r="H17780" s="8" t="s">
        <v>364</v>
      </c>
    </row>
    <row r="17781">
      <c r="H17781" s="8" t="s">
        <v>364</v>
      </c>
    </row>
    <row r="17782">
      <c r="H17782" s="8" t="s">
        <v>364</v>
      </c>
    </row>
    <row r="17783">
      <c r="H17783" s="8" t="s">
        <v>364</v>
      </c>
    </row>
    <row r="17784">
      <c r="H17784" s="8" t="s">
        <v>364</v>
      </c>
    </row>
    <row r="17785">
      <c r="H17785" s="8" t="s">
        <v>364</v>
      </c>
    </row>
    <row r="17786">
      <c r="H17786" s="8" t="s">
        <v>364</v>
      </c>
    </row>
    <row r="17787">
      <c r="H17787" s="8" t="s">
        <v>364</v>
      </c>
    </row>
    <row r="17788">
      <c r="H17788" s="8" t="s">
        <v>364</v>
      </c>
    </row>
    <row r="17789">
      <c r="H17789" s="8" t="s">
        <v>364</v>
      </c>
    </row>
    <row r="17790">
      <c r="H17790" s="8" t="s">
        <v>364</v>
      </c>
    </row>
    <row r="17791">
      <c r="H17791" s="8" t="s">
        <v>364</v>
      </c>
    </row>
    <row r="17792">
      <c r="H17792" s="8" t="s">
        <v>364</v>
      </c>
    </row>
    <row r="17793">
      <c r="H17793" s="8" t="s">
        <v>364</v>
      </c>
    </row>
    <row r="17794">
      <c r="H17794" s="8" t="s">
        <v>364</v>
      </c>
    </row>
    <row r="17795">
      <c r="H17795" s="8" t="s">
        <v>364</v>
      </c>
    </row>
    <row r="17796">
      <c r="H17796" s="8" t="s">
        <v>364</v>
      </c>
    </row>
    <row r="17797">
      <c r="H17797" s="8" t="s">
        <v>364</v>
      </c>
    </row>
    <row r="17798">
      <c r="H17798" s="8" t="s">
        <v>364</v>
      </c>
    </row>
    <row r="17799">
      <c r="H17799" s="8" t="s">
        <v>364</v>
      </c>
    </row>
    <row r="17800">
      <c r="H17800" s="8" t="s">
        <v>364</v>
      </c>
    </row>
    <row r="17801">
      <c r="H17801" s="8" t="s">
        <v>364</v>
      </c>
    </row>
    <row r="17802">
      <c r="H17802" s="8" t="s">
        <v>364</v>
      </c>
    </row>
    <row r="17803">
      <c r="H17803" s="8" t="s">
        <v>364</v>
      </c>
    </row>
    <row r="17804">
      <c r="H17804" s="8" t="s">
        <v>364</v>
      </c>
    </row>
    <row r="17805">
      <c r="H17805" s="8" t="s">
        <v>364</v>
      </c>
    </row>
    <row r="17806">
      <c r="H17806" s="8" t="s">
        <v>364</v>
      </c>
    </row>
    <row r="17807">
      <c r="H17807" s="8" t="s">
        <v>364</v>
      </c>
    </row>
    <row r="17808">
      <c r="H17808" s="8" t="s">
        <v>364</v>
      </c>
    </row>
    <row r="17809">
      <c r="H17809" s="8" t="s">
        <v>364</v>
      </c>
    </row>
    <row r="17810">
      <c r="H17810" s="8" t="s">
        <v>364</v>
      </c>
    </row>
    <row r="17811">
      <c r="H17811" s="8" t="s">
        <v>364</v>
      </c>
    </row>
    <row r="17812">
      <c r="H17812" s="8" t="s">
        <v>364</v>
      </c>
    </row>
    <row r="17813">
      <c r="H17813" s="8" t="s">
        <v>364</v>
      </c>
    </row>
    <row r="17814">
      <c r="H17814" s="8" t="s">
        <v>364</v>
      </c>
    </row>
    <row r="17815">
      <c r="H17815" s="8" t="s">
        <v>364</v>
      </c>
    </row>
    <row r="17816">
      <c r="H17816" s="8" t="s">
        <v>364</v>
      </c>
    </row>
    <row r="17817">
      <c r="H17817" s="8" t="s">
        <v>364</v>
      </c>
    </row>
    <row r="17818">
      <c r="H17818" s="8" t="s">
        <v>364</v>
      </c>
    </row>
    <row r="17819">
      <c r="H17819" s="8" t="s">
        <v>364</v>
      </c>
    </row>
    <row r="17820">
      <c r="H17820" s="8" t="s">
        <v>364</v>
      </c>
    </row>
    <row r="17821">
      <c r="H17821" s="8" t="s">
        <v>364</v>
      </c>
    </row>
    <row r="17822">
      <c r="H17822" s="8" t="s">
        <v>364</v>
      </c>
    </row>
    <row r="17823">
      <c r="H17823" s="8" t="s">
        <v>364</v>
      </c>
    </row>
    <row r="17824">
      <c r="H17824" s="8" t="s">
        <v>364</v>
      </c>
    </row>
    <row r="17825">
      <c r="H17825" s="8" t="s">
        <v>364</v>
      </c>
    </row>
    <row r="17826">
      <c r="H17826" s="8" t="s">
        <v>364</v>
      </c>
    </row>
    <row r="17827">
      <c r="H17827" s="8" t="s">
        <v>364</v>
      </c>
    </row>
    <row r="17828">
      <c r="H17828" s="8" t="s">
        <v>364</v>
      </c>
    </row>
    <row r="17829">
      <c r="H17829" s="8" t="s">
        <v>364</v>
      </c>
    </row>
    <row r="17830">
      <c r="H17830" s="8" t="s">
        <v>364</v>
      </c>
    </row>
    <row r="17831">
      <c r="H17831" s="8" t="s">
        <v>364</v>
      </c>
    </row>
    <row r="17832">
      <c r="H17832" s="8" t="s">
        <v>364</v>
      </c>
    </row>
    <row r="17833">
      <c r="H17833" s="8" t="s">
        <v>364</v>
      </c>
    </row>
    <row r="17834">
      <c r="H17834" s="8" t="s">
        <v>364</v>
      </c>
    </row>
    <row r="17835">
      <c r="H17835" s="8" t="s">
        <v>364</v>
      </c>
    </row>
    <row r="17836">
      <c r="H17836" s="8" t="s">
        <v>364</v>
      </c>
    </row>
    <row r="17837">
      <c r="H17837" s="8" t="s">
        <v>364</v>
      </c>
    </row>
    <row r="17838">
      <c r="H17838" s="8" t="s">
        <v>364</v>
      </c>
    </row>
    <row r="17839">
      <c r="H17839" s="8" t="s">
        <v>364</v>
      </c>
    </row>
    <row r="17840">
      <c r="H17840" s="8" t="s">
        <v>364</v>
      </c>
    </row>
    <row r="17841">
      <c r="H17841" s="8" t="s">
        <v>364</v>
      </c>
    </row>
    <row r="17842">
      <c r="H17842" s="8" t="s">
        <v>364</v>
      </c>
    </row>
    <row r="17843">
      <c r="H17843" s="8" t="s">
        <v>364</v>
      </c>
    </row>
    <row r="17844">
      <c r="H17844" s="8" t="s">
        <v>364</v>
      </c>
    </row>
    <row r="17845">
      <c r="H17845" s="8" t="s">
        <v>364</v>
      </c>
    </row>
    <row r="17846">
      <c r="H17846" s="8" t="s">
        <v>364</v>
      </c>
    </row>
    <row r="17847">
      <c r="H17847" s="8" t="s">
        <v>364</v>
      </c>
    </row>
    <row r="17848">
      <c r="H17848" s="8" t="s">
        <v>364</v>
      </c>
    </row>
    <row r="17849">
      <c r="H17849" s="8" t="s">
        <v>364</v>
      </c>
    </row>
    <row r="17850">
      <c r="H17850" s="8" t="s">
        <v>364</v>
      </c>
    </row>
    <row r="17851">
      <c r="H17851" s="8" t="s">
        <v>364</v>
      </c>
    </row>
    <row r="17852">
      <c r="H17852" s="8" t="s">
        <v>364</v>
      </c>
    </row>
    <row r="17853">
      <c r="H17853" s="8" t="s">
        <v>364</v>
      </c>
    </row>
    <row r="17854">
      <c r="H17854" s="8" t="s">
        <v>364</v>
      </c>
    </row>
    <row r="17855">
      <c r="H17855" s="8" t="s">
        <v>364</v>
      </c>
    </row>
    <row r="17856">
      <c r="H17856" s="8" t="s">
        <v>364</v>
      </c>
    </row>
    <row r="17857">
      <c r="H17857" s="8" t="s">
        <v>364</v>
      </c>
    </row>
    <row r="17858">
      <c r="H17858" s="8" t="s">
        <v>364</v>
      </c>
    </row>
    <row r="17859">
      <c r="H17859" s="8" t="s">
        <v>364</v>
      </c>
    </row>
    <row r="17860">
      <c r="H17860" s="8" t="s">
        <v>364</v>
      </c>
    </row>
    <row r="17861">
      <c r="H17861" s="8" t="s">
        <v>364</v>
      </c>
    </row>
    <row r="17862">
      <c r="H17862" s="8" t="s">
        <v>364</v>
      </c>
    </row>
    <row r="17863">
      <c r="H17863" s="8" t="s">
        <v>364</v>
      </c>
    </row>
    <row r="17864">
      <c r="H17864" s="8" t="s">
        <v>364</v>
      </c>
    </row>
    <row r="17865">
      <c r="H17865" s="8" t="s">
        <v>364</v>
      </c>
    </row>
    <row r="17866">
      <c r="H17866" s="8" t="s">
        <v>364</v>
      </c>
    </row>
    <row r="17867">
      <c r="H17867" s="8" t="s">
        <v>364</v>
      </c>
    </row>
    <row r="17868">
      <c r="H17868" s="8" t="s">
        <v>364</v>
      </c>
    </row>
    <row r="17869">
      <c r="H17869" s="8" t="s">
        <v>364</v>
      </c>
    </row>
    <row r="17870">
      <c r="H17870" s="8" t="s">
        <v>364</v>
      </c>
    </row>
    <row r="17871">
      <c r="H17871" s="8" t="s">
        <v>364</v>
      </c>
    </row>
    <row r="17872">
      <c r="H17872" s="8" t="s">
        <v>364</v>
      </c>
    </row>
    <row r="17873">
      <c r="H17873" s="8" t="s">
        <v>364</v>
      </c>
    </row>
    <row r="17874">
      <c r="H17874" s="8" t="s">
        <v>364</v>
      </c>
    </row>
    <row r="17875">
      <c r="H17875" s="8" t="s">
        <v>364</v>
      </c>
    </row>
    <row r="17876">
      <c r="H17876" s="8" t="s">
        <v>364</v>
      </c>
    </row>
    <row r="17877">
      <c r="H17877" s="8" t="s">
        <v>364</v>
      </c>
    </row>
    <row r="17878">
      <c r="H17878" s="8" t="s">
        <v>364</v>
      </c>
    </row>
    <row r="17879">
      <c r="H17879" s="8" t="s">
        <v>364</v>
      </c>
    </row>
    <row r="17880">
      <c r="H17880" s="8" t="s">
        <v>364</v>
      </c>
    </row>
    <row r="17881">
      <c r="H17881" s="8" t="s">
        <v>364</v>
      </c>
    </row>
    <row r="17882">
      <c r="H17882" s="8" t="s">
        <v>364</v>
      </c>
    </row>
    <row r="17883">
      <c r="H17883" s="8" t="s">
        <v>364</v>
      </c>
    </row>
    <row r="17884">
      <c r="H17884" s="8" t="s">
        <v>364</v>
      </c>
    </row>
    <row r="17885">
      <c r="H17885" s="8" t="s">
        <v>364</v>
      </c>
    </row>
    <row r="17886">
      <c r="H17886" s="8" t="s">
        <v>364</v>
      </c>
    </row>
    <row r="17887">
      <c r="H17887" s="8" t="s">
        <v>364</v>
      </c>
    </row>
    <row r="17888">
      <c r="H17888" s="8" t="s">
        <v>364</v>
      </c>
    </row>
    <row r="17889">
      <c r="H17889" s="8" t="s">
        <v>364</v>
      </c>
    </row>
    <row r="17890">
      <c r="H17890" s="8" t="s">
        <v>364</v>
      </c>
    </row>
    <row r="17891">
      <c r="H17891" s="8" t="s">
        <v>364</v>
      </c>
    </row>
    <row r="17892">
      <c r="H17892" s="8" t="s">
        <v>364</v>
      </c>
    </row>
    <row r="17893">
      <c r="H17893" s="8" t="s">
        <v>364</v>
      </c>
    </row>
    <row r="17894">
      <c r="H17894" s="8" t="s">
        <v>364</v>
      </c>
    </row>
    <row r="17895">
      <c r="H17895" s="8" t="s">
        <v>364</v>
      </c>
    </row>
    <row r="17896">
      <c r="H17896" s="8" t="s">
        <v>364</v>
      </c>
    </row>
    <row r="17897">
      <c r="H17897" s="8" t="s">
        <v>364</v>
      </c>
    </row>
    <row r="17898">
      <c r="H17898" s="8" t="s">
        <v>364</v>
      </c>
    </row>
    <row r="17899">
      <c r="H17899" s="8" t="s">
        <v>364</v>
      </c>
    </row>
    <row r="17900">
      <c r="H17900" s="8" t="s">
        <v>364</v>
      </c>
    </row>
    <row r="17901">
      <c r="H17901" s="8" t="s">
        <v>364</v>
      </c>
    </row>
    <row r="17902">
      <c r="H17902" s="8" t="s">
        <v>364</v>
      </c>
    </row>
    <row r="17903">
      <c r="H17903" s="8" t="s">
        <v>364</v>
      </c>
    </row>
    <row r="17904">
      <c r="H17904" s="8" t="s">
        <v>364</v>
      </c>
    </row>
    <row r="17905">
      <c r="H17905" s="8" t="s">
        <v>364</v>
      </c>
    </row>
    <row r="17906">
      <c r="H17906" s="8" t="s">
        <v>364</v>
      </c>
    </row>
    <row r="17907">
      <c r="H17907" s="8" t="s">
        <v>364</v>
      </c>
    </row>
    <row r="17908">
      <c r="H17908" s="8" t="s">
        <v>364</v>
      </c>
    </row>
    <row r="17909">
      <c r="H17909" s="8" t="s">
        <v>364</v>
      </c>
    </row>
    <row r="17910">
      <c r="H17910" s="8" t="s">
        <v>364</v>
      </c>
    </row>
    <row r="17911">
      <c r="H17911" s="8" t="s">
        <v>364</v>
      </c>
    </row>
    <row r="17912">
      <c r="H17912" s="8" t="s">
        <v>364</v>
      </c>
    </row>
    <row r="17913">
      <c r="H17913" s="8" t="s">
        <v>364</v>
      </c>
    </row>
    <row r="17914">
      <c r="H17914" s="8" t="s">
        <v>364</v>
      </c>
    </row>
    <row r="17915">
      <c r="H17915" s="8" t="s">
        <v>364</v>
      </c>
    </row>
    <row r="17916">
      <c r="H17916" s="8" t="s">
        <v>364</v>
      </c>
    </row>
    <row r="17917">
      <c r="H17917" s="8" t="s">
        <v>364</v>
      </c>
    </row>
    <row r="17918">
      <c r="H17918" s="8" t="s">
        <v>364</v>
      </c>
    </row>
    <row r="17919">
      <c r="H17919" s="8" t="s">
        <v>364</v>
      </c>
    </row>
    <row r="17920">
      <c r="H17920" s="8" t="s">
        <v>364</v>
      </c>
    </row>
    <row r="17921">
      <c r="H17921" s="8" t="s">
        <v>364</v>
      </c>
    </row>
    <row r="17922">
      <c r="H17922" s="8" t="s">
        <v>364</v>
      </c>
    </row>
    <row r="17923">
      <c r="H17923" s="8" t="s">
        <v>364</v>
      </c>
    </row>
    <row r="17924">
      <c r="H17924" s="8" t="s">
        <v>364</v>
      </c>
    </row>
    <row r="17925">
      <c r="H17925" s="8" t="s">
        <v>364</v>
      </c>
    </row>
    <row r="17926">
      <c r="H17926" s="8" t="s">
        <v>364</v>
      </c>
    </row>
    <row r="17927">
      <c r="H17927" s="8" t="s">
        <v>364</v>
      </c>
    </row>
    <row r="17928">
      <c r="H17928" s="8" t="s">
        <v>364</v>
      </c>
    </row>
    <row r="17929">
      <c r="H17929" s="8" t="s">
        <v>364</v>
      </c>
    </row>
    <row r="17930">
      <c r="H17930" s="8" t="s">
        <v>364</v>
      </c>
    </row>
    <row r="17931">
      <c r="H17931" s="8" t="s">
        <v>364</v>
      </c>
    </row>
    <row r="17932">
      <c r="H17932" s="8" t="s">
        <v>364</v>
      </c>
    </row>
    <row r="17933">
      <c r="H17933" s="8" t="s">
        <v>364</v>
      </c>
    </row>
    <row r="17934">
      <c r="H17934" s="8" t="s">
        <v>364</v>
      </c>
    </row>
    <row r="17935">
      <c r="H17935" s="8" t="s">
        <v>364</v>
      </c>
    </row>
    <row r="17936">
      <c r="H17936" s="8" t="s">
        <v>364</v>
      </c>
    </row>
    <row r="17937">
      <c r="H17937" s="8" t="s">
        <v>364</v>
      </c>
    </row>
    <row r="17938">
      <c r="H17938" s="8" t="s">
        <v>364</v>
      </c>
    </row>
    <row r="17939">
      <c r="H17939" s="8" t="s">
        <v>364</v>
      </c>
    </row>
    <row r="17940">
      <c r="H17940" s="8" t="s">
        <v>364</v>
      </c>
    </row>
    <row r="17941">
      <c r="H17941" s="8" t="s">
        <v>364</v>
      </c>
    </row>
    <row r="17942">
      <c r="H17942" s="8" t="s">
        <v>364</v>
      </c>
    </row>
    <row r="17943">
      <c r="H17943" s="8" t="s">
        <v>364</v>
      </c>
    </row>
    <row r="17944">
      <c r="H17944" s="8" t="s">
        <v>364</v>
      </c>
    </row>
    <row r="17945">
      <c r="H17945" s="8" t="s">
        <v>364</v>
      </c>
    </row>
    <row r="17946">
      <c r="H17946" s="8" t="s">
        <v>364</v>
      </c>
    </row>
    <row r="17947">
      <c r="H17947" s="8" t="s">
        <v>364</v>
      </c>
    </row>
    <row r="17948">
      <c r="H17948" s="8" t="s">
        <v>364</v>
      </c>
    </row>
    <row r="17949">
      <c r="H17949" s="8" t="s">
        <v>364</v>
      </c>
    </row>
    <row r="17950">
      <c r="H17950" s="8" t="s">
        <v>364</v>
      </c>
    </row>
    <row r="17951">
      <c r="H17951" s="8" t="s">
        <v>364</v>
      </c>
    </row>
    <row r="17952">
      <c r="H17952" s="8" t="s">
        <v>364</v>
      </c>
    </row>
    <row r="17953">
      <c r="H17953" s="8" t="s">
        <v>364</v>
      </c>
    </row>
    <row r="17954">
      <c r="H17954" s="8" t="s">
        <v>364</v>
      </c>
    </row>
    <row r="17955">
      <c r="H17955" s="8" t="s">
        <v>364</v>
      </c>
    </row>
    <row r="17956">
      <c r="H17956" s="8" t="s">
        <v>364</v>
      </c>
    </row>
    <row r="17957">
      <c r="H17957" s="8" t="s">
        <v>364</v>
      </c>
    </row>
    <row r="17958">
      <c r="H17958" s="8" t="s">
        <v>364</v>
      </c>
    </row>
    <row r="17959">
      <c r="H17959" s="8" t="s">
        <v>364</v>
      </c>
    </row>
    <row r="17960">
      <c r="H17960" s="8" t="s">
        <v>364</v>
      </c>
    </row>
    <row r="17961">
      <c r="H17961" s="8" t="s">
        <v>364</v>
      </c>
    </row>
    <row r="17962">
      <c r="H17962" s="8" t="s">
        <v>364</v>
      </c>
    </row>
    <row r="17963">
      <c r="H17963" s="8" t="s">
        <v>364</v>
      </c>
    </row>
    <row r="17964">
      <c r="H17964" s="8" t="s">
        <v>364</v>
      </c>
    </row>
    <row r="17965">
      <c r="H17965" s="8" t="s">
        <v>364</v>
      </c>
    </row>
    <row r="17966">
      <c r="H17966" s="8" t="s">
        <v>364</v>
      </c>
    </row>
    <row r="17967">
      <c r="H17967" s="8" t="s">
        <v>364</v>
      </c>
    </row>
    <row r="17968">
      <c r="H17968" s="8" t="s">
        <v>364</v>
      </c>
    </row>
    <row r="17969">
      <c r="H17969" s="8" t="s">
        <v>364</v>
      </c>
    </row>
    <row r="17970">
      <c r="H17970" s="8" t="s">
        <v>364</v>
      </c>
    </row>
    <row r="17971">
      <c r="H17971" s="8" t="s">
        <v>364</v>
      </c>
    </row>
    <row r="17972">
      <c r="H17972" s="8" t="s">
        <v>364</v>
      </c>
    </row>
    <row r="17973">
      <c r="H17973" s="8" t="s">
        <v>364</v>
      </c>
    </row>
    <row r="17974">
      <c r="H17974" s="8" t="s">
        <v>364</v>
      </c>
    </row>
    <row r="17975">
      <c r="H17975" s="8" t="s">
        <v>364</v>
      </c>
    </row>
    <row r="17976">
      <c r="H17976" s="8" t="s">
        <v>364</v>
      </c>
    </row>
    <row r="17977">
      <c r="H17977" s="8" t="s">
        <v>364</v>
      </c>
    </row>
    <row r="17978">
      <c r="H17978" s="8" t="s">
        <v>364</v>
      </c>
    </row>
    <row r="17979">
      <c r="H17979" s="8" t="s">
        <v>364</v>
      </c>
    </row>
    <row r="17980">
      <c r="H17980" s="8" t="s">
        <v>364</v>
      </c>
    </row>
    <row r="17981">
      <c r="H17981" s="8" t="s">
        <v>364</v>
      </c>
    </row>
    <row r="17982">
      <c r="H17982" s="8" t="s">
        <v>364</v>
      </c>
    </row>
    <row r="17983">
      <c r="H17983" s="8" t="s">
        <v>364</v>
      </c>
    </row>
    <row r="17984">
      <c r="H17984" s="8" t="s">
        <v>364</v>
      </c>
    </row>
    <row r="17985">
      <c r="H17985" s="8" t="s">
        <v>364</v>
      </c>
    </row>
    <row r="17986">
      <c r="H17986" s="8" t="s">
        <v>364</v>
      </c>
    </row>
    <row r="17987">
      <c r="H17987" s="8" t="s">
        <v>364</v>
      </c>
    </row>
    <row r="17988">
      <c r="H17988" s="8" t="s">
        <v>364</v>
      </c>
    </row>
    <row r="17989">
      <c r="H17989" s="8" t="s">
        <v>364</v>
      </c>
    </row>
    <row r="17990">
      <c r="H17990" s="8" t="s">
        <v>364</v>
      </c>
    </row>
    <row r="17991">
      <c r="H17991" s="8" t="s">
        <v>364</v>
      </c>
    </row>
    <row r="17992">
      <c r="H17992" s="8" t="s">
        <v>364</v>
      </c>
    </row>
    <row r="17993">
      <c r="H17993" s="8" t="s">
        <v>364</v>
      </c>
    </row>
    <row r="17994">
      <c r="H17994" s="8" t="s">
        <v>364</v>
      </c>
    </row>
    <row r="17995">
      <c r="H17995" s="8" t="s">
        <v>364</v>
      </c>
    </row>
    <row r="17996">
      <c r="H17996" s="8" t="s">
        <v>364</v>
      </c>
    </row>
    <row r="17997">
      <c r="H17997" s="8" t="s">
        <v>364</v>
      </c>
    </row>
    <row r="17998">
      <c r="H17998" s="8" t="s">
        <v>364</v>
      </c>
    </row>
    <row r="17999">
      <c r="H17999" s="8" t="s">
        <v>364</v>
      </c>
    </row>
    <row r="18000">
      <c r="H18000" s="8" t="s">
        <v>364</v>
      </c>
    </row>
    <row r="18001">
      <c r="H18001" s="8" t="s">
        <v>364</v>
      </c>
    </row>
    <row r="18002">
      <c r="H18002" s="8" t="s">
        <v>364</v>
      </c>
    </row>
    <row r="18003">
      <c r="H18003" s="8" t="s">
        <v>364</v>
      </c>
    </row>
    <row r="18004">
      <c r="H18004" s="8" t="s">
        <v>364</v>
      </c>
    </row>
    <row r="18005">
      <c r="H18005" s="8" t="s">
        <v>364</v>
      </c>
    </row>
    <row r="18006">
      <c r="H18006" s="8" t="s">
        <v>364</v>
      </c>
    </row>
    <row r="18007">
      <c r="H18007" s="8" t="s">
        <v>364</v>
      </c>
    </row>
    <row r="18008">
      <c r="H18008" s="8" t="s">
        <v>364</v>
      </c>
    </row>
    <row r="18009">
      <c r="H18009" s="8" t="s">
        <v>364</v>
      </c>
    </row>
    <row r="18010">
      <c r="H18010" s="8" t="s">
        <v>364</v>
      </c>
    </row>
    <row r="18011">
      <c r="H18011" s="8" t="s">
        <v>364</v>
      </c>
    </row>
    <row r="18012">
      <c r="H18012" s="8" t="s">
        <v>364</v>
      </c>
    </row>
    <row r="18013">
      <c r="H18013" s="8" t="s">
        <v>364</v>
      </c>
    </row>
    <row r="18014">
      <c r="H18014" s="8" t="s">
        <v>364</v>
      </c>
    </row>
    <row r="18015">
      <c r="H18015" s="8" t="s">
        <v>364</v>
      </c>
    </row>
    <row r="18016">
      <c r="H18016" s="8" t="s">
        <v>364</v>
      </c>
    </row>
    <row r="18017">
      <c r="H18017" s="8" t="s">
        <v>364</v>
      </c>
    </row>
    <row r="18018">
      <c r="H18018" s="8" t="s">
        <v>364</v>
      </c>
    </row>
    <row r="18019">
      <c r="H18019" s="8" t="s">
        <v>364</v>
      </c>
    </row>
    <row r="18020">
      <c r="H18020" s="8" t="s">
        <v>364</v>
      </c>
    </row>
    <row r="18021">
      <c r="H18021" s="8" t="s">
        <v>364</v>
      </c>
    </row>
    <row r="18022">
      <c r="H18022" s="8" t="s">
        <v>364</v>
      </c>
    </row>
    <row r="18023">
      <c r="H18023" s="8" t="s">
        <v>364</v>
      </c>
    </row>
    <row r="18024">
      <c r="H18024" s="8" t="s">
        <v>364</v>
      </c>
    </row>
    <row r="18025">
      <c r="H18025" s="8" t="s">
        <v>364</v>
      </c>
    </row>
    <row r="18026">
      <c r="H18026" s="8" t="s">
        <v>364</v>
      </c>
    </row>
    <row r="18027">
      <c r="H18027" s="8" t="s">
        <v>364</v>
      </c>
    </row>
    <row r="18028">
      <c r="H18028" s="8" t="s">
        <v>364</v>
      </c>
    </row>
    <row r="18029">
      <c r="H18029" s="8" t="s">
        <v>364</v>
      </c>
    </row>
    <row r="18030">
      <c r="H18030" s="8" t="s">
        <v>364</v>
      </c>
    </row>
    <row r="18031">
      <c r="H18031" s="8" t="s">
        <v>364</v>
      </c>
    </row>
    <row r="18032">
      <c r="H18032" s="8" t="s">
        <v>364</v>
      </c>
    </row>
    <row r="18033">
      <c r="H18033" s="8" t="s">
        <v>364</v>
      </c>
    </row>
    <row r="18034">
      <c r="H18034" s="8" t="s">
        <v>364</v>
      </c>
    </row>
    <row r="18035">
      <c r="H18035" s="8" t="s">
        <v>364</v>
      </c>
    </row>
    <row r="18036">
      <c r="H18036" s="8" t="s">
        <v>364</v>
      </c>
    </row>
    <row r="18037">
      <c r="H18037" s="8" t="s">
        <v>364</v>
      </c>
    </row>
    <row r="18038">
      <c r="H18038" s="8" t="s">
        <v>364</v>
      </c>
    </row>
    <row r="18039">
      <c r="H18039" s="8" t="s">
        <v>364</v>
      </c>
    </row>
    <row r="18040">
      <c r="H18040" s="8" t="s">
        <v>364</v>
      </c>
    </row>
    <row r="18041">
      <c r="H18041" s="8" t="s">
        <v>364</v>
      </c>
    </row>
    <row r="18042">
      <c r="H18042" s="8" t="s">
        <v>364</v>
      </c>
    </row>
    <row r="18043">
      <c r="H18043" s="8" t="s">
        <v>364</v>
      </c>
    </row>
    <row r="18044">
      <c r="H18044" s="8" t="s">
        <v>364</v>
      </c>
    </row>
    <row r="18045">
      <c r="H18045" s="8" t="s">
        <v>364</v>
      </c>
    </row>
    <row r="18046">
      <c r="H18046" s="8" t="s">
        <v>364</v>
      </c>
    </row>
    <row r="18047">
      <c r="H18047" s="8" t="s">
        <v>364</v>
      </c>
    </row>
    <row r="18048">
      <c r="H18048" s="8" t="s">
        <v>364</v>
      </c>
    </row>
    <row r="18049">
      <c r="H18049" s="8" t="s">
        <v>364</v>
      </c>
    </row>
    <row r="18050">
      <c r="H18050" s="8" t="s">
        <v>364</v>
      </c>
    </row>
    <row r="18051">
      <c r="H18051" s="8" t="s">
        <v>364</v>
      </c>
    </row>
    <row r="18052">
      <c r="H18052" s="8" t="s">
        <v>364</v>
      </c>
    </row>
    <row r="18053">
      <c r="H18053" s="8" t="s">
        <v>364</v>
      </c>
    </row>
    <row r="18054">
      <c r="H18054" s="8" t="s">
        <v>364</v>
      </c>
    </row>
    <row r="18055">
      <c r="H18055" s="8" t="s">
        <v>364</v>
      </c>
    </row>
    <row r="18056">
      <c r="H18056" s="8" t="s">
        <v>364</v>
      </c>
    </row>
    <row r="18057">
      <c r="H18057" s="8" t="s">
        <v>364</v>
      </c>
    </row>
    <row r="18058">
      <c r="H18058" s="8" t="s">
        <v>364</v>
      </c>
    </row>
    <row r="18059">
      <c r="H18059" s="8" t="s">
        <v>364</v>
      </c>
    </row>
    <row r="18060">
      <c r="H18060" s="8" t="s">
        <v>364</v>
      </c>
    </row>
    <row r="18061">
      <c r="H18061" s="8" t="s">
        <v>364</v>
      </c>
    </row>
    <row r="18062">
      <c r="H18062" s="8" t="s">
        <v>364</v>
      </c>
    </row>
    <row r="18063">
      <c r="H18063" s="8" t="s">
        <v>364</v>
      </c>
    </row>
    <row r="18064">
      <c r="H18064" s="8" t="s">
        <v>364</v>
      </c>
    </row>
    <row r="18065">
      <c r="H18065" s="8" t="s">
        <v>364</v>
      </c>
    </row>
    <row r="18066">
      <c r="H18066" s="8" t="s">
        <v>364</v>
      </c>
    </row>
    <row r="18067">
      <c r="H18067" s="8" t="s">
        <v>364</v>
      </c>
    </row>
    <row r="18068">
      <c r="H18068" s="8" t="s">
        <v>364</v>
      </c>
    </row>
    <row r="18069">
      <c r="H18069" s="8" t="s">
        <v>364</v>
      </c>
    </row>
    <row r="18070">
      <c r="H18070" s="8" t="s">
        <v>364</v>
      </c>
    </row>
    <row r="18071">
      <c r="H18071" s="8" t="s">
        <v>364</v>
      </c>
    </row>
    <row r="18072">
      <c r="H18072" s="8" t="s">
        <v>364</v>
      </c>
    </row>
    <row r="18073">
      <c r="H18073" s="8" t="s">
        <v>364</v>
      </c>
    </row>
    <row r="18074">
      <c r="H18074" s="8" t="s">
        <v>364</v>
      </c>
    </row>
    <row r="18075">
      <c r="H18075" s="8" t="s">
        <v>364</v>
      </c>
    </row>
    <row r="18076">
      <c r="H18076" s="8" t="s">
        <v>364</v>
      </c>
    </row>
    <row r="18077">
      <c r="H18077" s="8" t="s">
        <v>364</v>
      </c>
    </row>
    <row r="18078">
      <c r="H18078" s="8" t="s">
        <v>364</v>
      </c>
    </row>
    <row r="18079">
      <c r="H18079" s="8" t="s">
        <v>364</v>
      </c>
    </row>
    <row r="18080">
      <c r="H18080" s="8" t="s">
        <v>364</v>
      </c>
    </row>
    <row r="18081">
      <c r="H18081" s="8" t="s">
        <v>364</v>
      </c>
    </row>
    <row r="18082">
      <c r="H18082" s="8" t="s">
        <v>364</v>
      </c>
    </row>
    <row r="18083">
      <c r="H18083" s="8" t="s">
        <v>364</v>
      </c>
    </row>
    <row r="18084">
      <c r="H18084" s="8" t="s">
        <v>364</v>
      </c>
    </row>
    <row r="18085">
      <c r="H18085" s="8" t="s">
        <v>364</v>
      </c>
    </row>
    <row r="18086">
      <c r="H18086" s="8" t="s">
        <v>364</v>
      </c>
    </row>
    <row r="18087">
      <c r="H18087" s="8" t="s">
        <v>364</v>
      </c>
    </row>
    <row r="18088">
      <c r="H18088" s="8" t="s">
        <v>364</v>
      </c>
    </row>
    <row r="18089">
      <c r="H18089" s="8" t="s">
        <v>364</v>
      </c>
    </row>
    <row r="18090">
      <c r="H18090" s="8" t="s">
        <v>364</v>
      </c>
    </row>
    <row r="18091">
      <c r="H18091" s="8" t="s">
        <v>364</v>
      </c>
    </row>
    <row r="18092">
      <c r="H18092" s="8" t="s">
        <v>364</v>
      </c>
    </row>
    <row r="18093">
      <c r="H18093" s="8" t="s">
        <v>364</v>
      </c>
    </row>
    <row r="18094">
      <c r="H18094" s="8" t="s">
        <v>364</v>
      </c>
    </row>
    <row r="18095">
      <c r="H18095" s="8" t="s">
        <v>364</v>
      </c>
    </row>
    <row r="18096">
      <c r="H18096" s="8" t="s">
        <v>364</v>
      </c>
    </row>
    <row r="18097">
      <c r="H18097" s="8" t="s">
        <v>364</v>
      </c>
    </row>
    <row r="18098">
      <c r="H18098" s="8" t="s">
        <v>364</v>
      </c>
    </row>
    <row r="18099">
      <c r="H18099" s="8" t="s">
        <v>364</v>
      </c>
    </row>
    <row r="18100">
      <c r="H18100" s="8" t="s">
        <v>364</v>
      </c>
    </row>
    <row r="18101">
      <c r="H18101" s="8" t="s">
        <v>364</v>
      </c>
    </row>
    <row r="18102">
      <c r="H18102" s="8" t="s">
        <v>364</v>
      </c>
    </row>
    <row r="18103">
      <c r="H18103" s="8" t="s">
        <v>364</v>
      </c>
    </row>
    <row r="18104">
      <c r="H18104" s="8" t="s">
        <v>364</v>
      </c>
    </row>
    <row r="18105">
      <c r="H18105" s="8" t="s">
        <v>364</v>
      </c>
    </row>
    <row r="18106">
      <c r="H18106" s="8" t="s">
        <v>364</v>
      </c>
    </row>
    <row r="18107">
      <c r="H18107" s="8" t="s">
        <v>364</v>
      </c>
    </row>
    <row r="18108">
      <c r="H18108" s="8" t="s">
        <v>364</v>
      </c>
    </row>
    <row r="18109">
      <c r="H18109" s="8" t="s">
        <v>364</v>
      </c>
    </row>
    <row r="18110">
      <c r="H18110" s="8" t="s">
        <v>364</v>
      </c>
    </row>
    <row r="18111">
      <c r="H18111" s="8" t="s">
        <v>364</v>
      </c>
    </row>
    <row r="18112">
      <c r="H18112" s="8" t="s">
        <v>364</v>
      </c>
    </row>
    <row r="18113">
      <c r="H18113" s="8" t="s">
        <v>364</v>
      </c>
    </row>
    <row r="18114">
      <c r="H18114" s="8" t="s">
        <v>364</v>
      </c>
    </row>
    <row r="18115">
      <c r="H18115" s="8" t="s">
        <v>364</v>
      </c>
    </row>
    <row r="18116">
      <c r="H18116" s="8" t="s">
        <v>364</v>
      </c>
    </row>
    <row r="18117">
      <c r="H18117" s="8" t="s">
        <v>364</v>
      </c>
    </row>
    <row r="18118">
      <c r="H18118" s="8" t="s">
        <v>364</v>
      </c>
    </row>
    <row r="18119">
      <c r="H18119" s="8" t="s">
        <v>364</v>
      </c>
    </row>
    <row r="18120">
      <c r="H18120" s="8" t="s">
        <v>364</v>
      </c>
    </row>
    <row r="18121">
      <c r="H18121" s="8" t="s">
        <v>364</v>
      </c>
    </row>
    <row r="18122">
      <c r="H18122" s="8" t="s">
        <v>364</v>
      </c>
    </row>
    <row r="18123">
      <c r="H18123" s="8" t="s">
        <v>364</v>
      </c>
    </row>
    <row r="18124">
      <c r="H18124" s="8" t="s">
        <v>364</v>
      </c>
    </row>
    <row r="18125">
      <c r="H18125" s="8" t="s">
        <v>364</v>
      </c>
    </row>
    <row r="18126">
      <c r="H18126" s="8" t="s">
        <v>364</v>
      </c>
    </row>
    <row r="18127">
      <c r="H18127" s="8" t="s">
        <v>364</v>
      </c>
    </row>
    <row r="18128">
      <c r="H18128" s="8" t="s">
        <v>364</v>
      </c>
    </row>
    <row r="18129">
      <c r="H18129" s="8" t="s">
        <v>364</v>
      </c>
    </row>
    <row r="18130">
      <c r="H18130" s="8" t="s">
        <v>364</v>
      </c>
    </row>
    <row r="18131">
      <c r="H18131" s="8" t="s">
        <v>364</v>
      </c>
    </row>
    <row r="18132">
      <c r="H18132" s="8" t="s">
        <v>364</v>
      </c>
    </row>
    <row r="18133">
      <c r="H18133" s="8" t="s">
        <v>364</v>
      </c>
    </row>
    <row r="18134">
      <c r="H18134" s="8" t="s">
        <v>364</v>
      </c>
    </row>
    <row r="18135">
      <c r="H18135" s="8" t="s">
        <v>364</v>
      </c>
    </row>
    <row r="18136">
      <c r="H18136" s="8" t="s">
        <v>364</v>
      </c>
    </row>
    <row r="18137">
      <c r="H18137" s="8" t="s">
        <v>364</v>
      </c>
    </row>
    <row r="18138">
      <c r="H18138" s="8" t="s">
        <v>364</v>
      </c>
    </row>
    <row r="18139">
      <c r="H18139" s="8" t="s">
        <v>364</v>
      </c>
    </row>
    <row r="18140">
      <c r="H18140" s="8" t="s">
        <v>364</v>
      </c>
    </row>
    <row r="18141">
      <c r="H18141" s="8" t="s">
        <v>364</v>
      </c>
    </row>
    <row r="18142">
      <c r="H18142" s="8" t="s">
        <v>364</v>
      </c>
    </row>
    <row r="18143">
      <c r="H18143" s="8" t="s">
        <v>364</v>
      </c>
    </row>
    <row r="18144">
      <c r="H18144" s="8" t="s">
        <v>364</v>
      </c>
    </row>
    <row r="18145">
      <c r="H18145" s="8" t="s">
        <v>364</v>
      </c>
    </row>
    <row r="18146">
      <c r="H18146" s="8" t="s">
        <v>364</v>
      </c>
    </row>
    <row r="18147">
      <c r="H18147" s="8" t="s">
        <v>364</v>
      </c>
    </row>
    <row r="18148">
      <c r="H18148" s="8" t="s">
        <v>364</v>
      </c>
    </row>
    <row r="18149">
      <c r="H18149" s="8" t="s">
        <v>364</v>
      </c>
    </row>
    <row r="18150">
      <c r="H18150" s="8" t="s">
        <v>364</v>
      </c>
    </row>
    <row r="18151">
      <c r="H18151" s="8" t="s">
        <v>364</v>
      </c>
    </row>
    <row r="18152">
      <c r="H18152" s="8" t="s">
        <v>364</v>
      </c>
    </row>
    <row r="18153">
      <c r="H18153" s="8" t="s">
        <v>364</v>
      </c>
    </row>
    <row r="18154">
      <c r="H18154" s="8" t="s">
        <v>364</v>
      </c>
    </row>
    <row r="18155">
      <c r="H18155" s="8" t="s">
        <v>364</v>
      </c>
    </row>
    <row r="18156">
      <c r="H18156" s="8" t="s">
        <v>364</v>
      </c>
    </row>
    <row r="18157">
      <c r="H18157" s="8" t="s">
        <v>364</v>
      </c>
    </row>
    <row r="18158">
      <c r="H18158" s="8" t="s">
        <v>364</v>
      </c>
    </row>
    <row r="18159">
      <c r="H18159" s="8" t="s">
        <v>364</v>
      </c>
    </row>
    <row r="18160">
      <c r="H18160" s="8" t="s">
        <v>364</v>
      </c>
    </row>
    <row r="18161">
      <c r="H18161" s="8" t="s">
        <v>364</v>
      </c>
    </row>
    <row r="18162">
      <c r="H18162" s="8" t="s">
        <v>364</v>
      </c>
    </row>
    <row r="18163">
      <c r="H18163" s="8" t="s">
        <v>364</v>
      </c>
    </row>
    <row r="18164">
      <c r="H18164" s="8" t="s">
        <v>364</v>
      </c>
    </row>
    <row r="18165">
      <c r="H18165" s="8" t="s">
        <v>364</v>
      </c>
    </row>
    <row r="18166">
      <c r="H18166" s="8" t="s">
        <v>364</v>
      </c>
    </row>
    <row r="18167">
      <c r="H18167" s="8" t="s">
        <v>364</v>
      </c>
    </row>
    <row r="18168">
      <c r="H18168" s="8" t="s">
        <v>364</v>
      </c>
    </row>
    <row r="18169">
      <c r="H18169" s="8" t="s">
        <v>364</v>
      </c>
    </row>
    <row r="18170">
      <c r="H18170" s="8" t="s">
        <v>364</v>
      </c>
    </row>
    <row r="18171">
      <c r="H18171" s="8" t="s">
        <v>364</v>
      </c>
    </row>
    <row r="18172">
      <c r="H18172" s="8" t="s">
        <v>364</v>
      </c>
    </row>
    <row r="18173">
      <c r="H18173" s="8" t="s">
        <v>364</v>
      </c>
    </row>
    <row r="18174">
      <c r="H18174" s="8" t="s">
        <v>364</v>
      </c>
    </row>
    <row r="18175">
      <c r="H18175" s="8" t="s">
        <v>364</v>
      </c>
    </row>
    <row r="18176">
      <c r="H18176" s="8" t="s">
        <v>364</v>
      </c>
    </row>
    <row r="18177">
      <c r="H18177" s="8" t="s">
        <v>364</v>
      </c>
    </row>
    <row r="18178">
      <c r="H18178" s="8" t="s">
        <v>364</v>
      </c>
    </row>
    <row r="18179">
      <c r="H18179" s="8" t="s">
        <v>364</v>
      </c>
    </row>
    <row r="18180">
      <c r="H18180" s="8" t="s">
        <v>364</v>
      </c>
    </row>
    <row r="18181">
      <c r="H18181" s="8" t="s">
        <v>364</v>
      </c>
    </row>
    <row r="18182">
      <c r="H18182" s="8" t="s">
        <v>364</v>
      </c>
    </row>
    <row r="18183">
      <c r="H18183" s="8" t="s">
        <v>364</v>
      </c>
    </row>
    <row r="18184">
      <c r="H18184" s="8" t="s">
        <v>364</v>
      </c>
    </row>
    <row r="18185">
      <c r="H18185" s="8" t="s">
        <v>364</v>
      </c>
    </row>
    <row r="18186">
      <c r="H18186" s="8" t="s">
        <v>364</v>
      </c>
    </row>
    <row r="18187">
      <c r="H18187" s="8" t="s">
        <v>364</v>
      </c>
    </row>
    <row r="18188">
      <c r="H18188" s="8" t="s">
        <v>364</v>
      </c>
    </row>
    <row r="18189">
      <c r="H18189" s="8" t="s">
        <v>364</v>
      </c>
    </row>
    <row r="18190">
      <c r="H18190" s="8" t="s">
        <v>364</v>
      </c>
    </row>
    <row r="18191">
      <c r="H18191" s="8" t="s">
        <v>364</v>
      </c>
    </row>
    <row r="18192">
      <c r="H18192" s="8" t="s">
        <v>364</v>
      </c>
    </row>
    <row r="18193">
      <c r="H18193" s="8" t="s">
        <v>364</v>
      </c>
    </row>
    <row r="18194">
      <c r="H18194" s="8" t="s">
        <v>364</v>
      </c>
    </row>
    <row r="18195">
      <c r="H18195" s="8" t="s">
        <v>364</v>
      </c>
    </row>
    <row r="18196">
      <c r="H18196" s="8" t="s">
        <v>364</v>
      </c>
    </row>
    <row r="18197">
      <c r="H18197" s="8" t="s">
        <v>364</v>
      </c>
    </row>
    <row r="18198">
      <c r="H18198" s="8" t="s">
        <v>364</v>
      </c>
    </row>
    <row r="18199">
      <c r="H18199" s="8" t="s">
        <v>364</v>
      </c>
    </row>
    <row r="18200">
      <c r="H18200" s="8" t="s">
        <v>364</v>
      </c>
    </row>
    <row r="18201">
      <c r="H18201" s="8" t="s">
        <v>364</v>
      </c>
    </row>
    <row r="18202">
      <c r="H18202" s="8" t="s">
        <v>364</v>
      </c>
    </row>
    <row r="18203">
      <c r="H18203" s="8" t="s">
        <v>364</v>
      </c>
    </row>
    <row r="18204">
      <c r="H18204" s="8" t="s">
        <v>364</v>
      </c>
    </row>
    <row r="18205">
      <c r="H18205" s="8" t="s">
        <v>364</v>
      </c>
    </row>
    <row r="18206">
      <c r="H18206" s="8" t="s">
        <v>364</v>
      </c>
    </row>
    <row r="18207">
      <c r="H18207" s="8" t="s">
        <v>364</v>
      </c>
    </row>
    <row r="18208">
      <c r="H18208" s="8" t="s">
        <v>364</v>
      </c>
    </row>
    <row r="18209">
      <c r="H18209" s="8" t="s">
        <v>364</v>
      </c>
    </row>
    <row r="18210">
      <c r="H18210" s="8" t="s">
        <v>364</v>
      </c>
    </row>
    <row r="18211">
      <c r="H18211" s="8" t="s">
        <v>364</v>
      </c>
    </row>
    <row r="18212">
      <c r="H18212" s="8" t="s">
        <v>364</v>
      </c>
    </row>
    <row r="18213">
      <c r="H18213" s="8" t="s">
        <v>364</v>
      </c>
    </row>
    <row r="18214">
      <c r="H18214" s="8" t="s">
        <v>364</v>
      </c>
    </row>
    <row r="18215">
      <c r="H18215" s="8" t="s">
        <v>364</v>
      </c>
    </row>
    <row r="18216">
      <c r="H18216" s="8" t="s">
        <v>364</v>
      </c>
    </row>
    <row r="18217">
      <c r="H18217" s="8" t="s">
        <v>364</v>
      </c>
    </row>
    <row r="18218">
      <c r="H18218" s="8" t="s">
        <v>364</v>
      </c>
    </row>
    <row r="18219">
      <c r="H18219" s="8" t="s">
        <v>364</v>
      </c>
    </row>
    <row r="18220">
      <c r="H18220" s="8" t="s">
        <v>364</v>
      </c>
    </row>
    <row r="18221">
      <c r="H18221" s="8" t="s">
        <v>364</v>
      </c>
    </row>
    <row r="18222">
      <c r="H18222" s="8" t="s">
        <v>364</v>
      </c>
    </row>
    <row r="18223">
      <c r="H18223" s="8" t="s">
        <v>364</v>
      </c>
    </row>
    <row r="18224">
      <c r="H18224" s="8" t="s">
        <v>364</v>
      </c>
    </row>
    <row r="18225">
      <c r="H18225" s="8" t="s">
        <v>364</v>
      </c>
    </row>
    <row r="18226">
      <c r="H18226" s="8" t="s">
        <v>364</v>
      </c>
    </row>
    <row r="18227">
      <c r="H18227" s="8" t="s">
        <v>364</v>
      </c>
    </row>
    <row r="18228">
      <c r="H18228" s="8" t="s">
        <v>364</v>
      </c>
    </row>
    <row r="18229">
      <c r="H18229" s="8" t="s">
        <v>364</v>
      </c>
    </row>
    <row r="18230">
      <c r="H18230" s="8" t="s">
        <v>364</v>
      </c>
    </row>
    <row r="18231">
      <c r="H18231" s="8" t="s">
        <v>364</v>
      </c>
    </row>
    <row r="18232">
      <c r="H18232" s="8" t="s">
        <v>364</v>
      </c>
    </row>
    <row r="18233">
      <c r="H18233" s="8" t="s">
        <v>364</v>
      </c>
    </row>
    <row r="18234">
      <c r="H18234" s="8" t="s">
        <v>364</v>
      </c>
    </row>
    <row r="18235">
      <c r="H18235" s="8" t="s">
        <v>364</v>
      </c>
    </row>
    <row r="18236">
      <c r="H18236" s="8" t="s">
        <v>364</v>
      </c>
    </row>
    <row r="18237">
      <c r="H18237" s="8" t="s">
        <v>364</v>
      </c>
    </row>
    <row r="18238">
      <c r="H18238" s="8" t="s">
        <v>364</v>
      </c>
    </row>
    <row r="18239">
      <c r="H18239" s="8" t="s">
        <v>364</v>
      </c>
    </row>
    <row r="18240">
      <c r="H18240" s="8" t="s">
        <v>364</v>
      </c>
    </row>
    <row r="18241">
      <c r="H18241" s="8" t="s">
        <v>364</v>
      </c>
    </row>
    <row r="18242">
      <c r="H18242" s="8" t="s">
        <v>364</v>
      </c>
    </row>
    <row r="18243">
      <c r="H18243" s="8" t="s">
        <v>364</v>
      </c>
    </row>
    <row r="18244">
      <c r="H18244" s="8" t="s">
        <v>364</v>
      </c>
    </row>
    <row r="18245">
      <c r="H18245" s="8" t="s">
        <v>364</v>
      </c>
    </row>
    <row r="18246">
      <c r="H18246" s="8" t="s">
        <v>364</v>
      </c>
    </row>
    <row r="18247">
      <c r="H18247" s="8" t="s">
        <v>364</v>
      </c>
    </row>
    <row r="18248">
      <c r="H18248" s="8" t="s">
        <v>364</v>
      </c>
    </row>
    <row r="18249">
      <c r="H18249" s="8" t="s">
        <v>364</v>
      </c>
    </row>
    <row r="18250">
      <c r="H18250" s="8" t="s">
        <v>364</v>
      </c>
    </row>
    <row r="18251">
      <c r="H18251" s="8" t="s">
        <v>364</v>
      </c>
    </row>
    <row r="18252">
      <c r="H18252" s="8" t="s">
        <v>364</v>
      </c>
    </row>
    <row r="18253">
      <c r="H18253" s="8" t="s">
        <v>364</v>
      </c>
    </row>
    <row r="18254">
      <c r="H18254" s="8" t="s">
        <v>364</v>
      </c>
    </row>
    <row r="18255">
      <c r="H18255" s="8" t="s">
        <v>364</v>
      </c>
    </row>
    <row r="18256">
      <c r="H18256" s="8" t="s">
        <v>364</v>
      </c>
    </row>
    <row r="18257">
      <c r="H18257" s="8" t="s">
        <v>364</v>
      </c>
    </row>
    <row r="18258">
      <c r="H18258" s="8" t="s">
        <v>364</v>
      </c>
    </row>
    <row r="18259">
      <c r="H18259" s="8" t="s">
        <v>364</v>
      </c>
    </row>
    <row r="18260">
      <c r="H18260" s="8" t="s">
        <v>364</v>
      </c>
    </row>
    <row r="18261">
      <c r="H18261" s="8" t="s">
        <v>364</v>
      </c>
    </row>
    <row r="18262">
      <c r="H18262" s="8" t="s">
        <v>364</v>
      </c>
    </row>
    <row r="18263">
      <c r="H18263" s="8" t="s">
        <v>364</v>
      </c>
    </row>
    <row r="18264">
      <c r="H18264" s="8" t="s">
        <v>364</v>
      </c>
    </row>
    <row r="18265">
      <c r="H18265" s="8" t="s">
        <v>364</v>
      </c>
    </row>
    <row r="18266">
      <c r="H18266" s="8" t="s">
        <v>364</v>
      </c>
    </row>
    <row r="18267">
      <c r="H18267" s="8" t="s">
        <v>364</v>
      </c>
    </row>
    <row r="18268">
      <c r="H18268" s="8" t="s">
        <v>364</v>
      </c>
    </row>
    <row r="18269">
      <c r="H18269" s="8" t="s">
        <v>364</v>
      </c>
    </row>
    <row r="18270">
      <c r="H18270" s="8" t="s">
        <v>364</v>
      </c>
    </row>
    <row r="18271">
      <c r="H18271" s="8" t="s">
        <v>364</v>
      </c>
    </row>
    <row r="18272">
      <c r="H18272" s="8" t="s">
        <v>364</v>
      </c>
    </row>
    <row r="18273">
      <c r="H18273" s="8" t="s">
        <v>364</v>
      </c>
    </row>
    <row r="18274">
      <c r="H18274" s="8" t="s">
        <v>364</v>
      </c>
    </row>
    <row r="18275">
      <c r="H18275" s="8" t="s">
        <v>364</v>
      </c>
    </row>
    <row r="18276">
      <c r="H18276" s="8" t="s">
        <v>364</v>
      </c>
    </row>
    <row r="18277">
      <c r="H18277" s="8" t="s">
        <v>364</v>
      </c>
    </row>
    <row r="18278">
      <c r="H18278" s="8" t="s">
        <v>364</v>
      </c>
    </row>
    <row r="18279">
      <c r="H18279" s="8" t="s">
        <v>364</v>
      </c>
    </row>
    <row r="18280">
      <c r="H18280" s="8" t="s">
        <v>364</v>
      </c>
    </row>
    <row r="18281">
      <c r="H18281" s="8" t="s">
        <v>364</v>
      </c>
    </row>
    <row r="18282">
      <c r="H18282" s="8" t="s">
        <v>364</v>
      </c>
    </row>
    <row r="18283">
      <c r="H18283" s="8" t="s">
        <v>364</v>
      </c>
    </row>
    <row r="18284">
      <c r="H18284" s="8" t="s">
        <v>364</v>
      </c>
    </row>
    <row r="18285">
      <c r="H18285" s="8" t="s">
        <v>364</v>
      </c>
    </row>
    <row r="18286">
      <c r="H18286" s="8" t="s">
        <v>364</v>
      </c>
    </row>
    <row r="18287">
      <c r="H18287" s="8" t="s">
        <v>364</v>
      </c>
    </row>
    <row r="18288">
      <c r="H18288" s="8" t="s">
        <v>364</v>
      </c>
    </row>
    <row r="18289">
      <c r="H18289" s="8" t="s">
        <v>364</v>
      </c>
    </row>
    <row r="18290">
      <c r="H18290" s="8" t="s">
        <v>364</v>
      </c>
    </row>
    <row r="18291">
      <c r="H18291" s="8" t="s">
        <v>364</v>
      </c>
    </row>
    <row r="18292">
      <c r="H18292" s="8" t="s">
        <v>364</v>
      </c>
    </row>
    <row r="18293">
      <c r="H18293" s="8" t="s">
        <v>364</v>
      </c>
    </row>
    <row r="18294">
      <c r="H18294" s="8" t="s">
        <v>364</v>
      </c>
    </row>
    <row r="18295">
      <c r="H18295" s="8" t="s">
        <v>364</v>
      </c>
    </row>
    <row r="18296">
      <c r="H18296" s="8" t="s">
        <v>364</v>
      </c>
    </row>
    <row r="18297">
      <c r="H18297" s="8" t="s">
        <v>364</v>
      </c>
    </row>
    <row r="18298">
      <c r="H18298" s="8" t="s">
        <v>364</v>
      </c>
    </row>
    <row r="18299">
      <c r="H18299" s="8" t="s">
        <v>364</v>
      </c>
    </row>
    <row r="18300">
      <c r="H18300" s="8" t="s">
        <v>364</v>
      </c>
    </row>
    <row r="18301">
      <c r="H18301" s="8" t="s">
        <v>364</v>
      </c>
    </row>
    <row r="18302">
      <c r="H18302" s="8" t="s">
        <v>364</v>
      </c>
    </row>
    <row r="18303">
      <c r="H18303" s="8" t="s">
        <v>364</v>
      </c>
    </row>
    <row r="18304">
      <c r="H18304" s="8" t="s">
        <v>364</v>
      </c>
    </row>
    <row r="18305">
      <c r="H18305" s="8" t="s">
        <v>364</v>
      </c>
    </row>
    <row r="18306">
      <c r="H18306" s="8" t="s">
        <v>364</v>
      </c>
    </row>
    <row r="18307">
      <c r="H18307" s="8" t="s">
        <v>364</v>
      </c>
    </row>
    <row r="18308">
      <c r="H18308" s="8" t="s">
        <v>364</v>
      </c>
    </row>
    <row r="18309">
      <c r="H18309" s="8" t="s">
        <v>364</v>
      </c>
    </row>
    <row r="18310">
      <c r="H18310" s="8" t="s">
        <v>364</v>
      </c>
    </row>
    <row r="18311">
      <c r="H18311" s="8" t="s">
        <v>364</v>
      </c>
    </row>
    <row r="18312">
      <c r="H18312" s="8" t="s">
        <v>364</v>
      </c>
    </row>
    <row r="18313">
      <c r="H18313" s="8" t="s">
        <v>364</v>
      </c>
    </row>
    <row r="18314">
      <c r="H18314" s="8" t="s">
        <v>364</v>
      </c>
    </row>
    <row r="18315">
      <c r="H18315" s="8" t="s">
        <v>364</v>
      </c>
    </row>
    <row r="18316">
      <c r="H18316" s="8" t="s">
        <v>364</v>
      </c>
    </row>
    <row r="18317">
      <c r="H18317" s="8" t="s">
        <v>364</v>
      </c>
    </row>
    <row r="18318">
      <c r="H18318" s="8" t="s">
        <v>364</v>
      </c>
    </row>
    <row r="18319">
      <c r="H18319" s="8" t="s">
        <v>364</v>
      </c>
    </row>
    <row r="18320">
      <c r="H18320" s="8" t="s">
        <v>364</v>
      </c>
    </row>
    <row r="18321">
      <c r="H18321" s="8" t="s">
        <v>364</v>
      </c>
    </row>
    <row r="18322">
      <c r="H18322" s="8" t="s">
        <v>364</v>
      </c>
    </row>
    <row r="18323">
      <c r="H18323" s="8" t="s">
        <v>364</v>
      </c>
    </row>
    <row r="18324">
      <c r="H18324" s="8" t="s">
        <v>364</v>
      </c>
    </row>
    <row r="18325">
      <c r="H18325" s="8" t="s">
        <v>364</v>
      </c>
    </row>
    <row r="18326">
      <c r="H18326" s="8" t="s">
        <v>364</v>
      </c>
    </row>
    <row r="18327">
      <c r="H18327" s="8" t="s">
        <v>364</v>
      </c>
    </row>
    <row r="18328">
      <c r="H18328" s="8" t="s">
        <v>364</v>
      </c>
    </row>
    <row r="18329">
      <c r="H18329" s="8" t="s">
        <v>364</v>
      </c>
    </row>
    <row r="18330">
      <c r="H18330" s="8" t="s">
        <v>364</v>
      </c>
    </row>
    <row r="18331">
      <c r="H18331" s="8" t="s">
        <v>364</v>
      </c>
    </row>
    <row r="18332">
      <c r="H18332" s="8" t="s">
        <v>364</v>
      </c>
    </row>
    <row r="18333">
      <c r="H18333" s="8" t="s">
        <v>364</v>
      </c>
    </row>
    <row r="18334">
      <c r="H18334" s="8" t="s">
        <v>364</v>
      </c>
    </row>
    <row r="18335">
      <c r="H18335" s="8" t="s">
        <v>364</v>
      </c>
    </row>
    <row r="18336">
      <c r="H18336" s="8" t="s">
        <v>364</v>
      </c>
    </row>
    <row r="18337">
      <c r="H18337" s="8" t="s">
        <v>364</v>
      </c>
    </row>
    <row r="18338">
      <c r="H18338" s="8" t="s">
        <v>364</v>
      </c>
    </row>
    <row r="18339">
      <c r="H18339" s="8" t="s">
        <v>364</v>
      </c>
    </row>
    <row r="18340">
      <c r="H18340" s="8" t="s">
        <v>364</v>
      </c>
    </row>
    <row r="18341">
      <c r="H18341" s="8" t="s">
        <v>364</v>
      </c>
    </row>
    <row r="18342">
      <c r="H18342" s="8" t="s">
        <v>364</v>
      </c>
    </row>
    <row r="18343">
      <c r="H18343" s="8" t="s">
        <v>364</v>
      </c>
    </row>
    <row r="18344">
      <c r="H18344" s="8" t="s">
        <v>364</v>
      </c>
    </row>
    <row r="18345">
      <c r="H18345" s="8" t="s">
        <v>364</v>
      </c>
    </row>
    <row r="18346">
      <c r="H18346" s="8" t="s">
        <v>364</v>
      </c>
    </row>
    <row r="18347">
      <c r="H18347" s="8" t="s">
        <v>364</v>
      </c>
    </row>
    <row r="18348">
      <c r="H18348" s="8" t="s">
        <v>364</v>
      </c>
    </row>
    <row r="18349">
      <c r="H18349" s="8" t="s">
        <v>364</v>
      </c>
    </row>
    <row r="18350">
      <c r="H18350" s="8" t="s">
        <v>364</v>
      </c>
    </row>
    <row r="18351">
      <c r="H18351" s="8" t="s">
        <v>364</v>
      </c>
    </row>
    <row r="18352">
      <c r="H18352" s="8" t="s">
        <v>364</v>
      </c>
    </row>
    <row r="18353">
      <c r="H18353" s="8" t="s">
        <v>364</v>
      </c>
    </row>
    <row r="18354">
      <c r="H18354" s="8" t="s">
        <v>364</v>
      </c>
    </row>
    <row r="18355">
      <c r="H18355" s="8" t="s">
        <v>364</v>
      </c>
    </row>
    <row r="18356">
      <c r="H18356" s="8" t="s">
        <v>364</v>
      </c>
    </row>
    <row r="18357">
      <c r="H18357" s="8" t="s">
        <v>364</v>
      </c>
    </row>
    <row r="18358">
      <c r="H18358" s="8" t="s">
        <v>364</v>
      </c>
    </row>
    <row r="18359">
      <c r="H18359" s="8" t="s">
        <v>364</v>
      </c>
    </row>
    <row r="18360">
      <c r="H18360" s="8" t="s">
        <v>364</v>
      </c>
    </row>
    <row r="18361">
      <c r="H18361" s="8" t="s">
        <v>364</v>
      </c>
    </row>
    <row r="18362">
      <c r="H18362" s="8" t="s">
        <v>364</v>
      </c>
    </row>
    <row r="18363">
      <c r="H18363" s="8" t="s">
        <v>364</v>
      </c>
    </row>
    <row r="18364">
      <c r="H18364" s="8" t="s">
        <v>364</v>
      </c>
    </row>
    <row r="18365">
      <c r="H18365" s="8" t="s">
        <v>364</v>
      </c>
    </row>
    <row r="18366">
      <c r="H18366" s="8" t="s">
        <v>364</v>
      </c>
    </row>
    <row r="18367">
      <c r="H18367" s="8" t="s">
        <v>364</v>
      </c>
    </row>
    <row r="18368">
      <c r="H18368" s="8" t="s">
        <v>364</v>
      </c>
    </row>
    <row r="18369">
      <c r="H18369" s="8" t="s">
        <v>364</v>
      </c>
    </row>
    <row r="18370">
      <c r="H18370" s="8" t="s">
        <v>364</v>
      </c>
    </row>
    <row r="18371">
      <c r="H18371" s="8" t="s">
        <v>364</v>
      </c>
    </row>
    <row r="18372">
      <c r="H18372" s="8" t="s">
        <v>364</v>
      </c>
    </row>
    <row r="18373">
      <c r="H18373" s="8" t="s">
        <v>364</v>
      </c>
    </row>
    <row r="18374">
      <c r="H18374" s="8" t="s">
        <v>364</v>
      </c>
    </row>
    <row r="18375">
      <c r="H18375" s="8" t="s">
        <v>364</v>
      </c>
    </row>
    <row r="18376">
      <c r="H18376" s="8" t="s">
        <v>364</v>
      </c>
    </row>
    <row r="18377">
      <c r="H18377" s="8" t="s">
        <v>364</v>
      </c>
    </row>
    <row r="18378">
      <c r="H18378" s="8" t="s">
        <v>364</v>
      </c>
    </row>
    <row r="18379">
      <c r="H18379" s="8" t="s">
        <v>364</v>
      </c>
    </row>
    <row r="18380">
      <c r="H18380" s="8" t="s">
        <v>364</v>
      </c>
    </row>
    <row r="18381">
      <c r="H18381" s="8" t="s">
        <v>364</v>
      </c>
    </row>
    <row r="18382">
      <c r="H18382" s="8" t="s">
        <v>364</v>
      </c>
    </row>
    <row r="18383">
      <c r="H18383" s="8" t="s">
        <v>364</v>
      </c>
    </row>
    <row r="18384">
      <c r="H18384" s="8" t="s">
        <v>364</v>
      </c>
    </row>
    <row r="18385">
      <c r="H18385" s="8" t="s">
        <v>364</v>
      </c>
    </row>
    <row r="18386">
      <c r="H18386" s="8" t="s">
        <v>364</v>
      </c>
    </row>
    <row r="18387">
      <c r="H18387" s="8" t="s">
        <v>364</v>
      </c>
    </row>
    <row r="18388">
      <c r="H18388" s="8" t="s">
        <v>364</v>
      </c>
    </row>
    <row r="18389">
      <c r="H18389" s="8" t="s">
        <v>364</v>
      </c>
    </row>
    <row r="18390">
      <c r="H18390" s="8" t="s">
        <v>364</v>
      </c>
    </row>
    <row r="18391">
      <c r="H18391" s="8" t="s">
        <v>364</v>
      </c>
    </row>
    <row r="18392">
      <c r="H18392" s="8" t="s">
        <v>364</v>
      </c>
    </row>
    <row r="18393">
      <c r="H18393" s="8" t="s">
        <v>364</v>
      </c>
    </row>
    <row r="18394">
      <c r="H18394" s="8" t="s">
        <v>364</v>
      </c>
    </row>
    <row r="18395">
      <c r="H18395" s="8" t="s">
        <v>364</v>
      </c>
    </row>
    <row r="18396">
      <c r="H18396" s="8" t="s">
        <v>364</v>
      </c>
    </row>
    <row r="18397">
      <c r="H18397" s="8" t="s">
        <v>364</v>
      </c>
    </row>
    <row r="18398">
      <c r="H18398" s="8" t="s">
        <v>364</v>
      </c>
    </row>
    <row r="18399">
      <c r="H18399" s="8" t="s">
        <v>364</v>
      </c>
    </row>
    <row r="18400">
      <c r="H18400" s="8" t="s">
        <v>364</v>
      </c>
    </row>
    <row r="18401">
      <c r="H18401" s="8" t="s">
        <v>364</v>
      </c>
    </row>
    <row r="18402">
      <c r="H18402" s="8" t="s">
        <v>364</v>
      </c>
    </row>
    <row r="18403">
      <c r="H18403" s="8" t="s">
        <v>364</v>
      </c>
    </row>
    <row r="18404">
      <c r="H18404" s="8" t="s">
        <v>364</v>
      </c>
    </row>
    <row r="18405">
      <c r="H18405" s="8" t="s">
        <v>364</v>
      </c>
    </row>
    <row r="18406">
      <c r="H18406" s="8" t="s">
        <v>364</v>
      </c>
    </row>
    <row r="18407">
      <c r="H18407" s="8" t="s">
        <v>364</v>
      </c>
    </row>
    <row r="18408">
      <c r="H18408" s="8" t="s">
        <v>364</v>
      </c>
    </row>
    <row r="18409">
      <c r="H18409" s="8" t="s">
        <v>364</v>
      </c>
    </row>
    <row r="18410">
      <c r="H18410" s="8" t="s">
        <v>364</v>
      </c>
    </row>
    <row r="18411">
      <c r="H18411" s="8" t="s">
        <v>364</v>
      </c>
    </row>
    <row r="18412">
      <c r="H18412" s="8" t="s">
        <v>364</v>
      </c>
    </row>
    <row r="18413">
      <c r="H18413" s="8" t="s">
        <v>364</v>
      </c>
    </row>
    <row r="18414">
      <c r="H18414" s="8" t="s">
        <v>364</v>
      </c>
    </row>
    <row r="18415">
      <c r="H18415" s="8" t="s">
        <v>364</v>
      </c>
    </row>
    <row r="18416">
      <c r="H18416" s="8" t="s">
        <v>364</v>
      </c>
    </row>
    <row r="18417">
      <c r="H18417" s="8" t="s">
        <v>364</v>
      </c>
    </row>
    <row r="18418">
      <c r="H18418" s="8" t="s">
        <v>364</v>
      </c>
    </row>
    <row r="18419">
      <c r="H18419" s="8" t="s">
        <v>364</v>
      </c>
    </row>
    <row r="18420">
      <c r="H18420" s="8" t="s">
        <v>364</v>
      </c>
    </row>
    <row r="18421">
      <c r="H18421" s="8" t="s">
        <v>364</v>
      </c>
    </row>
    <row r="18422">
      <c r="H18422" s="8" t="s">
        <v>364</v>
      </c>
    </row>
    <row r="18423">
      <c r="H18423" s="8" t="s">
        <v>364</v>
      </c>
    </row>
    <row r="18424">
      <c r="H18424" s="8" t="s">
        <v>364</v>
      </c>
    </row>
    <row r="18425">
      <c r="H18425" s="8" t="s">
        <v>364</v>
      </c>
    </row>
    <row r="18426">
      <c r="H18426" s="8" t="s">
        <v>364</v>
      </c>
    </row>
    <row r="18427">
      <c r="H18427" s="8" t="s">
        <v>364</v>
      </c>
    </row>
    <row r="18428">
      <c r="H18428" s="8" t="s">
        <v>364</v>
      </c>
    </row>
    <row r="18429">
      <c r="H18429" s="8" t="s">
        <v>364</v>
      </c>
    </row>
    <row r="18430">
      <c r="H18430" s="8" t="s">
        <v>364</v>
      </c>
    </row>
    <row r="18431">
      <c r="H18431" s="8" t="s">
        <v>364</v>
      </c>
    </row>
    <row r="18432">
      <c r="H18432" s="8" t="s">
        <v>364</v>
      </c>
    </row>
    <row r="18433">
      <c r="H18433" s="8" t="s">
        <v>364</v>
      </c>
    </row>
    <row r="18434">
      <c r="H18434" s="8" t="s">
        <v>364</v>
      </c>
    </row>
    <row r="18435">
      <c r="H18435" s="8" t="s">
        <v>364</v>
      </c>
    </row>
    <row r="18436">
      <c r="H18436" s="8" t="s">
        <v>364</v>
      </c>
    </row>
    <row r="18437">
      <c r="H18437" s="8" t="s">
        <v>364</v>
      </c>
    </row>
    <row r="18438">
      <c r="H18438" s="8" t="s">
        <v>364</v>
      </c>
    </row>
    <row r="18439">
      <c r="H18439" s="8" t="s">
        <v>364</v>
      </c>
    </row>
    <row r="18440">
      <c r="H18440" s="8" t="s">
        <v>364</v>
      </c>
    </row>
    <row r="18441">
      <c r="H18441" s="8" t="s">
        <v>364</v>
      </c>
    </row>
    <row r="18442">
      <c r="H18442" s="8" t="s">
        <v>364</v>
      </c>
    </row>
    <row r="18443">
      <c r="H18443" s="8" t="s">
        <v>364</v>
      </c>
    </row>
    <row r="18444">
      <c r="H18444" s="8" t="s">
        <v>364</v>
      </c>
    </row>
    <row r="18445">
      <c r="H18445" s="8" t="s">
        <v>364</v>
      </c>
    </row>
    <row r="18446">
      <c r="H18446" s="8" t="s">
        <v>364</v>
      </c>
    </row>
    <row r="18447">
      <c r="H18447" s="8" t="s">
        <v>364</v>
      </c>
    </row>
    <row r="18448">
      <c r="H18448" s="8" t="s">
        <v>364</v>
      </c>
    </row>
    <row r="18449">
      <c r="H18449" s="8" t="s">
        <v>364</v>
      </c>
    </row>
    <row r="18450">
      <c r="H18450" s="8" t="s">
        <v>364</v>
      </c>
    </row>
    <row r="18451">
      <c r="H18451" s="8" t="s">
        <v>364</v>
      </c>
    </row>
    <row r="18452">
      <c r="H18452" s="8" t="s">
        <v>364</v>
      </c>
    </row>
    <row r="18453">
      <c r="H18453" s="8" t="s">
        <v>364</v>
      </c>
    </row>
    <row r="18454">
      <c r="H18454" s="8" t="s">
        <v>364</v>
      </c>
    </row>
    <row r="18455">
      <c r="H18455" s="8" t="s">
        <v>364</v>
      </c>
    </row>
    <row r="18456">
      <c r="H18456" s="8" t="s">
        <v>364</v>
      </c>
    </row>
    <row r="18457">
      <c r="H18457" s="8" t="s">
        <v>364</v>
      </c>
    </row>
    <row r="18458">
      <c r="H18458" s="8" t="s">
        <v>364</v>
      </c>
    </row>
    <row r="18459">
      <c r="H18459" s="8" t="s">
        <v>364</v>
      </c>
    </row>
    <row r="18460">
      <c r="H18460" s="8" t="s">
        <v>364</v>
      </c>
    </row>
    <row r="18461">
      <c r="H18461" s="8" t="s">
        <v>364</v>
      </c>
    </row>
    <row r="18462">
      <c r="H18462" s="8" t="s">
        <v>364</v>
      </c>
    </row>
    <row r="18463">
      <c r="H18463" s="8" t="s">
        <v>364</v>
      </c>
    </row>
    <row r="18464">
      <c r="H18464" s="8" t="s">
        <v>364</v>
      </c>
    </row>
    <row r="18465">
      <c r="H18465" s="8" t="s">
        <v>364</v>
      </c>
    </row>
    <row r="18466">
      <c r="H18466" s="8" t="s">
        <v>364</v>
      </c>
    </row>
    <row r="18467">
      <c r="H18467" s="8" t="s">
        <v>364</v>
      </c>
    </row>
    <row r="18468">
      <c r="H18468" s="8" t="s">
        <v>364</v>
      </c>
    </row>
    <row r="18469">
      <c r="H18469" s="8" t="s">
        <v>364</v>
      </c>
    </row>
    <row r="18470">
      <c r="H18470" s="8" t="s">
        <v>364</v>
      </c>
    </row>
    <row r="18471">
      <c r="H18471" s="8" t="s">
        <v>364</v>
      </c>
    </row>
    <row r="18472">
      <c r="H18472" s="8" t="s">
        <v>364</v>
      </c>
    </row>
    <row r="18473">
      <c r="H18473" s="8" t="s">
        <v>364</v>
      </c>
    </row>
    <row r="18474">
      <c r="H18474" s="8" t="s">
        <v>364</v>
      </c>
    </row>
    <row r="18475">
      <c r="H18475" s="8" t="s">
        <v>364</v>
      </c>
    </row>
    <row r="18476">
      <c r="H18476" s="8" t="s">
        <v>364</v>
      </c>
    </row>
    <row r="18477">
      <c r="H18477" s="8" t="s">
        <v>364</v>
      </c>
    </row>
    <row r="18478">
      <c r="H18478" s="8" t="s">
        <v>364</v>
      </c>
    </row>
    <row r="18479">
      <c r="H18479" s="8" t="s">
        <v>364</v>
      </c>
    </row>
    <row r="18480">
      <c r="H18480" s="8" t="s">
        <v>364</v>
      </c>
    </row>
    <row r="18481">
      <c r="H18481" s="8" t="s">
        <v>364</v>
      </c>
    </row>
    <row r="18482">
      <c r="H18482" s="8" t="s">
        <v>364</v>
      </c>
    </row>
    <row r="18483">
      <c r="H18483" s="8" t="s">
        <v>364</v>
      </c>
    </row>
    <row r="18484">
      <c r="H18484" s="8" t="s">
        <v>364</v>
      </c>
    </row>
    <row r="18485">
      <c r="H18485" s="8" t="s">
        <v>364</v>
      </c>
    </row>
    <row r="18486">
      <c r="H18486" s="8" t="s">
        <v>364</v>
      </c>
    </row>
    <row r="18487">
      <c r="H18487" s="8" t="s">
        <v>364</v>
      </c>
    </row>
    <row r="18488">
      <c r="H18488" s="8" t="s">
        <v>364</v>
      </c>
    </row>
    <row r="18489">
      <c r="H18489" s="8" t="s">
        <v>364</v>
      </c>
    </row>
    <row r="18490">
      <c r="H18490" s="8" t="s">
        <v>364</v>
      </c>
    </row>
    <row r="18491">
      <c r="H18491" s="8" t="s">
        <v>364</v>
      </c>
    </row>
    <row r="18492">
      <c r="H18492" s="8" t="s">
        <v>364</v>
      </c>
    </row>
    <row r="18493">
      <c r="H18493" s="8" t="s">
        <v>364</v>
      </c>
    </row>
    <row r="18494">
      <c r="H18494" s="8" t="s">
        <v>364</v>
      </c>
    </row>
    <row r="18495">
      <c r="H18495" s="8" t="s">
        <v>364</v>
      </c>
    </row>
    <row r="18496">
      <c r="H18496" s="8" t="s">
        <v>364</v>
      </c>
    </row>
    <row r="18497">
      <c r="H18497" s="8" t="s">
        <v>364</v>
      </c>
    </row>
    <row r="18498">
      <c r="H18498" s="8" t="s">
        <v>364</v>
      </c>
    </row>
    <row r="18499">
      <c r="H18499" s="8" t="s">
        <v>364</v>
      </c>
    </row>
    <row r="18500">
      <c r="H18500" s="8" t="s">
        <v>364</v>
      </c>
    </row>
    <row r="18501">
      <c r="H18501" s="8" t="s">
        <v>364</v>
      </c>
    </row>
    <row r="18502">
      <c r="H18502" s="8" t="s">
        <v>364</v>
      </c>
    </row>
    <row r="18503">
      <c r="H18503" s="8" t="s">
        <v>364</v>
      </c>
    </row>
    <row r="18504">
      <c r="H18504" s="8" t="s">
        <v>364</v>
      </c>
    </row>
    <row r="18505">
      <c r="H18505" s="8" t="s">
        <v>364</v>
      </c>
    </row>
    <row r="18506">
      <c r="H18506" s="8" t="s">
        <v>364</v>
      </c>
    </row>
    <row r="18507">
      <c r="H18507" s="8" t="s">
        <v>364</v>
      </c>
    </row>
    <row r="18508">
      <c r="H18508" s="8" t="s">
        <v>364</v>
      </c>
    </row>
    <row r="18509">
      <c r="H18509" s="8" t="s">
        <v>364</v>
      </c>
    </row>
    <row r="18510">
      <c r="H18510" s="8" t="s">
        <v>364</v>
      </c>
    </row>
    <row r="18511">
      <c r="H18511" s="8" t="s">
        <v>364</v>
      </c>
    </row>
    <row r="18512">
      <c r="H18512" s="8" t="s">
        <v>364</v>
      </c>
    </row>
    <row r="18513">
      <c r="H18513" s="8" t="s">
        <v>364</v>
      </c>
    </row>
    <row r="18514">
      <c r="H18514" s="8" t="s">
        <v>364</v>
      </c>
    </row>
    <row r="18515">
      <c r="H18515" s="8" t="s">
        <v>364</v>
      </c>
    </row>
    <row r="18516">
      <c r="H18516" s="8" t="s">
        <v>364</v>
      </c>
    </row>
    <row r="18517">
      <c r="H18517" s="8" t="s">
        <v>364</v>
      </c>
    </row>
    <row r="18518">
      <c r="H18518" s="8" t="s">
        <v>364</v>
      </c>
    </row>
    <row r="18519">
      <c r="H18519" s="8" t="s">
        <v>364</v>
      </c>
    </row>
    <row r="18520">
      <c r="H18520" s="8" t="s">
        <v>364</v>
      </c>
    </row>
    <row r="18521">
      <c r="H18521" s="8" t="s">
        <v>364</v>
      </c>
    </row>
    <row r="18522">
      <c r="H18522" s="8" t="s">
        <v>364</v>
      </c>
    </row>
    <row r="18523">
      <c r="H18523" s="8" t="s">
        <v>364</v>
      </c>
    </row>
    <row r="18524">
      <c r="H18524" s="8" t="s">
        <v>364</v>
      </c>
    </row>
    <row r="18525">
      <c r="H18525" s="8" t="s">
        <v>364</v>
      </c>
    </row>
    <row r="18526">
      <c r="H18526" s="8" t="s">
        <v>364</v>
      </c>
    </row>
    <row r="18527">
      <c r="H18527" s="8" t="s">
        <v>364</v>
      </c>
    </row>
    <row r="18528">
      <c r="H18528" s="8" t="s">
        <v>364</v>
      </c>
    </row>
    <row r="18529">
      <c r="H18529" s="8" t="s">
        <v>364</v>
      </c>
    </row>
    <row r="18530">
      <c r="H18530" s="8" t="s">
        <v>364</v>
      </c>
    </row>
    <row r="18531">
      <c r="H18531" s="8" t="s">
        <v>364</v>
      </c>
    </row>
    <row r="18532">
      <c r="H18532" s="8" t="s">
        <v>364</v>
      </c>
    </row>
    <row r="18533">
      <c r="H18533" s="8" t="s">
        <v>364</v>
      </c>
    </row>
    <row r="18534">
      <c r="H18534" s="8" t="s">
        <v>364</v>
      </c>
    </row>
    <row r="18535">
      <c r="H18535" s="8" t="s">
        <v>364</v>
      </c>
    </row>
    <row r="18536">
      <c r="H18536" s="8" t="s">
        <v>364</v>
      </c>
    </row>
    <row r="18537">
      <c r="H18537" s="8" t="s">
        <v>364</v>
      </c>
    </row>
    <row r="18538">
      <c r="H18538" s="8" t="s">
        <v>364</v>
      </c>
    </row>
    <row r="18539">
      <c r="H18539" s="8" t="s">
        <v>364</v>
      </c>
    </row>
    <row r="18540">
      <c r="H18540" s="8" t="s">
        <v>364</v>
      </c>
    </row>
    <row r="18541">
      <c r="H18541" s="8" t="s">
        <v>364</v>
      </c>
    </row>
    <row r="18542">
      <c r="H18542" s="8" t="s">
        <v>364</v>
      </c>
    </row>
    <row r="18543">
      <c r="H18543" s="8" t="s">
        <v>364</v>
      </c>
    </row>
    <row r="18544">
      <c r="H18544" s="8" t="s">
        <v>364</v>
      </c>
    </row>
    <row r="18545">
      <c r="H18545" s="8" t="s">
        <v>364</v>
      </c>
    </row>
    <row r="18546">
      <c r="H18546" s="8" t="s">
        <v>364</v>
      </c>
    </row>
    <row r="18547">
      <c r="H18547" s="8" t="s">
        <v>364</v>
      </c>
    </row>
    <row r="18548">
      <c r="H18548" s="8" t="s">
        <v>364</v>
      </c>
    </row>
    <row r="18549">
      <c r="H18549" s="8" t="s">
        <v>364</v>
      </c>
    </row>
    <row r="18550">
      <c r="H18550" s="8" t="s">
        <v>364</v>
      </c>
    </row>
    <row r="18551">
      <c r="H18551" s="8" t="s">
        <v>364</v>
      </c>
    </row>
    <row r="18552">
      <c r="H18552" s="8" t="s">
        <v>364</v>
      </c>
    </row>
    <row r="18553">
      <c r="H18553" s="8" t="s">
        <v>364</v>
      </c>
    </row>
    <row r="18554">
      <c r="H18554" s="8" t="s">
        <v>364</v>
      </c>
    </row>
    <row r="18555">
      <c r="H18555" s="8" t="s">
        <v>364</v>
      </c>
    </row>
    <row r="18556">
      <c r="H18556" s="8" t="s">
        <v>364</v>
      </c>
    </row>
    <row r="18557">
      <c r="H18557" s="8" t="s">
        <v>364</v>
      </c>
    </row>
    <row r="18558">
      <c r="H18558" s="8" t="s">
        <v>364</v>
      </c>
    </row>
    <row r="18559">
      <c r="H18559" s="8" t="s">
        <v>364</v>
      </c>
    </row>
    <row r="18560">
      <c r="H18560" s="8" t="s">
        <v>364</v>
      </c>
    </row>
    <row r="18561">
      <c r="H18561" s="8" t="s">
        <v>364</v>
      </c>
    </row>
    <row r="18562">
      <c r="H18562" s="8" t="s">
        <v>364</v>
      </c>
    </row>
    <row r="18563">
      <c r="H18563" s="8" t="s">
        <v>364</v>
      </c>
    </row>
    <row r="18564">
      <c r="H18564" s="8" t="s">
        <v>364</v>
      </c>
    </row>
    <row r="18565">
      <c r="H18565" s="8" t="s">
        <v>364</v>
      </c>
    </row>
    <row r="18566">
      <c r="H18566" s="8" t="s">
        <v>364</v>
      </c>
    </row>
    <row r="18567">
      <c r="H18567" s="8" t="s">
        <v>364</v>
      </c>
    </row>
    <row r="18568">
      <c r="H18568" s="8" t="s">
        <v>364</v>
      </c>
    </row>
    <row r="18569">
      <c r="H18569" s="8" t="s">
        <v>364</v>
      </c>
    </row>
    <row r="18570">
      <c r="H18570" s="8" t="s">
        <v>364</v>
      </c>
    </row>
    <row r="18571">
      <c r="H18571" s="8" t="s">
        <v>364</v>
      </c>
    </row>
    <row r="18572">
      <c r="H18572" s="8" t="s">
        <v>364</v>
      </c>
    </row>
    <row r="18573">
      <c r="H18573" s="8" t="s">
        <v>364</v>
      </c>
    </row>
    <row r="18574">
      <c r="H18574" s="8" t="s">
        <v>364</v>
      </c>
    </row>
    <row r="18575">
      <c r="H18575" s="8" t="s">
        <v>364</v>
      </c>
    </row>
    <row r="18576">
      <c r="H18576" s="8" t="s">
        <v>364</v>
      </c>
    </row>
    <row r="18577">
      <c r="H18577" s="8" t="s">
        <v>364</v>
      </c>
    </row>
    <row r="18578">
      <c r="H18578" s="8" t="s">
        <v>364</v>
      </c>
    </row>
    <row r="18579">
      <c r="H18579" s="8" t="s">
        <v>364</v>
      </c>
    </row>
    <row r="18580">
      <c r="H18580" s="8" t="s">
        <v>364</v>
      </c>
    </row>
    <row r="18581">
      <c r="H18581" s="8" t="s">
        <v>364</v>
      </c>
    </row>
    <row r="18582">
      <c r="H18582" s="8" t="s">
        <v>364</v>
      </c>
    </row>
    <row r="18583">
      <c r="H18583" s="8" t="s">
        <v>364</v>
      </c>
    </row>
    <row r="18584">
      <c r="H18584" s="8" t="s">
        <v>364</v>
      </c>
    </row>
    <row r="18585">
      <c r="H18585" s="8" t="s">
        <v>364</v>
      </c>
    </row>
    <row r="18586">
      <c r="H18586" s="8" t="s">
        <v>364</v>
      </c>
    </row>
    <row r="18587">
      <c r="H18587" s="8" t="s">
        <v>364</v>
      </c>
    </row>
    <row r="18588">
      <c r="H18588" s="8" t="s">
        <v>364</v>
      </c>
    </row>
    <row r="18589">
      <c r="H18589" s="8" t="s">
        <v>364</v>
      </c>
    </row>
    <row r="18590">
      <c r="H18590" s="8" t="s">
        <v>364</v>
      </c>
    </row>
    <row r="18591">
      <c r="H18591" s="8" t="s">
        <v>364</v>
      </c>
    </row>
    <row r="18592">
      <c r="H18592" s="8" t="s">
        <v>364</v>
      </c>
    </row>
    <row r="18593">
      <c r="H18593" s="8" t="s">
        <v>364</v>
      </c>
    </row>
    <row r="18594">
      <c r="H18594" s="8" t="s">
        <v>364</v>
      </c>
    </row>
    <row r="18595">
      <c r="H18595" s="8" t="s">
        <v>364</v>
      </c>
    </row>
    <row r="18596">
      <c r="H18596" s="8" t="s">
        <v>364</v>
      </c>
    </row>
    <row r="18597">
      <c r="H18597" s="8" t="s">
        <v>364</v>
      </c>
    </row>
    <row r="18598">
      <c r="H18598" s="8" t="s">
        <v>364</v>
      </c>
    </row>
    <row r="18599">
      <c r="H18599" s="8" t="s">
        <v>364</v>
      </c>
    </row>
    <row r="18600">
      <c r="H18600" s="8" t="s">
        <v>364</v>
      </c>
    </row>
    <row r="18601">
      <c r="H18601" s="8" t="s">
        <v>364</v>
      </c>
    </row>
    <row r="18602">
      <c r="H18602" s="8" t="s">
        <v>364</v>
      </c>
    </row>
    <row r="18603">
      <c r="H18603" s="8" t="s">
        <v>364</v>
      </c>
    </row>
    <row r="18604">
      <c r="H18604" s="8" t="s">
        <v>364</v>
      </c>
    </row>
    <row r="18605">
      <c r="H18605" s="8" t="s">
        <v>364</v>
      </c>
    </row>
    <row r="18606">
      <c r="H18606" s="8" t="s">
        <v>364</v>
      </c>
    </row>
    <row r="18607">
      <c r="H18607" s="8" t="s">
        <v>364</v>
      </c>
    </row>
    <row r="18608">
      <c r="H18608" s="8" t="s">
        <v>364</v>
      </c>
    </row>
    <row r="18609">
      <c r="H18609" s="8" t="s">
        <v>364</v>
      </c>
    </row>
    <row r="18610">
      <c r="H18610" s="8" t="s">
        <v>364</v>
      </c>
    </row>
    <row r="18611">
      <c r="H18611" s="8" t="s">
        <v>364</v>
      </c>
    </row>
    <row r="18612">
      <c r="H18612" s="8" t="s">
        <v>364</v>
      </c>
    </row>
    <row r="18613">
      <c r="H18613" s="8" t="s">
        <v>364</v>
      </c>
    </row>
    <row r="18614">
      <c r="H18614" s="8" t="s">
        <v>364</v>
      </c>
    </row>
    <row r="18615">
      <c r="H18615" s="8" t="s">
        <v>364</v>
      </c>
    </row>
    <row r="18616">
      <c r="H18616" s="8" t="s">
        <v>364</v>
      </c>
    </row>
    <row r="18617">
      <c r="H18617" s="8" t="s">
        <v>364</v>
      </c>
    </row>
    <row r="18618">
      <c r="H18618" s="8" t="s">
        <v>364</v>
      </c>
    </row>
    <row r="18619">
      <c r="H18619" s="8" t="s">
        <v>364</v>
      </c>
    </row>
    <row r="18620">
      <c r="H18620" s="8" t="s">
        <v>364</v>
      </c>
    </row>
    <row r="18621">
      <c r="H18621" s="8" t="s">
        <v>364</v>
      </c>
    </row>
    <row r="18622">
      <c r="H18622" s="8" t="s">
        <v>364</v>
      </c>
    </row>
    <row r="18623">
      <c r="H18623" s="8" t="s">
        <v>364</v>
      </c>
    </row>
    <row r="18624">
      <c r="H18624" s="8" t="s">
        <v>364</v>
      </c>
    </row>
    <row r="18625">
      <c r="H18625" s="8" t="s">
        <v>364</v>
      </c>
    </row>
    <row r="18626">
      <c r="H18626" s="8" t="s">
        <v>364</v>
      </c>
    </row>
    <row r="18627">
      <c r="H18627" s="8" t="s">
        <v>364</v>
      </c>
    </row>
    <row r="18628">
      <c r="H18628" s="8" t="s">
        <v>364</v>
      </c>
    </row>
    <row r="18629">
      <c r="H18629" s="8" t="s">
        <v>364</v>
      </c>
    </row>
    <row r="18630">
      <c r="H18630" s="8" t="s">
        <v>364</v>
      </c>
    </row>
    <row r="18631">
      <c r="H18631" s="8" t="s">
        <v>364</v>
      </c>
    </row>
    <row r="18632">
      <c r="H18632" s="8" t="s">
        <v>364</v>
      </c>
    </row>
    <row r="18633">
      <c r="H18633" s="8" t="s">
        <v>364</v>
      </c>
    </row>
    <row r="18634">
      <c r="H18634" s="8" t="s">
        <v>364</v>
      </c>
    </row>
    <row r="18635">
      <c r="H18635" s="8" t="s">
        <v>364</v>
      </c>
    </row>
    <row r="18636">
      <c r="H18636" s="8" t="s">
        <v>364</v>
      </c>
    </row>
    <row r="18637">
      <c r="H18637" s="8" t="s">
        <v>364</v>
      </c>
    </row>
    <row r="18638">
      <c r="H18638" s="8" t="s">
        <v>364</v>
      </c>
    </row>
    <row r="18639">
      <c r="H18639" s="8" t="s">
        <v>364</v>
      </c>
    </row>
    <row r="18640">
      <c r="H18640" s="8" t="s">
        <v>364</v>
      </c>
    </row>
    <row r="18641">
      <c r="H18641" s="8" t="s">
        <v>364</v>
      </c>
    </row>
    <row r="18642">
      <c r="H18642" s="8" t="s">
        <v>364</v>
      </c>
    </row>
    <row r="18643">
      <c r="H18643" s="8" t="s">
        <v>364</v>
      </c>
    </row>
    <row r="18644">
      <c r="H18644" s="8" t="s">
        <v>364</v>
      </c>
    </row>
    <row r="18645">
      <c r="H18645" s="8" t="s">
        <v>364</v>
      </c>
    </row>
    <row r="18646">
      <c r="H18646" s="8" t="s">
        <v>364</v>
      </c>
    </row>
    <row r="18647">
      <c r="H18647" s="8" t="s">
        <v>364</v>
      </c>
    </row>
    <row r="18648">
      <c r="H18648" s="8" t="s">
        <v>364</v>
      </c>
    </row>
    <row r="18649">
      <c r="H18649" s="8" t="s">
        <v>364</v>
      </c>
    </row>
    <row r="18650">
      <c r="H18650" s="8" t="s">
        <v>364</v>
      </c>
    </row>
    <row r="18651">
      <c r="H18651" s="8" t="s">
        <v>364</v>
      </c>
    </row>
    <row r="18652">
      <c r="H18652" s="8" t="s">
        <v>364</v>
      </c>
    </row>
    <row r="18653">
      <c r="H18653" s="8" t="s">
        <v>364</v>
      </c>
    </row>
    <row r="18654">
      <c r="H18654" s="8" t="s">
        <v>364</v>
      </c>
    </row>
    <row r="18655">
      <c r="H18655" s="8" t="s">
        <v>364</v>
      </c>
    </row>
    <row r="18656">
      <c r="H18656" s="8" t="s">
        <v>364</v>
      </c>
    </row>
    <row r="18657">
      <c r="H18657" s="8" t="s">
        <v>364</v>
      </c>
    </row>
    <row r="18658">
      <c r="H18658" s="8" t="s">
        <v>364</v>
      </c>
    </row>
    <row r="18659">
      <c r="H18659" s="8" t="s">
        <v>364</v>
      </c>
    </row>
    <row r="18660">
      <c r="H18660" s="8" t="s">
        <v>364</v>
      </c>
    </row>
    <row r="18661">
      <c r="H18661" s="8" t="s">
        <v>364</v>
      </c>
    </row>
    <row r="18662">
      <c r="H18662" s="8" t="s">
        <v>364</v>
      </c>
    </row>
    <row r="18663">
      <c r="H18663" s="8" t="s">
        <v>364</v>
      </c>
    </row>
    <row r="18664">
      <c r="H18664" s="8" t="s">
        <v>364</v>
      </c>
    </row>
    <row r="18665">
      <c r="H18665" s="8" t="s">
        <v>364</v>
      </c>
    </row>
    <row r="18666">
      <c r="H18666" s="8" t="s">
        <v>364</v>
      </c>
    </row>
    <row r="18667">
      <c r="H18667" s="8" t="s">
        <v>364</v>
      </c>
    </row>
    <row r="18668">
      <c r="H18668" s="8" t="s">
        <v>364</v>
      </c>
    </row>
    <row r="18669">
      <c r="H18669" s="8" t="s">
        <v>364</v>
      </c>
    </row>
    <row r="18670">
      <c r="H18670" s="8" t="s">
        <v>364</v>
      </c>
    </row>
    <row r="18671">
      <c r="H18671" s="8" t="s">
        <v>364</v>
      </c>
    </row>
    <row r="18672">
      <c r="H18672" s="8" t="s">
        <v>364</v>
      </c>
    </row>
    <row r="18673">
      <c r="H18673" s="8" t="s">
        <v>364</v>
      </c>
    </row>
    <row r="18674">
      <c r="H18674" s="8" t="s">
        <v>364</v>
      </c>
    </row>
    <row r="18675">
      <c r="H18675" s="8" t="s">
        <v>364</v>
      </c>
    </row>
    <row r="18676">
      <c r="H18676" s="8" t="s">
        <v>364</v>
      </c>
    </row>
    <row r="18677">
      <c r="H18677" s="8" t="s">
        <v>364</v>
      </c>
    </row>
    <row r="18678">
      <c r="H18678" s="8" t="s">
        <v>364</v>
      </c>
    </row>
    <row r="18679">
      <c r="H18679" s="8" t="s">
        <v>364</v>
      </c>
    </row>
    <row r="18680">
      <c r="H18680" s="8" t="s">
        <v>364</v>
      </c>
    </row>
    <row r="18681">
      <c r="H18681" s="8" t="s">
        <v>364</v>
      </c>
    </row>
    <row r="18682">
      <c r="H18682" s="8" t="s">
        <v>364</v>
      </c>
    </row>
    <row r="18683">
      <c r="H18683" s="8" t="s">
        <v>364</v>
      </c>
    </row>
    <row r="18684">
      <c r="H18684" s="8" t="s">
        <v>364</v>
      </c>
    </row>
    <row r="18685">
      <c r="H18685" s="8" t="s">
        <v>364</v>
      </c>
    </row>
    <row r="18686">
      <c r="H18686" s="8" t="s">
        <v>364</v>
      </c>
    </row>
    <row r="18687">
      <c r="H18687" s="8" t="s">
        <v>364</v>
      </c>
    </row>
    <row r="18688">
      <c r="H18688" s="8" t="s">
        <v>364</v>
      </c>
    </row>
    <row r="18689">
      <c r="H18689" s="8" t="s">
        <v>364</v>
      </c>
    </row>
    <row r="18690">
      <c r="H18690" s="8" t="s">
        <v>364</v>
      </c>
    </row>
    <row r="18691">
      <c r="H18691" s="8" t="s">
        <v>364</v>
      </c>
    </row>
    <row r="18692">
      <c r="H18692" s="8" t="s">
        <v>364</v>
      </c>
    </row>
    <row r="18693">
      <c r="H18693" s="8" t="s">
        <v>364</v>
      </c>
    </row>
    <row r="18694">
      <c r="H18694" s="8" t="s">
        <v>364</v>
      </c>
    </row>
    <row r="18695">
      <c r="H18695" s="8" t="s">
        <v>364</v>
      </c>
    </row>
    <row r="18696">
      <c r="H18696" s="8" t="s">
        <v>364</v>
      </c>
    </row>
    <row r="18697">
      <c r="H18697" s="8" t="s">
        <v>364</v>
      </c>
    </row>
    <row r="18698">
      <c r="H18698" s="8" t="s">
        <v>364</v>
      </c>
    </row>
    <row r="18699">
      <c r="H18699" s="8" t="s">
        <v>364</v>
      </c>
    </row>
    <row r="18700">
      <c r="H18700" s="8" t="s">
        <v>364</v>
      </c>
    </row>
    <row r="18701">
      <c r="H18701" s="8" t="s">
        <v>364</v>
      </c>
    </row>
    <row r="18702">
      <c r="H18702" s="8" t="s">
        <v>364</v>
      </c>
    </row>
    <row r="18703">
      <c r="H18703" s="8" t="s">
        <v>364</v>
      </c>
    </row>
    <row r="18704">
      <c r="H18704" s="8" t="s">
        <v>364</v>
      </c>
    </row>
    <row r="18705">
      <c r="H18705" s="8" t="s">
        <v>364</v>
      </c>
    </row>
    <row r="18706">
      <c r="H18706" s="8" t="s">
        <v>364</v>
      </c>
    </row>
    <row r="18707">
      <c r="H18707" s="8" t="s">
        <v>364</v>
      </c>
    </row>
    <row r="18708">
      <c r="H18708" s="8" t="s">
        <v>364</v>
      </c>
    </row>
    <row r="18709">
      <c r="H18709" s="8" t="s">
        <v>364</v>
      </c>
    </row>
    <row r="18710">
      <c r="H18710" s="8" t="s">
        <v>364</v>
      </c>
    </row>
    <row r="18711">
      <c r="H18711" s="8" t="s">
        <v>364</v>
      </c>
    </row>
    <row r="18712">
      <c r="H18712" s="8" t="s">
        <v>364</v>
      </c>
    </row>
    <row r="18713">
      <c r="H18713" s="8" t="s">
        <v>364</v>
      </c>
    </row>
    <row r="18714">
      <c r="H18714" s="8" t="s">
        <v>364</v>
      </c>
    </row>
    <row r="18715">
      <c r="H18715" s="8" t="s">
        <v>364</v>
      </c>
    </row>
    <row r="18716">
      <c r="H18716" s="8" t="s">
        <v>364</v>
      </c>
    </row>
    <row r="18717">
      <c r="H18717" s="8" t="s">
        <v>364</v>
      </c>
    </row>
    <row r="18718">
      <c r="H18718" s="8" t="s">
        <v>364</v>
      </c>
    </row>
    <row r="18719">
      <c r="H18719" s="8" t="s">
        <v>364</v>
      </c>
    </row>
    <row r="18720">
      <c r="H18720" s="8" t="s">
        <v>364</v>
      </c>
    </row>
    <row r="18721">
      <c r="H18721" s="8" t="s">
        <v>364</v>
      </c>
    </row>
    <row r="18722">
      <c r="H18722" s="8" t="s">
        <v>364</v>
      </c>
    </row>
    <row r="18723">
      <c r="H18723" s="8" t="s">
        <v>364</v>
      </c>
    </row>
    <row r="18724">
      <c r="H18724" s="8" t="s">
        <v>364</v>
      </c>
    </row>
    <row r="18725">
      <c r="H18725" s="8" t="s">
        <v>364</v>
      </c>
    </row>
    <row r="18726">
      <c r="H18726" s="8" t="s">
        <v>364</v>
      </c>
    </row>
    <row r="18727">
      <c r="H18727" s="8" t="s">
        <v>364</v>
      </c>
    </row>
    <row r="18728">
      <c r="H18728" s="8" t="s">
        <v>364</v>
      </c>
    </row>
    <row r="18729">
      <c r="H18729" s="8" t="s">
        <v>364</v>
      </c>
    </row>
    <row r="18730">
      <c r="H18730" s="8" t="s">
        <v>364</v>
      </c>
    </row>
    <row r="18731">
      <c r="H18731" s="8" t="s">
        <v>364</v>
      </c>
    </row>
    <row r="18732">
      <c r="H18732" s="8" t="s">
        <v>364</v>
      </c>
    </row>
    <row r="18733">
      <c r="H18733" s="8" t="s">
        <v>364</v>
      </c>
    </row>
    <row r="18734">
      <c r="H18734" s="8" t="s">
        <v>364</v>
      </c>
    </row>
    <row r="18735">
      <c r="H18735" s="8" t="s">
        <v>364</v>
      </c>
    </row>
    <row r="18736">
      <c r="H18736" s="8" t="s">
        <v>364</v>
      </c>
    </row>
    <row r="18737">
      <c r="H18737" s="8" t="s">
        <v>364</v>
      </c>
    </row>
    <row r="18738">
      <c r="H18738" s="8" t="s">
        <v>364</v>
      </c>
    </row>
    <row r="18739">
      <c r="H18739" s="8" t="s">
        <v>364</v>
      </c>
    </row>
    <row r="18740">
      <c r="H18740" s="8" t="s">
        <v>364</v>
      </c>
    </row>
    <row r="18741">
      <c r="H18741" s="8" t="s">
        <v>364</v>
      </c>
    </row>
    <row r="18742">
      <c r="H18742" s="8" t="s">
        <v>364</v>
      </c>
    </row>
    <row r="18743">
      <c r="H18743" s="8" t="s">
        <v>364</v>
      </c>
    </row>
    <row r="18744">
      <c r="H18744" s="8" t="s">
        <v>364</v>
      </c>
    </row>
    <row r="18745">
      <c r="H18745" s="8" t="s">
        <v>364</v>
      </c>
    </row>
    <row r="18746">
      <c r="H18746" s="8" t="s">
        <v>364</v>
      </c>
    </row>
    <row r="18747">
      <c r="H18747" s="8" t="s">
        <v>364</v>
      </c>
    </row>
    <row r="18748">
      <c r="H18748" s="8" t="s">
        <v>364</v>
      </c>
    </row>
    <row r="18749">
      <c r="H18749" s="8" t="s">
        <v>364</v>
      </c>
    </row>
    <row r="18750">
      <c r="H18750" s="8" t="s">
        <v>364</v>
      </c>
    </row>
    <row r="18751">
      <c r="H18751" s="8" t="s">
        <v>364</v>
      </c>
    </row>
    <row r="18752">
      <c r="H18752" s="8" t="s">
        <v>364</v>
      </c>
    </row>
    <row r="18753">
      <c r="H18753" s="8" t="s">
        <v>364</v>
      </c>
    </row>
    <row r="18754">
      <c r="H18754" s="8" t="s">
        <v>364</v>
      </c>
    </row>
    <row r="18755">
      <c r="H18755" s="8" t="s">
        <v>364</v>
      </c>
    </row>
    <row r="18756">
      <c r="H18756" s="8" t="s">
        <v>364</v>
      </c>
    </row>
    <row r="18757">
      <c r="H18757" s="8" t="s">
        <v>364</v>
      </c>
    </row>
    <row r="18758">
      <c r="H18758" s="8" t="s">
        <v>364</v>
      </c>
    </row>
    <row r="18759">
      <c r="H18759" s="8" t="s">
        <v>364</v>
      </c>
    </row>
    <row r="18760">
      <c r="H18760" s="8" t="s">
        <v>364</v>
      </c>
    </row>
    <row r="18761">
      <c r="H18761" s="8" t="s">
        <v>364</v>
      </c>
    </row>
    <row r="18762">
      <c r="H18762" s="8" t="s">
        <v>364</v>
      </c>
    </row>
    <row r="18763">
      <c r="H18763" s="8" t="s">
        <v>364</v>
      </c>
    </row>
    <row r="18764">
      <c r="H18764" s="8" t="s">
        <v>364</v>
      </c>
    </row>
    <row r="18765">
      <c r="H18765" s="8" t="s">
        <v>364</v>
      </c>
    </row>
    <row r="18766">
      <c r="H18766" s="8" t="s">
        <v>364</v>
      </c>
    </row>
    <row r="18767">
      <c r="H18767" s="8" t="s">
        <v>364</v>
      </c>
    </row>
    <row r="18768">
      <c r="H18768" s="8" t="s">
        <v>364</v>
      </c>
    </row>
    <row r="18769">
      <c r="H18769" s="8" t="s">
        <v>364</v>
      </c>
    </row>
    <row r="18770">
      <c r="H18770" s="8" t="s">
        <v>364</v>
      </c>
    </row>
    <row r="18771">
      <c r="H18771" s="8" t="s">
        <v>364</v>
      </c>
    </row>
    <row r="18772">
      <c r="H18772" s="8" t="s">
        <v>364</v>
      </c>
    </row>
    <row r="18773">
      <c r="H18773" s="8" t="s">
        <v>364</v>
      </c>
    </row>
    <row r="18774">
      <c r="H18774" s="8" t="s">
        <v>364</v>
      </c>
    </row>
    <row r="18775">
      <c r="H18775" s="8" t="s">
        <v>364</v>
      </c>
    </row>
    <row r="18776">
      <c r="H18776" s="8" t="s">
        <v>364</v>
      </c>
    </row>
    <row r="18777">
      <c r="H18777" s="8" t="s">
        <v>364</v>
      </c>
    </row>
    <row r="18778">
      <c r="H18778" s="8" t="s">
        <v>364</v>
      </c>
    </row>
    <row r="18779">
      <c r="H18779" s="8" t="s">
        <v>364</v>
      </c>
    </row>
    <row r="18780">
      <c r="H18780" s="8" t="s">
        <v>364</v>
      </c>
    </row>
    <row r="18781">
      <c r="H18781" s="8" t="s">
        <v>364</v>
      </c>
    </row>
    <row r="18782">
      <c r="H18782" s="8" t="s">
        <v>364</v>
      </c>
    </row>
    <row r="18783">
      <c r="H18783" s="8" t="s">
        <v>364</v>
      </c>
    </row>
    <row r="18784">
      <c r="H18784" s="8" t="s">
        <v>364</v>
      </c>
    </row>
    <row r="18785">
      <c r="H18785" s="8" t="s">
        <v>364</v>
      </c>
    </row>
    <row r="18786">
      <c r="H18786" s="8" t="s">
        <v>364</v>
      </c>
    </row>
    <row r="18787">
      <c r="H18787" s="8" t="s">
        <v>364</v>
      </c>
    </row>
    <row r="18788">
      <c r="H18788" s="8" t="s">
        <v>364</v>
      </c>
    </row>
    <row r="18789">
      <c r="H18789" s="8" t="s">
        <v>364</v>
      </c>
    </row>
    <row r="18790">
      <c r="H18790" s="8" t="s">
        <v>364</v>
      </c>
    </row>
    <row r="18791">
      <c r="H18791" s="8" t="s">
        <v>364</v>
      </c>
    </row>
    <row r="18792">
      <c r="H18792" s="8" t="s">
        <v>364</v>
      </c>
    </row>
    <row r="18793">
      <c r="H18793" s="8" t="s">
        <v>364</v>
      </c>
    </row>
    <row r="18794">
      <c r="H18794" s="8" t="s">
        <v>364</v>
      </c>
    </row>
    <row r="18795">
      <c r="H18795" s="8" t="s">
        <v>364</v>
      </c>
    </row>
    <row r="18796">
      <c r="H18796" s="8" t="s">
        <v>364</v>
      </c>
    </row>
    <row r="18797">
      <c r="H18797" s="8" t="s">
        <v>364</v>
      </c>
    </row>
    <row r="18798">
      <c r="H18798" s="8" t="s">
        <v>364</v>
      </c>
    </row>
    <row r="18799">
      <c r="H18799" s="8" t="s">
        <v>364</v>
      </c>
    </row>
    <row r="18800">
      <c r="H18800" s="8" t="s">
        <v>364</v>
      </c>
    </row>
    <row r="18801">
      <c r="H18801" s="8" t="s">
        <v>364</v>
      </c>
    </row>
    <row r="18802">
      <c r="H18802" s="8" t="s">
        <v>364</v>
      </c>
    </row>
    <row r="18803">
      <c r="H18803" s="8" t="s">
        <v>364</v>
      </c>
    </row>
    <row r="18804">
      <c r="H18804" s="8" t="s">
        <v>364</v>
      </c>
    </row>
    <row r="18805">
      <c r="H18805" s="8" t="s">
        <v>364</v>
      </c>
    </row>
    <row r="18806">
      <c r="H18806" s="8" t="s">
        <v>364</v>
      </c>
    </row>
    <row r="18807">
      <c r="H18807" s="8" t="s">
        <v>364</v>
      </c>
    </row>
    <row r="18808">
      <c r="H18808" s="8" t="s">
        <v>364</v>
      </c>
    </row>
    <row r="18809">
      <c r="H18809" s="8" t="s">
        <v>364</v>
      </c>
    </row>
    <row r="18810">
      <c r="H18810" s="8" t="s">
        <v>364</v>
      </c>
    </row>
    <row r="18811">
      <c r="H18811" s="8" t="s">
        <v>364</v>
      </c>
    </row>
    <row r="18812">
      <c r="H18812" s="8" t="s">
        <v>364</v>
      </c>
    </row>
    <row r="18813">
      <c r="H18813" s="8" t="s">
        <v>364</v>
      </c>
    </row>
    <row r="18814">
      <c r="H18814" s="8" t="s">
        <v>364</v>
      </c>
    </row>
    <row r="18815">
      <c r="H18815" s="8" t="s">
        <v>364</v>
      </c>
    </row>
    <row r="18816">
      <c r="H18816" s="8" t="s">
        <v>364</v>
      </c>
    </row>
    <row r="18817">
      <c r="H18817" s="8" t="s">
        <v>364</v>
      </c>
    </row>
    <row r="18818">
      <c r="H18818" s="8" t="s">
        <v>364</v>
      </c>
    </row>
    <row r="18819">
      <c r="H18819" s="8" t="s">
        <v>364</v>
      </c>
    </row>
    <row r="18820">
      <c r="H18820" s="8" t="s">
        <v>364</v>
      </c>
    </row>
    <row r="18821">
      <c r="H18821" s="8" t="s">
        <v>364</v>
      </c>
    </row>
    <row r="18822">
      <c r="H18822" s="8" t="s">
        <v>364</v>
      </c>
    </row>
    <row r="18823">
      <c r="H18823" s="8" t="s">
        <v>364</v>
      </c>
    </row>
    <row r="18824">
      <c r="H18824" s="8" t="s">
        <v>364</v>
      </c>
    </row>
    <row r="18825">
      <c r="H18825" s="8" t="s">
        <v>364</v>
      </c>
    </row>
    <row r="18826">
      <c r="H18826" s="8" t="s">
        <v>364</v>
      </c>
    </row>
    <row r="18827">
      <c r="H18827" s="8" t="s">
        <v>364</v>
      </c>
    </row>
    <row r="18828">
      <c r="H18828" s="8" t="s">
        <v>364</v>
      </c>
    </row>
    <row r="18829">
      <c r="H18829" s="8" t="s">
        <v>364</v>
      </c>
    </row>
    <row r="18830">
      <c r="H18830" s="8" t="s">
        <v>364</v>
      </c>
    </row>
    <row r="18831">
      <c r="H18831" s="8" t="s">
        <v>364</v>
      </c>
    </row>
    <row r="18832">
      <c r="H18832" s="8" t="s">
        <v>364</v>
      </c>
    </row>
    <row r="18833">
      <c r="H18833" s="8" t="s">
        <v>364</v>
      </c>
    </row>
    <row r="18834">
      <c r="H18834" s="8" t="s">
        <v>364</v>
      </c>
    </row>
    <row r="18835">
      <c r="H18835" s="8" t="s">
        <v>364</v>
      </c>
    </row>
    <row r="18836">
      <c r="H18836" s="8" t="s">
        <v>364</v>
      </c>
    </row>
    <row r="18837">
      <c r="H18837" s="8" t="s">
        <v>364</v>
      </c>
    </row>
    <row r="18838">
      <c r="H18838" s="8" t="s">
        <v>364</v>
      </c>
    </row>
    <row r="18839">
      <c r="H18839" s="8" t="s">
        <v>364</v>
      </c>
    </row>
    <row r="18840">
      <c r="H18840" s="8" t="s">
        <v>364</v>
      </c>
    </row>
    <row r="18841">
      <c r="H18841" s="8" t="s">
        <v>364</v>
      </c>
    </row>
    <row r="18842">
      <c r="H18842" s="8" t="s">
        <v>364</v>
      </c>
    </row>
    <row r="18843">
      <c r="H18843" s="8" t="s">
        <v>364</v>
      </c>
    </row>
    <row r="18844">
      <c r="H18844" s="8" t="s">
        <v>364</v>
      </c>
    </row>
    <row r="18845">
      <c r="H18845" s="8" t="s">
        <v>364</v>
      </c>
    </row>
    <row r="18846">
      <c r="H18846" s="8" t="s">
        <v>364</v>
      </c>
    </row>
    <row r="18847">
      <c r="H18847" s="8" t="s">
        <v>364</v>
      </c>
    </row>
    <row r="18848">
      <c r="H18848" s="8" t="s">
        <v>364</v>
      </c>
    </row>
    <row r="18849">
      <c r="H18849" s="8" t="s">
        <v>364</v>
      </c>
    </row>
    <row r="18850">
      <c r="H18850" s="8" t="s">
        <v>364</v>
      </c>
    </row>
    <row r="18851">
      <c r="H18851" s="8" t="s">
        <v>364</v>
      </c>
    </row>
    <row r="18852">
      <c r="H18852" s="8" t="s">
        <v>364</v>
      </c>
    </row>
    <row r="18853">
      <c r="H18853" s="8" t="s">
        <v>364</v>
      </c>
    </row>
    <row r="18854">
      <c r="H18854" s="8" t="s">
        <v>364</v>
      </c>
    </row>
    <row r="18855">
      <c r="H18855" s="8" t="s">
        <v>364</v>
      </c>
    </row>
    <row r="18856">
      <c r="H18856" s="8" t="s">
        <v>364</v>
      </c>
    </row>
    <row r="18857">
      <c r="H18857" s="8" t="s">
        <v>364</v>
      </c>
    </row>
    <row r="18858">
      <c r="H18858" s="8" t="s">
        <v>364</v>
      </c>
    </row>
    <row r="18859">
      <c r="H18859" s="8" t="s">
        <v>364</v>
      </c>
    </row>
    <row r="18860">
      <c r="H18860" s="8" t="s">
        <v>364</v>
      </c>
    </row>
    <row r="18861">
      <c r="H18861" s="8" t="s">
        <v>364</v>
      </c>
    </row>
    <row r="18862">
      <c r="H18862" s="8" t="s">
        <v>364</v>
      </c>
    </row>
    <row r="18863">
      <c r="H18863" s="8" t="s">
        <v>364</v>
      </c>
    </row>
    <row r="18864">
      <c r="H18864" s="8" t="s">
        <v>364</v>
      </c>
    </row>
    <row r="18865">
      <c r="H18865" s="8" t="s">
        <v>364</v>
      </c>
    </row>
    <row r="18866">
      <c r="H18866" s="8" t="s">
        <v>364</v>
      </c>
    </row>
    <row r="18867">
      <c r="H18867" s="8" t="s">
        <v>364</v>
      </c>
    </row>
    <row r="18868">
      <c r="H18868" s="8" t="s">
        <v>364</v>
      </c>
    </row>
    <row r="18869">
      <c r="H18869" s="8" t="s">
        <v>364</v>
      </c>
    </row>
    <row r="18870">
      <c r="H18870" s="8" t="s">
        <v>364</v>
      </c>
    </row>
    <row r="18871">
      <c r="H18871" s="8" t="s">
        <v>364</v>
      </c>
    </row>
    <row r="18872">
      <c r="H18872" s="8" t="s">
        <v>364</v>
      </c>
    </row>
    <row r="18873">
      <c r="H18873" s="8" t="s">
        <v>364</v>
      </c>
    </row>
    <row r="18874">
      <c r="H18874" s="8" t="s">
        <v>364</v>
      </c>
    </row>
    <row r="18875">
      <c r="H18875" s="8" t="s">
        <v>364</v>
      </c>
    </row>
    <row r="18876">
      <c r="H18876" s="8" t="s">
        <v>364</v>
      </c>
    </row>
    <row r="18877">
      <c r="H18877" s="8" t="s">
        <v>364</v>
      </c>
    </row>
    <row r="18878">
      <c r="H18878" s="8" t="s">
        <v>364</v>
      </c>
    </row>
    <row r="18879">
      <c r="H18879" s="8" t="s">
        <v>364</v>
      </c>
    </row>
    <row r="18880">
      <c r="H18880" s="8" t="s">
        <v>364</v>
      </c>
    </row>
    <row r="18881">
      <c r="H18881" s="8" t="s">
        <v>364</v>
      </c>
    </row>
    <row r="18882">
      <c r="H18882" s="8" t="s">
        <v>364</v>
      </c>
    </row>
    <row r="18883">
      <c r="H18883" s="8" t="s">
        <v>364</v>
      </c>
    </row>
    <row r="18884">
      <c r="H18884" s="8" t="s">
        <v>364</v>
      </c>
    </row>
    <row r="18885">
      <c r="H18885" s="8" t="s">
        <v>364</v>
      </c>
    </row>
    <row r="18886">
      <c r="H18886" s="8" t="s">
        <v>364</v>
      </c>
    </row>
    <row r="18887">
      <c r="H18887" s="8" t="s">
        <v>364</v>
      </c>
    </row>
    <row r="18888">
      <c r="H18888" s="8" t="s">
        <v>364</v>
      </c>
    </row>
    <row r="18889">
      <c r="H18889" s="8" t="s">
        <v>364</v>
      </c>
    </row>
    <row r="18890">
      <c r="H18890" s="8" t="s">
        <v>364</v>
      </c>
    </row>
    <row r="18891">
      <c r="H18891" s="8" t="s">
        <v>364</v>
      </c>
    </row>
    <row r="18892">
      <c r="H18892" s="8" t="s">
        <v>364</v>
      </c>
    </row>
    <row r="18893">
      <c r="H18893" s="8" t="s">
        <v>364</v>
      </c>
    </row>
    <row r="18894">
      <c r="H18894" s="8" t="s">
        <v>364</v>
      </c>
    </row>
    <row r="18895">
      <c r="H18895" s="8" t="s">
        <v>364</v>
      </c>
    </row>
    <row r="18896">
      <c r="H18896" s="8" t="s">
        <v>364</v>
      </c>
    </row>
    <row r="18897">
      <c r="H18897" s="8" t="s">
        <v>364</v>
      </c>
    </row>
    <row r="18898">
      <c r="H18898" s="8" t="s">
        <v>364</v>
      </c>
    </row>
    <row r="18899">
      <c r="H18899" s="8" t="s">
        <v>364</v>
      </c>
    </row>
    <row r="18900">
      <c r="H18900" s="8" t="s">
        <v>364</v>
      </c>
    </row>
    <row r="18901">
      <c r="H18901" s="8" t="s">
        <v>364</v>
      </c>
    </row>
    <row r="18902">
      <c r="H18902" s="8" t="s">
        <v>364</v>
      </c>
    </row>
    <row r="18903">
      <c r="H18903" s="8" t="s">
        <v>364</v>
      </c>
    </row>
    <row r="18904">
      <c r="H18904" s="8" t="s">
        <v>364</v>
      </c>
    </row>
    <row r="18905">
      <c r="H18905" s="8" t="s">
        <v>364</v>
      </c>
    </row>
    <row r="18906">
      <c r="H18906" s="8" t="s">
        <v>364</v>
      </c>
    </row>
    <row r="18907">
      <c r="H18907" s="8" t="s">
        <v>364</v>
      </c>
    </row>
    <row r="18908">
      <c r="H18908" s="8" t="s">
        <v>364</v>
      </c>
    </row>
    <row r="18909">
      <c r="H18909" s="8" t="s">
        <v>364</v>
      </c>
    </row>
    <row r="18910">
      <c r="H18910" s="8" t="s">
        <v>364</v>
      </c>
    </row>
    <row r="18911">
      <c r="H18911" s="8" t="s">
        <v>364</v>
      </c>
    </row>
    <row r="18912">
      <c r="H18912" s="8" t="s">
        <v>364</v>
      </c>
    </row>
    <row r="18913">
      <c r="H18913" s="8" t="s">
        <v>364</v>
      </c>
    </row>
    <row r="18914">
      <c r="H18914" s="8" t="s">
        <v>364</v>
      </c>
    </row>
    <row r="18915">
      <c r="H18915" s="8" t="s">
        <v>364</v>
      </c>
    </row>
    <row r="18916">
      <c r="H18916" s="8" t="s">
        <v>364</v>
      </c>
    </row>
    <row r="18917">
      <c r="H18917" s="8" t="s">
        <v>364</v>
      </c>
    </row>
    <row r="18918">
      <c r="H18918" s="8" t="s">
        <v>364</v>
      </c>
    </row>
    <row r="18919">
      <c r="H18919" s="8" t="s">
        <v>364</v>
      </c>
    </row>
    <row r="18920">
      <c r="H18920" s="8" t="s">
        <v>364</v>
      </c>
    </row>
    <row r="18921">
      <c r="H18921" s="8" t="s">
        <v>364</v>
      </c>
    </row>
    <row r="18922">
      <c r="H18922" s="8" t="s">
        <v>364</v>
      </c>
    </row>
    <row r="18923">
      <c r="H18923" s="8" t="s">
        <v>364</v>
      </c>
    </row>
    <row r="18924">
      <c r="H18924" s="8" t="s">
        <v>364</v>
      </c>
    </row>
    <row r="18925">
      <c r="H18925" s="8" t="s">
        <v>364</v>
      </c>
    </row>
    <row r="18926">
      <c r="H18926" s="8" t="s">
        <v>364</v>
      </c>
    </row>
    <row r="18927">
      <c r="H18927" s="8" t="s">
        <v>364</v>
      </c>
    </row>
    <row r="18928">
      <c r="H18928" s="8" t="s">
        <v>364</v>
      </c>
    </row>
    <row r="18929">
      <c r="H18929" s="8" t="s">
        <v>364</v>
      </c>
    </row>
    <row r="18930">
      <c r="H18930" s="8" t="s">
        <v>364</v>
      </c>
    </row>
    <row r="18931">
      <c r="H18931" s="8" t="s">
        <v>364</v>
      </c>
    </row>
    <row r="18932">
      <c r="H18932" s="8" t="s">
        <v>364</v>
      </c>
    </row>
    <row r="18933">
      <c r="H18933" s="8" t="s">
        <v>364</v>
      </c>
    </row>
    <row r="18934">
      <c r="H18934" s="8" t="s">
        <v>364</v>
      </c>
    </row>
    <row r="18935">
      <c r="H18935" s="8" t="s">
        <v>364</v>
      </c>
    </row>
    <row r="18936">
      <c r="H18936" s="8" t="s">
        <v>364</v>
      </c>
    </row>
    <row r="18937">
      <c r="H18937" s="8" t="s">
        <v>364</v>
      </c>
    </row>
    <row r="18938">
      <c r="H18938" s="8" t="s">
        <v>364</v>
      </c>
    </row>
    <row r="18939">
      <c r="H18939" s="8" t="s">
        <v>364</v>
      </c>
    </row>
    <row r="18940">
      <c r="H18940" s="8" t="s">
        <v>364</v>
      </c>
    </row>
    <row r="18941">
      <c r="H18941" s="8" t="s">
        <v>364</v>
      </c>
    </row>
    <row r="18942">
      <c r="H18942" s="8" t="s">
        <v>364</v>
      </c>
    </row>
    <row r="18943">
      <c r="H18943" s="8" t="s">
        <v>364</v>
      </c>
    </row>
    <row r="18944">
      <c r="H18944" s="8" t="s">
        <v>364</v>
      </c>
    </row>
    <row r="18945">
      <c r="H18945" s="8" t="s">
        <v>364</v>
      </c>
    </row>
    <row r="18946">
      <c r="H18946" s="8" t="s">
        <v>364</v>
      </c>
    </row>
    <row r="18947">
      <c r="H18947" s="8" t="s">
        <v>364</v>
      </c>
    </row>
    <row r="18948">
      <c r="H18948" s="8" t="s">
        <v>364</v>
      </c>
    </row>
    <row r="18949">
      <c r="H18949" s="8" t="s">
        <v>364</v>
      </c>
    </row>
    <row r="18950">
      <c r="H18950" s="8" t="s">
        <v>364</v>
      </c>
    </row>
    <row r="18951">
      <c r="H18951" s="8" t="s">
        <v>364</v>
      </c>
    </row>
    <row r="18952">
      <c r="H18952" s="8" t="s">
        <v>364</v>
      </c>
    </row>
    <row r="18953">
      <c r="H18953" s="8" t="s">
        <v>364</v>
      </c>
    </row>
    <row r="18954">
      <c r="H18954" s="8" t="s">
        <v>364</v>
      </c>
    </row>
    <row r="18955">
      <c r="H18955" s="8" t="s">
        <v>364</v>
      </c>
    </row>
    <row r="18956">
      <c r="H18956" s="8" t="s">
        <v>364</v>
      </c>
    </row>
    <row r="18957">
      <c r="H18957" s="8" t="s">
        <v>364</v>
      </c>
    </row>
    <row r="18958">
      <c r="H18958" s="8" t="s">
        <v>364</v>
      </c>
    </row>
    <row r="18959">
      <c r="H18959" s="8" t="s">
        <v>364</v>
      </c>
    </row>
    <row r="18960">
      <c r="H18960" s="8" t="s">
        <v>364</v>
      </c>
    </row>
    <row r="18961">
      <c r="H18961" s="8" t="s">
        <v>364</v>
      </c>
    </row>
    <row r="18962">
      <c r="H18962" s="8" t="s">
        <v>364</v>
      </c>
    </row>
    <row r="18963">
      <c r="H18963" s="8" t="s">
        <v>364</v>
      </c>
    </row>
    <row r="18964">
      <c r="H18964" s="8" t="s">
        <v>364</v>
      </c>
    </row>
    <row r="18965">
      <c r="H18965" s="8" t="s">
        <v>364</v>
      </c>
    </row>
    <row r="18966">
      <c r="H18966" s="8" t="s">
        <v>364</v>
      </c>
    </row>
    <row r="18967">
      <c r="H18967" s="8" t="s">
        <v>364</v>
      </c>
    </row>
    <row r="18968">
      <c r="H18968" s="8" t="s">
        <v>364</v>
      </c>
    </row>
    <row r="18969">
      <c r="H18969" s="8" t="s">
        <v>364</v>
      </c>
    </row>
    <row r="18970">
      <c r="H18970" s="8" t="s">
        <v>364</v>
      </c>
    </row>
    <row r="18971">
      <c r="H18971" s="8" t="s">
        <v>364</v>
      </c>
    </row>
    <row r="18972">
      <c r="H18972" s="8" t="s">
        <v>364</v>
      </c>
    </row>
    <row r="18973">
      <c r="H18973" s="8" t="s">
        <v>364</v>
      </c>
    </row>
    <row r="18974">
      <c r="H18974" s="8" t="s">
        <v>364</v>
      </c>
    </row>
    <row r="18975">
      <c r="H18975" s="8" t="s">
        <v>364</v>
      </c>
    </row>
    <row r="18976">
      <c r="H18976" s="8" t="s">
        <v>364</v>
      </c>
    </row>
    <row r="18977">
      <c r="H18977" s="8" t="s">
        <v>364</v>
      </c>
    </row>
    <row r="18978">
      <c r="H18978" s="8" t="s">
        <v>364</v>
      </c>
    </row>
    <row r="18979">
      <c r="H18979" s="8" t="s">
        <v>364</v>
      </c>
    </row>
    <row r="18980">
      <c r="H18980" s="8" t="s">
        <v>364</v>
      </c>
    </row>
    <row r="18981">
      <c r="H18981" s="8" t="s">
        <v>364</v>
      </c>
    </row>
    <row r="18982">
      <c r="H18982" s="8" t="s">
        <v>364</v>
      </c>
    </row>
    <row r="18983">
      <c r="H18983" s="8" t="s">
        <v>364</v>
      </c>
    </row>
    <row r="18984">
      <c r="H18984" s="8" t="s">
        <v>364</v>
      </c>
    </row>
    <row r="18985">
      <c r="H18985" s="8" t="s">
        <v>364</v>
      </c>
    </row>
    <row r="18986">
      <c r="H18986" s="8" t="s">
        <v>364</v>
      </c>
    </row>
    <row r="18987">
      <c r="H18987" s="8" t="s">
        <v>364</v>
      </c>
    </row>
    <row r="18988">
      <c r="H18988" s="8" t="s">
        <v>364</v>
      </c>
    </row>
    <row r="18989">
      <c r="H18989" s="8" t="s">
        <v>364</v>
      </c>
    </row>
    <row r="18990">
      <c r="H18990" s="8" t="s">
        <v>364</v>
      </c>
    </row>
    <row r="18991">
      <c r="H18991" s="8" t="s">
        <v>364</v>
      </c>
    </row>
    <row r="18992">
      <c r="H18992" s="8" t="s">
        <v>364</v>
      </c>
    </row>
    <row r="18993">
      <c r="H18993" s="8" t="s">
        <v>364</v>
      </c>
    </row>
    <row r="18994">
      <c r="H18994" s="8" t="s">
        <v>364</v>
      </c>
    </row>
    <row r="18995">
      <c r="H18995" s="8" t="s">
        <v>364</v>
      </c>
    </row>
    <row r="18996">
      <c r="H18996" s="8" t="s">
        <v>364</v>
      </c>
    </row>
    <row r="18997">
      <c r="H18997" s="8" t="s">
        <v>364</v>
      </c>
    </row>
    <row r="18998">
      <c r="H18998" s="8" t="s">
        <v>364</v>
      </c>
    </row>
    <row r="18999">
      <c r="H18999" s="8" t="s">
        <v>364</v>
      </c>
    </row>
    <row r="19000">
      <c r="H19000" s="8" t="s">
        <v>364</v>
      </c>
    </row>
    <row r="19001">
      <c r="H19001" s="8" t="s">
        <v>364</v>
      </c>
    </row>
    <row r="19002">
      <c r="H19002" s="8" t="s">
        <v>364</v>
      </c>
    </row>
    <row r="19003">
      <c r="H19003" s="8" t="s">
        <v>364</v>
      </c>
    </row>
    <row r="19004">
      <c r="H19004" s="8" t="s">
        <v>364</v>
      </c>
    </row>
    <row r="19005">
      <c r="H19005" s="8" t="s">
        <v>364</v>
      </c>
    </row>
    <row r="19006">
      <c r="H19006" s="8" t="s">
        <v>364</v>
      </c>
    </row>
    <row r="19007">
      <c r="H19007" s="8" t="s">
        <v>364</v>
      </c>
    </row>
    <row r="19008">
      <c r="H19008" s="8" t="s">
        <v>364</v>
      </c>
    </row>
    <row r="19009">
      <c r="H19009" s="8" t="s">
        <v>364</v>
      </c>
    </row>
    <row r="19010">
      <c r="H19010" s="8" t="s">
        <v>364</v>
      </c>
    </row>
    <row r="19011">
      <c r="H19011" s="8" t="s">
        <v>364</v>
      </c>
    </row>
    <row r="19012">
      <c r="H19012" s="8" t="s">
        <v>364</v>
      </c>
    </row>
    <row r="19013">
      <c r="H19013" s="8" t="s">
        <v>364</v>
      </c>
    </row>
    <row r="19014">
      <c r="H19014" s="8" t="s">
        <v>364</v>
      </c>
    </row>
    <row r="19015">
      <c r="H19015" s="8" t="s">
        <v>364</v>
      </c>
    </row>
    <row r="19016">
      <c r="H19016" s="8" t="s">
        <v>364</v>
      </c>
    </row>
    <row r="19017">
      <c r="H19017" s="8" t="s">
        <v>364</v>
      </c>
    </row>
    <row r="19018">
      <c r="H19018" s="8" t="s">
        <v>364</v>
      </c>
    </row>
    <row r="19019">
      <c r="H19019" s="8" t="s">
        <v>364</v>
      </c>
    </row>
    <row r="19020">
      <c r="H19020" s="8" t="s">
        <v>364</v>
      </c>
    </row>
    <row r="19021">
      <c r="H19021" s="8" t="s">
        <v>364</v>
      </c>
    </row>
    <row r="19022">
      <c r="H19022" s="8" t="s">
        <v>364</v>
      </c>
    </row>
    <row r="19023">
      <c r="H19023" s="8" t="s">
        <v>364</v>
      </c>
    </row>
    <row r="19024">
      <c r="H19024" s="8" t="s">
        <v>364</v>
      </c>
    </row>
    <row r="19025">
      <c r="H19025" s="8" t="s">
        <v>364</v>
      </c>
    </row>
    <row r="19026">
      <c r="H19026" s="8" t="s">
        <v>364</v>
      </c>
    </row>
    <row r="19027">
      <c r="H19027" s="8" t="s">
        <v>364</v>
      </c>
    </row>
    <row r="19028">
      <c r="H19028" s="8" t="s">
        <v>364</v>
      </c>
    </row>
    <row r="19029">
      <c r="H19029" s="8" t="s">
        <v>364</v>
      </c>
    </row>
    <row r="19030">
      <c r="H19030" s="8" t="s">
        <v>364</v>
      </c>
    </row>
    <row r="19031">
      <c r="H19031" s="8" t="s">
        <v>364</v>
      </c>
    </row>
    <row r="19032">
      <c r="H19032" s="8" t="s">
        <v>364</v>
      </c>
    </row>
    <row r="19033">
      <c r="H19033" s="8" t="s">
        <v>364</v>
      </c>
    </row>
    <row r="19034">
      <c r="H19034" s="8" t="s">
        <v>364</v>
      </c>
    </row>
    <row r="19035">
      <c r="H19035" s="8" t="s">
        <v>364</v>
      </c>
    </row>
    <row r="19036">
      <c r="H19036" s="8" t="s">
        <v>364</v>
      </c>
    </row>
    <row r="19037">
      <c r="H19037" s="8" t="s">
        <v>364</v>
      </c>
    </row>
    <row r="19038">
      <c r="H19038" s="8" t="s">
        <v>364</v>
      </c>
    </row>
    <row r="19039">
      <c r="H19039" s="8" t="s">
        <v>364</v>
      </c>
    </row>
    <row r="19040">
      <c r="H19040" s="8" t="s">
        <v>364</v>
      </c>
    </row>
    <row r="19041">
      <c r="H19041" s="8" t="s">
        <v>364</v>
      </c>
    </row>
    <row r="19042">
      <c r="H19042" s="8" t="s">
        <v>364</v>
      </c>
    </row>
    <row r="19043">
      <c r="H19043" s="8" t="s">
        <v>364</v>
      </c>
    </row>
    <row r="19044">
      <c r="H19044" s="8" t="s">
        <v>364</v>
      </c>
    </row>
    <row r="19045">
      <c r="H19045" s="8" t="s">
        <v>364</v>
      </c>
    </row>
    <row r="19046">
      <c r="H19046" s="8" t="s">
        <v>364</v>
      </c>
    </row>
    <row r="19047">
      <c r="H19047" s="8" t="s">
        <v>364</v>
      </c>
    </row>
    <row r="19048">
      <c r="H19048" s="8" t="s">
        <v>364</v>
      </c>
    </row>
    <row r="19049">
      <c r="H19049" s="8" t="s">
        <v>364</v>
      </c>
    </row>
    <row r="19050">
      <c r="H19050" s="8" t="s">
        <v>364</v>
      </c>
    </row>
    <row r="19051">
      <c r="H19051" s="8" t="s">
        <v>364</v>
      </c>
    </row>
    <row r="19052">
      <c r="H19052" s="8" t="s">
        <v>364</v>
      </c>
    </row>
    <row r="19053">
      <c r="H19053" s="8" t="s">
        <v>364</v>
      </c>
    </row>
    <row r="19054">
      <c r="H19054" s="8" t="s">
        <v>364</v>
      </c>
    </row>
    <row r="19055">
      <c r="H19055" s="8" t="s">
        <v>364</v>
      </c>
    </row>
    <row r="19056">
      <c r="H19056" s="8" t="s">
        <v>364</v>
      </c>
    </row>
    <row r="19057">
      <c r="H19057" s="8" t="s">
        <v>364</v>
      </c>
    </row>
    <row r="19058">
      <c r="H19058" s="8" t="s">
        <v>364</v>
      </c>
    </row>
    <row r="19059">
      <c r="H19059" s="8" t="s">
        <v>364</v>
      </c>
    </row>
    <row r="19060">
      <c r="H19060" s="8" t="s">
        <v>364</v>
      </c>
    </row>
    <row r="19061">
      <c r="H19061" s="8" t="s">
        <v>364</v>
      </c>
    </row>
    <row r="19062">
      <c r="H19062" s="8" t="s">
        <v>364</v>
      </c>
    </row>
    <row r="19063">
      <c r="H19063" s="8" t="s">
        <v>364</v>
      </c>
    </row>
    <row r="19064">
      <c r="H19064" s="8" t="s">
        <v>364</v>
      </c>
    </row>
    <row r="19065">
      <c r="H19065" s="8" t="s">
        <v>364</v>
      </c>
    </row>
    <row r="19066">
      <c r="H19066" s="8" t="s">
        <v>364</v>
      </c>
    </row>
    <row r="19067">
      <c r="H19067" s="8" t="s">
        <v>364</v>
      </c>
    </row>
    <row r="19068">
      <c r="H19068" s="8" t="s">
        <v>364</v>
      </c>
    </row>
    <row r="19069">
      <c r="H19069" s="8" t="s">
        <v>364</v>
      </c>
    </row>
    <row r="19070">
      <c r="H19070" s="8" t="s">
        <v>364</v>
      </c>
    </row>
    <row r="19071">
      <c r="H19071" s="8" t="s">
        <v>364</v>
      </c>
    </row>
    <row r="19072">
      <c r="H19072" s="8" t="s">
        <v>364</v>
      </c>
    </row>
    <row r="19073">
      <c r="H19073" s="8" t="s">
        <v>364</v>
      </c>
    </row>
    <row r="19074">
      <c r="H19074" s="8" t="s">
        <v>364</v>
      </c>
    </row>
    <row r="19075">
      <c r="H19075" s="8" t="s">
        <v>364</v>
      </c>
    </row>
    <row r="19076">
      <c r="H19076" s="8" t="s">
        <v>364</v>
      </c>
    </row>
    <row r="19077">
      <c r="H19077" s="8" t="s">
        <v>364</v>
      </c>
    </row>
    <row r="19078">
      <c r="H19078" s="8" t="s">
        <v>364</v>
      </c>
    </row>
    <row r="19079">
      <c r="H19079" s="8" t="s">
        <v>364</v>
      </c>
    </row>
    <row r="19080">
      <c r="H19080" s="8" t="s">
        <v>364</v>
      </c>
    </row>
    <row r="19081">
      <c r="H19081" s="8" t="s">
        <v>364</v>
      </c>
    </row>
    <row r="19082">
      <c r="H19082" s="8" t="s">
        <v>364</v>
      </c>
    </row>
    <row r="19083">
      <c r="H19083" s="8" t="s">
        <v>364</v>
      </c>
    </row>
    <row r="19084">
      <c r="H19084" s="8" t="s">
        <v>364</v>
      </c>
    </row>
    <row r="19085">
      <c r="H19085" s="8" t="s">
        <v>364</v>
      </c>
    </row>
    <row r="19086">
      <c r="H19086" s="8" t="s">
        <v>364</v>
      </c>
    </row>
    <row r="19087">
      <c r="H19087" s="8" t="s">
        <v>364</v>
      </c>
    </row>
    <row r="19088">
      <c r="H19088" s="8" t="s">
        <v>364</v>
      </c>
    </row>
    <row r="19089">
      <c r="H19089" s="8" t="s">
        <v>364</v>
      </c>
    </row>
    <row r="19090">
      <c r="H19090" s="8" t="s">
        <v>364</v>
      </c>
    </row>
    <row r="19091">
      <c r="H19091" s="8" t="s">
        <v>364</v>
      </c>
    </row>
    <row r="19092">
      <c r="H19092" s="8" t="s">
        <v>364</v>
      </c>
    </row>
    <row r="19093">
      <c r="H19093" s="8" t="s">
        <v>364</v>
      </c>
    </row>
    <row r="19094">
      <c r="H19094" s="8" t="s">
        <v>364</v>
      </c>
    </row>
    <row r="19095">
      <c r="H19095" s="8" t="s">
        <v>364</v>
      </c>
    </row>
    <row r="19096">
      <c r="H19096" s="8" t="s">
        <v>364</v>
      </c>
    </row>
    <row r="19097">
      <c r="H19097" s="8" t="s">
        <v>364</v>
      </c>
    </row>
    <row r="19098">
      <c r="H19098" s="8" t="s">
        <v>364</v>
      </c>
    </row>
    <row r="19099">
      <c r="H19099" s="8" t="s">
        <v>364</v>
      </c>
    </row>
    <row r="19100">
      <c r="H19100" s="8" t="s">
        <v>364</v>
      </c>
    </row>
    <row r="19101">
      <c r="H19101" s="8" t="s">
        <v>364</v>
      </c>
    </row>
    <row r="19102">
      <c r="H19102" s="8" t="s">
        <v>364</v>
      </c>
    </row>
    <row r="19103">
      <c r="H19103" s="8" t="s">
        <v>364</v>
      </c>
    </row>
    <row r="19104">
      <c r="H19104" s="8" t="s">
        <v>364</v>
      </c>
    </row>
    <row r="19105">
      <c r="H19105" s="8" t="s">
        <v>364</v>
      </c>
    </row>
    <row r="19106">
      <c r="H19106" s="8" t="s">
        <v>364</v>
      </c>
    </row>
    <row r="19107">
      <c r="H19107" s="8" t="s">
        <v>364</v>
      </c>
    </row>
    <row r="19108">
      <c r="H19108" s="8" t="s">
        <v>364</v>
      </c>
    </row>
    <row r="19109">
      <c r="H19109" s="8" t="s">
        <v>364</v>
      </c>
    </row>
    <row r="19110">
      <c r="H19110" s="8" t="s">
        <v>364</v>
      </c>
    </row>
    <row r="19111">
      <c r="H19111" s="8" t="s">
        <v>364</v>
      </c>
    </row>
    <row r="19112">
      <c r="H19112" s="8" t="s">
        <v>364</v>
      </c>
    </row>
    <row r="19113">
      <c r="H19113" s="8" t="s">
        <v>364</v>
      </c>
    </row>
    <row r="19114">
      <c r="H19114" s="8" t="s">
        <v>364</v>
      </c>
    </row>
    <row r="19115">
      <c r="H19115" s="8" t="s">
        <v>364</v>
      </c>
    </row>
    <row r="19116">
      <c r="H19116" s="8" t="s">
        <v>364</v>
      </c>
    </row>
    <row r="19117">
      <c r="H19117" s="8" t="s">
        <v>364</v>
      </c>
    </row>
    <row r="19118">
      <c r="H19118" s="8" t="s">
        <v>364</v>
      </c>
    </row>
    <row r="19119">
      <c r="H19119" s="8" t="s">
        <v>364</v>
      </c>
    </row>
    <row r="19120">
      <c r="H19120" s="8" t="s">
        <v>364</v>
      </c>
    </row>
    <row r="19121">
      <c r="H19121" s="8" t="s">
        <v>364</v>
      </c>
    </row>
    <row r="19122">
      <c r="H19122" s="8" t="s">
        <v>364</v>
      </c>
    </row>
    <row r="19123">
      <c r="H19123" s="8" t="s">
        <v>364</v>
      </c>
    </row>
    <row r="19124">
      <c r="H19124" s="8" t="s">
        <v>364</v>
      </c>
    </row>
    <row r="19125">
      <c r="H19125" s="8" t="s">
        <v>364</v>
      </c>
    </row>
    <row r="19126">
      <c r="H19126" s="8" t="s">
        <v>364</v>
      </c>
    </row>
    <row r="19127">
      <c r="H19127" s="8" t="s">
        <v>364</v>
      </c>
    </row>
    <row r="19128">
      <c r="H19128" s="8" t="s">
        <v>364</v>
      </c>
    </row>
    <row r="19129">
      <c r="H19129" s="8" t="s">
        <v>364</v>
      </c>
    </row>
    <row r="19130">
      <c r="H19130" s="8" t="s">
        <v>364</v>
      </c>
    </row>
    <row r="19131">
      <c r="H19131" s="8" t="s">
        <v>364</v>
      </c>
    </row>
    <row r="19132">
      <c r="H19132" s="8" t="s">
        <v>364</v>
      </c>
    </row>
    <row r="19133">
      <c r="H19133" s="8" t="s">
        <v>364</v>
      </c>
    </row>
    <row r="19134">
      <c r="H19134" s="8" t="s">
        <v>364</v>
      </c>
    </row>
    <row r="19135">
      <c r="H19135" s="8" t="s">
        <v>364</v>
      </c>
    </row>
    <row r="19136">
      <c r="H19136" s="8" t="s">
        <v>364</v>
      </c>
    </row>
    <row r="19137">
      <c r="H19137" s="8" t="s">
        <v>364</v>
      </c>
    </row>
    <row r="19138">
      <c r="H19138" s="8" t="s">
        <v>364</v>
      </c>
    </row>
    <row r="19139">
      <c r="H19139" s="8" t="s">
        <v>364</v>
      </c>
    </row>
    <row r="19140">
      <c r="H19140" s="8" t="s">
        <v>364</v>
      </c>
    </row>
    <row r="19141">
      <c r="H19141" s="8" t="s">
        <v>364</v>
      </c>
    </row>
    <row r="19142">
      <c r="H19142" s="8" t="s">
        <v>364</v>
      </c>
    </row>
    <row r="19143">
      <c r="H19143" s="8" t="s">
        <v>364</v>
      </c>
    </row>
    <row r="19144">
      <c r="H19144" s="8" t="s">
        <v>364</v>
      </c>
    </row>
    <row r="19145">
      <c r="H19145" s="8" t="s">
        <v>364</v>
      </c>
    </row>
    <row r="19146">
      <c r="H19146" s="8" t="s">
        <v>364</v>
      </c>
    </row>
    <row r="19147">
      <c r="H19147" s="8" t="s">
        <v>364</v>
      </c>
    </row>
    <row r="19148">
      <c r="H19148" s="8" t="s">
        <v>364</v>
      </c>
    </row>
    <row r="19149">
      <c r="H19149" s="8" t="s">
        <v>364</v>
      </c>
    </row>
    <row r="19150">
      <c r="H19150" s="8" t="s">
        <v>364</v>
      </c>
    </row>
    <row r="19151">
      <c r="H19151" s="8" t="s">
        <v>364</v>
      </c>
    </row>
    <row r="19152">
      <c r="H19152" s="8" t="s">
        <v>364</v>
      </c>
    </row>
    <row r="19153">
      <c r="H19153" s="8" t="s">
        <v>364</v>
      </c>
    </row>
    <row r="19154">
      <c r="H19154" s="8" t="s">
        <v>364</v>
      </c>
    </row>
    <row r="19155">
      <c r="H19155" s="8" t="s">
        <v>364</v>
      </c>
    </row>
    <row r="19156">
      <c r="H19156" s="8" t="s">
        <v>364</v>
      </c>
    </row>
    <row r="19157">
      <c r="H19157" s="8" t="s">
        <v>364</v>
      </c>
    </row>
    <row r="19158">
      <c r="H19158" s="8" t="s">
        <v>364</v>
      </c>
    </row>
    <row r="19159">
      <c r="H19159" s="8" t="s">
        <v>364</v>
      </c>
    </row>
    <row r="19160">
      <c r="H19160" s="8" t="s">
        <v>364</v>
      </c>
    </row>
    <row r="19161">
      <c r="H19161" s="8" t="s">
        <v>364</v>
      </c>
    </row>
    <row r="19162">
      <c r="H19162" s="8" t="s">
        <v>364</v>
      </c>
    </row>
    <row r="19163">
      <c r="H19163" s="8" t="s">
        <v>364</v>
      </c>
    </row>
    <row r="19164">
      <c r="H19164" s="8" t="s">
        <v>364</v>
      </c>
    </row>
    <row r="19165">
      <c r="H19165" s="8" t="s">
        <v>364</v>
      </c>
    </row>
    <row r="19166">
      <c r="H19166" s="8" t="s">
        <v>364</v>
      </c>
    </row>
    <row r="19167">
      <c r="H19167" s="8" t="s">
        <v>364</v>
      </c>
    </row>
    <row r="19168">
      <c r="H19168" s="8" t="s">
        <v>364</v>
      </c>
    </row>
    <row r="19169">
      <c r="H19169" s="8" t="s">
        <v>364</v>
      </c>
    </row>
    <row r="19170">
      <c r="H19170" s="8" t="s">
        <v>364</v>
      </c>
    </row>
    <row r="19171">
      <c r="H19171" s="8" t="s">
        <v>364</v>
      </c>
    </row>
    <row r="19172">
      <c r="H19172" s="8" t="s">
        <v>364</v>
      </c>
    </row>
    <row r="19173">
      <c r="H19173" s="8" t="s">
        <v>364</v>
      </c>
    </row>
    <row r="19174">
      <c r="H19174" s="8" t="s">
        <v>364</v>
      </c>
    </row>
    <row r="19175">
      <c r="H19175" s="8" t="s">
        <v>364</v>
      </c>
    </row>
    <row r="19176">
      <c r="H19176" s="8" t="s">
        <v>364</v>
      </c>
    </row>
    <row r="19177">
      <c r="H19177" s="8" t="s">
        <v>364</v>
      </c>
    </row>
    <row r="19178">
      <c r="H19178" s="8" t="s">
        <v>364</v>
      </c>
    </row>
    <row r="19179">
      <c r="H19179" s="8" t="s">
        <v>364</v>
      </c>
    </row>
    <row r="19180">
      <c r="H19180" s="8" t="s">
        <v>364</v>
      </c>
    </row>
    <row r="19181">
      <c r="H19181" s="8" t="s">
        <v>364</v>
      </c>
    </row>
    <row r="19182">
      <c r="H19182" s="8" t="s">
        <v>364</v>
      </c>
    </row>
    <row r="19183">
      <c r="H19183" s="8" t="s">
        <v>364</v>
      </c>
    </row>
    <row r="19184">
      <c r="H19184" s="8" t="s">
        <v>364</v>
      </c>
    </row>
    <row r="19185">
      <c r="H19185" s="8" t="s">
        <v>364</v>
      </c>
    </row>
    <row r="19186">
      <c r="H19186" s="8" t="s">
        <v>364</v>
      </c>
    </row>
    <row r="19187">
      <c r="H19187" s="8" t="s">
        <v>364</v>
      </c>
    </row>
    <row r="19188">
      <c r="H19188" s="8" t="s">
        <v>364</v>
      </c>
    </row>
    <row r="19189">
      <c r="H19189" s="8" t="s">
        <v>364</v>
      </c>
    </row>
    <row r="19190">
      <c r="H19190" s="8" t="s">
        <v>364</v>
      </c>
    </row>
    <row r="19191">
      <c r="H19191" s="8" t="s">
        <v>364</v>
      </c>
    </row>
    <row r="19192">
      <c r="H19192" s="8" t="s">
        <v>364</v>
      </c>
    </row>
    <row r="19193">
      <c r="H19193" s="8" t="s">
        <v>364</v>
      </c>
    </row>
    <row r="19194">
      <c r="H19194" s="8" t="s">
        <v>364</v>
      </c>
    </row>
    <row r="19195">
      <c r="H19195" s="8" t="s">
        <v>364</v>
      </c>
    </row>
    <row r="19196">
      <c r="H19196" s="8" t="s">
        <v>364</v>
      </c>
    </row>
    <row r="19197">
      <c r="H19197" s="8" t="s">
        <v>364</v>
      </c>
    </row>
    <row r="19198">
      <c r="H19198" s="8" t="s">
        <v>364</v>
      </c>
    </row>
    <row r="19199">
      <c r="H19199" s="8" t="s">
        <v>364</v>
      </c>
    </row>
    <row r="19200">
      <c r="H19200" s="8" t="s">
        <v>364</v>
      </c>
    </row>
    <row r="19201">
      <c r="H19201" s="8" t="s">
        <v>364</v>
      </c>
    </row>
    <row r="19202">
      <c r="H19202" s="8" t="s">
        <v>364</v>
      </c>
    </row>
    <row r="19203">
      <c r="H19203" s="8" t="s">
        <v>364</v>
      </c>
    </row>
    <row r="19204">
      <c r="H19204" s="8" t="s">
        <v>364</v>
      </c>
    </row>
    <row r="19205">
      <c r="H19205" s="8" t="s">
        <v>364</v>
      </c>
    </row>
    <row r="19206">
      <c r="H19206" s="8" t="s">
        <v>364</v>
      </c>
    </row>
    <row r="19207">
      <c r="H19207" s="8" t="s">
        <v>364</v>
      </c>
    </row>
    <row r="19208">
      <c r="H19208" s="8" t="s">
        <v>364</v>
      </c>
    </row>
    <row r="19209">
      <c r="H19209" s="8" t="s">
        <v>364</v>
      </c>
    </row>
    <row r="19210">
      <c r="H19210" s="8" t="s">
        <v>364</v>
      </c>
    </row>
    <row r="19211">
      <c r="H19211" s="8" t="s">
        <v>364</v>
      </c>
    </row>
    <row r="19212">
      <c r="H19212" s="8" t="s">
        <v>364</v>
      </c>
    </row>
    <row r="19213">
      <c r="H19213" s="8" t="s">
        <v>364</v>
      </c>
    </row>
    <row r="19214">
      <c r="H19214" s="8" t="s">
        <v>364</v>
      </c>
    </row>
    <row r="19215">
      <c r="H19215" s="8" t="s">
        <v>364</v>
      </c>
    </row>
    <row r="19216">
      <c r="H19216" s="8" t="s">
        <v>364</v>
      </c>
    </row>
    <row r="19217">
      <c r="H19217" s="8" t="s">
        <v>364</v>
      </c>
    </row>
    <row r="19218">
      <c r="H19218" s="8" t="s">
        <v>364</v>
      </c>
    </row>
    <row r="19219">
      <c r="H19219" s="8" t="s">
        <v>364</v>
      </c>
    </row>
    <row r="19220">
      <c r="H19220" s="8" t="s">
        <v>364</v>
      </c>
    </row>
    <row r="19221">
      <c r="H19221" s="8" t="s">
        <v>364</v>
      </c>
    </row>
    <row r="19222">
      <c r="H19222" s="8" t="s">
        <v>364</v>
      </c>
    </row>
    <row r="19223">
      <c r="H19223" s="8" t="s">
        <v>364</v>
      </c>
    </row>
    <row r="19224">
      <c r="H19224" s="8" t="s">
        <v>364</v>
      </c>
    </row>
    <row r="19225">
      <c r="H19225" s="8" t="s">
        <v>364</v>
      </c>
    </row>
    <row r="19226">
      <c r="H19226" s="8" t="s">
        <v>364</v>
      </c>
    </row>
    <row r="19227">
      <c r="H19227" s="8" t="s">
        <v>364</v>
      </c>
    </row>
    <row r="19228">
      <c r="H19228" s="8" t="s">
        <v>364</v>
      </c>
    </row>
    <row r="19229">
      <c r="H19229" s="8" t="s">
        <v>364</v>
      </c>
    </row>
    <row r="19230">
      <c r="H19230" s="8" t="s">
        <v>364</v>
      </c>
    </row>
    <row r="19231">
      <c r="H19231" s="8" t="s">
        <v>364</v>
      </c>
    </row>
    <row r="19232">
      <c r="H19232" s="8" t="s">
        <v>364</v>
      </c>
    </row>
    <row r="19233">
      <c r="H19233" s="8" t="s">
        <v>364</v>
      </c>
    </row>
    <row r="19234">
      <c r="H19234" s="8" t="s">
        <v>364</v>
      </c>
    </row>
    <row r="19235">
      <c r="H19235" s="8" t="s">
        <v>364</v>
      </c>
    </row>
    <row r="19236">
      <c r="H19236" s="8" t="s">
        <v>364</v>
      </c>
    </row>
    <row r="19237">
      <c r="H19237" s="8" t="s">
        <v>364</v>
      </c>
    </row>
    <row r="19238">
      <c r="H19238" s="8" t="s">
        <v>364</v>
      </c>
    </row>
    <row r="19239">
      <c r="H19239" s="8" t="s">
        <v>364</v>
      </c>
    </row>
    <row r="19240">
      <c r="H19240" s="8" t="s">
        <v>364</v>
      </c>
    </row>
    <row r="19241">
      <c r="H19241" s="8" t="s">
        <v>364</v>
      </c>
    </row>
    <row r="19242">
      <c r="H19242" s="8" t="s">
        <v>364</v>
      </c>
    </row>
    <row r="19243">
      <c r="H19243" s="8" t="s">
        <v>364</v>
      </c>
    </row>
    <row r="19244">
      <c r="H19244" s="8" t="s">
        <v>364</v>
      </c>
    </row>
    <row r="19245">
      <c r="H19245" s="8" t="s">
        <v>364</v>
      </c>
    </row>
    <row r="19246">
      <c r="H19246" s="8" t="s">
        <v>364</v>
      </c>
    </row>
    <row r="19247">
      <c r="H19247" s="8" t="s">
        <v>364</v>
      </c>
    </row>
    <row r="19248">
      <c r="H19248" s="8" t="s">
        <v>364</v>
      </c>
    </row>
    <row r="19249">
      <c r="H19249" s="8" t="s">
        <v>364</v>
      </c>
    </row>
    <row r="19250">
      <c r="H19250" s="8" t="s">
        <v>364</v>
      </c>
    </row>
    <row r="19251">
      <c r="H19251" s="8" t="s">
        <v>364</v>
      </c>
    </row>
    <row r="19252">
      <c r="H19252" s="8" t="s">
        <v>364</v>
      </c>
    </row>
    <row r="19253">
      <c r="H19253" s="8" t="s">
        <v>364</v>
      </c>
    </row>
    <row r="19254">
      <c r="H19254" s="8" t="s">
        <v>364</v>
      </c>
    </row>
    <row r="19255">
      <c r="H19255" s="8" t="s">
        <v>364</v>
      </c>
    </row>
    <row r="19256">
      <c r="H19256" s="8" t="s">
        <v>364</v>
      </c>
    </row>
    <row r="19257">
      <c r="H19257" s="8" t="s">
        <v>364</v>
      </c>
    </row>
    <row r="19258">
      <c r="H19258" s="8" t="s">
        <v>364</v>
      </c>
    </row>
    <row r="19259">
      <c r="H19259" s="8" t="s">
        <v>364</v>
      </c>
    </row>
    <row r="19260">
      <c r="H19260" s="8" t="s">
        <v>364</v>
      </c>
    </row>
    <row r="19261">
      <c r="H19261" s="8" t="s">
        <v>364</v>
      </c>
    </row>
    <row r="19262">
      <c r="H19262" s="8" t="s">
        <v>364</v>
      </c>
    </row>
    <row r="19263">
      <c r="H19263" s="8" t="s">
        <v>364</v>
      </c>
    </row>
    <row r="19264">
      <c r="H19264" s="8" t="s">
        <v>364</v>
      </c>
    </row>
    <row r="19265">
      <c r="H19265" s="8" t="s">
        <v>364</v>
      </c>
    </row>
    <row r="19266">
      <c r="H19266" s="8" t="s">
        <v>364</v>
      </c>
    </row>
    <row r="19267">
      <c r="H19267" s="8" t="s">
        <v>364</v>
      </c>
    </row>
    <row r="19268">
      <c r="H19268" s="8" t="s">
        <v>364</v>
      </c>
    </row>
    <row r="19269">
      <c r="H19269" s="8" t="s">
        <v>364</v>
      </c>
    </row>
    <row r="19270">
      <c r="H19270" s="8" t="s">
        <v>364</v>
      </c>
    </row>
    <row r="19271">
      <c r="H19271" s="8" t="s">
        <v>364</v>
      </c>
    </row>
    <row r="19272">
      <c r="H19272" s="8" t="s">
        <v>364</v>
      </c>
    </row>
    <row r="19273">
      <c r="H19273" s="8" t="s">
        <v>364</v>
      </c>
    </row>
    <row r="19274">
      <c r="H19274" s="8" t="s">
        <v>364</v>
      </c>
    </row>
    <row r="19275">
      <c r="H19275" s="8" t="s">
        <v>364</v>
      </c>
    </row>
    <row r="19276">
      <c r="H19276" s="8" t="s">
        <v>364</v>
      </c>
    </row>
    <row r="19277">
      <c r="H19277" s="8" t="s">
        <v>364</v>
      </c>
    </row>
    <row r="19278">
      <c r="H19278" s="8" t="s">
        <v>364</v>
      </c>
    </row>
    <row r="19279">
      <c r="H19279" s="8" t="s">
        <v>364</v>
      </c>
    </row>
    <row r="19280">
      <c r="H19280" s="8" t="s">
        <v>364</v>
      </c>
    </row>
    <row r="19281">
      <c r="H19281" s="8" t="s">
        <v>364</v>
      </c>
    </row>
    <row r="19282">
      <c r="H19282" s="8" t="s">
        <v>364</v>
      </c>
    </row>
    <row r="19283">
      <c r="H19283" s="8" t="s">
        <v>364</v>
      </c>
    </row>
    <row r="19284">
      <c r="H19284" s="8" t="s">
        <v>364</v>
      </c>
    </row>
    <row r="19285">
      <c r="H19285" s="8" t="s">
        <v>364</v>
      </c>
    </row>
    <row r="19286">
      <c r="H19286" s="8" t="s">
        <v>364</v>
      </c>
    </row>
    <row r="19287">
      <c r="H19287" s="8" t="s">
        <v>364</v>
      </c>
    </row>
    <row r="19288">
      <c r="H19288" s="8" t="s">
        <v>364</v>
      </c>
    </row>
    <row r="19289">
      <c r="H19289" s="8" t="s">
        <v>364</v>
      </c>
    </row>
    <row r="19290">
      <c r="H19290" s="8" t="s">
        <v>364</v>
      </c>
    </row>
    <row r="19291">
      <c r="H19291" s="8" t="s">
        <v>364</v>
      </c>
    </row>
    <row r="19292">
      <c r="H19292" s="8" t="s">
        <v>364</v>
      </c>
    </row>
    <row r="19293">
      <c r="H19293" s="8" t="s">
        <v>364</v>
      </c>
    </row>
    <row r="19294">
      <c r="H19294" s="8" t="s">
        <v>364</v>
      </c>
    </row>
    <row r="19295">
      <c r="H19295" s="8" t="s">
        <v>364</v>
      </c>
    </row>
    <row r="19296">
      <c r="H19296" s="8" t="s">
        <v>364</v>
      </c>
    </row>
    <row r="19297">
      <c r="H19297" s="8" t="s">
        <v>364</v>
      </c>
    </row>
    <row r="19298">
      <c r="H19298" s="8" t="s">
        <v>364</v>
      </c>
    </row>
    <row r="19299">
      <c r="H19299" s="8" t="s">
        <v>364</v>
      </c>
    </row>
    <row r="19300">
      <c r="H19300" s="8" t="s">
        <v>364</v>
      </c>
    </row>
    <row r="19301">
      <c r="H19301" s="8" t="s">
        <v>364</v>
      </c>
    </row>
    <row r="19302">
      <c r="H19302" s="8" t="s">
        <v>364</v>
      </c>
    </row>
    <row r="19303">
      <c r="H19303" s="8" t="s">
        <v>364</v>
      </c>
    </row>
    <row r="19304">
      <c r="H19304" s="8" t="s">
        <v>364</v>
      </c>
    </row>
    <row r="19305">
      <c r="H19305" s="8" t="s">
        <v>364</v>
      </c>
    </row>
    <row r="19306">
      <c r="H19306" s="8" t="s">
        <v>364</v>
      </c>
    </row>
    <row r="19307">
      <c r="H19307" s="8" t="s">
        <v>364</v>
      </c>
    </row>
    <row r="19308">
      <c r="H19308" s="8" t="s">
        <v>364</v>
      </c>
    </row>
    <row r="19309">
      <c r="H19309" s="8" t="s">
        <v>364</v>
      </c>
    </row>
    <row r="19310">
      <c r="H19310" s="8" t="s">
        <v>364</v>
      </c>
    </row>
    <row r="19311">
      <c r="H19311" s="8" t="s">
        <v>364</v>
      </c>
    </row>
    <row r="19312">
      <c r="H19312" s="8" t="s">
        <v>364</v>
      </c>
    </row>
    <row r="19313">
      <c r="H19313" s="8" t="s">
        <v>364</v>
      </c>
    </row>
    <row r="19314">
      <c r="H19314" s="8" t="s">
        <v>364</v>
      </c>
    </row>
    <row r="19315">
      <c r="H19315" s="8" t="s">
        <v>364</v>
      </c>
    </row>
    <row r="19316">
      <c r="H19316" s="8" t="s">
        <v>364</v>
      </c>
    </row>
    <row r="19317">
      <c r="H19317" s="8" t="s">
        <v>364</v>
      </c>
    </row>
    <row r="19318">
      <c r="H19318" s="8" t="s">
        <v>364</v>
      </c>
    </row>
    <row r="19319">
      <c r="H19319" s="8" t="s">
        <v>364</v>
      </c>
    </row>
    <row r="19320">
      <c r="H19320" s="8" t="s">
        <v>364</v>
      </c>
    </row>
    <row r="19321">
      <c r="H19321" s="8" t="s">
        <v>364</v>
      </c>
    </row>
    <row r="19322">
      <c r="H19322" s="8" t="s">
        <v>364</v>
      </c>
    </row>
    <row r="19323">
      <c r="H19323" s="8" t="s">
        <v>364</v>
      </c>
    </row>
    <row r="19324">
      <c r="H19324" s="8" t="s">
        <v>364</v>
      </c>
    </row>
    <row r="19325">
      <c r="H19325" s="8" t="s">
        <v>364</v>
      </c>
    </row>
    <row r="19326">
      <c r="H19326" s="8" t="s">
        <v>364</v>
      </c>
    </row>
    <row r="19327">
      <c r="H19327" s="8" t="s">
        <v>364</v>
      </c>
    </row>
    <row r="19328">
      <c r="H19328" s="8" t="s">
        <v>364</v>
      </c>
    </row>
    <row r="19329">
      <c r="H19329" s="8" t="s">
        <v>364</v>
      </c>
    </row>
    <row r="19330">
      <c r="H19330" s="8" t="s">
        <v>364</v>
      </c>
    </row>
    <row r="19331">
      <c r="H19331" s="8" t="s">
        <v>364</v>
      </c>
    </row>
    <row r="19332">
      <c r="H19332" s="8" t="s">
        <v>364</v>
      </c>
    </row>
    <row r="19333">
      <c r="H19333" s="8" t="s">
        <v>364</v>
      </c>
    </row>
    <row r="19334">
      <c r="H19334" s="8" t="s">
        <v>364</v>
      </c>
    </row>
    <row r="19335">
      <c r="H19335" s="8" t="s">
        <v>364</v>
      </c>
    </row>
    <row r="19336">
      <c r="H19336" s="8" t="s">
        <v>364</v>
      </c>
    </row>
    <row r="19337">
      <c r="H19337" s="8" t="s">
        <v>364</v>
      </c>
    </row>
    <row r="19338">
      <c r="H19338" s="8" t="s">
        <v>364</v>
      </c>
    </row>
    <row r="19339">
      <c r="H19339" s="8" t="s">
        <v>364</v>
      </c>
    </row>
    <row r="19340">
      <c r="H19340" s="8" t="s">
        <v>364</v>
      </c>
    </row>
    <row r="19341">
      <c r="H19341" s="8" t="s">
        <v>364</v>
      </c>
    </row>
    <row r="19342">
      <c r="H19342" s="8" t="s">
        <v>364</v>
      </c>
    </row>
    <row r="19343">
      <c r="H19343" s="8" t="s">
        <v>364</v>
      </c>
    </row>
    <row r="19344">
      <c r="H19344" s="8" t="s">
        <v>364</v>
      </c>
    </row>
    <row r="19345">
      <c r="H19345" s="8" t="s">
        <v>364</v>
      </c>
    </row>
    <row r="19346">
      <c r="H19346" s="8" t="s">
        <v>364</v>
      </c>
    </row>
    <row r="19347">
      <c r="H19347" s="8" t="s">
        <v>364</v>
      </c>
    </row>
    <row r="19348">
      <c r="H19348" s="8" t="s">
        <v>364</v>
      </c>
    </row>
    <row r="19349">
      <c r="H19349" s="8" t="s">
        <v>364</v>
      </c>
    </row>
    <row r="19350">
      <c r="H19350" s="8" t="s">
        <v>364</v>
      </c>
    </row>
    <row r="19351">
      <c r="H19351" s="8" t="s">
        <v>364</v>
      </c>
    </row>
    <row r="19352">
      <c r="H19352" s="8" t="s">
        <v>364</v>
      </c>
    </row>
    <row r="19353">
      <c r="H19353" s="8" t="s">
        <v>364</v>
      </c>
    </row>
    <row r="19354">
      <c r="H19354" s="8" t="s">
        <v>364</v>
      </c>
    </row>
    <row r="19355">
      <c r="H19355" s="8" t="s">
        <v>364</v>
      </c>
    </row>
    <row r="19356">
      <c r="H19356" s="8" t="s">
        <v>364</v>
      </c>
    </row>
    <row r="19357">
      <c r="H19357" s="8" t="s">
        <v>364</v>
      </c>
    </row>
    <row r="19358">
      <c r="H19358" s="8" t="s">
        <v>364</v>
      </c>
    </row>
    <row r="19359">
      <c r="H19359" s="8" t="s">
        <v>364</v>
      </c>
    </row>
    <row r="19360">
      <c r="H19360" s="8" t="s">
        <v>364</v>
      </c>
    </row>
    <row r="19361">
      <c r="H19361" s="8" t="s">
        <v>364</v>
      </c>
    </row>
    <row r="19362">
      <c r="H19362" s="8" t="s">
        <v>364</v>
      </c>
    </row>
    <row r="19363">
      <c r="H19363" s="8" t="s">
        <v>364</v>
      </c>
    </row>
    <row r="19364">
      <c r="H19364" s="8" t="s">
        <v>364</v>
      </c>
    </row>
    <row r="19365">
      <c r="H19365" s="8" t="s">
        <v>364</v>
      </c>
    </row>
    <row r="19366">
      <c r="H19366" s="8" t="s">
        <v>364</v>
      </c>
    </row>
    <row r="19367">
      <c r="H19367" s="8" t="s">
        <v>364</v>
      </c>
    </row>
    <row r="19368">
      <c r="H19368" s="8" t="s">
        <v>364</v>
      </c>
    </row>
    <row r="19369">
      <c r="H19369" s="8" t="s">
        <v>364</v>
      </c>
    </row>
    <row r="19370">
      <c r="H19370" s="8" t="s">
        <v>364</v>
      </c>
    </row>
    <row r="19371">
      <c r="H19371" s="8" t="s">
        <v>364</v>
      </c>
    </row>
    <row r="19372">
      <c r="H19372" s="8" t="s">
        <v>364</v>
      </c>
    </row>
    <row r="19373">
      <c r="H19373" s="8" t="s">
        <v>364</v>
      </c>
    </row>
    <row r="19374">
      <c r="H19374" s="8" t="s">
        <v>364</v>
      </c>
    </row>
    <row r="19375">
      <c r="H19375" s="8" t="s">
        <v>364</v>
      </c>
    </row>
    <row r="19376">
      <c r="H19376" s="8" t="s">
        <v>364</v>
      </c>
    </row>
    <row r="19377">
      <c r="H19377" s="8" t="s">
        <v>364</v>
      </c>
    </row>
    <row r="19378">
      <c r="H19378" s="8" t="s">
        <v>364</v>
      </c>
    </row>
    <row r="19379">
      <c r="H19379" s="8" t="s">
        <v>364</v>
      </c>
    </row>
    <row r="19380">
      <c r="H19380" s="8" t="s">
        <v>364</v>
      </c>
    </row>
    <row r="19381">
      <c r="H19381" s="8" t="s">
        <v>364</v>
      </c>
    </row>
    <row r="19382">
      <c r="H19382" s="8" t="s">
        <v>364</v>
      </c>
    </row>
    <row r="19383">
      <c r="H19383" s="8" t="s">
        <v>364</v>
      </c>
    </row>
    <row r="19384">
      <c r="H19384" s="8" t="s">
        <v>364</v>
      </c>
    </row>
    <row r="19385">
      <c r="H19385" s="8" t="s">
        <v>364</v>
      </c>
    </row>
    <row r="19386">
      <c r="H19386" s="8" t="s">
        <v>364</v>
      </c>
    </row>
    <row r="19387">
      <c r="H19387" s="8" t="s">
        <v>364</v>
      </c>
    </row>
    <row r="19388">
      <c r="H19388" s="8" t="s">
        <v>364</v>
      </c>
    </row>
    <row r="19389">
      <c r="H19389" s="8" t="s">
        <v>364</v>
      </c>
    </row>
    <row r="19390">
      <c r="H19390" s="8" t="s">
        <v>364</v>
      </c>
    </row>
    <row r="19391">
      <c r="H19391" s="8" t="s">
        <v>364</v>
      </c>
    </row>
    <row r="19392">
      <c r="H19392" s="8" t="s">
        <v>364</v>
      </c>
    </row>
    <row r="19393">
      <c r="H19393" s="8" t="s">
        <v>364</v>
      </c>
    </row>
    <row r="19394">
      <c r="H19394" s="8" t="s">
        <v>364</v>
      </c>
    </row>
    <row r="19395">
      <c r="H19395" s="8" t="s">
        <v>364</v>
      </c>
    </row>
    <row r="19396">
      <c r="H19396" s="8" t="s">
        <v>364</v>
      </c>
    </row>
    <row r="19397">
      <c r="H19397" s="8" t="s">
        <v>364</v>
      </c>
    </row>
    <row r="19398">
      <c r="H19398" s="8" t="s">
        <v>364</v>
      </c>
    </row>
    <row r="19399">
      <c r="H19399" s="8" t="s">
        <v>364</v>
      </c>
    </row>
    <row r="19400">
      <c r="H19400" s="8" t="s">
        <v>364</v>
      </c>
    </row>
    <row r="19401">
      <c r="H19401" s="8" t="s">
        <v>364</v>
      </c>
    </row>
    <row r="19402">
      <c r="H19402" s="8" t="s">
        <v>364</v>
      </c>
    </row>
    <row r="19403">
      <c r="H19403" s="8" t="s">
        <v>364</v>
      </c>
    </row>
    <row r="19404">
      <c r="H19404" s="8" t="s">
        <v>364</v>
      </c>
    </row>
    <row r="19405">
      <c r="H19405" s="8" t="s">
        <v>364</v>
      </c>
    </row>
    <row r="19406">
      <c r="H19406" s="8" t="s">
        <v>364</v>
      </c>
    </row>
    <row r="19407">
      <c r="H19407" s="8" t="s">
        <v>364</v>
      </c>
    </row>
    <row r="19408">
      <c r="H19408" s="8" t="s">
        <v>364</v>
      </c>
    </row>
    <row r="19409">
      <c r="H19409" s="8" t="s">
        <v>364</v>
      </c>
    </row>
    <row r="19410">
      <c r="H19410" s="8" t="s">
        <v>364</v>
      </c>
    </row>
    <row r="19411">
      <c r="H19411" s="8" t="s">
        <v>364</v>
      </c>
    </row>
    <row r="19412">
      <c r="H19412" s="8" t="s">
        <v>364</v>
      </c>
    </row>
    <row r="19413">
      <c r="H19413" s="8" t="s">
        <v>364</v>
      </c>
    </row>
    <row r="19414">
      <c r="H19414" s="8" t="s">
        <v>364</v>
      </c>
    </row>
    <row r="19415">
      <c r="H19415" s="8" t="s">
        <v>364</v>
      </c>
    </row>
    <row r="19416">
      <c r="H19416" s="8" t="s">
        <v>364</v>
      </c>
    </row>
    <row r="19417">
      <c r="H19417" s="8" t="s">
        <v>364</v>
      </c>
    </row>
    <row r="19418">
      <c r="H19418" s="8" t="s">
        <v>364</v>
      </c>
    </row>
    <row r="19419">
      <c r="H19419" s="8" t="s">
        <v>364</v>
      </c>
    </row>
    <row r="19420">
      <c r="H19420" s="8" t="s">
        <v>364</v>
      </c>
    </row>
    <row r="19421">
      <c r="H19421" s="8" t="s">
        <v>364</v>
      </c>
    </row>
    <row r="19422">
      <c r="H19422" s="8" t="s">
        <v>364</v>
      </c>
    </row>
    <row r="19423">
      <c r="H19423" s="8" t="s">
        <v>364</v>
      </c>
    </row>
    <row r="19424">
      <c r="H19424" s="8" t="s">
        <v>364</v>
      </c>
    </row>
    <row r="19425">
      <c r="H19425" s="8" t="s">
        <v>364</v>
      </c>
    </row>
    <row r="19426">
      <c r="H19426" s="8" t="s">
        <v>364</v>
      </c>
    </row>
    <row r="19427">
      <c r="H19427" s="8" t="s">
        <v>364</v>
      </c>
    </row>
    <row r="19428">
      <c r="H19428" s="8" t="s">
        <v>364</v>
      </c>
    </row>
    <row r="19429">
      <c r="H19429" s="8" t="s">
        <v>364</v>
      </c>
    </row>
    <row r="19430">
      <c r="H19430" s="8" t="s">
        <v>364</v>
      </c>
    </row>
    <row r="19431">
      <c r="H19431" s="8" t="s">
        <v>364</v>
      </c>
    </row>
    <row r="19432">
      <c r="H19432" s="8" t="s">
        <v>364</v>
      </c>
    </row>
    <row r="19433">
      <c r="H19433" s="8" t="s">
        <v>364</v>
      </c>
    </row>
    <row r="19434">
      <c r="H19434" s="8" t="s">
        <v>364</v>
      </c>
    </row>
    <row r="19435">
      <c r="H19435" s="8" t="s">
        <v>364</v>
      </c>
    </row>
    <row r="19436">
      <c r="H19436" s="8" t="s">
        <v>364</v>
      </c>
    </row>
    <row r="19437">
      <c r="H19437" s="8" t="s">
        <v>364</v>
      </c>
    </row>
    <row r="19438">
      <c r="H19438" s="8" t="s">
        <v>364</v>
      </c>
    </row>
    <row r="19439">
      <c r="H19439" s="8" t="s">
        <v>364</v>
      </c>
    </row>
    <row r="19440">
      <c r="H19440" s="8" t="s">
        <v>364</v>
      </c>
    </row>
    <row r="19441">
      <c r="H19441" s="8" t="s">
        <v>364</v>
      </c>
    </row>
    <row r="19442">
      <c r="H19442" s="8" t="s">
        <v>364</v>
      </c>
    </row>
    <row r="19443">
      <c r="H19443" s="8" t="s">
        <v>364</v>
      </c>
    </row>
    <row r="19444">
      <c r="H19444" s="8" t="s">
        <v>364</v>
      </c>
    </row>
    <row r="19445">
      <c r="H19445" s="8" t="s">
        <v>364</v>
      </c>
    </row>
    <row r="19446">
      <c r="H19446" s="8" t="s">
        <v>364</v>
      </c>
    </row>
    <row r="19447">
      <c r="H19447" s="8" t="s">
        <v>364</v>
      </c>
    </row>
    <row r="19448">
      <c r="H19448" s="8" t="s">
        <v>364</v>
      </c>
    </row>
    <row r="19449">
      <c r="H19449" s="8" t="s">
        <v>364</v>
      </c>
    </row>
    <row r="19450">
      <c r="H19450" s="8" t="s">
        <v>364</v>
      </c>
    </row>
    <row r="19451">
      <c r="H19451" s="8" t="s">
        <v>364</v>
      </c>
    </row>
    <row r="19452">
      <c r="H19452" s="8" t="s">
        <v>364</v>
      </c>
    </row>
    <row r="19453">
      <c r="H19453" s="8" t="s">
        <v>364</v>
      </c>
    </row>
    <row r="19454">
      <c r="H19454" s="8" t="s">
        <v>364</v>
      </c>
    </row>
    <row r="19455">
      <c r="H19455" s="8" t="s">
        <v>364</v>
      </c>
    </row>
    <row r="19456">
      <c r="H19456" s="8" t="s">
        <v>364</v>
      </c>
    </row>
    <row r="19457">
      <c r="H19457" s="8" t="s">
        <v>364</v>
      </c>
    </row>
    <row r="19458">
      <c r="H19458" s="8" t="s">
        <v>364</v>
      </c>
    </row>
    <row r="19459">
      <c r="H19459" s="8" t="s">
        <v>364</v>
      </c>
    </row>
    <row r="19460">
      <c r="H19460" s="8" t="s">
        <v>364</v>
      </c>
    </row>
    <row r="19461">
      <c r="H19461" s="8" t="s">
        <v>364</v>
      </c>
    </row>
    <row r="19462">
      <c r="H19462" s="8" t="s">
        <v>364</v>
      </c>
    </row>
    <row r="19463">
      <c r="H19463" s="8" t="s">
        <v>364</v>
      </c>
    </row>
    <row r="19464">
      <c r="H19464" s="8" t="s">
        <v>364</v>
      </c>
    </row>
    <row r="19465">
      <c r="H19465" s="8" t="s">
        <v>364</v>
      </c>
    </row>
    <row r="19466">
      <c r="H19466" s="8" t="s">
        <v>364</v>
      </c>
    </row>
    <row r="19467">
      <c r="H19467" s="8" t="s">
        <v>364</v>
      </c>
    </row>
    <row r="19468">
      <c r="H19468" s="8" t="s">
        <v>364</v>
      </c>
    </row>
    <row r="19469">
      <c r="H19469" s="8" t="s">
        <v>364</v>
      </c>
    </row>
    <row r="19470">
      <c r="H19470" s="8" t="s">
        <v>364</v>
      </c>
    </row>
    <row r="19471">
      <c r="H19471" s="8" t="s">
        <v>364</v>
      </c>
    </row>
    <row r="19472">
      <c r="H19472" s="8" t="s">
        <v>364</v>
      </c>
    </row>
    <row r="19473">
      <c r="H19473" s="8" t="s">
        <v>364</v>
      </c>
    </row>
    <row r="19474">
      <c r="H19474" s="8" t="s">
        <v>364</v>
      </c>
    </row>
    <row r="19475">
      <c r="H19475" s="8" t="s">
        <v>364</v>
      </c>
    </row>
    <row r="19476">
      <c r="H19476" s="8" t="s">
        <v>364</v>
      </c>
    </row>
    <row r="19477">
      <c r="H19477" s="8" t="s">
        <v>364</v>
      </c>
    </row>
    <row r="19478">
      <c r="H19478" s="8" t="s">
        <v>364</v>
      </c>
    </row>
    <row r="19479">
      <c r="H19479" s="8" t="s">
        <v>364</v>
      </c>
    </row>
    <row r="19480">
      <c r="H19480" s="8" t="s">
        <v>364</v>
      </c>
    </row>
    <row r="19481">
      <c r="H19481" s="8" t="s">
        <v>364</v>
      </c>
    </row>
    <row r="19482">
      <c r="H19482" s="8" t="s">
        <v>364</v>
      </c>
    </row>
    <row r="19483">
      <c r="H19483" s="8" t="s">
        <v>364</v>
      </c>
    </row>
    <row r="19484">
      <c r="H19484" s="8" t="s">
        <v>364</v>
      </c>
    </row>
    <row r="19485">
      <c r="H19485" s="8" t="s">
        <v>364</v>
      </c>
    </row>
    <row r="19486">
      <c r="H19486" s="8" t="s">
        <v>364</v>
      </c>
    </row>
    <row r="19487">
      <c r="H19487" s="8" t="s">
        <v>364</v>
      </c>
    </row>
    <row r="19488">
      <c r="H19488" s="8" t="s">
        <v>364</v>
      </c>
    </row>
    <row r="19489">
      <c r="H19489" s="8" t="s">
        <v>364</v>
      </c>
    </row>
    <row r="19490">
      <c r="H19490" s="8" t="s">
        <v>364</v>
      </c>
    </row>
    <row r="19491">
      <c r="H19491" s="8" t="s">
        <v>364</v>
      </c>
    </row>
    <row r="19492">
      <c r="H19492" s="8" t="s">
        <v>364</v>
      </c>
    </row>
    <row r="19493">
      <c r="H19493" s="8" t="s">
        <v>364</v>
      </c>
    </row>
    <row r="19494">
      <c r="H19494" s="8" t="s">
        <v>364</v>
      </c>
    </row>
    <row r="19495">
      <c r="H19495" s="8" t="s">
        <v>364</v>
      </c>
    </row>
    <row r="19496">
      <c r="H19496" s="8" t="s">
        <v>364</v>
      </c>
    </row>
    <row r="19497">
      <c r="H19497" s="8" t="s">
        <v>364</v>
      </c>
    </row>
    <row r="19498">
      <c r="H19498" s="8" t="s">
        <v>364</v>
      </c>
    </row>
    <row r="19499">
      <c r="H19499" s="8" t="s">
        <v>364</v>
      </c>
    </row>
    <row r="19500">
      <c r="H19500" s="8" t="s">
        <v>364</v>
      </c>
    </row>
    <row r="19501">
      <c r="H19501" s="8" t="s">
        <v>364</v>
      </c>
    </row>
    <row r="19502">
      <c r="H19502" s="8" t="s">
        <v>364</v>
      </c>
    </row>
    <row r="19503">
      <c r="H19503" s="8" t="s">
        <v>364</v>
      </c>
    </row>
    <row r="19504">
      <c r="H19504" s="8" t="s">
        <v>364</v>
      </c>
    </row>
    <row r="19505">
      <c r="H19505" s="8" t="s">
        <v>364</v>
      </c>
    </row>
    <row r="19506">
      <c r="H19506" s="8" t="s">
        <v>364</v>
      </c>
    </row>
    <row r="19507">
      <c r="H19507" s="8" t="s">
        <v>364</v>
      </c>
    </row>
    <row r="19508">
      <c r="H19508" s="8" t="s">
        <v>364</v>
      </c>
    </row>
    <row r="19509">
      <c r="H19509" s="8" t="s">
        <v>364</v>
      </c>
    </row>
    <row r="19510">
      <c r="H19510" s="8" t="s">
        <v>364</v>
      </c>
    </row>
    <row r="19511">
      <c r="H19511" s="8" t="s">
        <v>364</v>
      </c>
    </row>
    <row r="19512">
      <c r="H19512" s="8" t="s">
        <v>364</v>
      </c>
    </row>
    <row r="19513">
      <c r="H19513" s="8" t="s">
        <v>364</v>
      </c>
    </row>
    <row r="19514">
      <c r="H19514" s="8" t="s">
        <v>364</v>
      </c>
    </row>
    <row r="19515">
      <c r="H19515" s="8" t="s">
        <v>364</v>
      </c>
    </row>
    <row r="19516">
      <c r="H19516" s="8" t="s">
        <v>364</v>
      </c>
    </row>
    <row r="19517">
      <c r="H19517" s="8" t="s">
        <v>364</v>
      </c>
    </row>
    <row r="19518">
      <c r="H19518" s="8" t="s">
        <v>364</v>
      </c>
    </row>
    <row r="19519">
      <c r="H19519" s="8" t="s">
        <v>364</v>
      </c>
    </row>
    <row r="19520">
      <c r="H19520" s="8" t="s">
        <v>364</v>
      </c>
    </row>
    <row r="19521">
      <c r="H19521" s="8" t="s">
        <v>364</v>
      </c>
    </row>
    <row r="19522">
      <c r="H19522" s="8" t="s">
        <v>364</v>
      </c>
    </row>
    <row r="19523">
      <c r="H19523" s="8" t="s">
        <v>364</v>
      </c>
    </row>
    <row r="19524">
      <c r="H19524" s="8" t="s">
        <v>364</v>
      </c>
    </row>
    <row r="19525">
      <c r="H19525" s="8" t="s">
        <v>364</v>
      </c>
    </row>
    <row r="19526">
      <c r="H19526" s="8" t="s">
        <v>364</v>
      </c>
    </row>
    <row r="19527">
      <c r="H19527" s="8" t="s">
        <v>364</v>
      </c>
    </row>
    <row r="19528">
      <c r="H19528" s="8" t="s">
        <v>364</v>
      </c>
    </row>
    <row r="19529">
      <c r="H19529" s="8" t="s">
        <v>364</v>
      </c>
    </row>
    <row r="19530">
      <c r="H19530" s="8" t="s">
        <v>364</v>
      </c>
    </row>
    <row r="19531">
      <c r="H19531" s="8" t="s">
        <v>364</v>
      </c>
    </row>
    <row r="19532">
      <c r="H19532" s="8" t="s">
        <v>364</v>
      </c>
    </row>
    <row r="19533">
      <c r="H19533" s="8" t="s">
        <v>364</v>
      </c>
    </row>
    <row r="19534">
      <c r="H19534" s="8" t="s">
        <v>364</v>
      </c>
    </row>
    <row r="19535">
      <c r="H19535" s="8" t="s">
        <v>364</v>
      </c>
    </row>
    <row r="19536">
      <c r="H19536" s="8" t="s">
        <v>364</v>
      </c>
    </row>
    <row r="19537">
      <c r="H19537" s="8" t="s">
        <v>364</v>
      </c>
    </row>
    <row r="19538">
      <c r="H19538" s="8" t="s">
        <v>364</v>
      </c>
    </row>
    <row r="19539">
      <c r="H19539" s="8" t="s">
        <v>364</v>
      </c>
    </row>
    <row r="19540">
      <c r="H19540" s="8" t="s">
        <v>364</v>
      </c>
    </row>
    <row r="19541">
      <c r="H19541" s="8" t="s">
        <v>364</v>
      </c>
    </row>
    <row r="19542">
      <c r="H19542" s="8" t="s">
        <v>364</v>
      </c>
    </row>
    <row r="19543">
      <c r="H19543" s="8" t="s">
        <v>364</v>
      </c>
    </row>
    <row r="19544">
      <c r="H19544" s="8" t="s">
        <v>364</v>
      </c>
    </row>
    <row r="19545">
      <c r="H19545" s="8" t="s">
        <v>364</v>
      </c>
    </row>
    <row r="19546">
      <c r="H19546" s="8" t="s">
        <v>364</v>
      </c>
    </row>
    <row r="19547">
      <c r="H19547" s="8" t="s">
        <v>364</v>
      </c>
    </row>
    <row r="19548">
      <c r="H19548" s="8" t="s">
        <v>364</v>
      </c>
    </row>
    <row r="19549">
      <c r="H19549" s="8" t="s">
        <v>364</v>
      </c>
    </row>
    <row r="19550">
      <c r="H19550" s="8" t="s">
        <v>364</v>
      </c>
    </row>
    <row r="19551">
      <c r="H19551" s="8" t="s">
        <v>364</v>
      </c>
    </row>
    <row r="19552">
      <c r="H19552" s="8" t="s">
        <v>364</v>
      </c>
    </row>
    <row r="19553">
      <c r="H19553" s="8" t="s">
        <v>364</v>
      </c>
    </row>
    <row r="19554">
      <c r="H19554" s="8" t="s">
        <v>364</v>
      </c>
    </row>
    <row r="19555">
      <c r="H19555" s="8" t="s">
        <v>364</v>
      </c>
    </row>
    <row r="19556">
      <c r="H19556" s="8" t="s">
        <v>364</v>
      </c>
    </row>
    <row r="19557">
      <c r="H19557" s="8" t="s">
        <v>364</v>
      </c>
    </row>
    <row r="19558">
      <c r="H19558" s="8" t="s">
        <v>364</v>
      </c>
    </row>
    <row r="19559">
      <c r="H19559" s="8" t="s">
        <v>364</v>
      </c>
    </row>
    <row r="19560">
      <c r="H19560" s="8" t="s">
        <v>364</v>
      </c>
    </row>
    <row r="19561">
      <c r="H19561" s="8" t="s">
        <v>364</v>
      </c>
    </row>
    <row r="19562">
      <c r="H19562" s="8" t="s">
        <v>364</v>
      </c>
    </row>
    <row r="19563">
      <c r="H19563" s="8" t="s">
        <v>364</v>
      </c>
    </row>
    <row r="19564">
      <c r="H19564" s="8" t="s">
        <v>364</v>
      </c>
    </row>
    <row r="19565">
      <c r="H19565" s="8" t="s">
        <v>364</v>
      </c>
    </row>
    <row r="19566">
      <c r="H19566" s="8" t="s">
        <v>364</v>
      </c>
    </row>
    <row r="19567">
      <c r="H19567" s="8" t="s">
        <v>364</v>
      </c>
    </row>
    <row r="19568">
      <c r="H19568" s="8" t="s">
        <v>364</v>
      </c>
    </row>
    <row r="19569">
      <c r="H19569" s="8" t="s">
        <v>364</v>
      </c>
    </row>
    <row r="19570">
      <c r="H19570" s="8" t="s">
        <v>364</v>
      </c>
    </row>
    <row r="19571">
      <c r="H19571" s="8" t="s">
        <v>364</v>
      </c>
    </row>
    <row r="19572">
      <c r="H19572" s="8" t="s">
        <v>364</v>
      </c>
    </row>
    <row r="19573">
      <c r="H19573" s="8" t="s">
        <v>364</v>
      </c>
    </row>
    <row r="19574">
      <c r="H19574" s="8" t="s">
        <v>364</v>
      </c>
    </row>
    <row r="19575">
      <c r="H19575" s="8" t="s">
        <v>364</v>
      </c>
    </row>
    <row r="19576">
      <c r="H19576" s="8" t="s">
        <v>364</v>
      </c>
    </row>
    <row r="19577">
      <c r="H19577" s="8" t="s">
        <v>364</v>
      </c>
    </row>
    <row r="19578">
      <c r="H19578" s="8" t="s">
        <v>364</v>
      </c>
    </row>
    <row r="19579">
      <c r="H19579" s="8" t="s">
        <v>364</v>
      </c>
    </row>
    <row r="19580">
      <c r="H19580" s="8" t="s">
        <v>364</v>
      </c>
    </row>
    <row r="19581">
      <c r="H19581" s="8" t="s">
        <v>364</v>
      </c>
    </row>
    <row r="19582">
      <c r="H19582" s="8" t="s">
        <v>364</v>
      </c>
    </row>
    <row r="19583">
      <c r="H19583" s="8" t="s">
        <v>364</v>
      </c>
    </row>
    <row r="19584">
      <c r="H19584" s="8" t="s">
        <v>364</v>
      </c>
    </row>
    <row r="19585">
      <c r="H19585" s="8" t="s">
        <v>364</v>
      </c>
    </row>
    <row r="19586">
      <c r="H19586" s="8" t="s">
        <v>364</v>
      </c>
    </row>
    <row r="19587">
      <c r="H19587" s="8" t="s">
        <v>364</v>
      </c>
    </row>
    <row r="19588">
      <c r="H19588" s="8" t="s">
        <v>364</v>
      </c>
    </row>
    <row r="19589">
      <c r="H19589" s="8" t="s">
        <v>364</v>
      </c>
    </row>
    <row r="19590">
      <c r="H19590" s="8" t="s">
        <v>364</v>
      </c>
    </row>
    <row r="19591">
      <c r="H19591" s="8" t="s">
        <v>364</v>
      </c>
    </row>
    <row r="19592">
      <c r="H19592" s="8" t="s">
        <v>364</v>
      </c>
    </row>
    <row r="19593">
      <c r="H19593" s="8" t="s">
        <v>364</v>
      </c>
    </row>
    <row r="19594">
      <c r="H19594" s="8" t="s">
        <v>364</v>
      </c>
    </row>
    <row r="19595">
      <c r="H19595" s="8" t="s">
        <v>364</v>
      </c>
    </row>
    <row r="19596">
      <c r="H19596" s="8" t="s">
        <v>364</v>
      </c>
    </row>
    <row r="19597">
      <c r="H19597" s="8" t="s">
        <v>364</v>
      </c>
    </row>
    <row r="19598">
      <c r="H19598" s="8" t="s">
        <v>364</v>
      </c>
    </row>
    <row r="19599">
      <c r="H19599" s="8" t="s">
        <v>364</v>
      </c>
    </row>
    <row r="19600">
      <c r="H19600" s="8" t="s">
        <v>364</v>
      </c>
    </row>
    <row r="19601">
      <c r="H19601" s="8" t="s">
        <v>364</v>
      </c>
    </row>
    <row r="19602">
      <c r="H19602" s="8" t="s">
        <v>364</v>
      </c>
    </row>
    <row r="19603">
      <c r="H19603" s="8" t="s">
        <v>364</v>
      </c>
    </row>
    <row r="19604">
      <c r="H19604" s="8" t="s">
        <v>364</v>
      </c>
    </row>
    <row r="19605">
      <c r="H19605" s="8" t="s">
        <v>364</v>
      </c>
    </row>
    <row r="19606">
      <c r="H19606" s="8" t="s">
        <v>364</v>
      </c>
    </row>
    <row r="19607">
      <c r="H19607" s="8" t="s">
        <v>364</v>
      </c>
    </row>
    <row r="19608">
      <c r="H19608" s="8" t="s">
        <v>364</v>
      </c>
    </row>
    <row r="19609">
      <c r="H19609" s="8" t="s">
        <v>364</v>
      </c>
    </row>
    <row r="19610">
      <c r="H19610" s="8" t="s">
        <v>364</v>
      </c>
    </row>
    <row r="19611">
      <c r="H19611" s="8" t="s">
        <v>364</v>
      </c>
    </row>
    <row r="19612">
      <c r="H19612" s="8" t="s">
        <v>364</v>
      </c>
    </row>
    <row r="19613">
      <c r="H19613" s="8" t="s">
        <v>364</v>
      </c>
    </row>
    <row r="19614">
      <c r="H19614" s="8" t="s">
        <v>364</v>
      </c>
    </row>
    <row r="19615">
      <c r="H19615" s="8" t="s">
        <v>364</v>
      </c>
    </row>
    <row r="19616">
      <c r="H19616" s="8" t="s">
        <v>364</v>
      </c>
    </row>
    <row r="19617">
      <c r="H19617" s="8" t="s">
        <v>364</v>
      </c>
    </row>
    <row r="19618">
      <c r="H19618" s="8" t="s">
        <v>364</v>
      </c>
    </row>
    <row r="19619">
      <c r="H19619" s="8" t="s">
        <v>364</v>
      </c>
    </row>
    <row r="19620">
      <c r="H19620" s="8" t="s">
        <v>364</v>
      </c>
    </row>
    <row r="19621">
      <c r="H19621" s="8" t="s">
        <v>364</v>
      </c>
    </row>
    <row r="19622">
      <c r="H19622" s="8" t="s">
        <v>364</v>
      </c>
    </row>
    <row r="19623">
      <c r="H19623" s="8" t="s">
        <v>364</v>
      </c>
    </row>
    <row r="19624">
      <c r="H19624" s="8" t="s">
        <v>364</v>
      </c>
    </row>
    <row r="19625">
      <c r="H19625" s="8" t="s">
        <v>364</v>
      </c>
    </row>
    <row r="19626">
      <c r="H19626" s="8" t="s">
        <v>364</v>
      </c>
    </row>
    <row r="19627">
      <c r="H19627" s="8" t="s">
        <v>364</v>
      </c>
    </row>
    <row r="19628">
      <c r="H19628" s="8" t="s">
        <v>364</v>
      </c>
    </row>
    <row r="19629">
      <c r="H19629" s="8" t="s">
        <v>364</v>
      </c>
    </row>
    <row r="19630">
      <c r="H19630" s="8" t="s">
        <v>364</v>
      </c>
    </row>
    <row r="19631">
      <c r="H19631" s="8" t="s">
        <v>364</v>
      </c>
    </row>
    <row r="19632">
      <c r="H19632" s="8" t="s">
        <v>364</v>
      </c>
    </row>
    <row r="19633">
      <c r="H19633" s="8" t="s">
        <v>364</v>
      </c>
    </row>
    <row r="19634">
      <c r="H19634" s="8" t="s">
        <v>364</v>
      </c>
    </row>
    <row r="19635">
      <c r="H19635" s="8" t="s">
        <v>364</v>
      </c>
    </row>
    <row r="19636">
      <c r="H19636" s="8" t="s">
        <v>364</v>
      </c>
    </row>
    <row r="19637">
      <c r="H19637" s="8" t="s">
        <v>364</v>
      </c>
    </row>
    <row r="19638">
      <c r="H19638" s="8" t="s">
        <v>364</v>
      </c>
    </row>
    <row r="19639">
      <c r="H19639" s="8" t="s">
        <v>364</v>
      </c>
    </row>
    <row r="19640">
      <c r="H19640" s="8" t="s">
        <v>364</v>
      </c>
    </row>
    <row r="19641">
      <c r="H19641" s="8" t="s">
        <v>364</v>
      </c>
    </row>
    <row r="19642">
      <c r="H19642" s="8" t="s">
        <v>364</v>
      </c>
    </row>
    <row r="19643">
      <c r="H19643" s="8" t="s">
        <v>364</v>
      </c>
    </row>
    <row r="19644">
      <c r="H19644" s="8" t="s">
        <v>364</v>
      </c>
    </row>
    <row r="19645">
      <c r="H19645" s="8" t="s">
        <v>364</v>
      </c>
    </row>
    <row r="19646">
      <c r="H19646" s="8" t="s">
        <v>364</v>
      </c>
    </row>
    <row r="19647">
      <c r="H19647" s="8" t="s">
        <v>364</v>
      </c>
    </row>
    <row r="19648">
      <c r="H19648" s="8" t="s">
        <v>364</v>
      </c>
    </row>
    <row r="19649">
      <c r="H19649" s="8" t="s">
        <v>364</v>
      </c>
    </row>
    <row r="19650">
      <c r="H19650" s="8" t="s">
        <v>364</v>
      </c>
    </row>
    <row r="19651">
      <c r="H19651" s="8" t="s">
        <v>364</v>
      </c>
    </row>
    <row r="19652">
      <c r="H19652" s="8" t="s">
        <v>364</v>
      </c>
    </row>
    <row r="19653">
      <c r="H19653" s="8" t="s">
        <v>364</v>
      </c>
    </row>
    <row r="19654">
      <c r="H19654" s="8" t="s">
        <v>364</v>
      </c>
    </row>
    <row r="19655">
      <c r="H19655" s="8" t="s">
        <v>364</v>
      </c>
    </row>
    <row r="19656">
      <c r="H19656" s="8" t="s">
        <v>364</v>
      </c>
    </row>
    <row r="19657">
      <c r="H19657" s="8" t="s">
        <v>364</v>
      </c>
    </row>
    <row r="19658">
      <c r="H19658" s="8" t="s">
        <v>364</v>
      </c>
    </row>
    <row r="19659">
      <c r="H19659" s="8" t="s">
        <v>364</v>
      </c>
    </row>
    <row r="19660">
      <c r="H19660" s="8" t="s">
        <v>364</v>
      </c>
    </row>
    <row r="19661">
      <c r="H19661" s="8" t="s">
        <v>364</v>
      </c>
    </row>
    <row r="19662">
      <c r="H19662" s="8" t="s">
        <v>364</v>
      </c>
    </row>
    <row r="19663">
      <c r="H19663" s="8" t="s">
        <v>364</v>
      </c>
    </row>
    <row r="19664">
      <c r="H19664" s="8" t="s">
        <v>364</v>
      </c>
    </row>
    <row r="19665">
      <c r="H19665" s="8" t="s">
        <v>364</v>
      </c>
    </row>
    <row r="19666">
      <c r="H19666" s="8" t="s">
        <v>364</v>
      </c>
    </row>
    <row r="19667">
      <c r="H19667" s="8" t="s">
        <v>364</v>
      </c>
    </row>
    <row r="19668">
      <c r="H19668" s="8" t="s">
        <v>364</v>
      </c>
    </row>
    <row r="19669">
      <c r="H19669" s="8" t="s">
        <v>364</v>
      </c>
    </row>
    <row r="19670">
      <c r="H19670" s="8" t="s">
        <v>364</v>
      </c>
    </row>
    <row r="19671">
      <c r="H19671" s="8" t="s">
        <v>364</v>
      </c>
    </row>
    <row r="19672">
      <c r="H19672" s="8" t="s">
        <v>364</v>
      </c>
    </row>
    <row r="19673">
      <c r="H19673" s="8" t="s">
        <v>364</v>
      </c>
    </row>
    <row r="19674">
      <c r="H19674" s="8" t="s">
        <v>364</v>
      </c>
    </row>
    <row r="19675">
      <c r="H19675" s="8" t="s">
        <v>364</v>
      </c>
    </row>
    <row r="19676">
      <c r="H19676" s="8" t="s">
        <v>364</v>
      </c>
    </row>
    <row r="19677">
      <c r="H19677" s="8" t="s">
        <v>364</v>
      </c>
    </row>
    <row r="19678">
      <c r="H19678" s="8" t="s">
        <v>364</v>
      </c>
    </row>
    <row r="19679">
      <c r="H19679" s="8" t="s">
        <v>364</v>
      </c>
    </row>
    <row r="19680">
      <c r="H19680" s="8" t="s">
        <v>364</v>
      </c>
    </row>
    <row r="19681">
      <c r="H19681" s="8" t="s">
        <v>364</v>
      </c>
    </row>
    <row r="19682">
      <c r="H19682" s="8" t="s">
        <v>364</v>
      </c>
    </row>
    <row r="19683">
      <c r="H19683" s="8" t="s">
        <v>364</v>
      </c>
    </row>
    <row r="19684">
      <c r="H19684" s="8" t="s">
        <v>364</v>
      </c>
    </row>
    <row r="19685">
      <c r="H19685" s="8" t="s">
        <v>364</v>
      </c>
    </row>
    <row r="19686">
      <c r="H19686" s="8" t="s">
        <v>364</v>
      </c>
    </row>
    <row r="19687">
      <c r="H19687" s="8" t="s">
        <v>364</v>
      </c>
    </row>
    <row r="19688">
      <c r="H19688" s="8" t="s">
        <v>364</v>
      </c>
    </row>
    <row r="19689">
      <c r="H19689" s="8" t="s">
        <v>364</v>
      </c>
    </row>
    <row r="19690">
      <c r="H19690" s="8" t="s">
        <v>364</v>
      </c>
    </row>
    <row r="19691">
      <c r="H19691" s="8" t="s">
        <v>364</v>
      </c>
    </row>
    <row r="19692">
      <c r="H19692" s="8" t="s">
        <v>364</v>
      </c>
    </row>
    <row r="19693">
      <c r="H19693" s="8" t="s">
        <v>364</v>
      </c>
    </row>
    <row r="19694">
      <c r="H19694" s="8" t="s">
        <v>364</v>
      </c>
    </row>
    <row r="19695">
      <c r="H19695" s="8" t="s">
        <v>364</v>
      </c>
    </row>
    <row r="19696">
      <c r="H19696" s="8" t="s">
        <v>364</v>
      </c>
    </row>
    <row r="19697">
      <c r="H19697" s="8" t="s">
        <v>364</v>
      </c>
    </row>
    <row r="19698">
      <c r="H19698" s="8" t="s">
        <v>364</v>
      </c>
    </row>
    <row r="19699">
      <c r="H19699" s="8" t="s">
        <v>364</v>
      </c>
    </row>
    <row r="19700">
      <c r="H19700" s="8" t="s">
        <v>364</v>
      </c>
    </row>
    <row r="19701">
      <c r="H19701" s="8" t="s">
        <v>364</v>
      </c>
    </row>
    <row r="19702">
      <c r="H19702" s="8" t="s">
        <v>364</v>
      </c>
    </row>
    <row r="19703">
      <c r="H19703" s="8" t="s">
        <v>364</v>
      </c>
    </row>
    <row r="19704">
      <c r="H19704" s="8" t="s">
        <v>364</v>
      </c>
    </row>
    <row r="19705">
      <c r="H19705" s="8" t="s">
        <v>364</v>
      </c>
    </row>
    <row r="19706">
      <c r="H19706" s="8" t="s">
        <v>364</v>
      </c>
    </row>
    <row r="19707">
      <c r="H19707" s="8" t="s">
        <v>364</v>
      </c>
    </row>
    <row r="19708">
      <c r="H19708" s="8" t="s">
        <v>364</v>
      </c>
    </row>
    <row r="19709">
      <c r="H19709" s="8" t="s">
        <v>364</v>
      </c>
    </row>
    <row r="19710">
      <c r="H19710" s="8" t="s">
        <v>364</v>
      </c>
    </row>
    <row r="19711">
      <c r="H19711" s="8" t="s">
        <v>364</v>
      </c>
    </row>
    <row r="19712">
      <c r="H19712" s="8" t="s">
        <v>364</v>
      </c>
    </row>
    <row r="19713">
      <c r="H19713" s="8" t="s">
        <v>364</v>
      </c>
    </row>
    <row r="19714">
      <c r="H19714" s="8" t="s">
        <v>364</v>
      </c>
    </row>
    <row r="19715">
      <c r="H19715" s="8" t="s">
        <v>364</v>
      </c>
    </row>
    <row r="19716">
      <c r="H19716" s="8" t="s">
        <v>364</v>
      </c>
    </row>
    <row r="19717">
      <c r="H19717" s="8" t="s">
        <v>364</v>
      </c>
    </row>
    <row r="19718">
      <c r="H19718" s="8" t="s">
        <v>364</v>
      </c>
    </row>
    <row r="19719">
      <c r="H19719" s="8" t="s">
        <v>364</v>
      </c>
    </row>
    <row r="19720">
      <c r="H19720" s="8" t="s">
        <v>364</v>
      </c>
    </row>
    <row r="19721">
      <c r="H19721" s="8" t="s">
        <v>364</v>
      </c>
    </row>
    <row r="19722">
      <c r="H19722" s="8" t="s">
        <v>364</v>
      </c>
    </row>
    <row r="19723">
      <c r="H19723" s="8" t="s">
        <v>364</v>
      </c>
    </row>
    <row r="19724">
      <c r="H19724" s="8" t="s">
        <v>364</v>
      </c>
    </row>
    <row r="19725">
      <c r="H19725" s="8" t="s">
        <v>364</v>
      </c>
    </row>
    <row r="19726">
      <c r="H19726" s="8" t="s">
        <v>364</v>
      </c>
    </row>
    <row r="19727">
      <c r="H19727" s="8" t="s">
        <v>364</v>
      </c>
    </row>
    <row r="19728">
      <c r="H19728" s="8" t="s">
        <v>364</v>
      </c>
    </row>
    <row r="19729">
      <c r="H19729" s="8" t="s">
        <v>364</v>
      </c>
    </row>
    <row r="19730">
      <c r="H19730" s="8" t="s">
        <v>364</v>
      </c>
    </row>
    <row r="19731">
      <c r="H19731" s="8" t="s">
        <v>364</v>
      </c>
    </row>
    <row r="19732">
      <c r="H19732" s="8" t="s">
        <v>364</v>
      </c>
    </row>
    <row r="19733">
      <c r="H19733" s="8" t="s">
        <v>364</v>
      </c>
    </row>
    <row r="19734">
      <c r="H19734" s="8" t="s">
        <v>364</v>
      </c>
    </row>
    <row r="19735">
      <c r="H19735" s="8" t="s">
        <v>364</v>
      </c>
    </row>
    <row r="19736">
      <c r="H19736" s="8" t="s">
        <v>364</v>
      </c>
    </row>
    <row r="19737">
      <c r="H19737" s="8" t="s">
        <v>364</v>
      </c>
    </row>
    <row r="19738">
      <c r="H19738" s="8" t="s">
        <v>364</v>
      </c>
    </row>
    <row r="19739">
      <c r="H19739" s="8" t="s">
        <v>364</v>
      </c>
    </row>
    <row r="19740">
      <c r="H19740" s="8" t="s">
        <v>364</v>
      </c>
    </row>
    <row r="19741">
      <c r="H19741" s="8" t="s">
        <v>364</v>
      </c>
    </row>
    <row r="19742">
      <c r="H19742" s="8" t="s">
        <v>364</v>
      </c>
    </row>
    <row r="19743">
      <c r="H19743" s="8" t="s">
        <v>364</v>
      </c>
    </row>
    <row r="19744">
      <c r="H19744" s="8" t="s">
        <v>364</v>
      </c>
    </row>
    <row r="19745">
      <c r="H19745" s="8" t="s">
        <v>364</v>
      </c>
    </row>
    <row r="19746">
      <c r="H19746" s="8" t="s">
        <v>364</v>
      </c>
    </row>
    <row r="19747">
      <c r="H19747" s="8" t="s">
        <v>364</v>
      </c>
    </row>
    <row r="19748">
      <c r="H19748" s="8" t="s">
        <v>364</v>
      </c>
    </row>
    <row r="19749">
      <c r="H19749" s="8" t="s">
        <v>364</v>
      </c>
    </row>
    <row r="19750">
      <c r="H19750" s="8" t="s">
        <v>364</v>
      </c>
    </row>
    <row r="19751">
      <c r="H19751" s="8" t="s">
        <v>364</v>
      </c>
    </row>
    <row r="19752">
      <c r="H19752" s="8" t="s">
        <v>364</v>
      </c>
    </row>
    <row r="19753">
      <c r="H19753" s="8" t="s">
        <v>364</v>
      </c>
    </row>
    <row r="19754">
      <c r="H19754" s="8" t="s">
        <v>364</v>
      </c>
    </row>
    <row r="19755">
      <c r="H19755" s="8" t="s">
        <v>364</v>
      </c>
    </row>
    <row r="19756">
      <c r="H19756" s="8" t="s">
        <v>364</v>
      </c>
    </row>
    <row r="19757">
      <c r="H19757" s="8" t="s">
        <v>364</v>
      </c>
    </row>
    <row r="19758">
      <c r="H19758" s="8" t="s">
        <v>364</v>
      </c>
    </row>
    <row r="19759">
      <c r="H19759" s="8" t="s">
        <v>364</v>
      </c>
    </row>
    <row r="19760">
      <c r="H19760" s="8" t="s">
        <v>364</v>
      </c>
    </row>
    <row r="19761">
      <c r="H19761" s="8" t="s">
        <v>364</v>
      </c>
    </row>
    <row r="19762">
      <c r="H19762" s="8" t="s">
        <v>364</v>
      </c>
    </row>
    <row r="19763">
      <c r="H19763" s="8" t="s">
        <v>364</v>
      </c>
    </row>
    <row r="19764">
      <c r="H19764" s="8" t="s">
        <v>364</v>
      </c>
    </row>
    <row r="19765">
      <c r="H19765" s="8" t="s">
        <v>364</v>
      </c>
    </row>
    <row r="19766">
      <c r="H19766" s="8" t="s">
        <v>364</v>
      </c>
    </row>
    <row r="19767">
      <c r="H19767" s="8" t="s">
        <v>364</v>
      </c>
    </row>
    <row r="19768">
      <c r="H19768" s="8" t="s">
        <v>364</v>
      </c>
    </row>
    <row r="19769">
      <c r="H19769" s="8" t="s">
        <v>364</v>
      </c>
    </row>
    <row r="19770">
      <c r="H19770" s="8" t="s">
        <v>364</v>
      </c>
    </row>
    <row r="19771">
      <c r="H19771" s="8" t="s">
        <v>364</v>
      </c>
    </row>
    <row r="19772">
      <c r="H19772" s="8" t="s">
        <v>364</v>
      </c>
    </row>
    <row r="19773">
      <c r="H19773" s="8" t="s">
        <v>364</v>
      </c>
    </row>
    <row r="19774">
      <c r="H19774" s="8" t="s">
        <v>364</v>
      </c>
    </row>
    <row r="19775">
      <c r="H19775" s="8" t="s">
        <v>364</v>
      </c>
    </row>
    <row r="19776">
      <c r="H19776" s="8" t="s">
        <v>364</v>
      </c>
    </row>
    <row r="19777">
      <c r="H19777" s="8" t="s">
        <v>364</v>
      </c>
    </row>
    <row r="19778">
      <c r="H19778" s="8" t="s">
        <v>364</v>
      </c>
    </row>
    <row r="19779">
      <c r="H19779" s="8" t="s">
        <v>364</v>
      </c>
    </row>
    <row r="19780">
      <c r="H19780" s="8" t="s">
        <v>364</v>
      </c>
    </row>
    <row r="19781">
      <c r="H19781" s="8" t="s">
        <v>364</v>
      </c>
    </row>
    <row r="19782">
      <c r="H19782" s="8" t="s">
        <v>364</v>
      </c>
    </row>
    <row r="19783">
      <c r="H19783" s="8" t="s">
        <v>364</v>
      </c>
    </row>
    <row r="19784">
      <c r="H19784" s="8" t="s">
        <v>364</v>
      </c>
    </row>
    <row r="19785">
      <c r="H19785" s="8" t="s">
        <v>364</v>
      </c>
    </row>
    <row r="19786">
      <c r="H19786" s="8" t="s">
        <v>364</v>
      </c>
    </row>
    <row r="19787">
      <c r="H19787" s="8" t="s">
        <v>364</v>
      </c>
    </row>
    <row r="19788">
      <c r="H19788" s="8" t="s">
        <v>364</v>
      </c>
    </row>
    <row r="19789">
      <c r="H19789" s="8" t="s">
        <v>364</v>
      </c>
    </row>
    <row r="19790">
      <c r="H19790" s="8" t="s">
        <v>364</v>
      </c>
    </row>
    <row r="19791">
      <c r="H19791" s="8" t="s">
        <v>364</v>
      </c>
    </row>
    <row r="19792">
      <c r="H19792" s="8" t="s">
        <v>364</v>
      </c>
    </row>
    <row r="19793">
      <c r="H19793" s="8" t="s">
        <v>364</v>
      </c>
    </row>
    <row r="19794">
      <c r="H19794" s="8" t="s">
        <v>364</v>
      </c>
    </row>
    <row r="19795">
      <c r="H19795" s="8" t="s">
        <v>364</v>
      </c>
    </row>
    <row r="19796">
      <c r="H19796" s="8" t="s">
        <v>364</v>
      </c>
    </row>
    <row r="19797">
      <c r="H19797" s="8" t="s">
        <v>364</v>
      </c>
    </row>
    <row r="19798">
      <c r="H19798" s="8" t="s">
        <v>364</v>
      </c>
    </row>
    <row r="19799">
      <c r="H19799" s="8" t="s">
        <v>364</v>
      </c>
    </row>
    <row r="19800">
      <c r="H19800" s="8" t="s">
        <v>364</v>
      </c>
    </row>
    <row r="19801">
      <c r="H19801" s="8" t="s">
        <v>364</v>
      </c>
    </row>
    <row r="19802">
      <c r="H19802" s="8" t="s">
        <v>364</v>
      </c>
    </row>
    <row r="19803">
      <c r="H19803" s="8" t="s">
        <v>364</v>
      </c>
    </row>
    <row r="19804">
      <c r="H19804" s="8" t="s">
        <v>364</v>
      </c>
    </row>
    <row r="19805">
      <c r="H19805" s="8" t="s">
        <v>364</v>
      </c>
    </row>
    <row r="19806">
      <c r="H19806" s="8" t="s">
        <v>364</v>
      </c>
    </row>
    <row r="19807">
      <c r="H19807" s="8" t="s">
        <v>364</v>
      </c>
    </row>
    <row r="19808">
      <c r="H19808" s="8" t="s">
        <v>364</v>
      </c>
    </row>
    <row r="19809">
      <c r="H19809" s="8" t="s">
        <v>364</v>
      </c>
    </row>
    <row r="19810">
      <c r="H19810" s="8" t="s">
        <v>364</v>
      </c>
    </row>
    <row r="19811">
      <c r="H19811" s="8" t="s">
        <v>364</v>
      </c>
    </row>
    <row r="19812">
      <c r="H19812" s="8" t="s">
        <v>364</v>
      </c>
    </row>
    <row r="19813">
      <c r="H19813" s="8" t="s">
        <v>364</v>
      </c>
    </row>
    <row r="19814">
      <c r="H19814" s="8" t="s">
        <v>364</v>
      </c>
    </row>
    <row r="19815">
      <c r="H19815" s="8" t="s">
        <v>364</v>
      </c>
    </row>
    <row r="19816">
      <c r="H19816" s="8" t="s">
        <v>364</v>
      </c>
    </row>
    <row r="19817">
      <c r="H19817" s="8" t="s">
        <v>364</v>
      </c>
    </row>
    <row r="19818">
      <c r="H19818" s="8" t="s">
        <v>364</v>
      </c>
    </row>
    <row r="19819">
      <c r="H19819" s="8" t="s">
        <v>364</v>
      </c>
    </row>
    <row r="19820">
      <c r="H19820" s="8" t="s">
        <v>364</v>
      </c>
    </row>
    <row r="19821">
      <c r="H19821" s="8" t="s">
        <v>364</v>
      </c>
    </row>
    <row r="19822">
      <c r="H19822" s="8" t="s">
        <v>364</v>
      </c>
    </row>
    <row r="19823">
      <c r="H19823" s="8" t="s">
        <v>364</v>
      </c>
    </row>
    <row r="19824">
      <c r="H19824" s="8" t="s">
        <v>364</v>
      </c>
    </row>
    <row r="19825">
      <c r="H19825" s="8" t="s">
        <v>364</v>
      </c>
    </row>
    <row r="19826">
      <c r="H19826" s="8" t="s">
        <v>364</v>
      </c>
    </row>
    <row r="19827">
      <c r="H19827" s="8" t="s">
        <v>364</v>
      </c>
    </row>
    <row r="19828">
      <c r="H19828" s="8" t="s">
        <v>364</v>
      </c>
    </row>
    <row r="19829">
      <c r="H19829" s="8" t="s">
        <v>364</v>
      </c>
    </row>
    <row r="19830">
      <c r="H19830" s="8" t="s">
        <v>364</v>
      </c>
    </row>
    <row r="19831">
      <c r="H19831" s="8" t="s">
        <v>364</v>
      </c>
    </row>
    <row r="19832">
      <c r="H19832" s="8" t="s">
        <v>364</v>
      </c>
    </row>
    <row r="19833">
      <c r="H19833" s="8" t="s">
        <v>364</v>
      </c>
    </row>
    <row r="19834">
      <c r="H19834" s="8" t="s">
        <v>364</v>
      </c>
    </row>
    <row r="19835">
      <c r="H19835" s="8" t="s">
        <v>364</v>
      </c>
    </row>
    <row r="19836">
      <c r="H19836" s="8" t="s">
        <v>364</v>
      </c>
    </row>
    <row r="19837">
      <c r="H19837" s="8" t="s">
        <v>364</v>
      </c>
    </row>
    <row r="19838">
      <c r="H19838" s="8" t="s">
        <v>364</v>
      </c>
    </row>
    <row r="19839">
      <c r="H19839" s="8" t="s">
        <v>364</v>
      </c>
    </row>
    <row r="19840">
      <c r="H19840" s="8" t="s">
        <v>364</v>
      </c>
    </row>
    <row r="19841">
      <c r="H19841" s="8" t="s">
        <v>364</v>
      </c>
    </row>
    <row r="19842">
      <c r="H19842" s="8" t="s">
        <v>364</v>
      </c>
    </row>
    <row r="19843">
      <c r="H19843" s="8" t="s">
        <v>364</v>
      </c>
    </row>
    <row r="19844">
      <c r="H19844" s="8" t="s">
        <v>364</v>
      </c>
    </row>
    <row r="19845">
      <c r="H19845" s="8" t="s">
        <v>364</v>
      </c>
    </row>
    <row r="19846">
      <c r="H19846" s="8" t="s">
        <v>364</v>
      </c>
    </row>
    <row r="19847">
      <c r="H19847" s="8" t="s">
        <v>364</v>
      </c>
    </row>
    <row r="19848">
      <c r="H19848" s="8" t="s">
        <v>364</v>
      </c>
    </row>
    <row r="19849">
      <c r="H19849" s="8" t="s">
        <v>364</v>
      </c>
    </row>
    <row r="19850">
      <c r="H19850" s="8" t="s">
        <v>364</v>
      </c>
    </row>
    <row r="19851">
      <c r="H19851" s="8" t="s">
        <v>364</v>
      </c>
    </row>
    <row r="19852">
      <c r="H19852" s="8" t="s">
        <v>364</v>
      </c>
    </row>
    <row r="19853">
      <c r="H19853" s="8" t="s">
        <v>364</v>
      </c>
    </row>
    <row r="19854">
      <c r="H19854" s="8" t="s">
        <v>364</v>
      </c>
    </row>
    <row r="19855">
      <c r="H19855" s="8" t="s">
        <v>364</v>
      </c>
    </row>
    <row r="19856">
      <c r="H19856" s="8" t="s">
        <v>364</v>
      </c>
    </row>
    <row r="19857">
      <c r="H19857" s="8" t="s">
        <v>364</v>
      </c>
    </row>
    <row r="19858">
      <c r="H19858" s="8" t="s">
        <v>364</v>
      </c>
    </row>
    <row r="19859">
      <c r="H19859" s="8" t="s">
        <v>364</v>
      </c>
    </row>
    <row r="19860">
      <c r="H19860" s="8" t="s">
        <v>364</v>
      </c>
    </row>
    <row r="19861">
      <c r="H19861" s="8" t="s">
        <v>364</v>
      </c>
    </row>
    <row r="19862">
      <c r="H19862" s="8" t="s">
        <v>364</v>
      </c>
    </row>
    <row r="19863">
      <c r="H19863" s="8" t="s">
        <v>364</v>
      </c>
    </row>
    <row r="19864">
      <c r="H19864" s="8" t="s">
        <v>364</v>
      </c>
    </row>
    <row r="19865">
      <c r="H19865" s="8" t="s">
        <v>364</v>
      </c>
    </row>
    <row r="19866">
      <c r="H19866" s="8" t="s">
        <v>364</v>
      </c>
    </row>
    <row r="19867">
      <c r="H19867" s="8" t="s">
        <v>364</v>
      </c>
    </row>
    <row r="19868">
      <c r="H19868" s="8" t="s">
        <v>364</v>
      </c>
    </row>
    <row r="19869">
      <c r="H19869" s="8" t="s">
        <v>364</v>
      </c>
    </row>
    <row r="19870">
      <c r="H19870" s="8" t="s">
        <v>364</v>
      </c>
    </row>
    <row r="19871">
      <c r="H19871" s="8" t="s">
        <v>364</v>
      </c>
    </row>
    <row r="19872">
      <c r="H19872" s="8" t="s">
        <v>364</v>
      </c>
    </row>
    <row r="19873">
      <c r="H19873" s="8" t="s">
        <v>364</v>
      </c>
    </row>
    <row r="19874">
      <c r="H19874" s="8" t="s">
        <v>364</v>
      </c>
    </row>
    <row r="19875">
      <c r="H19875" s="8" t="s">
        <v>364</v>
      </c>
    </row>
    <row r="19876">
      <c r="H19876" s="8" t="s">
        <v>364</v>
      </c>
    </row>
    <row r="19877">
      <c r="H19877" s="8" t="s">
        <v>364</v>
      </c>
    </row>
    <row r="19878">
      <c r="H19878" s="8" t="s">
        <v>364</v>
      </c>
    </row>
    <row r="19879">
      <c r="H19879" s="8" t="s">
        <v>364</v>
      </c>
    </row>
    <row r="19880">
      <c r="H19880" s="8" t="s">
        <v>364</v>
      </c>
    </row>
    <row r="19881">
      <c r="H19881" s="8" t="s">
        <v>364</v>
      </c>
    </row>
    <row r="19882">
      <c r="H19882" s="8" t="s">
        <v>364</v>
      </c>
    </row>
    <row r="19883">
      <c r="H19883" s="8" t="s">
        <v>364</v>
      </c>
    </row>
    <row r="19884">
      <c r="H19884" s="8" t="s">
        <v>364</v>
      </c>
    </row>
    <row r="19885">
      <c r="H19885" s="8" t="s">
        <v>364</v>
      </c>
    </row>
    <row r="19886">
      <c r="H19886" s="8" t="s">
        <v>364</v>
      </c>
    </row>
    <row r="19887">
      <c r="H19887" s="8" t="s">
        <v>364</v>
      </c>
    </row>
    <row r="19888">
      <c r="H19888" s="8" t="s">
        <v>364</v>
      </c>
    </row>
    <row r="19889">
      <c r="H19889" s="8" t="s">
        <v>364</v>
      </c>
    </row>
    <row r="19890">
      <c r="H19890" s="8" t="s">
        <v>364</v>
      </c>
    </row>
    <row r="19891">
      <c r="H19891" s="8" t="s">
        <v>364</v>
      </c>
    </row>
    <row r="19892">
      <c r="H19892" s="8" t="s">
        <v>364</v>
      </c>
    </row>
    <row r="19893">
      <c r="H19893" s="8" t="s">
        <v>364</v>
      </c>
    </row>
    <row r="19894">
      <c r="H19894" s="8" t="s">
        <v>364</v>
      </c>
    </row>
    <row r="19895">
      <c r="H19895" s="8" t="s">
        <v>364</v>
      </c>
    </row>
    <row r="19896">
      <c r="H19896" s="8" t="s">
        <v>364</v>
      </c>
    </row>
    <row r="19897">
      <c r="H19897" s="8" t="s">
        <v>364</v>
      </c>
    </row>
    <row r="19898">
      <c r="H19898" s="8" t="s">
        <v>364</v>
      </c>
    </row>
    <row r="19899">
      <c r="H19899" s="8" t="s">
        <v>364</v>
      </c>
    </row>
    <row r="19900">
      <c r="H19900" s="8" t="s">
        <v>364</v>
      </c>
    </row>
    <row r="19901">
      <c r="H19901" s="8" t="s">
        <v>364</v>
      </c>
    </row>
    <row r="19902">
      <c r="H19902" s="8" t="s">
        <v>364</v>
      </c>
    </row>
    <row r="19903">
      <c r="H19903" s="8" t="s">
        <v>364</v>
      </c>
    </row>
    <row r="19904">
      <c r="H19904" s="8" t="s">
        <v>364</v>
      </c>
    </row>
    <row r="19905">
      <c r="H19905" s="8" t="s">
        <v>364</v>
      </c>
    </row>
    <row r="19906">
      <c r="H19906" s="8" t="s">
        <v>364</v>
      </c>
    </row>
    <row r="19907">
      <c r="H19907" s="8" t="s">
        <v>364</v>
      </c>
    </row>
    <row r="19908">
      <c r="H19908" s="8" t="s">
        <v>364</v>
      </c>
    </row>
    <row r="19909">
      <c r="H19909" s="8" t="s">
        <v>364</v>
      </c>
    </row>
    <row r="19910">
      <c r="H19910" s="8" t="s">
        <v>364</v>
      </c>
    </row>
    <row r="19911">
      <c r="H19911" s="8" t="s">
        <v>364</v>
      </c>
    </row>
    <row r="19912">
      <c r="H19912" s="8" t="s">
        <v>364</v>
      </c>
    </row>
    <row r="19913">
      <c r="H19913" s="8" t="s">
        <v>364</v>
      </c>
    </row>
    <row r="19914">
      <c r="H19914" s="8" t="s">
        <v>364</v>
      </c>
    </row>
    <row r="19915">
      <c r="H19915" s="8" t="s">
        <v>364</v>
      </c>
    </row>
    <row r="19916">
      <c r="H19916" s="8" t="s">
        <v>364</v>
      </c>
    </row>
    <row r="19917">
      <c r="H19917" s="8" t="s">
        <v>364</v>
      </c>
    </row>
    <row r="19918">
      <c r="H19918" s="8" t="s">
        <v>364</v>
      </c>
    </row>
    <row r="19919">
      <c r="H19919" s="8" t="s">
        <v>364</v>
      </c>
    </row>
    <row r="19920">
      <c r="H19920" s="8" t="s">
        <v>364</v>
      </c>
    </row>
    <row r="19921">
      <c r="H19921" s="8" t="s">
        <v>364</v>
      </c>
    </row>
    <row r="19922">
      <c r="H19922" s="8" t="s">
        <v>364</v>
      </c>
    </row>
    <row r="19923">
      <c r="H19923" s="8" t="s">
        <v>364</v>
      </c>
    </row>
    <row r="19924">
      <c r="H19924" s="8" t="s">
        <v>364</v>
      </c>
    </row>
    <row r="19925">
      <c r="H19925" s="8" t="s">
        <v>364</v>
      </c>
    </row>
    <row r="19926">
      <c r="H19926" s="8" t="s">
        <v>364</v>
      </c>
    </row>
    <row r="19927">
      <c r="H19927" s="8" t="s">
        <v>364</v>
      </c>
    </row>
    <row r="19928">
      <c r="H19928" s="8" t="s">
        <v>364</v>
      </c>
    </row>
    <row r="19929">
      <c r="H19929" s="8" t="s">
        <v>364</v>
      </c>
    </row>
    <row r="19930">
      <c r="H19930" s="8" t="s">
        <v>364</v>
      </c>
    </row>
    <row r="19931">
      <c r="H19931" s="8" t="s">
        <v>364</v>
      </c>
    </row>
    <row r="19932">
      <c r="H19932" s="8" t="s">
        <v>364</v>
      </c>
    </row>
    <row r="19933">
      <c r="H19933" s="8" t="s">
        <v>364</v>
      </c>
    </row>
    <row r="19934">
      <c r="H19934" s="8" t="s">
        <v>364</v>
      </c>
    </row>
    <row r="19935">
      <c r="H19935" s="8" t="s">
        <v>364</v>
      </c>
    </row>
    <row r="19936">
      <c r="H19936" s="8" t="s">
        <v>364</v>
      </c>
    </row>
    <row r="19937">
      <c r="H19937" s="8" t="s">
        <v>364</v>
      </c>
    </row>
    <row r="19938">
      <c r="H19938" s="8" t="s">
        <v>364</v>
      </c>
    </row>
    <row r="19939">
      <c r="H19939" s="8" t="s">
        <v>364</v>
      </c>
    </row>
    <row r="19940">
      <c r="H19940" s="8" t="s">
        <v>364</v>
      </c>
    </row>
    <row r="19941">
      <c r="H19941" s="8" t="s">
        <v>364</v>
      </c>
    </row>
    <row r="19942">
      <c r="H19942" s="8" t="s">
        <v>364</v>
      </c>
    </row>
    <row r="19943">
      <c r="H19943" s="8" t="s">
        <v>364</v>
      </c>
    </row>
    <row r="19944">
      <c r="H19944" s="8" t="s">
        <v>364</v>
      </c>
    </row>
    <row r="19945">
      <c r="H19945" s="8" t="s">
        <v>364</v>
      </c>
    </row>
    <row r="19946">
      <c r="H19946" s="8" t="s">
        <v>364</v>
      </c>
    </row>
    <row r="19947">
      <c r="H19947" s="8" t="s">
        <v>364</v>
      </c>
    </row>
    <row r="19948">
      <c r="H19948" s="8" t="s">
        <v>364</v>
      </c>
    </row>
    <row r="19949">
      <c r="H19949" s="8" t="s">
        <v>364</v>
      </c>
    </row>
    <row r="19950">
      <c r="H19950" s="8" t="s">
        <v>364</v>
      </c>
    </row>
    <row r="19951">
      <c r="H19951" s="8" t="s">
        <v>364</v>
      </c>
    </row>
    <row r="19952">
      <c r="H19952" s="8" t="s">
        <v>364</v>
      </c>
    </row>
    <row r="19953">
      <c r="H19953" s="8" t="s">
        <v>364</v>
      </c>
    </row>
    <row r="19954">
      <c r="H19954" s="8" t="s">
        <v>364</v>
      </c>
    </row>
    <row r="19955">
      <c r="H19955" s="8" t="s">
        <v>364</v>
      </c>
    </row>
    <row r="19956">
      <c r="H19956" s="8" t="s">
        <v>364</v>
      </c>
    </row>
    <row r="19957">
      <c r="H19957" s="8" t="s">
        <v>364</v>
      </c>
    </row>
    <row r="19958">
      <c r="H19958" s="8" t="s">
        <v>364</v>
      </c>
    </row>
    <row r="19959">
      <c r="H19959" s="8" t="s">
        <v>364</v>
      </c>
    </row>
    <row r="19960">
      <c r="H19960" s="8" t="s">
        <v>364</v>
      </c>
    </row>
    <row r="19961">
      <c r="H19961" s="8" t="s">
        <v>364</v>
      </c>
    </row>
    <row r="19962">
      <c r="H19962" s="8" t="s">
        <v>364</v>
      </c>
    </row>
    <row r="19963">
      <c r="H19963" s="8" t="s">
        <v>364</v>
      </c>
    </row>
    <row r="19964">
      <c r="H19964" s="8" t="s">
        <v>364</v>
      </c>
    </row>
    <row r="19965">
      <c r="H19965" s="8" t="s">
        <v>364</v>
      </c>
    </row>
    <row r="19966">
      <c r="H19966" s="8" t="s">
        <v>364</v>
      </c>
    </row>
    <row r="19967">
      <c r="H19967" s="8" t="s">
        <v>364</v>
      </c>
    </row>
    <row r="19968">
      <c r="H19968" s="8" t="s">
        <v>364</v>
      </c>
    </row>
    <row r="19969">
      <c r="H19969" s="8" t="s">
        <v>364</v>
      </c>
    </row>
    <row r="19970">
      <c r="H19970" s="8" t="s">
        <v>364</v>
      </c>
    </row>
    <row r="19971">
      <c r="H19971" s="8" t="s">
        <v>364</v>
      </c>
    </row>
    <row r="19972">
      <c r="H19972" s="8" t="s">
        <v>364</v>
      </c>
    </row>
    <row r="19973">
      <c r="H19973" s="8" t="s">
        <v>364</v>
      </c>
    </row>
    <row r="19974">
      <c r="H19974" s="8" t="s">
        <v>364</v>
      </c>
    </row>
    <row r="19975">
      <c r="H19975" s="8" t="s">
        <v>364</v>
      </c>
    </row>
    <row r="19976">
      <c r="H19976" s="8" t="s">
        <v>364</v>
      </c>
    </row>
    <row r="19977">
      <c r="H19977" s="8" t="s">
        <v>364</v>
      </c>
    </row>
    <row r="19978">
      <c r="H19978" s="8" t="s">
        <v>364</v>
      </c>
    </row>
    <row r="19979">
      <c r="H19979" s="8" t="s">
        <v>364</v>
      </c>
    </row>
    <row r="19980">
      <c r="H19980" s="8" t="s">
        <v>364</v>
      </c>
    </row>
    <row r="19981">
      <c r="H19981" s="8" t="s">
        <v>364</v>
      </c>
    </row>
    <row r="19982">
      <c r="H19982" s="8" t="s">
        <v>364</v>
      </c>
    </row>
    <row r="19983">
      <c r="H19983" s="8" t="s">
        <v>364</v>
      </c>
    </row>
    <row r="19984">
      <c r="H19984" s="8" t="s">
        <v>364</v>
      </c>
    </row>
    <row r="19985">
      <c r="H19985" s="8" t="s">
        <v>364</v>
      </c>
    </row>
    <row r="19986">
      <c r="H19986" s="8" t="s">
        <v>364</v>
      </c>
    </row>
    <row r="19987">
      <c r="H19987" s="8" t="s">
        <v>364</v>
      </c>
    </row>
    <row r="19988">
      <c r="H19988" s="8" t="s">
        <v>364</v>
      </c>
    </row>
    <row r="19989">
      <c r="H19989" s="8" t="s">
        <v>364</v>
      </c>
    </row>
    <row r="19990">
      <c r="H19990" s="8" t="s">
        <v>364</v>
      </c>
    </row>
    <row r="19991">
      <c r="H19991" s="8" t="s">
        <v>364</v>
      </c>
    </row>
    <row r="19992">
      <c r="H19992" s="8" t="s">
        <v>364</v>
      </c>
    </row>
    <row r="19993">
      <c r="H19993" s="8" t="s">
        <v>364</v>
      </c>
    </row>
    <row r="19994">
      <c r="H19994" s="8" t="s">
        <v>364</v>
      </c>
    </row>
    <row r="19995">
      <c r="H19995" s="8" t="s">
        <v>364</v>
      </c>
    </row>
    <row r="19996">
      <c r="H19996" s="8" t="s">
        <v>364</v>
      </c>
    </row>
    <row r="19997">
      <c r="H19997" s="8" t="s">
        <v>364</v>
      </c>
    </row>
    <row r="19998">
      <c r="H19998" s="8" t="s">
        <v>364</v>
      </c>
    </row>
    <row r="19999">
      <c r="H19999" s="8" t="s">
        <v>364</v>
      </c>
    </row>
    <row r="20000">
      <c r="H20000" s="8" t="s">
        <v>364</v>
      </c>
    </row>
    <row r="20001">
      <c r="H20001" s="8" t="s">
        <v>364</v>
      </c>
    </row>
    <row r="20002">
      <c r="H20002" s="8" t="s">
        <v>364</v>
      </c>
    </row>
    <row r="20003">
      <c r="H20003" s="8" t="s">
        <v>364</v>
      </c>
    </row>
    <row r="20004">
      <c r="H20004" s="8" t="s">
        <v>364</v>
      </c>
    </row>
    <row r="20005">
      <c r="H20005" s="8" t="s">
        <v>364</v>
      </c>
    </row>
    <row r="20006">
      <c r="H20006" s="8" t="s">
        <v>364</v>
      </c>
    </row>
    <row r="20007">
      <c r="H20007" s="8" t="s">
        <v>364</v>
      </c>
    </row>
    <row r="20008">
      <c r="H20008" s="8" t="s">
        <v>364</v>
      </c>
    </row>
    <row r="20009">
      <c r="H20009" s="8" t="s">
        <v>364</v>
      </c>
    </row>
    <row r="20010">
      <c r="H20010" s="8" t="s">
        <v>364</v>
      </c>
    </row>
    <row r="20011">
      <c r="H20011" s="8" t="s">
        <v>364</v>
      </c>
    </row>
    <row r="20012">
      <c r="H20012" s="8" t="s">
        <v>364</v>
      </c>
    </row>
    <row r="20013">
      <c r="H20013" s="8" t="s">
        <v>364</v>
      </c>
    </row>
    <row r="20014">
      <c r="H20014" s="8" t="s">
        <v>364</v>
      </c>
    </row>
    <row r="20015">
      <c r="H20015" s="8" t="s">
        <v>364</v>
      </c>
    </row>
    <row r="20016">
      <c r="H20016" s="8" t="s">
        <v>364</v>
      </c>
    </row>
    <row r="20017">
      <c r="H20017" s="8" t="s">
        <v>364</v>
      </c>
    </row>
    <row r="20018">
      <c r="H20018" s="8" t="s">
        <v>364</v>
      </c>
    </row>
    <row r="20019">
      <c r="H20019" s="8" t="s">
        <v>364</v>
      </c>
    </row>
    <row r="20020">
      <c r="H20020" s="8" t="s">
        <v>364</v>
      </c>
    </row>
    <row r="20021">
      <c r="H20021" s="8" t="s">
        <v>364</v>
      </c>
    </row>
    <row r="20022">
      <c r="H20022" s="8" t="s">
        <v>364</v>
      </c>
    </row>
    <row r="20023">
      <c r="H20023" s="8" t="s">
        <v>364</v>
      </c>
    </row>
    <row r="20024">
      <c r="H20024" s="8" t="s">
        <v>364</v>
      </c>
    </row>
    <row r="20025">
      <c r="H20025" s="8" t="s">
        <v>364</v>
      </c>
    </row>
    <row r="20026">
      <c r="H20026" s="8" t="s">
        <v>364</v>
      </c>
    </row>
    <row r="20027">
      <c r="H20027" s="8" t="s">
        <v>364</v>
      </c>
    </row>
    <row r="20028">
      <c r="H20028" s="8" t="s">
        <v>364</v>
      </c>
    </row>
    <row r="20029">
      <c r="H20029" s="8" t="s">
        <v>364</v>
      </c>
    </row>
    <row r="20030">
      <c r="H20030" s="8" t="s">
        <v>364</v>
      </c>
    </row>
    <row r="20031">
      <c r="H20031" s="8" t="s">
        <v>364</v>
      </c>
    </row>
    <row r="20032">
      <c r="H20032" s="8" t="s">
        <v>364</v>
      </c>
    </row>
    <row r="20033">
      <c r="H20033" s="8" t="s">
        <v>364</v>
      </c>
    </row>
    <row r="20034">
      <c r="H20034" s="8" t="s">
        <v>364</v>
      </c>
    </row>
    <row r="20035">
      <c r="H20035" s="8" t="s">
        <v>364</v>
      </c>
    </row>
    <row r="20036">
      <c r="H20036" s="8" t="s">
        <v>364</v>
      </c>
    </row>
    <row r="20037">
      <c r="H20037" s="8" t="s">
        <v>364</v>
      </c>
    </row>
    <row r="20038">
      <c r="H20038" s="8" t="s">
        <v>364</v>
      </c>
    </row>
    <row r="20039">
      <c r="H20039" s="8" t="s">
        <v>364</v>
      </c>
    </row>
    <row r="20040">
      <c r="H20040" s="8" t="s">
        <v>364</v>
      </c>
    </row>
    <row r="20041">
      <c r="H20041" s="8" t="s">
        <v>364</v>
      </c>
    </row>
    <row r="20042">
      <c r="H20042" s="8" t="s">
        <v>364</v>
      </c>
    </row>
    <row r="20043">
      <c r="H20043" s="8" t="s">
        <v>364</v>
      </c>
    </row>
    <row r="20044">
      <c r="H20044" s="8" t="s">
        <v>364</v>
      </c>
    </row>
    <row r="20045">
      <c r="H20045" s="8" t="s">
        <v>364</v>
      </c>
    </row>
    <row r="20046">
      <c r="H20046" s="8" t="s">
        <v>364</v>
      </c>
    </row>
    <row r="20047">
      <c r="H20047" s="8" t="s">
        <v>364</v>
      </c>
    </row>
    <row r="20048">
      <c r="H20048" s="8" t="s">
        <v>364</v>
      </c>
    </row>
    <row r="20049">
      <c r="H20049" s="8" t="s">
        <v>364</v>
      </c>
    </row>
    <row r="20050">
      <c r="H20050" s="8" t="s">
        <v>364</v>
      </c>
    </row>
    <row r="20051">
      <c r="H20051" s="8" t="s">
        <v>364</v>
      </c>
    </row>
    <row r="20052">
      <c r="H20052" s="8" t="s">
        <v>364</v>
      </c>
    </row>
    <row r="20053">
      <c r="H20053" s="8" t="s">
        <v>364</v>
      </c>
    </row>
    <row r="20054">
      <c r="H20054" s="8" t="s">
        <v>364</v>
      </c>
    </row>
    <row r="20055">
      <c r="H20055" s="8" t="s">
        <v>364</v>
      </c>
    </row>
    <row r="20056">
      <c r="H20056" s="8" t="s">
        <v>364</v>
      </c>
    </row>
    <row r="20057">
      <c r="H20057" s="8" t="s">
        <v>364</v>
      </c>
    </row>
    <row r="20058">
      <c r="H20058" s="8" t="s">
        <v>364</v>
      </c>
    </row>
    <row r="20059">
      <c r="H20059" s="8" t="s">
        <v>364</v>
      </c>
    </row>
    <row r="20060">
      <c r="H20060" s="8" t="s">
        <v>364</v>
      </c>
    </row>
    <row r="20061">
      <c r="H20061" s="8" t="s">
        <v>364</v>
      </c>
    </row>
    <row r="20062">
      <c r="H20062" s="8" t="s">
        <v>364</v>
      </c>
    </row>
    <row r="20063">
      <c r="H20063" s="8" t="s">
        <v>364</v>
      </c>
    </row>
    <row r="20064">
      <c r="H20064" s="8" t="s">
        <v>364</v>
      </c>
    </row>
    <row r="20065">
      <c r="H20065" s="8" t="s">
        <v>364</v>
      </c>
    </row>
    <row r="20066">
      <c r="H20066" s="8" t="s">
        <v>364</v>
      </c>
    </row>
    <row r="20067">
      <c r="H20067" s="8" t="s">
        <v>364</v>
      </c>
    </row>
    <row r="20068">
      <c r="H20068" s="8" t="s">
        <v>364</v>
      </c>
    </row>
    <row r="20069">
      <c r="H20069" s="8" t="s">
        <v>364</v>
      </c>
    </row>
    <row r="20070">
      <c r="H20070" s="8" t="s">
        <v>364</v>
      </c>
    </row>
    <row r="20071">
      <c r="H20071" s="8" t="s">
        <v>364</v>
      </c>
    </row>
    <row r="20072">
      <c r="H20072" s="8" t="s">
        <v>364</v>
      </c>
    </row>
    <row r="20073">
      <c r="H20073" s="8" t="s">
        <v>364</v>
      </c>
    </row>
    <row r="20074">
      <c r="H20074" s="8" t="s">
        <v>364</v>
      </c>
    </row>
    <row r="20075">
      <c r="H20075" s="8" t="s">
        <v>364</v>
      </c>
    </row>
    <row r="20076">
      <c r="H20076" s="8" t="s">
        <v>364</v>
      </c>
    </row>
    <row r="20077">
      <c r="H20077" s="8" t="s">
        <v>364</v>
      </c>
    </row>
    <row r="20078">
      <c r="H20078" s="8" t="s">
        <v>364</v>
      </c>
    </row>
    <row r="20079">
      <c r="H20079" s="8" t="s">
        <v>364</v>
      </c>
    </row>
    <row r="20080">
      <c r="H20080" s="8" t="s">
        <v>364</v>
      </c>
    </row>
    <row r="20081">
      <c r="H20081" s="8" t="s">
        <v>364</v>
      </c>
    </row>
    <row r="20082">
      <c r="H20082" s="8" t="s">
        <v>364</v>
      </c>
    </row>
    <row r="20083">
      <c r="H20083" s="8" t="s">
        <v>364</v>
      </c>
    </row>
    <row r="20084">
      <c r="H20084" s="8" t="s">
        <v>364</v>
      </c>
    </row>
    <row r="20085">
      <c r="H20085" s="8" t="s">
        <v>364</v>
      </c>
    </row>
    <row r="20086">
      <c r="H20086" s="8" t="s">
        <v>364</v>
      </c>
    </row>
    <row r="20087">
      <c r="H20087" s="8" t="s">
        <v>364</v>
      </c>
    </row>
    <row r="20088">
      <c r="H20088" s="8" t="s">
        <v>364</v>
      </c>
    </row>
    <row r="20089">
      <c r="H20089" s="8" t="s">
        <v>364</v>
      </c>
    </row>
    <row r="20090">
      <c r="H20090" s="8" t="s">
        <v>364</v>
      </c>
    </row>
    <row r="20091">
      <c r="H20091" s="8" t="s">
        <v>364</v>
      </c>
    </row>
    <row r="20092">
      <c r="H20092" s="8" t="s">
        <v>364</v>
      </c>
    </row>
    <row r="20093">
      <c r="H20093" s="8" t="s">
        <v>364</v>
      </c>
    </row>
    <row r="20094">
      <c r="H20094" s="8" t="s">
        <v>364</v>
      </c>
    </row>
    <row r="20095">
      <c r="H20095" s="8" t="s">
        <v>364</v>
      </c>
    </row>
    <row r="20096">
      <c r="H20096" s="8" t="s">
        <v>364</v>
      </c>
    </row>
    <row r="20097">
      <c r="H20097" s="8" t="s">
        <v>364</v>
      </c>
    </row>
    <row r="20098">
      <c r="H20098" s="8" t="s">
        <v>364</v>
      </c>
    </row>
    <row r="20099">
      <c r="H20099" s="8" t="s">
        <v>364</v>
      </c>
    </row>
    <row r="20100">
      <c r="H20100" s="8" t="s">
        <v>364</v>
      </c>
    </row>
    <row r="20101">
      <c r="H20101" s="8" t="s">
        <v>364</v>
      </c>
    </row>
    <row r="20102">
      <c r="H20102" s="8" t="s">
        <v>364</v>
      </c>
    </row>
    <row r="20103">
      <c r="H20103" s="8" t="s">
        <v>364</v>
      </c>
    </row>
    <row r="20104">
      <c r="H20104" s="8" t="s">
        <v>364</v>
      </c>
    </row>
    <row r="20105">
      <c r="H20105" s="8" t="s">
        <v>364</v>
      </c>
    </row>
    <row r="20106">
      <c r="H20106" s="8" t="s">
        <v>364</v>
      </c>
    </row>
    <row r="20107">
      <c r="H20107" s="8" t="s">
        <v>364</v>
      </c>
    </row>
    <row r="20108">
      <c r="H20108" s="8" t="s">
        <v>364</v>
      </c>
    </row>
    <row r="20109">
      <c r="H20109" s="8" t="s">
        <v>364</v>
      </c>
    </row>
    <row r="20110">
      <c r="H20110" s="8" t="s">
        <v>364</v>
      </c>
    </row>
    <row r="20111">
      <c r="H20111" s="8" t="s">
        <v>364</v>
      </c>
    </row>
    <row r="20112">
      <c r="H20112" s="8" t="s">
        <v>364</v>
      </c>
    </row>
    <row r="20113">
      <c r="H20113" s="8" t="s">
        <v>364</v>
      </c>
    </row>
    <row r="20114">
      <c r="H20114" s="8" t="s">
        <v>364</v>
      </c>
    </row>
    <row r="20115">
      <c r="H20115" s="8" t="s">
        <v>364</v>
      </c>
    </row>
    <row r="20116">
      <c r="H20116" s="8" t="s">
        <v>364</v>
      </c>
    </row>
    <row r="20117">
      <c r="H20117" s="8" t="s">
        <v>364</v>
      </c>
    </row>
    <row r="20118">
      <c r="H20118" s="8" t="s">
        <v>364</v>
      </c>
    </row>
    <row r="20119">
      <c r="H20119" s="8" t="s">
        <v>364</v>
      </c>
    </row>
    <row r="20120">
      <c r="H20120" s="8" t="s">
        <v>364</v>
      </c>
    </row>
    <row r="20121">
      <c r="H20121" s="8" t="s">
        <v>364</v>
      </c>
    </row>
    <row r="20122">
      <c r="H20122" s="8" t="s">
        <v>364</v>
      </c>
    </row>
    <row r="20123">
      <c r="H20123" s="8" t="s">
        <v>364</v>
      </c>
    </row>
    <row r="20124">
      <c r="H20124" s="8" t="s">
        <v>364</v>
      </c>
    </row>
    <row r="20125">
      <c r="H20125" s="8" t="s">
        <v>364</v>
      </c>
    </row>
    <row r="20126">
      <c r="H20126" s="8" t="s">
        <v>364</v>
      </c>
    </row>
    <row r="20127">
      <c r="H20127" s="8" t="s">
        <v>364</v>
      </c>
    </row>
    <row r="20128">
      <c r="H20128" s="8" t="s">
        <v>364</v>
      </c>
    </row>
    <row r="20129">
      <c r="H20129" s="8" t="s">
        <v>364</v>
      </c>
    </row>
    <row r="20130">
      <c r="H20130" s="8" t="s">
        <v>364</v>
      </c>
    </row>
    <row r="20131">
      <c r="H20131" s="8" t="s">
        <v>364</v>
      </c>
    </row>
    <row r="20132">
      <c r="H20132" s="8" t="s">
        <v>364</v>
      </c>
    </row>
    <row r="20133">
      <c r="H20133" s="8" t="s">
        <v>364</v>
      </c>
    </row>
    <row r="20134">
      <c r="H20134" s="8" t="s">
        <v>364</v>
      </c>
    </row>
    <row r="20135">
      <c r="H20135" s="8" t="s">
        <v>364</v>
      </c>
    </row>
    <row r="20136">
      <c r="H20136" s="8" t="s">
        <v>364</v>
      </c>
    </row>
    <row r="20137">
      <c r="H20137" s="8" t="s">
        <v>364</v>
      </c>
    </row>
    <row r="20138">
      <c r="H20138" s="8" t="s">
        <v>364</v>
      </c>
    </row>
    <row r="20139">
      <c r="H20139" s="8" t="s">
        <v>364</v>
      </c>
    </row>
    <row r="20140">
      <c r="H20140" s="8" t="s">
        <v>364</v>
      </c>
    </row>
    <row r="20141">
      <c r="H20141" s="8" t="s">
        <v>364</v>
      </c>
    </row>
    <row r="20142">
      <c r="H20142" s="8" t="s">
        <v>364</v>
      </c>
    </row>
    <row r="20143">
      <c r="H20143" s="8" t="s">
        <v>364</v>
      </c>
    </row>
    <row r="20144">
      <c r="H20144" s="8" t="s">
        <v>364</v>
      </c>
    </row>
    <row r="20145">
      <c r="H20145" s="8" t="s">
        <v>364</v>
      </c>
    </row>
    <row r="20146">
      <c r="H20146" s="8" t="s">
        <v>364</v>
      </c>
    </row>
    <row r="20147">
      <c r="H20147" s="8" t="s">
        <v>364</v>
      </c>
    </row>
    <row r="20148">
      <c r="H20148" s="8" t="s">
        <v>364</v>
      </c>
    </row>
    <row r="20149">
      <c r="H20149" s="8" t="s">
        <v>364</v>
      </c>
    </row>
    <row r="20150">
      <c r="H20150" s="8" t="s">
        <v>364</v>
      </c>
    </row>
    <row r="20151">
      <c r="H20151" s="8" t="s">
        <v>364</v>
      </c>
    </row>
    <row r="20152">
      <c r="H20152" s="8" t="s">
        <v>364</v>
      </c>
    </row>
    <row r="20153">
      <c r="H20153" s="8" t="s">
        <v>364</v>
      </c>
    </row>
    <row r="20154">
      <c r="H20154" s="8" t="s">
        <v>364</v>
      </c>
    </row>
    <row r="20155">
      <c r="H20155" s="8" t="s">
        <v>364</v>
      </c>
    </row>
    <row r="20156">
      <c r="H20156" s="8" t="s">
        <v>364</v>
      </c>
    </row>
    <row r="20157">
      <c r="H20157" s="8" t="s">
        <v>364</v>
      </c>
    </row>
    <row r="20158">
      <c r="H20158" s="8" t="s">
        <v>364</v>
      </c>
    </row>
    <row r="20159">
      <c r="H20159" s="8" t="s">
        <v>364</v>
      </c>
    </row>
    <row r="20160">
      <c r="H20160" s="8" t="s">
        <v>364</v>
      </c>
    </row>
    <row r="20161">
      <c r="H20161" s="8" t="s">
        <v>364</v>
      </c>
    </row>
    <row r="20162">
      <c r="H20162" s="8" t="s">
        <v>364</v>
      </c>
    </row>
    <row r="20163">
      <c r="H20163" s="8" t="s">
        <v>364</v>
      </c>
    </row>
    <row r="20164">
      <c r="H20164" s="8" t="s">
        <v>364</v>
      </c>
    </row>
    <row r="20165">
      <c r="H20165" s="8" t="s">
        <v>364</v>
      </c>
    </row>
    <row r="20166">
      <c r="H20166" s="8" t="s">
        <v>364</v>
      </c>
    </row>
    <row r="20167">
      <c r="H20167" s="8" t="s">
        <v>364</v>
      </c>
    </row>
    <row r="20168">
      <c r="H20168" s="8" t="s">
        <v>364</v>
      </c>
    </row>
    <row r="20169">
      <c r="H20169" s="8" t="s">
        <v>364</v>
      </c>
    </row>
    <row r="20170">
      <c r="H20170" s="8" t="s">
        <v>364</v>
      </c>
    </row>
    <row r="20171">
      <c r="H20171" s="8" t="s">
        <v>364</v>
      </c>
    </row>
    <row r="20172">
      <c r="H20172" s="8" t="s">
        <v>364</v>
      </c>
    </row>
    <row r="20173">
      <c r="H20173" s="8" t="s">
        <v>364</v>
      </c>
    </row>
    <row r="20174">
      <c r="H20174" s="8" t="s">
        <v>364</v>
      </c>
    </row>
    <row r="20175">
      <c r="H20175" s="8" t="s">
        <v>364</v>
      </c>
    </row>
    <row r="20176">
      <c r="H20176" s="8" t="s">
        <v>364</v>
      </c>
    </row>
    <row r="20177">
      <c r="H20177" s="8" t="s">
        <v>364</v>
      </c>
    </row>
    <row r="20178">
      <c r="H20178" s="8" t="s">
        <v>364</v>
      </c>
    </row>
    <row r="20179">
      <c r="H20179" s="8" t="s">
        <v>364</v>
      </c>
    </row>
    <row r="20180">
      <c r="H20180" s="8" t="s">
        <v>364</v>
      </c>
    </row>
    <row r="20181">
      <c r="H20181" s="8" t="s">
        <v>364</v>
      </c>
    </row>
    <row r="20182">
      <c r="H20182" s="8" t="s">
        <v>364</v>
      </c>
    </row>
    <row r="20183">
      <c r="H20183" s="8" t="s">
        <v>364</v>
      </c>
    </row>
    <row r="20184">
      <c r="H20184" s="8" t="s">
        <v>364</v>
      </c>
    </row>
    <row r="20185">
      <c r="H20185" s="8" t="s">
        <v>364</v>
      </c>
    </row>
    <row r="20186">
      <c r="H20186" s="8" t="s">
        <v>364</v>
      </c>
    </row>
    <row r="20187">
      <c r="H20187" s="8" t="s">
        <v>364</v>
      </c>
    </row>
    <row r="20188">
      <c r="H20188" s="8" t="s">
        <v>364</v>
      </c>
    </row>
    <row r="20189">
      <c r="H20189" s="8" t="s">
        <v>364</v>
      </c>
    </row>
    <row r="20190">
      <c r="H20190" s="8" t="s">
        <v>364</v>
      </c>
    </row>
    <row r="20191">
      <c r="H20191" s="8" t="s">
        <v>364</v>
      </c>
    </row>
    <row r="20192">
      <c r="H20192" s="8" t="s">
        <v>364</v>
      </c>
    </row>
    <row r="20193">
      <c r="H20193" s="8" t="s">
        <v>364</v>
      </c>
    </row>
    <row r="20194">
      <c r="H20194" s="8" t="s">
        <v>364</v>
      </c>
    </row>
    <row r="20195">
      <c r="H20195" s="8" t="s">
        <v>364</v>
      </c>
    </row>
    <row r="20196">
      <c r="H20196" s="8" t="s">
        <v>364</v>
      </c>
    </row>
    <row r="20197">
      <c r="H20197" s="8" t="s">
        <v>364</v>
      </c>
    </row>
    <row r="20198">
      <c r="H20198" s="8" t="s">
        <v>364</v>
      </c>
    </row>
    <row r="20199">
      <c r="H20199" s="8" t="s">
        <v>364</v>
      </c>
    </row>
    <row r="20200">
      <c r="H20200" s="8" t="s">
        <v>364</v>
      </c>
    </row>
    <row r="20201">
      <c r="H20201" s="8" t="s">
        <v>364</v>
      </c>
    </row>
    <row r="20202">
      <c r="H20202" s="8" t="s">
        <v>364</v>
      </c>
    </row>
    <row r="20203">
      <c r="H20203" s="8" t="s">
        <v>364</v>
      </c>
    </row>
    <row r="20204">
      <c r="H20204" s="8" t="s">
        <v>364</v>
      </c>
    </row>
    <row r="20205">
      <c r="H20205" s="8" t="s">
        <v>364</v>
      </c>
    </row>
    <row r="20206">
      <c r="H20206" s="8" t="s">
        <v>364</v>
      </c>
    </row>
    <row r="20207">
      <c r="H20207" s="8" t="s">
        <v>364</v>
      </c>
    </row>
    <row r="20208">
      <c r="H20208" s="8" t="s">
        <v>364</v>
      </c>
    </row>
    <row r="20209">
      <c r="H20209" s="8" t="s">
        <v>364</v>
      </c>
    </row>
    <row r="20210">
      <c r="H20210" s="8" t="s">
        <v>364</v>
      </c>
    </row>
    <row r="20211">
      <c r="H20211" s="8" t="s">
        <v>364</v>
      </c>
    </row>
    <row r="20212">
      <c r="H20212" s="8" t="s">
        <v>364</v>
      </c>
    </row>
    <row r="20213">
      <c r="H20213" s="8" t="s">
        <v>364</v>
      </c>
    </row>
    <row r="20214">
      <c r="H20214" s="8" t="s">
        <v>364</v>
      </c>
    </row>
    <row r="20215">
      <c r="H20215" s="8" t="s">
        <v>364</v>
      </c>
    </row>
    <row r="20216">
      <c r="H20216" s="8" t="s">
        <v>364</v>
      </c>
    </row>
    <row r="20217">
      <c r="H20217" s="8" t="s">
        <v>364</v>
      </c>
    </row>
    <row r="20218">
      <c r="H20218" s="8" t="s">
        <v>364</v>
      </c>
    </row>
    <row r="20219">
      <c r="H20219" s="8" t="s">
        <v>364</v>
      </c>
    </row>
    <row r="20220">
      <c r="H20220" s="8" t="s">
        <v>364</v>
      </c>
    </row>
    <row r="20221">
      <c r="H20221" s="8" t="s">
        <v>364</v>
      </c>
    </row>
    <row r="20222">
      <c r="H20222" s="8" t="s">
        <v>364</v>
      </c>
    </row>
    <row r="20223">
      <c r="H20223" s="8" t="s">
        <v>364</v>
      </c>
    </row>
    <row r="20224">
      <c r="H20224" s="8" t="s">
        <v>364</v>
      </c>
    </row>
    <row r="20225">
      <c r="H20225" s="8" t="s">
        <v>364</v>
      </c>
    </row>
    <row r="20226">
      <c r="H20226" s="8" t="s">
        <v>364</v>
      </c>
    </row>
    <row r="20227">
      <c r="H20227" s="8" t="s">
        <v>364</v>
      </c>
    </row>
    <row r="20228">
      <c r="H20228" s="8" t="s">
        <v>364</v>
      </c>
    </row>
    <row r="20229">
      <c r="H20229" s="8" t="s">
        <v>364</v>
      </c>
    </row>
    <row r="20230">
      <c r="H20230" s="8" t="s">
        <v>364</v>
      </c>
    </row>
    <row r="20231">
      <c r="H20231" s="8" t="s">
        <v>364</v>
      </c>
    </row>
    <row r="20232">
      <c r="H20232" s="8" t="s">
        <v>364</v>
      </c>
    </row>
    <row r="20233">
      <c r="H20233" s="8" t="s">
        <v>364</v>
      </c>
    </row>
    <row r="20234">
      <c r="H20234" s="8" t="s">
        <v>364</v>
      </c>
    </row>
    <row r="20235">
      <c r="H20235" s="8" t="s">
        <v>364</v>
      </c>
    </row>
    <row r="20236">
      <c r="H20236" s="8" t="s">
        <v>364</v>
      </c>
    </row>
    <row r="20237">
      <c r="H20237" s="8" t="s">
        <v>364</v>
      </c>
    </row>
    <row r="20238">
      <c r="H20238" s="8" t="s">
        <v>364</v>
      </c>
    </row>
    <row r="20239">
      <c r="H20239" s="8" t="s">
        <v>364</v>
      </c>
    </row>
    <row r="20240">
      <c r="H20240" s="8" t="s">
        <v>364</v>
      </c>
    </row>
    <row r="20241">
      <c r="H20241" s="8" t="s">
        <v>364</v>
      </c>
    </row>
    <row r="20242">
      <c r="H20242" s="8" t="s">
        <v>364</v>
      </c>
    </row>
    <row r="20243">
      <c r="H20243" s="8" t="s">
        <v>364</v>
      </c>
    </row>
    <row r="20244">
      <c r="H20244" s="8" t="s">
        <v>364</v>
      </c>
    </row>
    <row r="20245">
      <c r="H20245" s="8" t="s">
        <v>364</v>
      </c>
    </row>
    <row r="20246">
      <c r="H20246" s="8" t="s">
        <v>364</v>
      </c>
    </row>
    <row r="20247">
      <c r="H20247" s="8" t="s">
        <v>364</v>
      </c>
    </row>
    <row r="20248">
      <c r="H20248" s="8" t="s">
        <v>364</v>
      </c>
    </row>
    <row r="20249">
      <c r="H20249" s="8" t="s">
        <v>364</v>
      </c>
    </row>
    <row r="20250">
      <c r="H20250" s="8" t="s">
        <v>364</v>
      </c>
    </row>
    <row r="20251">
      <c r="H20251" s="8" t="s">
        <v>364</v>
      </c>
    </row>
    <row r="20252">
      <c r="H20252" s="8" t="s">
        <v>364</v>
      </c>
    </row>
    <row r="20253">
      <c r="H20253" s="8" t="s">
        <v>364</v>
      </c>
    </row>
    <row r="20254">
      <c r="H20254" s="8" t="s">
        <v>364</v>
      </c>
    </row>
    <row r="20255">
      <c r="H20255" s="8" t="s">
        <v>364</v>
      </c>
    </row>
    <row r="20256">
      <c r="H20256" s="8" t="s">
        <v>364</v>
      </c>
    </row>
    <row r="20257">
      <c r="H20257" s="8" t="s">
        <v>364</v>
      </c>
    </row>
    <row r="20258">
      <c r="H20258" s="8" t="s">
        <v>364</v>
      </c>
    </row>
    <row r="20259">
      <c r="H20259" s="8" t="s">
        <v>364</v>
      </c>
    </row>
    <row r="20260">
      <c r="H20260" s="8" t="s">
        <v>364</v>
      </c>
    </row>
    <row r="20261">
      <c r="H20261" s="8" t="s">
        <v>364</v>
      </c>
    </row>
    <row r="20262">
      <c r="H20262" s="8" t="s">
        <v>364</v>
      </c>
    </row>
    <row r="20263">
      <c r="H20263" s="8" t="s">
        <v>364</v>
      </c>
    </row>
    <row r="20264">
      <c r="H20264" s="8" t="s">
        <v>364</v>
      </c>
    </row>
    <row r="20265">
      <c r="H20265" s="8" t="s">
        <v>364</v>
      </c>
    </row>
    <row r="20266">
      <c r="H20266" s="8" t="s">
        <v>364</v>
      </c>
    </row>
    <row r="20267">
      <c r="H20267" s="8" t="s">
        <v>364</v>
      </c>
    </row>
    <row r="20268">
      <c r="H20268" s="8" t="s">
        <v>364</v>
      </c>
    </row>
    <row r="20269">
      <c r="H20269" s="8" t="s">
        <v>364</v>
      </c>
    </row>
    <row r="20270">
      <c r="H20270" s="8" t="s">
        <v>364</v>
      </c>
    </row>
    <row r="20271">
      <c r="H20271" s="8" t="s">
        <v>364</v>
      </c>
    </row>
    <row r="20272">
      <c r="H20272" s="8" t="s">
        <v>364</v>
      </c>
    </row>
    <row r="20273">
      <c r="H20273" s="8" t="s">
        <v>364</v>
      </c>
    </row>
    <row r="20274">
      <c r="H20274" s="8" t="s">
        <v>364</v>
      </c>
    </row>
    <row r="20275">
      <c r="H20275" s="8" t="s">
        <v>364</v>
      </c>
    </row>
    <row r="20276">
      <c r="H20276" s="8" t="s">
        <v>364</v>
      </c>
    </row>
    <row r="20277">
      <c r="H20277" s="8" t="s">
        <v>364</v>
      </c>
    </row>
    <row r="20278">
      <c r="H20278" s="8" t="s">
        <v>364</v>
      </c>
    </row>
    <row r="20279">
      <c r="H20279" s="8" t="s">
        <v>364</v>
      </c>
    </row>
    <row r="20280">
      <c r="H20280" s="8" t="s">
        <v>364</v>
      </c>
    </row>
    <row r="20281">
      <c r="H20281" s="8" t="s">
        <v>364</v>
      </c>
    </row>
    <row r="20282">
      <c r="H20282" s="8" t="s">
        <v>364</v>
      </c>
    </row>
    <row r="20283">
      <c r="H20283" s="8" t="s">
        <v>364</v>
      </c>
    </row>
    <row r="20284">
      <c r="H20284" s="8" t="s">
        <v>364</v>
      </c>
    </row>
    <row r="20285">
      <c r="H20285" s="8" t="s">
        <v>364</v>
      </c>
    </row>
    <row r="20286">
      <c r="H20286" s="8" t="s">
        <v>364</v>
      </c>
    </row>
    <row r="20287">
      <c r="H20287" s="8" t="s">
        <v>364</v>
      </c>
    </row>
    <row r="20288">
      <c r="H20288" s="8" t="s">
        <v>364</v>
      </c>
    </row>
    <row r="20289">
      <c r="H20289" s="8" t="s">
        <v>364</v>
      </c>
    </row>
    <row r="20290">
      <c r="H20290" s="8" t="s">
        <v>364</v>
      </c>
    </row>
    <row r="20291">
      <c r="H20291" s="8" t="s">
        <v>364</v>
      </c>
    </row>
    <row r="20292">
      <c r="H20292" s="8" t="s">
        <v>364</v>
      </c>
    </row>
    <row r="20293">
      <c r="H20293" s="8" t="s">
        <v>364</v>
      </c>
    </row>
    <row r="20294">
      <c r="H20294" s="8" t="s">
        <v>364</v>
      </c>
    </row>
    <row r="20295">
      <c r="H20295" s="8" t="s">
        <v>364</v>
      </c>
    </row>
    <row r="20296">
      <c r="H20296" s="8" t="s">
        <v>364</v>
      </c>
    </row>
    <row r="20297">
      <c r="H20297" s="8" t="s">
        <v>364</v>
      </c>
    </row>
    <row r="20298">
      <c r="H20298" s="8" t="s">
        <v>364</v>
      </c>
    </row>
    <row r="20299">
      <c r="H20299" s="8" t="s">
        <v>364</v>
      </c>
    </row>
    <row r="20300">
      <c r="H20300" s="8" t="s">
        <v>364</v>
      </c>
    </row>
    <row r="20301">
      <c r="H20301" s="8" t="s">
        <v>364</v>
      </c>
    </row>
    <row r="20302">
      <c r="H20302" s="8" t="s">
        <v>364</v>
      </c>
    </row>
    <row r="20303">
      <c r="H20303" s="8" t="s">
        <v>364</v>
      </c>
    </row>
    <row r="20304">
      <c r="H20304" s="8" t="s">
        <v>364</v>
      </c>
    </row>
    <row r="20305">
      <c r="H20305" s="8" t="s">
        <v>364</v>
      </c>
    </row>
    <row r="20306">
      <c r="H20306" s="8" t="s">
        <v>364</v>
      </c>
    </row>
    <row r="20307">
      <c r="H20307" s="8" t="s">
        <v>364</v>
      </c>
    </row>
    <row r="20308">
      <c r="H20308" s="8" t="s">
        <v>364</v>
      </c>
    </row>
    <row r="20309">
      <c r="H20309" s="8" t="s">
        <v>364</v>
      </c>
    </row>
    <row r="20310">
      <c r="H20310" s="8" t="s">
        <v>364</v>
      </c>
    </row>
    <row r="20311">
      <c r="H20311" s="8" t="s">
        <v>364</v>
      </c>
    </row>
    <row r="20312">
      <c r="H20312" s="8" t="s">
        <v>364</v>
      </c>
    </row>
    <row r="20313">
      <c r="H20313" s="8" t="s">
        <v>364</v>
      </c>
    </row>
    <row r="20314">
      <c r="H20314" s="8" t="s">
        <v>364</v>
      </c>
    </row>
    <row r="20315">
      <c r="H20315" s="8" t="s">
        <v>364</v>
      </c>
    </row>
    <row r="20316">
      <c r="H20316" s="8" t="s">
        <v>364</v>
      </c>
    </row>
    <row r="20317">
      <c r="H20317" s="8" t="s">
        <v>364</v>
      </c>
    </row>
    <row r="20318">
      <c r="H20318" s="8" t="s">
        <v>364</v>
      </c>
    </row>
    <row r="20319">
      <c r="H20319" s="8" t="s">
        <v>364</v>
      </c>
    </row>
    <row r="20320">
      <c r="H20320" s="8" t="s">
        <v>364</v>
      </c>
    </row>
    <row r="20321">
      <c r="H20321" s="8" t="s">
        <v>364</v>
      </c>
    </row>
    <row r="20322">
      <c r="H20322" s="8" t="s">
        <v>364</v>
      </c>
    </row>
    <row r="20323">
      <c r="H20323" s="8" t="s">
        <v>364</v>
      </c>
    </row>
    <row r="20324">
      <c r="H20324" s="8" t="s">
        <v>364</v>
      </c>
    </row>
    <row r="20325">
      <c r="H20325" s="8" t="s">
        <v>364</v>
      </c>
    </row>
    <row r="20326">
      <c r="H20326" s="8" t="s">
        <v>364</v>
      </c>
    </row>
    <row r="20327">
      <c r="H20327" s="8" t="s">
        <v>364</v>
      </c>
    </row>
    <row r="20328">
      <c r="H20328" s="8" t="s">
        <v>364</v>
      </c>
    </row>
    <row r="20329">
      <c r="H20329" s="8" t="s">
        <v>364</v>
      </c>
    </row>
    <row r="20330">
      <c r="H20330" s="8" t="s">
        <v>364</v>
      </c>
    </row>
    <row r="20331">
      <c r="H20331" s="8" t="s">
        <v>364</v>
      </c>
    </row>
    <row r="20332">
      <c r="H20332" s="8" t="s">
        <v>364</v>
      </c>
    </row>
    <row r="20333">
      <c r="H20333" s="8" t="s">
        <v>364</v>
      </c>
    </row>
    <row r="20334">
      <c r="H20334" s="8" t="s">
        <v>364</v>
      </c>
    </row>
    <row r="20335">
      <c r="H20335" s="8" t="s">
        <v>364</v>
      </c>
    </row>
    <row r="20336">
      <c r="H20336" s="8" t="s">
        <v>364</v>
      </c>
    </row>
    <row r="20337">
      <c r="H20337" s="8" t="s">
        <v>364</v>
      </c>
    </row>
    <row r="20338">
      <c r="H20338" s="8" t="s">
        <v>364</v>
      </c>
    </row>
    <row r="20339">
      <c r="H20339" s="8" t="s">
        <v>364</v>
      </c>
    </row>
    <row r="20340">
      <c r="H20340" s="8" t="s">
        <v>364</v>
      </c>
    </row>
    <row r="20341">
      <c r="H20341" s="8" t="s">
        <v>364</v>
      </c>
    </row>
    <row r="20342">
      <c r="H20342" s="8" t="s">
        <v>364</v>
      </c>
    </row>
    <row r="20343">
      <c r="H20343" s="8" t="s">
        <v>364</v>
      </c>
    </row>
    <row r="20344">
      <c r="H20344" s="8" t="s">
        <v>364</v>
      </c>
    </row>
    <row r="20345">
      <c r="H20345" s="8" t="s">
        <v>364</v>
      </c>
    </row>
    <row r="20346">
      <c r="H20346" s="8" t="s">
        <v>364</v>
      </c>
    </row>
    <row r="20347">
      <c r="H20347" s="8" t="s">
        <v>364</v>
      </c>
    </row>
    <row r="20348">
      <c r="H20348" s="8" t="s">
        <v>364</v>
      </c>
    </row>
    <row r="20349">
      <c r="H20349" s="8" t="s">
        <v>364</v>
      </c>
    </row>
    <row r="20350">
      <c r="H20350" s="8" t="s">
        <v>364</v>
      </c>
    </row>
    <row r="20351">
      <c r="H20351" s="8" t="s">
        <v>364</v>
      </c>
    </row>
    <row r="20352">
      <c r="H20352" s="8" t="s">
        <v>364</v>
      </c>
    </row>
    <row r="20353">
      <c r="H20353" s="8" t="s">
        <v>364</v>
      </c>
    </row>
    <row r="20354">
      <c r="H20354" s="8" t="s">
        <v>364</v>
      </c>
    </row>
    <row r="20355">
      <c r="H20355" s="8" t="s">
        <v>364</v>
      </c>
    </row>
    <row r="20356">
      <c r="H20356" s="8" t="s">
        <v>364</v>
      </c>
    </row>
    <row r="20357">
      <c r="H20357" s="8" t="s">
        <v>364</v>
      </c>
    </row>
    <row r="20358">
      <c r="H20358" s="8" t="s">
        <v>364</v>
      </c>
    </row>
    <row r="20359">
      <c r="H20359" s="8" t="s">
        <v>364</v>
      </c>
    </row>
    <row r="20360">
      <c r="H20360" s="8" t="s">
        <v>364</v>
      </c>
    </row>
    <row r="20361">
      <c r="H20361" s="8" t="s">
        <v>364</v>
      </c>
    </row>
    <row r="20362">
      <c r="H20362" s="8" t="s">
        <v>364</v>
      </c>
    </row>
    <row r="20363">
      <c r="H20363" s="8" t="s">
        <v>364</v>
      </c>
    </row>
    <row r="20364">
      <c r="H20364" s="8" t="s">
        <v>364</v>
      </c>
    </row>
    <row r="20365">
      <c r="H20365" s="8" t="s">
        <v>364</v>
      </c>
    </row>
    <row r="20366">
      <c r="H20366" s="8" t="s">
        <v>364</v>
      </c>
    </row>
    <row r="20367">
      <c r="H20367" s="8" t="s">
        <v>364</v>
      </c>
    </row>
    <row r="20368">
      <c r="H20368" s="8" t="s">
        <v>364</v>
      </c>
    </row>
    <row r="20369">
      <c r="H20369" s="8" t="s">
        <v>364</v>
      </c>
    </row>
    <row r="20370">
      <c r="H20370" s="8" t="s">
        <v>364</v>
      </c>
    </row>
    <row r="20371">
      <c r="H20371" s="8" t="s">
        <v>364</v>
      </c>
    </row>
    <row r="20372">
      <c r="H20372" s="8" t="s">
        <v>364</v>
      </c>
    </row>
    <row r="20373">
      <c r="H20373" s="8" t="s">
        <v>364</v>
      </c>
    </row>
    <row r="20374">
      <c r="H20374" s="8" t="s">
        <v>364</v>
      </c>
    </row>
    <row r="20375">
      <c r="H20375" s="8" t="s">
        <v>364</v>
      </c>
    </row>
    <row r="20376">
      <c r="H20376" s="8" t="s">
        <v>364</v>
      </c>
    </row>
    <row r="20377">
      <c r="H20377" s="8" t="s">
        <v>364</v>
      </c>
    </row>
    <row r="20378">
      <c r="H20378" s="8" t="s">
        <v>364</v>
      </c>
    </row>
    <row r="20379">
      <c r="H20379" s="8" t="s">
        <v>364</v>
      </c>
    </row>
    <row r="20380">
      <c r="H20380" s="8" t="s">
        <v>364</v>
      </c>
    </row>
    <row r="20381">
      <c r="H20381" s="8" t="s">
        <v>364</v>
      </c>
    </row>
    <row r="20382">
      <c r="H20382" s="8" t="s">
        <v>364</v>
      </c>
    </row>
    <row r="20383">
      <c r="H20383" s="8" t="s">
        <v>364</v>
      </c>
    </row>
    <row r="20384">
      <c r="H20384" s="8" t="s">
        <v>364</v>
      </c>
    </row>
    <row r="20385">
      <c r="H20385" s="8" t="s">
        <v>364</v>
      </c>
    </row>
    <row r="20386">
      <c r="H20386" s="8" t="s">
        <v>364</v>
      </c>
    </row>
    <row r="20387">
      <c r="H20387" s="8" t="s">
        <v>364</v>
      </c>
    </row>
    <row r="20388">
      <c r="H20388" s="8" t="s">
        <v>364</v>
      </c>
    </row>
    <row r="20389">
      <c r="H20389" s="8" t="s">
        <v>364</v>
      </c>
    </row>
    <row r="20390">
      <c r="H20390" s="8" t="s">
        <v>364</v>
      </c>
    </row>
    <row r="20391">
      <c r="H20391" s="8" t="s">
        <v>364</v>
      </c>
    </row>
    <row r="20392">
      <c r="H20392" s="8" t="s">
        <v>364</v>
      </c>
    </row>
    <row r="20393">
      <c r="H20393" s="8" t="s">
        <v>364</v>
      </c>
    </row>
    <row r="20394">
      <c r="H20394" s="8" t="s">
        <v>364</v>
      </c>
    </row>
    <row r="20395">
      <c r="H20395" s="8" t="s">
        <v>364</v>
      </c>
    </row>
    <row r="20396">
      <c r="H20396" s="8" t="s">
        <v>364</v>
      </c>
    </row>
    <row r="20397">
      <c r="H20397" s="8" t="s">
        <v>364</v>
      </c>
    </row>
    <row r="20398">
      <c r="H20398" s="8" t="s">
        <v>364</v>
      </c>
    </row>
    <row r="20399">
      <c r="H20399" s="8" t="s">
        <v>364</v>
      </c>
    </row>
    <row r="20400">
      <c r="H20400" s="8" t="s">
        <v>364</v>
      </c>
    </row>
    <row r="20401">
      <c r="H20401" s="8" t="s">
        <v>364</v>
      </c>
    </row>
    <row r="20402">
      <c r="H20402" s="8" t="s">
        <v>364</v>
      </c>
    </row>
    <row r="20403">
      <c r="H20403" s="8" t="s">
        <v>364</v>
      </c>
    </row>
    <row r="20404">
      <c r="H20404" s="8" t="s">
        <v>364</v>
      </c>
    </row>
    <row r="20405">
      <c r="H20405" s="8" t="s">
        <v>364</v>
      </c>
    </row>
    <row r="20406">
      <c r="H20406" s="8" t="s">
        <v>364</v>
      </c>
    </row>
    <row r="20407">
      <c r="H20407" s="8" t="s">
        <v>364</v>
      </c>
    </row>
    <row r="20408">
      <c r="H20408" s="8" t="s">
        <v>364</v>
      </c>
    </row>
    <row r="20409">
      <c r="H20409" s="8" t="s">
        <v>364</v>
      </c>
    </row>
    <row r="20410">
      <c r="H20410" s="8" t="s">
        <v>364</v>
      </c>
    </row>
    <row r="20411">
      <c r="H20411" s="8" t="s">
        <v>364</v>
      </c>
    </row>
    <row r="20412">
      <c r="H20412" s="8" t="s">
        <v>364</v>
      </c>
    </row>
    <row r="20413">
      <c r="H20413" s="8" t="s">
        <v>364</v>
      </c>
    </row>
    <row r="20414">
      <c r="H20414" s="8" t="s">
        <v>364</v>
      </c>
    </row>
    <row r="20415">
      <c r="H20415" s="8" t="s">
        <v>364</v>
      </c>
    </row>
    <row r="20416">
      <c r="H20416" s="8" t="s">
        <v>364</v>
      </c>
    </row>
    <row r="20417">
      <c r="H20417" s="8" t="s">
        <v>364</v>
      </c>
    </row>
    <row r="20418">
      <c r="H20418" s="8" t="s">
        <v>364</v>
      </c>
    </row>
    <row r="20419">
      <c r="H20419" s="8" t="s">
        <v>364</v>
      </c>
    </row>
    <row r="20420">
      <c r="H20420" s="8" t="s">
        <v>364</v>
      </c>
    </row>
    <row r="20421">
      <c r="H20421" s="8" t="s">
        <v>364</v>
      </c>
    </row>
    <row r="20422">
      <c r="H20422" s="8" t="s">
        <v>364</v>
      </c>
    </row>
    <row r="20423">
      <c r="H20423" s="8" t="s">
        <v>364</v>
      </c>
    </row>
    <row r="20424">
      <c r="H20424" s="8" t="s">
        <v>364</v>
      </c>
    </row>
    <row r="20425">
      <c r="H20425" s="8" t="s">
        <v>364</v>
      </c>
    </row>
    <row r="20426">
      <c r="H20426" s="8" t="s">
        <v>364</v>
      </c>
    </row>
    <row r="20427">
      <c r="H20427" s="8" t="s">
        <v>364</v>
      </c>
    </row>
    <row r="20428">
      <c r="H20428" s="8" t="s">
        <v>364</v>
      </c>
    </row>
    <row r="20429">
      <c r="H20429" s="8" t="s">
        <v>364</v>
      </c>
    </row>
    <row r="20430">
      <c r="H20430" s="8" t="s">
        <v>364</v>
      </c>
    </row>
    <row r="20431">
      <c r="H20431" s="8" t="s">
        <v>364</v>
      </c>
    </row>
    <row r="20432">
      <c r="H20432" s="8" t="s">
        <v>364</v>
      </c>
    </row>
    <row r="20433">
      <c r="H20433" s="8" t="s">
        <v>364</v>
      </c>
    </row>
    <row r="20434">
      <c r="H20434" s="8" t="s">
        <v>364</v>
      </c>
    </row>
    <row r="20435">
      <c r="H20435" s="8" t="s">
        <v>364</v>
      </c>
    </row>
    <row r="20436">
      <c r="H20436" s="8" t="s">
        <v>364</v>
      </c>
    </row>
    <row r="20437">
      <c r="H20437" s="8" t="s">
        <v>364</v>
      </c>
    </row>
    <row r="20438">
      <c r="H20438" s="8" t="s">
        <v>364</v>
      </c>
    </row>
    <row r="20439">
      <c r="H20439" s="8" t="s">
        <v>364</v>
      </c>
    </row>
    <row r="20440">
      <c r="H20440" s="8" t="s">
        <v>364</v>
      </c>
    </row>
    <row r="20441">
      <c r="H20441" s="8" t="s">
        <v>364</v>
      </c>
    </row>
    <row r="20442">
      <c r="H20442" s="8" t="s">
        <v>364</v>
      </c>
    </row>
    <row r="20443">
      <c r="H20443" s="8" t="s">
        <v>364</v>
      </c>
    </row>
    <row r="20444">
      <c r="H20444" s="8" t="s">
        <v>364</v>
      </c>
    </row>
    <row r="20445">
      <c r="H20445" s="8" t="s">
        <v>364</v>
      </c>
    </row>
    <row r="20446">
      <c r="H20446" s="8" t="s">
        <v>364</v>
      </c>
    </row>
    <row r="20447">
      <c r="H20447" s="8" t="s">
        <v>364</v>
      </c>
    </row>
    <row r="20448">
      <c r="H20448" s="8" t="s">
        <v>364</v>
      </c>
    </row>
    <row r="20449">
      <c r="H20449" s="8" t="s">
        <v>364</v>
      </c>
    </row>
    <row r="20450">
      <c r="H20450" s="8" t="s">
        <v>364</v>
      </c>
    </row>
    <row r="20451">
      <c r="H20451" s="8" t="s">
        <v>364</v>
      </c>
    </row>
    <row r="20452">
      <c r="H20452" s="8" t="s">
        <v>364</v>
      </c>
    </row>
    <row r="20453">
      <c r="H20453" s="8" t="s">
        <v>364</v>
      </c>
    </row>
    <row r="20454">
      <c r="H20454" s="8" t="s">
        <v>364</v>
      </c>
    </row>
    <row r="20455">
      <c r="H20455" s="8" t="s">
        <v>364</v>
      </c>
    </row>
    <row r="20456">
      <c r="H20456" s="8" t="s">
        <v>364</v>
      </c>
    </row>
    <row r="20457">
      <c r="H20457" s="8" t="s">
        <v>364</v>
      </c>
    </row>
    <row r="20458">
      <c r="H20458" s="8" t="s">
        <v>364</v>
      </c>
    </row>
    <row r="20459">
      <c r="H20459" s="8" t="s">
        <v>364</v>
      </c>
    </row>
    <row r="20460">
      <c r="H20460" s="8" t="s">
        <v>364</v>
      </c>
    </row>
    <row r="20461">
      <c r="H20461" s="8" t="s">
        <v>364</v>
      </c>
    </row>
    <row r="20462">
      <c r="H20462" s="8" t="s">
        <v>364</v>
      </c>
    </row>
    <row r="20463">
      <c r="H20463" s="8" t="s">
        <v>364</v>
      </c>
    </row>
    <row r="20464">
      <c r="H20464" s="8" t="s">
        <v>364</v>
      </c>
    </row>
    <row r="20465">
      <c r="H20465" s="8" t="s">
        <v>364</v>
      </c>
    </row>
    <row r="20466">
      <c r="H20466" s="8" t="s">
        <v>364</v>
      </c>
    </row>
    <row r="20467">
      <c r="H20467" s="8" t="s">
        <v>364</v>
      </c>
    </row>
    <row r="20468">
      <c r="H20468" s="8" t="s">
        <v>364</v>
      </c>
    </row>
    <row r="20469">
      <c r="H20469" s="8" t="s">
        <v>364</v>
      </c>
    </row>
    <row r="20470">
      <c r="H20470" s="8" t="s">
        <v>364</v>
      </c>
    </row>
    <row r="20471">
      <c r="H20471" s="8" t="s">
        <v>364</v>
      </c>
    </row>
    <row r="20472">
      <c r="H20472" s="8" t="s">
        <v>364</v>
      </c>
    </row>
    <row r="20473">
      <c r="H20473" s="8" t="s">
        <v>364</v>
      </c>
    </row>
    <row r="20474">
      <c r="H20474" s="8" t="s">
        <v>364</v>
      </c>
    </row>
    <row r="20475">
      <c r="H20475" s="8" t="s">
        <v>364</v>
      </c>
    </row>
    <row r="20476">
      <c r="H20476" s="8" t="s">
        <v>364</v>
      </c>
    </row>
    <row r="20477">
      <c r="H20477" s="8" t="s">
        <v>364</v>
      </c>
    </row>
    <row r="20478">
      <c r="H20478" s="8" t="s">
        <v>364</v>
      </c>
    </row>
    <row r="20479">
      <c r="H20479" s="8" t="s">
        <v>364</v>
      </c>
    </row>
    <row r="20480">
      <c r="H20480" s="8" t="s">
        <v>364</v>
      </c>
    </row>
    <row r="20481">
      <c r="H20481" s="8" t="s">
        <v>364</v>
      </c>
    </row>
    <row r="20482">
      <c r="H20482" s="8" t="s">
        <v>364</v>
      </c>
    </row>
    <row r="20483">
      <c r="H20483" s="8" t="s">
        <v>364</v>
      </c>
    </row>
    <row r="20484">
      <c r="H20484" s="8" t="s">
        <v>364</v>
      </c>
    </row>
    <row r="20485">
      <c r="H20485" s="8" t="s">
        <v>364</v>
      </c>
    </row>
    <row r="20486">
      <c r="H20486" s="8" t="s">
        <v>364</v>
      </c>
    </row>
    <row r="20487">
      <c r="H20487" s="8" t="s">
        <v>364</v>
      </c>
    </row>
    <row r="20488">
      <c r="H20488" s="8" t="s">
        <v>364</v>
      </c>
    </row>
    <row r="20489">
      <c r="H20489" s="8" t="s">
        <v>364</v>
      </c>
    </row>
    <row r="20490">
      <c r="H20490" s="8" t="s">
        <v>364</v>
      </c>
    </row>
    <row r="20491">
      <c r="H20491" s="8" t="s">
        <v>364</v>
      </c>
    </row>
    <row r="20492">
      <c r="H20492" s="8" t="s">
        <v>364</v>
      </c>
    </row>
    <row r="20493">
      <c r="H20493" s="8" t="s">
        <v>364</v>
      </c>
    </row>
    <row r="20494">
      <c r="H20494" s="8" t="s">
        <v>364</v>
      </c>
    </row>
    <row r="20495">
      <c r="H20495" s="8" t="s">
        <v>364</v>
      </c>
    </row>
    <row r="20496">
      <c r="H20496" s="8" t="s">
        <v>364</v>
      </c>
    </row>
    <row r="20497">
      <c r="H20497" s="8" t="s">
        <v>364</v>
      </c>
    </row>
    <row r="20498">
      <c r="H20498" s="8" t="s">
        <v>364</v>
      </c>
    </row>
    <row r="20499">
      <c r="H20499" s="8" t="s">
        <v>364</v>
      </c>
    </row>
    <row r="20500">
      <c r="H20500" s="8" t="s">
        <v>364</v>
      </c>
    </row>
    <row r="20501">
      <c r="H20501" s="8" t="s">
        <v>364</v>
      </c>
    </row>
    <row r="20502">
      <c r="H20502" s="8" t="s">
        <v>364</v>
      </c>
    </row>
    <row r="20503">
      <c r="H20503" s="8" t="s">
        <v>364</v>
      </c>
    </row>
    <row r="20504">
      <c r="H20504" s="8" t="s">
        <v>364</v>
      </c>
    </row>
    <row r="20505">
      <c r="H20505" s="8" t="s">
        <v>364</v>
      </c>
    </row>
    <row r="20506">
      <c r="H20506" s="8" t="s">
        <v>364</v>
      </c>
    </row>
    <row r="20507">
      <c r="H20507" s="8" t="s">
        <v>364</v>
      </c>
    </row>
    <row r="20508">
      <c r="H20508" s="8" t="s">
        <v>364</v>
      </c>
    </row>
    <row r="20509">
      <c r="H20509" s="8" t="s">
        <v>364</v>
      </c>
    </row>
    <row r="20510">
      <c r="H20510" s="8" t="s">
        <v>364</v>
      </c>
    </row>
    <row r="20511">
      <c r="H20511" s="8" t="s">
        <v>364</v>
      </c>
    </row>
    <row r="20512">
      <c r="H20512" s="8" t="s">
        <v>364</v>
      </c>
    </row>
    <row r="20513">
      <c r="H20513" s="8" t="s">
        <v>364</v>
      </c>
    </row>
    <row r="20514">
      <c r="H20514" s="8" t="s">
        <v>364</v>
      </c>
    </row>
    <row r="20515">
      <c r="H20515" s="8" t="s">
        <v>364</v>
      </c>
    </row>
    <row r="20516">
      <c r="H20516" s="8" t="s">
        <v>364</v>
      </c>
    </row>
    <row r="20517">
      <c r="H20517" s="8" t="s">
        <v>364</v>
      </c>
    </row>
    <row r="20518">
      <c r="H20518" s="8" t="s">
        <v>364</v>
      </c>
    </row>
    <row r="20519">
      <c r="H20519" s="8" t="s">
        <v>364</v>
      </c>
    </row>
    <row r="20520">
      <c r="H20520" s="8" t="s">
        <v>364</v>
      </c>
    </row>
    <row r="20521">
      <c r="H20521" s="8" t="s">
        <v>364</v>
      </c>
    </row>
    <row r="20522">
      <c r="H20522" s="8" t="s">
        <v>364</v>
      </c>
    </row>
    <row r="20523">
      <c r="H20523" s="8" t="s">
        <v>364</v>
      </c>
    </row>
    <row r="20524">
      <c r="H20524" s="8" t="s">
        <v>364</v>
      </c>
    </row>
    <row r="20525">
      <c r="H20525" s="8" t="s">
        <v>364</v>
      </c>
    </row>
    <row r="20526">
      <c r="H20526" s="8" t="s">
        <v>364</v>
      </c>
    </row>
    <row r="20527">
      <c r="H20527" s="8" t="s">
        <v>364</v>
      </c>
    </row>
    <row r="20528">
      <c r="H20528" s="8" t="s">
        <v>364</v>
      </c>
    </row>
    <row r="20529">
      <c r="H20529" s="8" t="s">
        <v>364</v>
      </c>
    </row>
    <row r="20530">
      <c r="H20530" s="8" t="s">
        <v>364</v>
      </c>
    </row>
    <row r="20531">
      <c r="H20531" s="8" t="s">
        <v>364</v>
      </c>
    </row>
    <row r="20532">
      <c r="H20532" s="8" t="s">
        <v>364</v>
      </c>
    </row>
    <row r="20533">
      <c r="H20533" s="8" t="s">
        <v>364</v>
      </c>
    </row>
    <row r="20534">
      <c r="H20534" s="8" t="s">
        <v>364</v>
      </c>
    </row>
    <row r="20535">
      <c r="H20535" s="8" t="s">
        <v>364</v>
      </c>
    </row>
    <row r="20536">
      <c r="H20536" s="8" t="s">
        <v>364</v>
      </c>
    </row>
    <row r="20537">
      <c r="H20537" s="8" t="s">
        <v>364</v>
      </c>
    </row>
    <row r="20538">
      <c r="H20538" s="8" t="s">
        <v>364</v>
      </c>
    </row>
    <row r="20539">
      <c r="H20539" s="8" t="s">
        <v>364</v>
      </c>
    </row>
    <row r="20540">
      <c r="H20540" s="8" t="s">
        <v>364</v>
      </c>
    </row>
    <row r="20541">
      <c r="H20541" s="8" t="s">
        <v>364</v>
      </c>
    </row>
    <row r="20542">
      <c r="H20542" s="8" t="s">
        <v>364</v>
      </c>
    </row>
    <row r="20543">
      <c r="H20543" s="8" t="s">
        <v>364</v>
      </c>
    </row>
    <row r="20544">
      <c r="H20544" s="8" t="s">
        <v>364</v>
      </c>
    </row>
    <row r="20545">
      <c r="H20545" s="8" t="s">
        <v>364</v>
      </c>
    </row>
    <row r="20546">
      <c r="H20546" s="8" t="s">
        <v>364</v>
      </c>
    </row>
    <row r="20547">
      <c r="H20547" s="8" t="s">
        <v>364</v>
      </c>
    </row>
    <row r="20548">
      <c r="H20548" s="8" t="s">
        <v>364</v>
      </c>
    </row>
    <row r="20549">
      <c r="H20549" s="8" t="s">
        <v>364</v>
      </c>
    </row>
    <row r="20550">
      <c r="H20550" s="8" t="s">
        <v>364</v>
      </c>
    </row>
    <row r="20551">
      <c r="H20551" s="8" t="s">
        <v>364</v>
      </c>
    </row>
    <row r="20552">
      <c r="H20552" s="8" t="s">
        <v>364</v>
      </c>
    </row>
    <row r="20553">
      <c r="H20553" s="8" t="s">
        <v>364</v>
      </c>
    </row>
    <row r="20554">
      <c r="H20554" s="8" t="s">
        <v>364</v>
      </c>
    </row>
    <row r="20555">
      <c r="H20555" s="8" t="s">
        <v>364</v>
      </c>
    </row>
    <row r="20556">
      <c r="H20556" s="8" t="s">
        <v>364</v>
      </c>
    </row>
    <row r="20557">
      <c r="H20557" s="8" t="s">
        <v>364</v>
      </c>
    </row>
    <row r="20558">
      <c r="H20558" s="8" t="s">
        <v>364</v>
      </c>
    </row>
    <row r="20559">
      <c r="H20559" s="8" t="s">
        <v>364</v>
      </c>
    </row>
    <row r="20560">
      <c r="H20560" s="8" t="s">
        <v>364</v>
      </c>
    </row>
    <row r="20561">
      <c r="H20561" s="8" t="s">
        <v>364</v>
      </c>
    </row>
    <row r="20562">
      <c r="H20562" s="8" t="s">
        <v>364</v>
      </c>
    </row>
    <row r="20563">
      <c r="H20563" s="8" t="s">
        <v>364</v>
      </c>
    </row>
    <row r="20564">
      <c r="H20564" s="8" t="s">
        <v>364</v>
      </c>
    </row>
    <row r="20565">
      <c r="H20565" s="8" t="s">
        <v>364</v>
      </c>
    </row>
    <row r="20566">
      <c r="H20566" s="8" t="s">
        <v>364</v>
      </c>
    </row>
    <row r="20567">
      <c r="H20567" s="8" t="s">
        <v>364</v>
      </c>
    </row>
    <row r="20568">
      <c r="H20568" s="8" t="s">
        <v>364</v>
      </c>
    </row>
    <row r="20569">
      <c r="H20569" s="8" t="s">
        <v>364</v>
      </c>
    </row>
    <row r="20570">
      <c r="H20570" s="8" t="s">
        <v>364</v>
      </c>
    </row>
    <row r="20571">
      <c r="H20571" s="8" t="s">
        <v>364</v>
      </c>
    </row>
    <row r="20572">
      <c r="H20572" s="8" t="s">
        <v>364</v>
      </c>
    </row>
    <row r="20573">
      <c r="H20573" s="8" t="s">
        <v>364</v>
      </c>
    </row>
    <row r="20574">
      <c r="H20574" s="8" t="s">
        <v>364</v>
      </c>
    </row>
    <row r="20575">
      <c r="H20575" s="8" t="s">
        <v>364</v>
      </c>
    </row>
    <row r="20576">
      <c r="H20576" s="8" t="s">
        <v>364</v>
      </c>
    </row>
    <row r="20577">
      <c r="H20577" s="8" t="s">
        <v>364</v>
      </c>
    </row>
    <row r="20578">
      <c r="H20578" s="8" t="s">
        <v>364</v>
      </c>
    </row>
    <row r="20579">
      <c r="H20579" s="8" t="s">
        <v>364</v>
      </c>
    </row>
    <row r="20580">
      <c r="H20580" s="8" t="s">
        <v>364</v>
      </c>
    </row>
    <row r="20581">
      <c r="H20581" s="8" t="s">
        <v>364</v>
      </c>
    </row>
    <row r="20582">
      <c r="H20582" s="8" t="s">
        <v>364</v>
      </c>
    </row>
    <row r="20583">
      <c r="H20583" s="8" t="s">
        <v>364</v>
      </c>
    </row>
    <row r="20584">
      <c r="H20584" s="8" t="s">
        <v>364</v>
      </c>
    </row>
    <row r="20585">
      <c r="H20585" s="8" t="s">
        <v>364</v>
      </c>
    </row>
    <row r="20586">
      <c r="H20586" s="8" t="s">
        <v>364</v>
      </c>
    </row>
    <row r="20587">
      <c r="H20587" s="8" t="s">
        <v>364</v>
      </c>
    </row>
    <row r="20588">
      <c r="H20588" s="8" t="s">
        <v>364</v>
      </c>
    </row>
    <row r="20589">
      <c r="H20589" s="8" t="s">
        <v>364</v>
      </c>
    </row>
    <row r="20590">
      <c r="H20590" s="8" t="s">
        <v>364</v>
      </c>
    </row>
    <row r="20591">
      <c r="H20591" s="8" t="s">
        <v>364</v>
      </c>
    </row>
    <row r="20592">
      <c r="H20592" s="8" t="s">
        <v>364</v>
      </c>
    </row>
    <row r="20593">
      <c r="H20593" s="8" t="s">
        <v>364</v>
      </c>
    </row>
    <row r="20594">
      <c r="H20594" s="8" t="s">
        <v>364</v>
      </c>
    </row>
    <row r="20595">
      <c r="H20595" s="8" t="s">
        <v>364</v>
      </c>
    </row>
    <row r="20596">
      <c r="H20596" s="8" t="s">
        <v>364</v>
      </c>
    </row>
    <row r="20597">
      <c r="H20597" s="8" t="s">
        <v>364</v>
      </c>
    </row>
    <row r="20598">
      <c r="H20598" s="8" t="s">
        <v>364</v>
      </c>
    </row>
    <row r="20599">
      <c r="H20599" s="8" t="s">
        <v>364</v>
      </c>
    </row>
    <row r="20600">
      <c r="H20600" s="8" t="s">
        <v>364</v>
      </c>
    </row>
    <row r="20601">
      <c r="H20601" s="8" t="s">
        <v>364</v>
      </c>
    </row>
    <row r="20602">
      <c r="H20602" s="8" t="s">
        <v>364</v>
      </c>
    </row>
    <row r="20603">
      <c r="H20603" s="8" t="s">
        <v>364</v>
      </c>
    </row>
    <row r="20604">
      <c r="H20604" s="8" t="s">
        <v>364</v>
      </c>
    </row>
    <row r="20605">
      <c r="H20605" s="8" t="s">
        <v>364</v>
      </c>
    </row>
    <row r="20606">
      <c r="H20606" s="8" t="s">
        <v>364</v>
      </c>
    </row>
    <row r="20607">
      <c r="H20607" s="8" t="s">
        <v>364</v>
      </c>
    </row>
    <row r="20608">
      <c r="H20608" s="8" t="s">
        <v>364</v>
      </c>
    </row>
    <row r="20609">
      <c r="H20609" s="8" t="s">
        <v>364</v>
      </c>
    </row>
    <row r="20610">
      <c r="H20610" s="8" t="s">
        <v>364</v>
      </c>
    </row>
    <row r="20611">
      <c r="H20611" s="8" t="s">
        <v>364</v>
      </c>
    </row>
    <row r="20612">
      <c r="H20612" s="8" t="s">
        <v>364</v>
      </c>
    </row>
    <row r="20613">
      <c r="H20613" s="8" t="s">
        <v>364</v>
      </c>
    </row>
    <row r="20614">
      <c r="H20614" s="8" t="s">
        <v>364</v>
      </c>
    </row>
    <row r="20615">
      <c r="H20615" s="8" t="s">
        <v>364</v>
      </c>
    </row>
    <row r="20616">
      <c r="H20616" s="8" t="s">
        <v>364</v>
      </c>
    </row>
    <row r="20617">
      <c r="H20617" s="8" t="s">
        <v>364</v>
      </c>
    </row>
    <row r="20618">
      <c r="H20618" s="8" t="s">
        <v>364</v>
      </c>
    </row>
    <row r="20619">
      <c r="H20619" s="8" t="s">
        <v>364</v>
      </c>
    </row>
    <row r="20620">
      <c r="H20620" s="8" t="s">
        <v>364</v>
      </c>
    </row>
    <row r="20621">
      <c r="H20621" s="8" t="s">
        <v>364</v>
      </c>
    </row>
    <row r="20622">
      <c r="H20622" s="8" t="s">
        <v>364</v>
      </c>
    </row>
    <row r="20623">
      <c r="H20623" s="8" t="s">
        <v>364</v>
      </c>
    </row>
    <row r="20624">
      <c r="H20624" s="8" t="s">
        <v>364</v>
      </c>
    </row>
    <row r="20625">
      <c r="H20625" s="8" t="s">
        <v>364</v>
      </c>
    </row>
    <row r="20626">
      <c r="H20626" s="8" t="s">
        <v>364</v>
      </c>
    </row>
    <row r="20627">
      <c r="H20627" s="8" t="s">
        <v>364</v>
      </c>
    </row>
    <row r="20628">
      <c r="H20628" s="8" t="s">
        <v>364</v>
      </c>
    </row>
    <row r="20629">
      <c r="H20629" s="8" t="s">
        <v>364</v>
      </c>
    </row>
    <row r="20630">
      <c r="H20630" s="8" t="s">
        <v>364</v>
      </c>
    </row>
    <row r="20631">
      <c r="H20631" s="8" t="s">
        <v>364</v>
      </c>
    </row>
    <row r="20632">
      <c r="H20632" s="8" t="s">
        <v>364</v>
      </c>
    </row>
    <row r="20633">
      <c r="H20633" s="8" t="s">
        <v>364</v>
      </c>
    </row>
    <row r="20634">
      <c r="H20634" s="8" t="s">
        <v>364</v>
      </c>
    </row>
    <row r="20635">
      <c r="H20635" s="8" t="s">
        <v>364</v>
      </c>
    </row>
    <row r="20636">
      <c r="H20636" s="8" t="s">
        <v>364</v>
      </c>
    </row>
    <row r="20637">
      <c r="H20637" s="8" t="s">
        <v>364</v>
      </c>
    </row>
    <row r="20638">
      <c r="H20638" s="8" t="s">
        <v>364</v>
      </c>
    </row>
    <row r="20639">
      <c r="H20639" s="8" t="s">
        <v>364</v>
      </c>
    </row>
    <row r="20640">
      <c r="H20640" s="8" t="s">
        <v>364</v>
      </c>
    </row>
    <row r="20641">
      <c r="H20641" s="8" t="s">
        <v>364</v>
      </c>
    </row>
    <row r="20642">
      <c r="H20642" s="8" t="s">
        <v>364</v>
      </c>
    </row>
    <row r="20643">
      <c r="H20643" s="8" t="s">
        <v>364</v>
      </c>
    </row>
    <row r="20644">
      <c r="H20644" s="8" t="s">
        <v>364</v>
      </c>
    </row>
    <row r="20645">
      <c r="H20645" s="8" t="s">
        <v>364</v>
      </c>
    </row>
    <row r="20646">
      <c r="H20646" s="8" t="s">
        <v>364</v>
      </c>
    </row>
    <row r="20647">
      <c r="H20647" s="8" t="s">
        <v>364</v>
      </c>
    </row>
    <row r="20648">
      <c r="H20648" s="8" t="s">
        <v>364</v>
      </c>
    </row>
    <row r="20649">
      <c r="H20649" s="8" t="s">
        <v>364</v>
      </c>
    </row>
    <row r="20650">
      <c r="H20650" s="8" t="s">
        <v>364</v>
      </c>
    </row>
    <row r="20651">
      <c r="H20651" s="8" t="s">
        <v>364</v>
      </c>
    </row>
    <row r="20652">
      <c r="H20652" s="8" t="s">
        <v>364</v>
      </c>
    </row>
    <row r="20653">
      <c r="H20653" s="8" t="s">
        <v>364</v>
      </c>
    </row>
    <row r="20654">
      <c r="H20654" s="8" t="s">
        <v>364</v>
      </c>
    </row>
    <row r="20655">
      <c r="H20655" s="8" t="s">
        <v>364</v>
      </c>
    </row>
    <row r="20656">
      <c r="H20656" s="8" t="s">
        <v>364</v>
      </c>
    </row>
    <row r="20657">
      <c r="H20657" s="8" t="s">
        <v>364</v>
      </c>
    </row>
    <row r="20658">
      <c r="H20658" s="8" t="s">
        <v>364</v>
      </c>
    </row>
    <row r="20659">
      <c r="H20659" s="8" t="s">
        <v>364</v>
      </c>
    </row>
    <row r="20660">
      <c r="H20660" s="8" t="s">
        <v>364</v>
      </c>
    </row>
    <row r="20661">
      <c r="H20661" s="8" t="s">
        <v>364</v>
      </c>
    </row>
    <row r="20662">
      <c r="H20662" s="8" t="s">
        <v>364</v>
      </c>
    </row>
    <row r="20663">
      <c r="H20663" s="8" t="s">
        <v>364</v>
      </c>
    </row>
    <row r="20664">
      <c r="H20664" s="8" t="s">
        <v>364</v>
      </c>
    </row>
    <row r="20665">
      <c r="H20665" s="8" t="s">
        <v>364</v>
      </c>
    </row>
    <row r="20666">
      <c r="H20666" s="8" t="s">
        <v>364</v>
      </c>
    </row>
    <row r="20667">
      <c r="H20667" s="8" t="s">
        <v>364</v>
      </c>
    </row>
    <row r="20668">
      <c r="H20668" s="8" t="s">
        <v>364</v>
      </c>
    </row>
    <row r="20669">
      <c r="H20669" s="8" t="s">
        <v>364</v>
      </c>
    </row>
    <row r="20670">
      <c r="H20670" s="8" t="s">
        <v>364</v>
      </c>
    </row>
    <row r="20671">
      <c r="H20671" s="8" t="s">
        <v>364</v>
      </c>
    </row>
    <row r="20672">
      <c r="H20672" s="8" t="s">
        <v>364</v>
      </c>
    </row>
    <row r="20673">
      <c r="H20673" s="8" t="s">
        <v>364</v>
      </c>
    </row>
    <row r="20674">
      <c r="H20674" s="8" t="s">
        <v>364</v>
      </c>
    </row>
    <row r="20675">
      <c r="H20675" s="8" t="s">
        <v>364</v>
      </c>
    </row>
    <row r="20676">
      <c r="H20676" s="8" t="s">
        <v>364</v>
      </c>
    </row>
    <row r="20677">
      <c r="H20677" s="8" t="s">
        <v>364</v>
      </c>
    </row>
    <row r="20678">
      <c r="H20678" s="8" t="s">
        <v>364</v>
      </c>
    </row>
    <row r="20679">
      <c r="H20679" s="8" t="s">
        <v>364</v>
      </c>
    </row>
    <row r="20680">
      <c r="H20680" s="8" t="s">
        <v>364</v>
      </c>
    </row>
    <row r="20681">
      <c r="H20681" s="8" t="s">
        <v>364</v>
      </c>
    </row>
    <row r="20682">
      <c r="H20682" s="8" t="s">
        <v>364</v>
      </c>
    </row>
    <row r="20683">
      <c r="H20683" s="8" t="s">
        <v>364</v>
      </c>
    </row>
    <row r="20684">
      <c r="H20684" s="8" t="s">
        <v>364</v>
      </c>
    </row>
    <row r="20685">
      <c r="H20685" s="8" t="s">
        <v>364</v>
      </c>
    </row>
    <row r="20686">
      <c r="H20686" s="8" t="s">
        <v>364</v>
      </c>
    </row>
    <row r="20687">
      <c r="H20687" s="8" t="s">
        <v>364</v>
      </c>
    </row>
    <row r="20688">
      <c r="H20688" s="8" t="s">
        <v>364</v>
      </c>
    </row>
    <row r="20689">
      <c r="H20689" s="8" t="s">
        <v>364</v>
      </c>
    </row>
    <row r="20690">
      <c r="H20690" s="8" t="s">
        <v>364</v>
      </c>
    </row>
    <row r="20691">
      <c r="H20691" s="8" t="s">
        <v>364</v>
      </c>
    </row>
    <row r="20692">
      <c r="H20692" s="8" t="s">
        <v>364</v>
      </c>
    </row>
    <row r="20693">
      <c r="H20693" s="8" t="s">
        <v>364</v>
      </c>
    </row>
    <row r="20694">
      <c r="H20694" s="8" t="s">
        <v>364</v>
      </c>
    </row>
    <row r="20695">
      <c r="H20695" s="8" t="s">
        <v>364</v>
      </c>
    </row>
    <row r="20696">
      <c r="H20696" s="8" t="s">
        <v>364</v>
      </c>
    </row>
    <row r="20697">
      <c r="H20697" s="8" t="s">
        <v>364</v>
      </c>
    </row>
    <row r="20698">
      <c r="H20698" s="8" t="s">
        <v>364</v>
      </c>
    </row>
    <row r="20699">
      <c r="H20699" s="8" t="s">
        <v>364</v>
      </c>
    </row>
    <row r="20700">
      <c r="H20700" s="8" t="s">
        <v>364</v>
      </c>
    </row>
    <row r="20701">
      <c r="H20701" s="8" t="s">
        <v>364</v>
      </c>
    </row>
    <row r="20702">
      <c r="H20702" s="8" t="s">
        <v>364</v>
      </c>
    </row>
    <row r="20703">
      <c r="H20703" s="8" t="s">
        <v>364</v>
      </c>
    </row>
    <row r="20704">
      <c r="H20704" s="8" t="s">
        <v>364</v>
      </c>
    </row>
    <row r="20705">
      <c r="H20705" s="8" t="s">
        <v>364</v>
      </c>
    </row>
    <row r="20706">
      <c r="H20706" s="8" t="s">
        <v>364</v>
      </c>
    </row>
    <row r="20707">
      <c r="H20707" s="8" t="s">
        <v>364</v>
      </c>
    </row>
    <row r="20708">
      <c r="H20708" s="8" t="s">
        <v>364</v>
      </c>
    </row>
    <row r="20709">
      <c r="H20709" s="8" t="s">
        <v>364</v>
      </c>
    </row>
    <row r="20710">
      <c r="H20710" s="8" t="s">
        <v>364</v>
      </c>
    </row>
    <row r="20711">
      <c r="H20711" s="8" t="s">
        <v>364</v>
      </c>
    </row>
    <row r="20712">
      <c r="H20712" s="8" t="s">
        <v>364</v>
      </c>
    </row>
    <row r="20713">
      <c r="H20713" s="8" t="s">
        <v>364</v>
      </c>
    </row>
    <row r="20714">
      <c r="H20714" s="8" t="s">
        <v>364</v>
      </c>
    </row>
    <row r="20715">
      <c r="H20715" s="8" t="s">
        <v>364</v>
      </c>
    </row>
    <row r="20716">
      <c r="H20716" s="8" t="s">
        <v>364</v>
      </c>
    </row>
    <row r="20717">
      <c r="H20717" s="8" t="s">
        <v>364</v>
      </c>
    </row>
    <row r="20718">
      <c r="H20718" s="8" t="s">
        <v>364</v>
      </c>
    </row>
    <row r="20719">
      <c r="H20719" s="8" t="s">
        <v>364</v>
      </c>
    </row>
    <row r="20720">
      <c r="H20720" s="8" t="s">
        <v>364</v>
      </c>
    </row>
    <row r="20721">
      <c r="H20721" s="8" t="s">
        <v>364</v>
      </c>
    </row>
    <row r="20722">
      <c r="H20722" s="8" t="s">
        <v>364</v>
      </c>
    </row>
    <row r="20723">
      <c r="H20723" s="8" t="s">
        <v>364</v>
      </c>
    </row>
    <row r="20724">
      <c r="H20724" s="8" t="s">
        <v>364</v>
      </c>
    </row>
    <row r="20725">
      <c r="H20725" s="8" t="s">
        <v>364</v>
      </c>
    </row>
    <row r="20726">
      <c r="H20726" s="8" t="s">
        <v>364</v>
      </c>
    </row>
    <row r="20727">
      <c r="H20727" s="8" t="s">
        <v>364</v>
      </c>
    </row>
    <row r="20728">
      <c r="H20728" s="8" t="s">
        <v>364</v>
      </c>
    </row>
    <row r="20729">
      <c r="H20729" s="8" t="s">
        <v>364</v>
      </c>
    </row>
    <row r="20730">
      <c r="H20730" s="8" t="s">
        <v>364</v>
      </c>
    </row>
    <row r="20731">
      <c r="H20731" s="8" t="s">
        <v>364</v>
      </c>
    </row>
    <row r="20732">
      <c r="H20732" s="8" t="s">
        <v>364</v>
      </c>
    </row>
    <row r="20733">
      <c r="H20733" s="8" t="s">
        <v>364</v>
      </c>
    </row>
    <row r="20734">
      <c r="H20734" s="8" t="s">
        <v>364</v>
      </c>
    </row>
    <row r="20735">
      <c r="H20735" s="8" t="s">
        <v>364</v>
      </c>
    </row>
    <row r="20736">
      <c r="H20736" s="8" t="s">
        <v>364</v>
      </c>
    </row>
    <row r="20737">
      <c r="H20737" s="8" t="s">
        <v>364</v>
      </c>
    </row>
    <row r="20738">
      <c r="H20738" s="8" t="s">
        <v>364</v>
      </c>
    </row>
    <row r="20739">
      <c r="H20739" s="8" t="s">
        <v>364</v>
      </c>
    </row>
    <row r="20740">
      <c r="H20740" s="8" t="s">
        <v>364</v>
      </c>
    </row>
    <row r="20741">
      <c r="H20741" s="8" t="s">
        <v>364</v>
      </c>
    </row>
    <row r="20742">
      <c r="H20742" s="8" t="s">
        <v>364</v>
      </c>
    </row>
    <row r="20743">
      <c r="H20743" s="8" t="s">
        <v>364</v>
      </c>
    </row>
    <row r="20744">
      <c r="H20744" s="8" t="s">
        <v>364</v>
      </c>
    </row>
    <row r="20745">
      <c r="H20745" s="8" t="s">
        <v>364</v>
      </c>
    </row>
    <row r="20746">
      <c r="H20746" s="8" t="s">
        <v>364</v>
      </c>
    </row>
    <row r="20747">
      <c r="H20747" s="8" t="s">
        <v>364</v>
      </c>
    </row>
    <row r="20748">
      <c r="H20748" s="8" t="s">
        <v>364</v>
      </c>
    </row>
    <row r="20749">
      <c r="H20749" s="8" t="s">
        <v>364</v>
      </c>
    </row>
    <row r="20750">
      <c r="H20750" s="8" t="s">
        <v>364</v>
      </c>
    </row>
    <row r="20751">
      <c r="H20751" s="8" t="s">
        <v>364</v>
      </c>
    </row>
    <row r="20752">
      <c r="H20752" s="8" t="s">
        <v>364</v>
      </c>
    </row>
    <row r="20753">
      <c r="H20753" s="8" t="s">
        <v>364</v>
      </c>
    </row>
    <row r="20754">
      <c r="H20754" s="8" t="s">
        <v>364</v>
      </c>
    </row>
    <row r="20755">
      <c r="H20755" s="8" t="s">
        <v>364</v>
      </c>
    </row>
    <row r="20756">
      <c r="H20756" s="8" t="s">
        <v>364</v>
      </c>
    </row>
    <row r="20757">
      <c r="H20757" s="8" t="s">
        <v>364</v>
      </c>
    </row>
    <row r="20758">
      <c r="H20758" s="8" t="s">
        <v>364</v>
      </c>
    </row>
    <row r="20759">
      <c r="H20759" s="8" t="s">
        <v>364</v>
      </c>
    </row>
    <row r="20760">
      <c r="H20760" s="8" t="s">
        <v>364</v>
      </c>
    </row>
    <row r="20761">
      <c r="H20761" s="8" t="s">
        <v>364</v>
      </c>
    </row>
    <row r="20762">
      <c r="H20762" s="8" t="s">
        <v>364</v>
      </c>
    </row>
    <row r="20763">
      <c r="H20763" s="8" t="s">
        <v>364</v>
      </c>
    </row>
    <row r="20764">
      <c r="H20764" s="8" t="s">
        <v>364</v>
      </c>
    </row>
    <row r="20765">
      <c r="H20765" s="8" t="s">
        <v>364</v>
      </c>
    </row>
    <row r="20766">
      <c r="H20766" s="8" t="s">
        <v>364</v>
      </c>
    </row>
    <row r="20767">
      <c r="H20767" s="8" t="s">
        <v>364</v>
      </c>
    </row>
    <row r="20768">
      <c r="H20768" s="8" t="s">
        <v>364</v>
      </c>
    </row>
    <row r="20769">
      <c r="H20769" s="8" t="s">
        <v>364</v>
      </c>
    </row>
    <row r="20770">
      <c r="H20770" s="8" t="s">
        <v>364</v>
      </c>
    </row>
    <row r="20771">
      <c r="H20771" s="8" t="s">
        <v>364</v>
      </c>
    </row>
    <row r="20772">
      <c r="H20772" s="8" t="s">
        <v>364</v>
      </c>
    </row>
    <row r="20773">
      <c r="H20773" s="8" t="s">
        <v>364</v>
      </c>
    </row>
    <row r="20774">
      <c r="H20774" s="8" t="s">
        <v>364</v>
      </c>
    </row>
    <row r="20775">
      <c r="H20775" s="8" t="s">
        <v>364</v>
      </c>
    </row>
    <row r="20776">
      <c r="H20776" s="8" t="s">
        <v>364</v>
      </c>
    </row>
    <row r="20777">
      <c r="H20777" s="8" t="s">
        <v>364</v>
      </c>
    </row>
    <row r="20778">
      <c r="H20778" s="8" t="s">
        <v>364</v>
      </c>
    </row>
    <row r="20779">
      <c r="H20779" s="8" t="s">
        <v>364</v>
      </c>
    </row>
    <row r="20780">
      <c r="H20780" s="8" t="s">
        <v>364</v>
      </c>
    </row>
    <row r="20781">
      <c r="H20781" s="8" t="s">
        <v>364</v>
      </c>
    </row>
    <row r="20782">
      <c r="H20782" s="8" t="s">
        <v>364</v>
      </c>
    </row>
    <row r="20783">
      <c r="H20783" s="8" t="s">
        <v>364</v>
      </c>
    </row>
    <row r="20784">
      <c r="H20784" s="8" t="s">
        <v>364</v>
      </c>
    </row>
    <row r="20785">
      <c r="H20785" s="8" t="s">
        <v>364</v>
      </c>
    </row>
    <row r="20786">
      <c r="H20786" s="8" t="s">
        <v>364</v>
      </c>
    </row>
    <row r="20787">
      <c r="H20787" s="8" t="s">
        <v>364</v>
      </c>
    </row>
    <row r="20788">
      <c r="H20788" s="8" t="s">
        <v>364</v>
      </c>
    </row>
    <row r="20789">
      <c r="H20789" s="8" t="s">
        <v>364</v>
      </c>
    </row>
    <row r="20790">
      <c r="H20790" s="8" t="s">
        <v>364</v>
      </c>
    </row>
    <row r="20791">
      <c r="H20791" s="8" t="s">
        <v>364</v>
      </c>
    </row>
    <row r="20792">
      <c r="H20792" s="8" t="s">
        <v>364</v>
      </c>
    </row>
    <row r="20793">
      <c r="H20793" s="8" t="s">
        <v>364</v>
      </c>
    </row>
    <row r="20794">
      <c r="H20794" s="8" t="s">
        <v>364</v>
      </c>
    </row>
    <row r="20795">
      <c r="H20795" s="8" t="s">
        <v>364</v>
      </c>
    </row>
    <row r="20796">
      <c r="H20796" s="8" t="s">
        <v>364</v>
      </c>
    </row>
    <row r="20797">
      <c r="H20797" s="8" t="s">
        <v>364</v>
      </c>
    </row>
    <row r="20798">
      <c r="H20798" s="8" t="s">
        <v>364</v>
      </c>
    </row>
    <row r="20799">
      <c r="H20799" s="8" t="s">
        <v>364</v>
      </c>
    </row>
    <row r="20800">
      <c r="H20800" s="8" t="s">
        <v>364</v>
      </c>
    </row>
    <row r="20801">
      <c r="H20801" s="8" t="s">
        <v>364</v>
      </c>
    </row>
    <row r="20802">
      <c r="H20802" s="8" t="s">
        <v>364</v>
      </c>
    </row>
    <row r="20803">
      <c r="H20803" s="8" t="s">
        <v>364</v>
      </c>
    </row>
    <row r="20804">
      <c r="H20804" s="8" t="s">
        <v>364</v>
      </c>
    </row>
    <row r="20805">
      <c r="H20805" s="8" t="s">
        <v>364</v>
      </c>
    </row>
    <row r="20806">
      <c r="H20806" s="8" t="s">
        <v>364</v>
      </c>
    </row>
    <row r="20807">
      <c r="H20807" s="8" t="s">
        <v>364</v>
      </c>
    </row>
    <row r="20808">
      <c r="H20808" s="8" t="s">
        <v>364</v>
      </c>
    </row>
    <row r="20809">
      <c r="H20809" s="8" t="s">
        <v>364</v>
      </c>
    </row>
    <row r="20810">
      <c r="H20810" s="8" t="s">
        <v>364</v>
      </c>
    </row>
    <row r="20811">
      <c r="H20811" s="8" t="s">
        <v>364</v>
      </c>
    </row>
    <row r="20812">
      <c r="H20812" s="8" t="s">
        <v>364</v>
      </c>
    </row>
    <row r="20813">
      <c r="H20813" s="8" t="s">
        <v>364</v>
      </c>
    </row>
    <row r="20814">
      <c r="H20814" s="8" t="s">
        <v>364</v>
      </c>
    </row>
    <row r="20815">
      <c r="H20815" s="8" t="s">
        <v>364</v>
      </c>
    </row>
    <row r="20816">
      <c r="H20816" s="8" t="s">
        <v>364</v>
      </c>
    </row>
    <row r="20817">
      <c r="H20817" s="8" t="s">
        <v>364</v>
      </c>
    </row>
    <row r="20818">
      <c r="H20818" s="8" t="s">
        <v>364</v>
      </c>
    </row>
    <row r="20819">
      <c r="H20819" s="8" t="s">
        <v>364</v>
      </c>
    </row>
    <row r="20820">
      <c r="H20820" s="8" t="s">
        <v>364</v>
      </c>
    </row>
    <row r="20821">
      <c r="H20821" s="8" t="s">
        <v>364</v>
      </c>
    </row>
    <row r="20822">
      <c r="H20822" s="8" t="s">
        <v>364</v>
      </c>
    </row>
    <row r="20823">
      <c r="H20823" s="8" t="s">
        <v>364</v>
      </c>
    </row>
    <row r="20824">
      <c r="H20824" s="8" t="s">
        <v>364</v>
      </c>
    </row>
    <row r="20825">
      <c r="H20825" s="8" t="s">
        <v>364</v>
      </c>
    </row>
    <row r="20826">
      <c r="H20826" s="8" t="s">
        <v>364</v>
      </c>
    </row>
    <row r="20827">
      <c r="H20827" s="8" t="s">
        <v>364</v>
      </c>
    </row>
    <row r="20828">
      <c r="H20828" s="8" t="s">
        <v>364</v>
      </c>
    </row>
    <row r="20829">
      <c r="H20829" s="8" t="s">
        <v>364</v>
      </c>
    </row>
    <row r="20830">
      <c r="H20830" s="8" t="s">
        <v>364</v>
      </c>
    </row>
    <row r="20831">
      <c r="H20831" s="8" t="s">
        <v>364</v>
      </c>
    </row>
    <row r="20832">
      <c r="H20832" s="8" t="s">
        <v>364</v>
      </c>
    </row>
    <row r="20833">
      <c r="H20833" s="8" t="s">
        <v>364</v>
      </c>
    </row>
    <row r="20834">
      <c r="H20834" s="8" t="s">
        <v>364</v>
      </c>
    </row>
    <row r="20835">
      <c r="H20835" s="8" t="s">
        <v>364</v>
      </c>
    </row>
    <row r="20836">
      <c r="H20836" s="8" t="s">
        <v>364</v>
      </c>
    </row>
    <row r="20837">
      <c r="H20837" s="8" t="s">
        <v>364</v>
      </c>
    </row>
    <row r="20838">
      <c r="H20838" s="8" t="s">
        <v>364</v>
      </c>
    </row>
    <row r="20839">
      <c r="H20839" s="8" t="s">
        <v>364</v>
      </c>
    </row>
    <row r="20840">
      <c r="H20840" s="8" t="s">
        <v>364</v>
      </c>
    </row>
    <row r="20841">
      <c r="H20841" s="8" t="s">
        <v>364</v>
      </c>
    </row>
    <row r="20842">
      <c r="H20842" s="8" t="s">
        <v>364</v>
      </c>
    </row>
    <row r="20843">
      <c r="H20843" s="8" t="s">
        <v>364</v>
      </c>
    </row>
    <row r="20844">
      <c r="H20844" s="8" t="s">
        <v>364</v>
      </c>
    </row>
    <row r="20845">
      <c r="H20845" s="8" t="s">
        <v>364</v>
      </c>
    </row>
    <row r="20846">
      <c r="H20846" s="8" t="s">
        <v>364</v>
      </c>
    </row>
    <row r="20847">
      <c r="H20847" s="8" t="s">
        <v>364</v>
      </c>
    </row>
    <row r="20848">
      <c r="H20848" s="8" t="s">
        <v>364</v>
      </c>
    </row>
    <row r="20849">
      <c r="H20849" s="8" t="s">
        <v>364</v>
      </c>
    </row>
    <row r="20850">
      <c r="H20850" s="8" t="s">
        <v>364</v>
      </c>
    </row>
    <row r="20851">
      <c r="H20851" s="8" t="s">
        <v>364</v>
      </c>
    </row>
    <row r="20852">
      <c r="H20852" s="8" t="s">
        <v>364</v>
      </c>
    </row>
    <row r="20853">
      <c r="H20853" s="8" t="s">
        <v>364</v>
      </c>
    </row>
    <row r="20854">
      <c r="H20854" s="8" t="s">
        <v>364</v>
      </c>
    </row>
    <row r="20855">
      <c r="H20855" s="8" t="s">
        <v>364</v>
      </c>
    </row>
    <row r="20856">
      <c r="H20856" s="8" t="s">
        <v>364</v>
      </c>
    </row>
    <row r="20857">
      <c r="H20857" s="8" t="s">
        <v>364</v>
      </c>
    </row>
    <row r="20858">
      <c r="H20858" s="8" t="s">
        <v>364</v>
      </c>
    </row>
    <row r="20859">
      <c r="H20859" s="8" t="s">
        <v>364</v>
      </c>
    </row>
    <row r="20860">
      <c r="H20860" s="8" t="s">
        <v>364</v>
      </c>
    </row>
    <row r="20861">
      <c r="H20861" s="8" t="s">
        <v>364</v>
      </c>
    </row>
    <row r="20862">
      <c r="H20862" s="8" t="s">
        <v>364</v>
      </c>
    </row>
    <row r="20863">
      <c r="H20863" s="8" t="s">
        <v>364</v>
      </c>
    </row>
    <row r="20864">
      <c r="H20864" s="8" t="s">
        <v>364</v>
      </c>
    </row>
    <row r="20865">
      <c r="H20865" s="8" t="s">
        <v>364</v>
      </c>
    </row>
    <row r="20866">
      <c r="H20866" s="8" t="s">
        <v>364</v>
      </c>
    </row>
    <row r="20867">
      <c r="H20867" s="8" t="s">
        <v>364</v>
      </c>
    </row>
    <row r="20868">
      <c r="H20868" s="8" t="s">
        <v>364</v>
      </c>
    </row>
    <row r="20869">
      <c r="H20869" s="8" t="s">
        <v>364</v>
      </c>
    </row>
    <row r="20870">
      <c r="H20870" s="8" t="s">
        <v>364</v>
      </c>
    </row>
    <row r="20871">
      <c r="H20871" s="8" t="s">
        <v>364</v>
      </c>
    </row>
    <row r="20872">
      <c r="H20872" s="8" t="s">
        <v>364</v>
      </c>
    </row>
    <row r="20873">
      <c r="H20873" s="8" t="s">
        <v>364</v>
      </c>
    </row>
    <row r="20874">
      <c r="H20874" s="8" t="s">
        <v>364</v>
      </c>
    </row>
    <row r="20875">
      <c r="H20875" s="8" t="s">
        <v>364</v>
      </c>
    </row>
    <row r="20876">
      <c r="H20876" s="8" t="s">
        <v>364</v>
      </c>
    </row>
    <row r="20877">
      <c r="H20877" s="8" t="s">
        <v>364</v>
      </c>
    </row>
    <row r="20878">
      <c r="H20878" s="8" t="s">
        <v>364</v>
      </c>
    </row>
    <row r="20879">
      <c r="H20879" s="8" t="s">
        <v>364</v>
      </c>
    </row>
    <row r="20880">
      <c r="H20880" s="8" t="s">
        <v>364</v>
      </c>
    </row>
    <row r="20881">
      <c r="H20881" s="8" t="s">
        <v>364</v>
      </c>
    </row>
    <row r="20882">
      <c r="H20882" s="8" t="s">
        <v>364</v>
      </c>
    </row>
    <row r="20883">
      <c r="H20883" s="8" t="s">
        <v>364</v>
      </c>
    </row>
    <row r="20884">
      <c r="H20884" s="8" t="s">
        <v>364</v>
      </c>
    </row>
    <row r="20885">
      <c r="H20885" s="8" t="s">
        <v>364</v>
      </c>
    </row>
    <row r="20886">
      <c r="H20886" s="8" t="s">
        <v>364</v>
      </c>
    </row>
    <row r="20887">
      <c r="H20887" s="8" t="s">
        <v>364</v>
      </c>
    </row>
    <row r="20888">
      <c r="H20888" s="8" t="s">
        <v>364</v>
      </c>
    </row>
    <row r="20889">
      <c r="H20889" s="8" t="s">
        <v>364</v>
      </c>
    </row>
    <row r="20890">
      <c r="H20890" s="8" t="s">
        <v>364</v>
      </c>
    </row>
    <row r="20891">
      <c r="H20891" s="8" t="s">
        <v>364</v>
      </c>
    </row>
    <row r="20892">
      <c r="H20892" s="8" t="s">
        <v>364</v>
      </c>
    </row>
    <row r="20893">
      <c r="H20893" s="8" t="s">
        <v>364</v>
      </c>
    </row>
    <row r="20894">
      <c r="H20894" s="8" t="s">
        <v>364</v>
      </c>
    </row>
    <row r="20895">
      <c r="H20895" s="8" t="s">
        <v>364</v>
      </c>
    </row>
    <row r="20896">
      <c r="H20896" s="8" t="s">
        <v>364</v>
      </c>
    </row>
    <row r="20897">
      <c r="H20897" s="8" t="s">
        <v>364</v>
      </c>
    </row>
    <row r="20898">
      <c r="H20898" s="8" t="s">
        <v>364</v>
      </c>
    </row>
    <row r="20899">
      <c r="H20899" s="8" t="s">
        <v>364</v>
      </c>
    </row>
    <row r="20900">
      <c r="H20900" s="8" t="s">
        <v>364</v>
      </c>
    </row>
    <row r="20901">
      <c r="H20901" s="8" t="s">
        <v>364</v>
      </c>
    </row>
    <row r="20902">
      <c r="H20902" s="8" t="s">
        <v>364</v>
      </c>
    </row>
    <row r="20903">
      <c r="H20903" s="8" t="s">
        <v>364</v>
      </c>
    </row>
    <row r="20904">
      <c r="H20904" s="8" t="s">
        <v>364</v>
      </c>
    </row>
    <row r="20905">
      <c r="H20905" s="8" t="s">
        <v>364</v>
      </c>
    </row>
    <row r="20906">
      <c r="H20906" s="8" t="s">
        <v>364</v>
      </c>
    </row>
    <row r="20907">
      <c r="H20907" s="8" t="s">
        <v>364</v>
      </c>
    </row>
    <row r="20908">
      <c r="H20908" s="8" t="s">
        <v>364</v>
      </c>
    </row>
    <row r="20909">
      <c r="H20909" s="8" t="s">
        <v>364</v>
      </c>
    </row>
    <row r="20910">
      <c r="H20910" s="8" t="s">
        <v>364</v>
      </c>
    </row>
    <row r="20911">
      <c r="H20911" s="8" t="s">
        <v>364</v>
      </c>
    </row>
    <row r="20912">
      <c r="H20912" s="8" t="s">
        <v>364</v>
      </c>
    </row>
    <row r="20913">
      <c r="H20913" s="8" t="s">
        <v>364</v>
      </c>
    </row>
    <row r="20914">
      <c r="H20914" s="8" t="s">
        <v>364</v>
      </c>
    </row>
    <row r="20915">
      <c r="H20915" s="8" t="s">
        <v>364</v>
      </c>
    </row>
    <row r="20916">
      <c r="H20916" s="8" t="s">
        <v>364</v>
      </c>
    </row>
    <row r="20917">
      <c r="H20917" s="8" t="s">
        <v>364</v>
      </c>
    </row>
    <row r="20918">
      <c r="H20918" s="8" t="s">
        <v>364</v>
      </c>
    </row>
    <row r="20919">
      <c r="H20919" s="8" t="s">
        <v>364</v>
      </c>
    </row>
    <row r="20920">
      <c r="H20920" s="8" t="s">
        <v>364</v>
      </c>
    </row>
    <row r="20921">
      <c r="H20921" s="8" t="s">
        <v>364</v>
      </c>
    </row>
    <row r="20922">
      <c r="H20922" s="8" t="s">
        <v>364</v>
      </c>
    </row>
    <row r="20923">
      <c r="H20923" s="8" t="s">
        <v>364</v>
      </c>
    </row>
    <row r="20924">
      <c r="H20924" s="8" t="s">
        <v>364</v>
      </c>
    </row>
    <row r="20925">
      <c r="H20925" s="8" t="s">
        <v>364</v>
      </c>
    </row>
    <row r="20926">
      <c r="H20926" s="8" t="s">
        <v>364</v>
      </c>
    </row>
    <row r="20927">
      <c r="H20927" s="8" t="s">
        <v>364</v>
      </c>
    </row>
    <row r="20928">
      <c r="H20928" s="8" t="s">
        <v>364</v>
      </c>
    </row>
    <row r="20929">
      <c r="H20929" s="8" t="s">
        <v>364</v>
      </c>
    </row>
    <row r="20930">
      <c r="H20930" s="8" t="s">
        <v>364</v>
      </c>
    </row>
    <row r="20931">
      <c r="H20931" s="8" t="s">
        <v>364</v>
      </c>
    </row>
    <row r="20932">
      <c r="H20932" s="8" t="s">
        <v>364</v>
      </c>
    </row>
    <row r="20933">
      <c r="H20933" s="8" t="s">
        <v>364</v>
      </c>
    </row>
    <row r="20934">
      <c r="H20934" s="8" t="s">
        <v>364</v>
      </c>
    </row>
    <row r="20935">
      <c r="H20935" s="8" t="s">
        <v>364</v>
      </c>
    </row>
    <row r="20936">
      <c r="H20936" s="8" t="s">
        <v>364</v>
      </c>
    </row>
    <row r="20937">
      <c r="H20937" s="8" t="s">
        <v>364</v>
      </c>
    </row>
    <row r="20938">
      <c r="H20938" s="8" t="s">
        <v>364</v>
      </c>
    </row>
    <row r="20939">
      <c r="H20939" s="8" t="s">
        <v>364</v>
      </c>
    </row>
    <row r="20940">
      <c r="H20940" s="8" t="s">
        <v>364</v>
      </c>
    </row>
    <row r="20941">
      <c r="H20941" s="8" t="s">
        <v>364</v>
      </c>
    </row>
    <row r="20942">
      <c r="H20942" s="8" t="s">
        <v>364</v>
      </c>
    </row>
    <row r="20943">
      <c r="H20943" s="8" t="s">
        <v>364</v>
      </c>
    </row>
    <row r="20944">
      <c r="H20944" s="8" t="s">
        <v>364</v>
      </c>
    </row>
    <row r="20945">
      <c r="H20945" s="8" t="s">
        <v>364</v>
      </c>
    </row>
    <row r="20946">
      <c r="H20946" s="8" t="s">
        <v>364</v>
      </c>
    </row>
    <row r="20947">
      <c r="H20947" s="8" t="s">
        <v>364</v>
      </c>
    </row>
    <row r="20948">
      <c r="H20948" s="8" t="s">
        <v>364</v>
      </c>
    </row>
    <row r="20949">
      <c r="H20949" s="8" t="s">
        <v>364</v>
      </c>
    </row>
    <row r="20950">
      <c r="H20950" s="8" t="s">
        <v>364</v>
      </c>
    </row>
    <row r="20951">
      <c r="H20951" s="8" t="s">
        <v>364</v>
      </c>
    </row>
    <row r="20952">
      <c r="H20952" s="8" t="s">
        <v>364</v>
      </c>
    </row>
    <row r="20953">
      <c r="H20953" s="8" t="s">
        <v>364</v>
      </c>
    </row>
    <row r="20954">
      <c r="H20954" s="8" t="s">
        <v>364</v>
      </c>
    </row>
    <row r="20955">
      <c r="H20955" s="8" t="s">
        <v>364</v>
      </c>
    </row>
    <row r="20956">
      <c r="H20956" s="8" t="s">
        <v>364</v>
      </c>
    </row>
    <row r="20957">
      <c r="H20957" s="8" t="s">
        <v>364</v>
      </c>
    </row>
    <row r="20958">
      <c r="H20958" s="8" t="s">
        <v>364</v>
      </c>
    </row>
    <row r="20959">
      <c r="H20959" s="8" t="s">
        <v>364</v>
      </c>
    </row>
    <row r="20960">
      <c r="H20960" s="8" t="s">
        <v>364</v>
      </c>
    </row>
    <row r="20961">
      <c r="H20961" s="8" t="s">
        <v>364</v>
      </c>
    </row>
    <row r="20962">
      <c r="H20962" s="8" t="s">
        <v>364</v>
      </c>
    </row>
    <row r="20963">
      <c r="H20963" s="8" t="s">
        <v>364</v>
      </c>
    </row>
    <row r="20964">
      <c r="H20964" s="8" t="s">
        <v>364</v>
      </c>
    </row>
    <row r="20965">
      <c r="H20965" s="8" t="s">
        <v>364</v>
      </c>
    </row>
    <row r="20966">
      <c r="H20966" s="8" t="s">
        <v>364</v>
      </c>
    </row>
    <row r="20967">
      <c r="H20967" s="8" t="s">
        <v>364</v>
      </c>
    </row>
    <row r="20968">
      <c r="H20968" s="8" t="s">
        <v>364</v>
      </c>
    </row>
    <row r="20969">
      <c r="H20969" s="8" t="s">
        <v>364</v>
      </c>
    </row>
    <row r="20970">
      <c r="H20970" s="8" t="s">
        <v>364</v>
      </c>
    </row>
    <row r="20971">
      <c r="H20971" s="8" t="s">
        <v>364</v>
      </c>
    </row>
    <row r="20972">
      <c r="H20972" s="8" t="s">
        <v>364</v>
      </c>
    </row>
    <row r="20973">
      <c r="H20973" s="8" t="s">
        <v>364</v>
      </c>
    </row>
    <row r="20974">
      <c r="H20974" s="8" t="s">
        <v>364</v>
      </c>
    </row>
    <row r="20975">
      <c r="H20975" s="8" t="s">
        <v>364</v>
      </c>
    </row>
    <row r="20976">
      <c r="H20976" s="8" t="s">
        <v>364</v>
      </c>
    </row>
    <row r="20977">
      <c r="H20977" s="8" t="s">
        <v>364</v>
      </c>
    </row>
    <row r="20978">
      <c r="H20978" s="8" t="s">
        <v>364</v>
      </c>
    </row>
    <row r="20979">
      <c r="H20979" s="8" t="s">
        <v>364</v>
      </c>
    </row>
    <row r="20980">
      <c r="H20980" s="8" t="s">
        <v>364</v>
      </c>
    </row>
    <row r="20981">
      <c r="H20981" s="8" t="s">
        <v>364</v>
      </c>
    </row>
    <row r="20982">
      <c r="H20982" s="8" t="s">
        <v>364</v>
      </c>
    </row>
    <row r="20983">
      <c r="H20983" s="8" t="s">
        <v>364</v>
      </c>
    </row>
    <row r="20984">
      <c r="H20984" s="8" t="s">
        <v>364</v>
      </c>
    </row>
    <row r="20985">
      <c r="H20985" s="8" t="s">
        <v>364</v>
      </c>
    </row>
    <row r="20986">
      <c r="H20986" s="8" t="s">
        <v>364</v>
      </c>
    </row>
    <row r="20987">
      <c r="H20987" s="8" t="s">
        <v>364</v>
      </c>
    </row>
    <row r="20988">
      <c r="H20988" s="8" t="s">
        <v>364</v>
      </c>
    </row>
    <row r="20989">
      <c r="H20989" s="8" t="s">
        <v>364</v>
      </c>
    </row>
    <row r="20990">
      <c r="H20990" s="8" t="s">
        <v>364</v>
      </c>
    </row>
    <row r="20991">
      <c r="H20991" s="8" t="s">
        <v>364</v>
      </c>
    </row>
    <row r="20992">
      <c r="H20992" s="8" t="s">
        <v>364</v>
      </c>
    </row>
    <row r="20993">
      <c r="H20993" s="8" t="s">
        <v>364</v>
      </c>
    </row>
    <row r="20994">
      <c r="H20994" s="8" t="s">
        <v>364</v>
      </c>
    </row>
    <row r="20995">
      <c r="H20995" s="8" t="s">
        <v>364</v>
      </c>
    </row>
    <row r="20996">
      <c r="H20996" s="8" t="s">
        <v>364</v>
      </c>
    </row>
    <row r="20997">
      <c r="H20997" s="8" t="s">
        <v>364</v>
      </c>
    </row>
    <row r="20998">
      <c r="H20998" s="8" t="s">
        <v>364</v>
      </c>
    </row>
    <row r="20999">
      <c r="H20999" s="8" t="s">
        <v>364</v>
      </c>
    </row>
    <row r="21000">
      <c r="H21000" s="8" t="s">
        <v>364</v>
      </c>
    </row>
    <row r="21001">
      <c r="H21001" s="8" t="s">
        <v>364</v>
      </c>
    </row>
    <row r="21002">
      <c r="H21002" s="8" t="s">
        <v>364</v>
      </c>
    </row>
    <row r="21003">
      <c r="H21003" s="8" t="s">
        <v>364</v>
      </c>
    </row>
    <row r="21004">
      <c r="H21004" s="8" t="s">
        <v>364</v>
      </c>
    </row>
    <row r="21005">
      <c r="H21005" s="8" t="s">
        <v>364</v>
      </c>
    </row>
    <row r="21006">
      <c r="H21006" s="8" t="s">
        <v>364</v>
      </c>
    </row>
    <row r="21007">
      <c r="H21007" s="8" t="s">
        <v>364</v>
      </c>
    </row>
    <row r="21008">
      <c r="H21008" s="8" t="s">
        <v>364</v>
      </c>
    </row>
    <row r="21009">
      <c r="H21009" s="8" t="s">
        <v>364</v>
      </c>
    </row>
    <row r="21010">
      <c r="H21010" s="8" t="s">
        <v>364</v>
      </c>
    </row>
    <row r="21011">
      <c r="H21011" s="8" t="s">
        <v>364</v>
      </c>
    </row>
    <row r="21012">
      <c r="H21012" s="8" t="s">
        <v>364</v>
      </c>
    </row>
    <row r="21013">
      <c r="H21013" s="8" t="s">
        <v>364</v>
      </c>
    </row>
    <row r="21014">
      <c r="H21014" s="8" t="s">
        <v>364</v>
      </c>
    </row>
    <row r="21015">
      <c r="H21015" s="8" t="s">
        <v>364</v>
      </c>
    </row>
    <row r="21016">
      <c r="H21016" s="8" t="s">
        <v>364</v>
      </c>
    </row>
    <row r="21017">
      <c r="H21017" s="8" t="s">
        <v>364</v>
      </c>
    </row>
    <row r="21018">
      <c r="H21018" s="8" t="s">
        <v>364</v>
      </c>
    </row>
    <row r="21019">
      <c r="H21019" s="8" t="s">
        <v>364</v>
      </c>
    </row>
    <row r="21020">
      <c r="H21020" s="8" t="s">
        <v>364</v>
      </c>
    </row>
    <row r="21021">
      <c r="H21021" s="8" t="s">
        <v>364</v>
      </c>
    </row>
    <row r="21022">
      <c r="H21022" s="8" t="s">
        <v>364</v>
      </c>
    </row>
    <row r="21023">
      <c r="H21023" s="8" t="s">
        <v>364</v>
      </c>
    </row>
    <row r="21024">
      <c r="H21024" s="8" t="s">
        <v>364</v>
      </c>
    </row>
    <row r="21025">
      <c r="H21025" s="8" t="s">
        <v>364</v>
      </c>
    </row>
    <row r="21026">
      <c r="H21026" s="8" t="s">
        <v>364</v>
      </c>
    </row>
    <row r="21027">
      <c r="H21027" s="8" t="s">
        <v>364</v>
      </c>
    </row>
    <row r="21028">
      <c r="H21028" s="8" t="s">
        <v>364</v>
      </c>
    </row>
    <row r="21029">
      <c r="H21029" s="8" t="s">
        <v>364</v>
      </c>
    </row>
    <row r="21030">
      <c r="H21030" s="8" t="s">
        <v>364</v>
      </c>
    </row>
    <row r="21031">
      <c r="H21031" s="8" t="s">
        <v>364</v>
      </c>
    </row>
    <row r="21032">
      <c r="H21032" s="8" t="s">
        <v>364</v>
      </c>
    </row>
    <row r="21033">
      <c r="H21033" s="8" t="s">
        <v>364</v>
      </c>
    </row>
    <row r="21034">
      <c r="H21034" s="8" t="s">
        <v>364</v>
      </c>
    </row>
    <row r="21035">
      <c r="H21035" s="8" t="s">
        <v>364</v>
      </c>
    </row>
    <row r="21036">
      <c r="H21036" s="8" t="s">
        <v>364</v>
      </c>
    </row>
    <row r="21037">
      <c r="H21037" s="8" t="s">
        <v>364</v>
      </c>
    </row>
    <row r="21038">
      <c r="H21038" s="8" t="s">
        <v>364</v>
      </c>
    </row>
    <row r="21039">
      <c r="H21039" s="8" t="s">
        <v>364</v>
      </c>
    </row>
    <row r="21040">
      <c r="H21040" s="8" t="s">
        <v>364</v>
      </c>
    </row>
    <row r="21041">
      <c r="H21041" s="8" t="s">
        <v>364</v>
      </c>
    </row>
    <row r="21042">
      <c r="H21042" s="8" t="s">
        <v>364</v>
      </c>
    </row>
    <row r="21043">
      <c r="H21043" s="8" t="s">
        <v>364</v>
      </c>
    </row>
    <row r="21044">
      <c r="H21044" s="8" t="s">
        <v>364</v>
      </c>
    </row>
    <row r="21045">
      <c r="H21045" s="8" t="s">
        <v>364</v>
      </c>
    </row>
    <row r="21046">
      <c r="H21046" s="8" t="s">
        <v>364</v>
      </c>
    </row>
    <row r="21047">
      <c r="H21047" s="8" t="s">
        <v>364</v>
      </c>
    </row>
    <row r="21048">
      <c r="H21048" s="8" t="s">
        <v>364</v>
      </c>
    </row>
    <row r="21049">
      <c r="H21049" s="8" t="s">
        <v>364</v>
      </c>
    </row>
    <row r="21050">
      <c r="H21050" s="8" t="s">
        <v>364</v>
      </c>
    </row>
    <row r="21051">
      <c r="H21051" s="8" t="s">
        <v>364</v>
      </c>
    </row>
    <row r="21052">
      <c r="H21052" s="8" t="s">
        <v>364</v>
      </c>
    </row>
    <row r="21053">
      <c r="H21053" s="8" t="s">
        <v>364</v>
      </c>
    </row>
    <row r="21054">
      <c r="H21054" s="8" t="s">
        <v>364</v>
      </c>
    </row>
    <row r="21055">
      <c r="H21055" s="8" t="s">
        <v>364</v>
      </c>
    </row>
    <row r="21056">
      <c r="H21056" s="8" t="s">
        <v>364</v>
      </c>
    </row>
    <row r="21057">
      <c r="H21057" s="8" t="s">
        <v>364</v>
      </c>
    </row>
    <row r="21058">
      <c r="H21058" s="8" t="s">
        <v>364</v>
      </c>
    </row>
    <row r="21059">
      <c r="H21059" s="8" t="s">
        <v>364</v>
      </c>
    </row>
    <row r="21060">
      <c r="H21060" s="8" t="s">
        <v>364</v>
      </c>
    </row>
    <row r="21061">
      <c r="H21061" s="8" t="s">
        <v>364</v>
      </c>
    </row>
    <row r="21062">
      <c r="H21062" s="8" t="s">
        <v>364</v>
      </c>
    </row>
    <row r="21063">
      <c r="H21063" s="8" t="s">
        <v>364</v>
      </c>
    </row>
    <row r="21064">
      <c r="H21064" s="8" t="s">
        <v>364</v>
      </c>
    </row>
    <row r="21065">
      <c r="H21065" s="8" t="s">
        <v>364</v>
      </c>
    </row>
    <row r="21066">
      <c r="H21066" s="8" t="s">
        <v>364</v>
      </c>
    </row>
    <row r="21067">
      <c r="H21067" s="8" t="s">
        <v>364</v>
      </c>
    </row>
    <row r="21068">
      <c r="H21068" s="8" t="s">
        <v>364</v>
      </c>
    </row>
    <row r="21069">
      <c r="H21069" s="8" t="s">
        <v>364</v>
      </c>
    </row>
    <row r="21070">
      <c r="H21070" s="8" t="s">
        <v>364</v>
      </c>
    </row>
    <row r="21071">
      <c r="H21071" s="8" t="s">
        <v>364</v>
      </c>
    </row>
    <row r="21072">
      <c r="H21072" s="8" t="s">
        <v>364</v>
      </c>
    </row>
    <row r="21073">
      <c r="H21073" s="8" t="s">
        <v>364</v>
      </c>
    </row>
    <row r="21074">
      <c r="H21074" s="8" t="s">
        <v>364</v>
      </c>
    </row>
    <row r="21075">
      <c r="H21075" s="8" t="s">
        <v>364</v>
      </c>
    </row>
    <row r="21076">
      <c r="H21076" s="8" t="s">
        <v>364</v>
      </c>
    </row>
    <row r="21077">
      <c r="H21077" s="8" t="s">
        <v>364</v>
      </c>
    </row>
    <row r="21078">
      <c r="H21078" s="8" t="s">
        <v>364</v>
      </c>
    </row>
    <row r="21079">
      <c r="H21079" s="8" t="s">
        <v>364</v>
      </c>
    </row>
    <row r="21080">
      <c r="H21080" s="8" t="s">
        <v>364</v>
      </c>
    </row>
    <row r="21081">
      <c r="H21081" s="8" t="s">
        <v>364</v>
      </c>
    </row>
    <row r="21082">
      <c r="H21082" s="8" t="s">
        <v>364</v>
      </c>
    </row>
    <row r="21083">
      <c r="H21083" s="8" t="s">
        <v>364</v>
      </c>
    </row>
    <row r="21084">
      <c r="H21084" s="8" t="s">
        <v>364</v>
      </c>
    </row>
    <row r="21085">
      <c r="H21085" s="8" t="s">
        <v>364</v>
      </c>
    </row>
    <row r="21086">
      <c r="H21086" s="8" t="s">
        <v>364</v>
      </c>
    </row>
    <row r="21087">
      <c r="H21087" s="8" t="s">
        <v>364</v>
      </c>
    </row>
    <row r="21088">
      <c r="H21088" s="8" t="s">
        <v>364</v>
      </c>
    </row>
    <row r="21089">
      <c r="H21089" s="8" t="s">
        <v>364</v>
      </c>
    </row>
    <row r="21090">
      <c r="H21090" s="8" t="s">
        <v>364</v>
      </c>
    </row>
    <row r="21091">
      <c r="H21091" s="8" t="s">
        <v>364</v>
      </c>
    </row>
    <row r="21092">
      <c r="H21092" s="8" t="s">
        <v>364</v>
      </c>
    </row>
    <row r="21093">
      <c r="H21093" s="8" t="s">
        <v>364</v>
      </c>
    </row>
    <row r="21094">
      <c r="H21094" s="8" t="s">
        <v>364</v>
      </c>
    </row>
    <row r="21095">
      <c r="H21095" s="8" t="s">
        <v>364</v>
      </c>
    </row>
    <row r="21096">
      <c r="H21096" s="8" t="s">
        <v>364</v>
      </c>
    </row>
    <row r="21097">
      <c r="H21097" s="8" t="s">
        <v>364</v>
      </c>
    </row>
    <row r="21098">
      <c r="H21098" s="8" t="s">
        <v>364</v>
      </c>
    </row>
    <row r="21099">
      <c r="H21099" s="8" t="s">
        <v>364</v>
      </c>
    </row>
    <row r="21100">
      <c r="H21100" s="8" t="s">
        <v>364</v>
      </c>
    </row>
    <row r="21101">
      <c r="H21101" s="8" t="s">
        <v>364</v>
      </c>
    </row>
    <row r="21102">
      <c r="H21102" s="8" t="s">
        <v>364</v>
      </c>
    </row>
    <row r="21103">
      <c r="H21103" s="8" t="s">
        <v>364</v>
      </c>
    </row>
    <row r="21104">
      <c r="H21104" s="8" t="s">
        <v>364</v>
      </c>
    </row>
    <row r="21105">
      <c r="H21105" s="8" t="s">
        <v>364</v>
      </c>
    </row>
    <row r="21106">
      <c r="H21106" s="8" t="s">
        <v>364</v>
      </c>
    </row>
    <row r="21107">
      <c r="H21107" s="8" t="s">
        <v>364</v>
      </c>
    </row>
    <row r="21108">
      <c r="H21108" s="8" t="s">
        <v>364</v>
      </c>
    </row>
    <row r="21109">
      <c r="H21109" s="8" t="s">
        <v>364</v>
      </c>
    </row>
    <row r="21110">
      <c r="H21110" s="8" t="s">
        <v>364</v>
      </c>
    </row>
    <row r="21111">
      <c r="H21111" s="8" t="s">
        <v>364</v>
      </c>
    </row>
    <row r="21112">
      <c r="H21112" s="8" t="s">
        <v>364</v>
      </c>
    </row>
    <row r="21113">
      <c r="H21113" s="8" t="s">
        <v>364</v>
      </c>
    </row>
    <row r="21114">
      <c r="H21114" s="8" t="s">
        <v>364</v>
      </c>
    </row>
    <row r="21115">
      <c r="H21115" s="8" t="s">
        <v>364</v>
      </c>
    </row>
    <row r="21116">
      <c r="H21116" s="8" t="s">
        <v>364</v>
      </c>
    </row>
    <row r="21117">
      <c r="H21117" s="8" t="s">
        <v>364</v>
      </c>
    </row>
    <row r="21118">
      <c r="H21118" s="8" t="s">
        <v>364</v>
      </c>
    </row>
    <row r="21119">
      <c r="H21119" s="8" t="s">
        <v>364</v>
      </c>
    </row>
    <row r="21120">
      <c r="H21120" s="8" t="s">
        <v>364</v>
      </c>
    </row>
    <row r="21121">
      <c r="H21121" s="8" t="s">
        <v>364</v>
      </c>
    </row>
    <row r="21122">
      <c r="H21122" s="8" t="s">
        <v>364</v>
      </c>
    </row>
    <row r="21123">
      <c r="H21123" s="8" t="s">
        <v>364</v>
      </c>
    </row>
    <row r="21124">
      <c r="H21124" s="8" t="s">
        <v>364</v>
      </c>
    </row>
    <row r="21125">
      <c r="H21125" s="8" t="s">
        <v>364</v>
      </c>
    </row>
    <row r="21126">
      <c r="H21126" s="8" t="s">
        <v>364</v>
      </c>
    </row>
    <row r="21127">
      <c r="H21127" s="8" t="s">
        <v>364</v>
      </c>
    </row>
    <row r="21128">
      <c r="H21128" s="8" t="s">
        <v>364</v>
      </c>
    </row>
    <row r="21129">
      <c r="H21129" s="8" t="s">
        <v>364</v>
      </c>
    </row>
    <row r="21130">
      <c r="H21130" s="8" t="s">
        <v>364</v>
      </c>
    </row>
    <row r="21131">
      <c r="H21131" s="8" t="s">
        <v>364</v>
      </c>
    </row>
    <row r="21132">
      <c r="H21132" s="8" t="s">
        <v>364</v>
      </c>
    </row>
    <row r="21133">
      <c r="H21133" s="8" t="s">
        <v>364</v>
      </c>
    </row>
    <row r="21134">
      <c r="H21134" s="8" t="s">
        <v>364</v>
      </c>
    </row>
    <row r="21135">
      <c r="H21135" s="8" t="s">
        <v>364</v>
      </c>
    </row>
    <row r="21136">
      <c r="H21136" s="8" t="s">
        <v>364</v>
      </c>
    </row>
    <row r="21137">
      <c r="H21137" s="8" t="s">
        <v>364</v>
      </c>
    </row>
    <row r="21138">
      <c r="H21138" s="8" t="s">
        <v>364</v>
      </c>
    </row>
    <row r="21139">
      <c r="H21139" s="8" t="s">
        <v>364</v>
      </c>
    </row>
    <row r="21140">
      <c r="H21140" s="8" t="s">
        <v>364</v>
      </c>
    </row>
    <row r="21141">
      <c r="H21141" s="8" t="s">
        <v>364</v>
      </c>
    </row>
    <row r="21142">
      <c r="H21142" s="8" t="s">
        <v>364</v>
      </c>
    </row>
    <row r="21143">
      <c r="H21143" s="8" t="s">
        <v>364</v>
      </c>
    </row>
    <row r="21144">
      <c r="H21144" s="8" t="s">
        <v>364</v>
      </c>
    </row>
    <row r="21145">
      <c r="H21145" s="8" t="s">
        <v>364</v>
      </c>
    </row>
    <row r="21146">
      <c r="H21146" s="8" t="s">
        <v>364</v>
      </c>
    </row>
    <row r="21147">
      <c r="H21147" s="8" t="s">
        <v>364</v>
      </c>
    </row>
    <row r="21148">
      <c r="H21148" s="8" t="s">
        <v>364</v>
      </c>
    </row>
    <row r="21149">
      <c r="H21149" s="8" t="s">
        <v>364</v>
      </c>
    </row>
    <row r="21150">
      <c r="H21150" s="8" t="s">
        <v>364</v>
      </c>
    </row>
    <row r="21151">
      <c r="H21151" s="8" t="s">
        <v>364</v>
      </c>
    </row>
    <row r="21152">
      <c r="H21152" s="8" t="s">
        <v>364</v>
      </c>
    </row>
    <row r="21153">
      <c r="H21153" s="8" t="s">
        <v>364</v>
      </c>
    </row>
    <row r="21154">
      <c r="H21154" s="8" t="s">
        <v>364</v>
      </c>
    </row>
    <row r="21155">
      <c r="H21155" s="8" t="s">
        <v>364</v>
      </c>
    </row>
    <row r="21156">
      <c r="H21156" s="8" t="s">
        <v>364</v>
      </c>
    </row>
    <row r="21157">
      <c r="H21157" s="8" t="s">
        <v>364</v>
      </c>
    </row>
    <row r="21158">
      <c r="H21158" s="8" t="s">
        <v>364</v>
      </c>
    </row>
    <row r="21159">
      <c r="H21159" s="8" t="s">
        <v>364</v>
      </c>
    </row>
    <row r="21160">
      <c r="H21160" s="8" t="s">
        <v>364</v>
      </c>
    </row>
    <row r="21161">
      <c r="H21161" s="8" t="s">
        <v>364</v>
      </c>
    </row>
    <row r="21162">
      <c r="H21162" s="8" t="s">
        <v>364</v>
      </c>
    </row>
    <row r="21163">
      <c r="H21163" s="8" t="s">
        <v>364</v>
      </c>
    </row>
    <row r="21164">
      <c r="H21164" s="8" t="s">
        <v>364</v>
      </c>
    </row>
    <row r="21165">
      <c r="H21165" s="8" t="s">
        <v>364</v>
      </c>
    </row>
    <row r="21166">
      <c r="H21166" s="8" t="s">
        <v>364</v>
      </c>
    </row>
    <row r="21167">
      <c r="H21167" s="8" t="s">
        <v>364</v>
      </c>
    </row>
    <row r="21168">
      <c r="H21168" s="8" t="s">
        <v>364</v>
      </c>
    </row>
    <row r="21169">
      <c r="H21169" s="8" t="s">
        <v>364</v>
      </c>
    </row>
    <row r="21170">
      <c r="H21170" s="8" t="s">
        <v>364</v>
      </c>
    </row>
    <row r="21171">
      <c r="H21171" s="8" t="s">
        <v>364</v>
      </c>
    </row>
    <row r="21172">
      <c r="H21172" s="8" t="s">
        <v>364</v>
      </c>
    </row>
    <row r="21173">
      <c r="H21173" s="8" t="s">
        <v>364</v>
      </c>
    </row>
    <row r="21174">
      <c r="H21174" s="8" t="s">
        <v>364</v>
      </c>
    </row>
    <row r="21175">
      <c r="H21175" s="8" t="s">
        <v>364</v>
      </c>
    </row>
    <row r="21176">
      <c r="H21176" s="8" t="s">
        <v>364</v>
      </c>
    </row>
    <row r="21177">
      <c r="H21177" s="8" t="s">
        <v>364</v>
      </c>
    </row>
    <row r="21178">
      <c r="H21178" s="8" t="s">
        <v>364</v>
      </c>
    </row>
    <row r="21179">
      <c r="H21179" s="8" t="s">
        <v>364</v>
      </c>
    </row>
    <row r="21180">
      <c r="H21180" s="8" t="s">
        <v>364</v>
      </c>
    </row>
    <row r="21181">
      <c r="H21181" s="8" t="s">
        <v>364</v>
      </c>
    </row>
    <row r="21182">
      <c r="H21182" s="8" t="s">
        <v>364</v>
      </c>
    </row>
    <row r="21183">
      <c r="H21183" s="8" t="s">
        <v>364</v>
      </c>
    </row>
    <row r="21184">
      <c r="H21184" s="8" t="s">
        <v>364</v>
      </c>
    </row>
    <row r="21185">
      <c r="H21185" s="8" t="s">
        <v>364</v>
      </c>
    </row>
    <row r="21186">
      <c r="H21186" s="8" t="s">
        <v>364</v>
      </c>
    </row>
    <row r="21187">
      <c r="H21187" s="8" t="s">
        <v>364</v>
      </c>
    </row>
    <row r="21188">
      <c r="H21188" s="8" t="s">
        <v>364</v>
      </c>
    </row>
    <row r="21189">
      <c r="H21189" s="8" t="s">
        <v>364</v>
      </c>
    </row>
    <row r="21190">
      <c r="H21190" s="8" t="s">
        <v>364</v>
      </c>
    </row>
    <row r="21191">
      <c r="H21191" s="8" t="s">
        <v>364</v>
      </c>
    </row>
    <row r="21192">
      <c r="H21192" s="8" t="s">
        <v>364</v>
      </c>
    </row>
    <row r="21193">
      <c r="H21193" s="8" t="s">
        <v>364</v>
      </c>
    </row>
    <row r="21194">
      <c r="H21194" s="8" t="s">
        <v>364</v>
      </c>
    </row>
    <row r="21195">
      <c r="H21195" s="8" t="s">
        <v>364</v>
      </c>
    </row>
    <row r="21196">
      <c r="H21196" s="8" t="s">
        <v>364</v>
      </c>
    </row>
    <row r="21197">
      <c r="H21197" s="8" t="s">
        <v>364</v>
      </c>
    </row>
    <row r="21198">
      <c r="H21198" s="8" t="s">
        <v>364</v>
      </c>
    </row>
    <row r="21199">
      <c r="H21199" s="8" t="s">
        <v>364</v>
      </c>
    </row>
    <row r="21200">
      <c r="H21200" s="8" t="s">
        <v>364</v>
      </c>
    </row>
    <row r="21201">
      <c r="H21201" s="8" t="s">
        <v>364</v>
      </c>
    </row>
    <row r="21202">
      <c r="H21202" s="8" t="s">
        <v>364</v>
      </c>
    </row>
    <row r="21203">
      <c r="H21203" s="8" t="s">
        <v>364</v>
      </c>
    </row>
    <row r="21204">
      <c r="H21204" s="8" t="s">
        <v>364</v>
      </c>
    </row>
    <row r="21205">
      <c r="H21205" s="8" t="s">
        <v>364</v>
      </c>
    </row>
    <row r="21206">
      <c r="H21206" s="8" t="s">
        <v>364</v>
      </c>
    </row>
    <row r="21207">
      <c r="H21207" s="8" t="s">
        <v>364</v>
      </c>
    </row>
    <row r="21208">
      <c r="H21208" s="8" t="s">
        <v>364</v>
      </c>
    </row>
    <row r="21209">
      <c r="H21209" s="8" t="s">
        <v>364</v>
      </c>
    </row>
    <row r="21210">
      <c r="H21210" s="8" t="s">
        <v>364</v>
      </c>
    </row>
    <row r="21211">
      <c r="H21211" s="8" t="s">
        <v>364</v>
      </c>
    </row>
    <row r="21212">
      <c r="H21212" s="8" t="s">
        <v>364</v>
      </c>
    </row>
    <row r="21213">
      <c r="H21213" s="8" t="s">
        <v>364</v>
      </c>
    </row>
    <row r="21214">
      <c r="H21214" s="8" t="s">
        <v>364</v>
      </c>
    </row>
    <row r="21215">
      <c r="H21215" s="8" t="s">
        <v>364</v>
      </c>
    </row>
    <row r="21216">
      <c r="H21216" s="8" t="s">
        <v>364</v>
      </c>
    </row>
    <row r="21217">
      <c r="H21217" s="8" t="s">
        <v>364</v>
      </c>
    </row>
    <row r="21218">
      <c r="H21218" s="8" t="s">
        <v>364</v>
      </c>
    </row>
    <row r="21219">
      <c r="H21219" s="8" t="s">
        <v>364</v>
      </c>
    </row>
    <row r="21220">
      <c r="H21220" s="8" t="s">
        <v>364</v>
      </c>
    </row>
    <row r="21221">
      <c r="H21221" s="8" t="s">
        <v>364</v>
      </c>
    </row>
    <row r="21222">
      <c r="H21222" s="8" t="s">
        <v>364</v>
      </c>
    </row>
    <row r="21223">
      <c r="H21223" s="8" t="s">
        <v>364</v>
      </c>
    </row>
    <row r="21224">
      <c r="H21224" s="8" t="s">
        <v>364</v>
      </c>
    </row>
    <row r="21225">
      <c r="H21225" s="8" t="s">
        <v>364</v>
      </c>
    </row>
    <row r="21226">
      <c r="H21226" s="8" t="s">
        <v>364</v>
      </c>
    </row>
    <row r="21227">
      <c r="H21227" s="8" t="s">
        <v>364</v>
      </c>
    </row>
    <row r="21228">
      <c r="H21228" s="8" t="s">
        <v>364</v>
      </c>
    </row>
    <row r="21229">
      <c r="H21229" s="8" t="s">
        <v>364</v>
      </c>
    </row>
    <row r="21230">
      <c r="H21230" s="8" t="s">
        <v>364</v>
      </c>
    </row>
    <row r="21231">
      <c r="H21231" s="8" t="s">
        <v>364</v>
      </c>
    </row>
    <row r="21232">
      <c r="H21232" s="8" t="s">
        <v>364</v>
      </c>
    </row>
    <row r="21233">
      <c r="H21233" s="8" t="s">
        <v>364</v>
      </c>
    </row>
    <row r="21234">
      <c r="H21234" s="8" t="s">
        <v>364</v>
      </c>
    </row>
    <row r="21235">
      <c r="H21235" s="8" t="s">
        <v>364</v>
      </c>
    </row>
    <row r="21236">
      <c r="H21236" s="8" t="s">
        <v>364</v>
      </c>
    </row>
    <row r="21237">
      <c r="H21237" s="8" t="s">
        <v>364</v>
      </c>
    </row>
    <row r="21238">
      <c r="H21238" s="8" t="s">
        <v>364</v>
      </c>
    </row>
    <row r="21239">
      <c r="H21239" s="8" t="s">
        <v>364</v>
      </c>
    </row>
    <row r="21240">
      <c r="H21240" s="8" t="s">
        <v>364</v>
      </c>
    </row>
    <row r="21241">
      <c r="H21241" s="8" t="s">
        <v>364</v>
      </c>
    </row>
    <row r="21242">
      <c r="H21242" s="8" t="s">
        <v>364</v>
      </c>
    </row>
    <row r="21243">
      <c r="H21243" s="8" t="s">
        <v>364</v>
      </c>
    </row>
    <row r="21244">
      <c r="H21244" s="8" t="s">
        <v>364</v>
      </c>
    </row>
    <row r="21245">
      <c r="H21245" s="8" t="s">
        <v>364</v>
      </c>
    </row>
    <row r="21246">
      <c r="H21246" s="8" t="s">
        <v>364</v>
      </c>
    </row>
    <row r="21247">
      <c r="H21247" s="8" t="s">
        <v>364</v>
      </c>
    </row>
    <row r="21248">
      <c r="H21248" s="8" t="s">
        <v>364</v>
      </c>
    </row>
    <row r="21249">
      <c r="H21249" s="8" t="s">
        <v>364</v>
      </c>
    </row>
    <row r="21250">
      <c r="H21250" s="8" t="s">
        <v>364</v>
      </c>
    </row>
    <row r="21251">
      <c r="H21251" s="8" t="s">
        <v>364</v>
      </c>
    </row>
    <row r="21252">
      <c r="H21252" s="8" t="s">
        <v>364</v>
      </c>
    </row>
    <row r="21253">
      <c r="H21253" s="8" t="s">
        <v>364</v>
      </c>
    </row>
    <row r="21254">
      <c r="H21254" s="8" t="s">
        <v>364</v>
      </c>
    </row>
    <row r="21255">
      <c r="H21255" s="8" t="s">
        <v>364</v>
      </c>
    </row>
    <row r="21256">
      <c r="H21256" s="8" t="s">
        <v>364</v>
      </c>
    </row>
    <row r="21257">
      <c r="H21257" s="8" t="s">
        <v>364</v>
      </c>
    </row>
    <row r="21258">
      <c r="H21258" s="8" t="s">
        <v>364</v>
      </c>
    </row>
    <row r="21259">
      <c r="H21259" s="8" t="s">
        <v>364</v>
      </c>
    </row>
    <row r="21260">
      <c r="H21260" s="8" t="s">
        <v>364</v>
      </c>
    </row>
    <row r="21261">
      <c r="H21261" s="8" t="s">
        <v>364</v>
      </c>
    </row>
    <row r="21262">
      <c r="H21262" s="8" t="s">
        <v>364</v>
      </c>
    </row>
    <row r="21263">
      <c r="H21263" s="8" t="s">
        <v>364</v>
      </c>
    </row>
    <row r="21264">
      <c r="H21264" s="8" t="s">
        <v>364</v>
      </c>
    </row>
    <row r="21265">
      <c r="H21265" s="8" t="s">
        <v>364</v>
      </c>
    </row>
    <row r="21266">
      <c r="H21266" s="8" t="s">
        <v>364</v>
      </c>
    </row>
    <row r="21267">
      <c r="H21267" s="8" t="s">
        <v>364</v>
      </c>
    </row>
    <row r="21268">
      <c r="H21268" s="8" t="s">
        <v>364</v>
      </c>
    </row>
    <row r="21269">
      <c r="H21269" s="8" t="s">
        <v>364</v>
      </c>
    </row>
    <row r="21270">
      <c r="H21270" s="8" t="s">
        <v>364</v>
      </c>
    </row>
    <row r="21271">
      <c r="H21271" s="8" t="s">
        <v>364</v>
      </c>
    </row>
    <row r="21272">
      <c r="H21272" s="8" t="s">
        <v>364</v>
      </c>
    </row>
    <row r="21273">
      <c r="H21273" s="8" t="s">
        <v>364</v>
      </c>
    </row>
    <row r="21274">
      <c r="H21274" s="8" t="s">
        <v>364</v>
      </c>
    </row>
    <row r="21275">
      <c r="H21275" s="8" t="s">
        <v>364</v>
      </c>
    </row>
    <row r="21276">
      <c r="H21276" s="8" t="s">
        <v>364</v>
      </c>
    </row>
    <row r="21277">
      <c r="H21277" s="8" t="s">
        <v>364</v>
      </c>
    </row>
    <row r="21278">
      <c r="H21278" s="8" t="s">
        <v>364</v>
      </c>
    </row>
    <row r="21279">
      <c r="H21279" s="8" t="s">
        <v>364</v>
      </c>
    </row>
    <row r="21280">
      <c r="H21280" s="8" t="s">
        <v>364</v>
      </c>
    </row>
    <row r="21281">
      <c r="H21281" s="8" t="s">
        <v>364</v>
      </c>
    </row>
    <row r="21282">
      <c r="H21282" s="8" t="s">
        <v>364</v>
      </c>
    </row>
    <row r="21283">
      <c r="H21283" s="8" t="s">
        <v>364</v>
      </c>
    </row>
    <row r="21284">
      <c r="H21284" s="8" t="s">
        <v>364</v>
      </c>
    </row>
    <row r="21285">
      <c r="H21285" s="8" t="s">
        <v>364</v>
      </c>
    </row>
    <row r="21286">
      <c r="H21286" s="8" t="s">
        <v>364</v>
      </c>
    </row>
    <row r="21287">
      <c r="H21287" s="8" t="s">
        <v>364</v>
      </c>
    </row>
    <row r="21288">
      <c r="H21288" s="8" t="s">
        <v>364</v>
      </c>
    </row>
    <row r="21289">
      <c r="H21289" s="8" t="s">
        <v>364</v>
      </c>
    </row>
    <row r="21290">
      <c r="H21290" s="8" t="s">
        <v>364</v>
      </c>
    </row>
    <row r="21291">
      <c r="H21291" s="8" t="s">
        <v>364</v>
      </c>
    </row>
    <row r="21292">
      <c r="H21292" s="8" t="s">
        <v>364</v>
      </c>
    </row>
    <row r="21293">
      <c r="H21293" s="8" t="s">
        <v>364</v>
      </c>
    </row>
    <row r="21294">
      <c r="H21294" s="8" t="s">
        <v>364</v>
      </c>
    </row>
    <row r="21295">
      <c r="H21295" s="8" t="s">
        <v>364</v>
      </c>
    </row>
    <row r="21296">
      <c r="H21296" s="8" t="s">
        <v>364</v>
      </c>
    </row>
    <row r="21297">
      <c r="H21297" s="8" t="s">
        <v>364</v>
      </c>
    </row>
    <row r="21298">
      <c r="H21298" s="8" t="s">
        <v>364</v>
      </c>
    </row>
    <row r="21299">
      <c r="H21299" s="8" t="s">
        <v>364</v>
      </c>
    </row>
    <row r="21300">
      <c r="H21300" s="8" t="s">
        <v>364</v>
      </c>
    </row>
    <row r="21301">
      <c r="H21301" s="8" t="s">
        <v>364</v>
      </c>
    </row>
    <row r="21302">
      <c r="H21302" s="8" t="s">
        <v>364</v>
      </c>
    </row>
    <row r="21303">
      <c r="H21303" s="8" t="s">
        <v>364</v>
      </c>
    </row>
    <row r="21304">
      <c r="H21304" s="8" t="s">
        <v>364</v>
      </c>
    </row>
    <row r="21305">
      <c r="H21305" s="8" t="s">
        <v>364</v>
      </c>
    </row>
    <row r="21306">
      <c r="H21306" s="8" t="s">
        <v>364</v>
      </c>
    </row>
    <row r="21307">
      <c r="H21307" s="8" t="s">
        <v>364</v>
      </c>
    </row>
    <row r="21308">
      <c r="H21308" s="8" t="s">
        <v>364</v>
      </c>
    </row>
    <row r="21309">
      <c r="H21309" s="8" t="s">
        <v>364</v>
      </c>
    </row>
    <row r="21310">
      <c r="H21310" s="8" t="s">
        <v>364</v>
      </c>
    </row>
    <row r="21311">
      <c r="H21311" s="8" t="s">
        <v>364</v>
      </c>
    </row>
    <row r="21312">
      <c r="H21312" s="8" t="s">
        <v>364</v>
      </c>
    </row>
    <row r="21313">
      <c r="H21313" s="8" t="s">
        <v>364</v>
      </c>
    </row>
    <row r="21314">
      <c r="H21314" s="8" t="s">
        <v>364</v>
      </c>
    </row>
    <row r="21315">
      <c r="H21315" s="8" t="s">
        <v>364</v>
      </c>
    </row>
    <row r="21316">
      <c r="H21316" s="8" t="s">
        <v>364</v>
      </c>
    </row>
    <row r="21317">
      <c r="H21317" s="8" t="s">
        <v>364</v>
      </c>
    </row>
    <row r="21318">
      <c r="H21318" s="8" t="s">
        <v>364</v>
      </c>
    </row>
    <row r="21319">
      <c r="H21319" s="8" t="s">
        <v>364</v>
      </c>
    </row>
    <row r="21320">
      <c r="H21320" s="8" t="s">
        <v>364</v>
      </c>
    </row>
    <row r="21321">
      <c r="H21321" s="8" t="s">
        <v>364</v>
      </c>
    </row>
    <row r="21322">
      <c r="H21322" s="8" t="s">
        <v>364</v>
      </c>
    </row>
    <row r="21323">
      <c r="H21323" s="8" t="s">
        <v>364</v>
      </c>
    </row>
    <row r="21324">
      <c r="H21324" s="8" t="s">
        <v>364</v>
      </c>
    </row>
    <row r="21325">
      <c r="H21325" s="8" t="s">
        <v>364</v>
      </c>
    </row>
    <row r="21326">
      <c r="H21326" s="8" t="s">
        <v>364</v>
      </c>
    </row>
    <row r="21327">
      <c r="H21327" s="8" t="s">
        <v>364</v>
      </c>
    </row>
    <row r="21328">
      <c r="H21328" s="8" t="s">
        <v>364</v>
      </c>
    </row>
    <row r="21329">
      <c r="H21329" s="8" t="s">
        <v>364</v>
      </c>
    </row>
    <row r="21330">
      <c r="H21330" s="8" t="s">
        <v>364</v>
      </c>
    </row>
    <row r="21331">
      <c r="H21331" s="8" t="s">
        <v>364</v>
      </c>
    </row>
    <row r="21332">
      <c r="H21332" s="8" t="s">
        <v>364</v>
      </c>
    </row>
    <row r="21333">
      <c r="H21333" s="8" t="s">
        <v>364</v>
      </c>
    </row>
    <row r="21334">
      <c r="H21334" s="8" t="s">
        <v>364</v>
      </c>
    </row>
    <row r="21335">
      <c r="H21335" s="8" t="s">
        <v>364</v>
      </c>
    </row>
    <row r="21336">
      <c r="H21336" s="8" t="s">
        <v>364</v>
      </c>
    </row>
    <row r="21337">
      <c r="H21337" s="8" t="s">
        <v>364</v>
      </c>
    </row>
    <row r="21338">
      <c r="H21338" s="8" t="s">
        <v>364</v>
      </c>
    </row>
    <row r="21339">
      <c r="H21339" s="8" t="s">
        <v>364</v>
      </c>
    </row>
    <row r="21340">
      <c r="H21340" s="8" t="s">
        <v>364</v>
      </c>
    </row>
    <row r="21341">
      <c r="H21341" s="8" t="s">
        <v>364</v>
      </c>
    </row>
    <row r="21342">
      <c r="H21342" s="8" t="s">
        <v>364</v>
      </c>
    </row>
    <row r="21343">
      <c r="H21343" s="8" t="s">
        <v>364</v>
      </c>
    </row>
    <row r="21344">
      <c r="H21344" s="8" t="s">
        <v>364</v>
      </c>
    </row>
    <row r="21345">
      <c r="H21345" s="8" t="s">
        <v>364</v>
      </c>
    </row>
    <row r="21346">
      <c r="H21346" s="8" t="s">
        <v>364</v>
      </c>
    </row>
    <row r="21347">
      <c r="H21347" s="8" t="s">
        <v>364</v>
      </c>
    </row>
    <row r="21348">
      <c r="H21348" s="8" t="s">
        <v>364</v>
      </c>
    </row>
    <row r="21349">
      <c r="H21349" s="8" t="s">
        <v>364</v>
      </c>
    </row>
    <row r="21350">
      <c r="H21350" s="8" t="s">
        <v>364</v>
      </c>
    </row>
    <row r="21351">
      <c r="H21351" s="8" t="s">
        <v>364</v>
      </c>
    </row>
    <row r="21352">
      <c r="H21352" s="8" t="s">
        <v>364</v>
      </c>
    </row>
    <row r="21353">
      <c r="H21353" s="8" t="s">
        <v>364</v>
      </c>
    </row>
    <row r="21354">
      <c r="H21354" s="8" t="s">
        <v>364</v>
      </c>
    </row>
    <row r="21355">
      <c r="H21355" s="8" t="s">
        <v>364</v>
      </c>
    </row>
    <row r="21356">
      <c r="H21356" s="8" t="s">
        <v>364</v>
      </c>
    </row>
    <row r="21357">
      <c r="H21357" s="8" t="s">
        <v>364</v>
      </c>
    </row>
    <row r="21358">
      <c r="H21358" s="8" t="s">
        <v>364</v>
      </c>
    </row>
    <row r="21359">
      <c r="H21359" s="8" t="s">
        <v>364</v>
      </c>
    </row>
    <row r="21360">
      <c r="H21360" s="8" t="s">
        <v>364</v>
      </c>
    </row>
    <row r="21361">
      <c r="H21361" s="8" t="s">
        <v>364</v>
      </c>
    </row>
    <row r="21362">
      <c r="H21362" s="8" t="s">
        <v>364</v>
      </c>
    </row>
    <row r="21363">
      <c r="H21363" s="8" t="s">
        <v>364</v>
      </c>
    </row>
    <row r="21364">
      <c r="H21364" s="8" t="s">
        <v>364</v>
      </c>
    </row>
    <row r="21365">
      <c r="H21365" s="8" t="s">
        <v>364</v>
      </c>
    </row>
    <row r="21366">
      <c r="H21366" s="8" t="s">
        <v>364</v>
      </c>
    </row>
    <row r="21367">
      <c r="H21367" s="8" t="s">
        <v>364</v>
      </c>
    </row>
    <row r="21368">
      <c r="H21368" s="8" t="s">
        <v>364</v>
      </c>
    </row>
    <row r="21369">
      <c r="H21369" s="8" t="s">
        <v>364</v>
      </c>
    </row>
    <row r="21370">
      <c r="H21370" s="8" t="s">
        <v>364</v>
      </c>
    </row>
    <row r="21371">
      <c r="H21371" s="8" t="s">
        <v>364</v>
      </c>
    </row>
    <row r="21372">
      <c r="H21372" s="8" t="s">
        <v>364</v>
      </c>
    </row>
    <row r="21373">
      <c r="H21373" s="8" t="s">
        <v>364</v>
      </c>
    </row>
    <row r="21374">
      <c r="H21374" s="8" t="s">
        <v>364</v>
      </c>
    </row>
    <row r="21375">
      <c r="H21375" s="8" t="s">
        <v>364</v>
      </c>
    </row>
    <row r="21376">
      <c r="H21376" s="8" t="s">
        <v>364</v>
      </c>
    </row>
    <row r="21377">
      <c r="H21377" s="8" t="s">
        <v>364</v>
      </c>
    </row>
    <row r="21378">
      <c r="H21378" s="8" t="s">
        <v>364</v>
      </c>
    </row>
    <row r="21379">
      <c r="H21379" s="8" t="s">
        <v>364</v>
      </c>
    </row>
    <row r="21380">
      <c r="H21380" s="8" t="s">
        <v>364</v>
      </c>
    </row>
    <row r="21381">
      <c r="H21381" s="8" t="s">
        <v>364</v>
      </c>
    </row>
    <row r="21382">
      <c r="H21382" s="8" t="s">
        <v>364</v>
      </c>
    </row>
    <row r="21383">
      <c r="H21383" s="8" t="s">
        <v>364</v>
      </c>
    </row>
    <row r="21384">
      <c r="H21384" s="8" t="s">
        <v>364</v>
      </c>
    </row>
    <row r="21385">
      <c r="H21385" s="8" t="s">
        <v>364</v>
      </c>
    </row>
    <row r="21386">
      <c r="H21386" s="8" t="s">
        <v>364</v>
      </c>
    </row>
    <row r="21387">
      <c r="H21387" s="8" t="s">
        <v>364</v>
      </c>
    </row>
    <row r="21388">
      <c r="H21388" s="8" t="s">
        <v>364</v>
      </c>
    </row>
    <row r="21389">
      <c r="H21389" s="8" t="s">
        <v>364</v>
      </c>
    </row>
    <row r="21390">
      <c r="H21390" s="8" t="s">
        <v>364</v>
      </c>
    </row>
    <row r="21391">
      <c r="H21391" s="8" t="s">
        <v>364</v>
      </c>
    </row>
    <row r="21392">
      <c r="H21392" s="8" t="s">
        <v>364</v>
      </c>
    </row>
    <row r="21393">
      <c r="H21393" s="8" t="s">
        <v>364</v>
      </c>
    </row>
    <row r="21394">
      <c r="H21394" s="8" t="s">
        <v>364</v>
      </c>
    </row>
    <row r="21395">
      <c r="H21395" s="8" t="s">
        <v>364</v>
      </c>
    </row>
    <row r="21396">
      <c r="H21396" s="8" t="s">
        <v>364</v>
      </c>
    </row>
    <row r="21397">
      <c r="H21397" s="8" t="s">
        <v>364</v>
      </c>
    </row>
    <row r="21398">
      <c r="H21398" s="8" t="s">
        <v>364</v>
      </c>
    </row>
    <row r="21399">
      <c r="H21399" s="8" t="s">
        <v>364</v>
      </c>
    </row>
    <row r="21400">
      <c r="H21400" s="8" t="s">
        <v>364</v>
      </c>
    </row>
    <row r="21401">
      <c r="H21401" s="8" t="s">
        <v>364</v>
      </c>
    </row>
    <row r="21402">
      <c r="H21402" s="8" t="s">
        <v>364</v>
      </c>
    </row>
    <row r="21403">
      <c r="H21403" s="8" t="s">
        <v>364</v>
      </c>
    </row>
    <row r="21404">
      <c r="H21404" s="8" t="s">
        <v>364</v>
      </c>
    </row>
    <row r="21405">
      <c r="H21405" s="8" t="s">
        <v>364</v>
      </c>
    </row>
    <row r="21406">
      <c r="H21406" s="8" t="s">
        <v>364</v>
      </c>
    </row>
    <row r="21407">
      <c r="H21407" s="8" t="s">
        <v>364</v>
      </c>
    </row>
    <row r="21408">
      <c r="H21408" s="8" t="s">
        <v>364</v>
      </c>
    </row>
    <row r="21409">
      <c r="H21409" s="8" t="s">
        <v>364</v>
      </c>
    </row>
    <row r="21410">
      <c r="H21410" s="8" t="s">
        <v>364</v>
      </c>
    </row>
    <row r="21411">
      <c r="H21411" s="8" t="s">
        <v>364</v>
      </c>
    </row>
    <row r="21412">
      <c r="H21412" s="8" t="s">
        <v>364</v>
      </c>
    </row>
    <row r="21413">
      <c r="H21413" s="8" t="s">
        <v>364</v>
      </c>
    </row>
    <row r="21414">
      <c r="H21414" s="8" t="s">
        <v>364</v>
      </c>
    </row>
    <row r="21415">
      <c r="H21415" s="8" t="s">
        <v>364</v>
      </c>
    </row>
    <row r="21416">
      <c r="H21416" s="8" t="s">
        <v>364</v>
      </c>
    </row>
    <row r="21417">
      <c r="H21417" s="8" t="s">
        <v>364</v>
      </c>
    </row>
    <row r="21418">
      <c r="H21418" s="8" t="s">
        <v>364</v>
      </c>
    </row>
    <row r="21419">
      <c r="H21419" s="8" t="s">
        <v>364</v>
      </c>
    </row>
    <row r="21420">
      <c r="H21420" s="8" t="s">
        <v>364</v>
      </c>
    </row>
    <row r="21421">
      <c r="H21421" s="8" t="s">
        <v>364</v>
      </c>
    </row>
    <row r="21422">
      <c r="H21422" s="8" t="s">
        <v>364</v>
      </c>
    </row>
    <row r="21423">
      <c r="H21423" s="8" t="s">
        <v>364</v>
      </c>
    </row>
    <row r="21424">
      <c r="H21424" s="8" t="s">
        <v>364</v>
      </c>
    </row>
    <row r="21425">
      <c r="H21425" s="8" t="s">
        <v>364</v>
      </c>
    </row>
    <row r="21426">
      <c r="H21426" s="8" t="s">
        <v>364</v>
      </c>
    </row>
    <row r="21427">
      <c r="H21427" s="8" t="s">
        <v>364</v>
      </c>
    </row>
    <row r="21428">
      <c r="H21428" s="8" t="s">
        <v>364</v>
      </c>
    </row>
    <row r="21429">
      <c r="H21429" s="8" t="s">
        <v>364</v>
      </c>
    </row>
    <row r="21430">
      <c r="H21430" s="8" t="s">
        <v>364</v>
      </c>
    </row>
    <row r="21431">
      <c r="H21431" s="8" t="s">
        <v>364</v>
      </c>
    </row>
    <row r="21432">
      <c r="H21432" s="8" t="s">
        <v>364</v>
      </c>
    </row>
    <row r="21433">
      <c r="H21433" s="8" t="s">
        <v>364</v>
      </c>
    </row>
    <row r="21434">
      <c r="H21434" s="8" t="s">
        <v>364</v>
      </c>
    </row>
    <row r="21435">
      <c r="H21435" s="8" t="s">
        <v>364</v>
      </c>
    </row>
    <row r="21436">
      <c r="H21436" s="8" t="s">
        <v>364</v>
      </c>
    </row>
    <row r="21437">
      <c r="H21437" s="8" t="s">
        <v>364</v>
      </c>
    </row>
    <row r="21438">
      <c r="H21438" s="8" t="s">
        <v>364</v>
      </c>
    </row>
    <row r="21439">
      <c r="H21439" s="8" t="s">
        <v>364</v>
      </c>
    </row>
    <row r="21440">
      <c r="H21440" s="8" t="s">
        <v>364</v>
      </c>
    </row>
    <row r="21441">
      <c r="H21441" s="8" t="s">
        <v>364</v>
      </c>
    </row>
    <row r="21442">
      <c r="H21442" s="8" t="s">
        <v>364</v>
      </c>
    </row>
    <row r="21443">
      <c r="H21443" s="8" t="s">
        <v>364</v>
      </c>
    </row>
    <row r="21444">
      <c r="H21444" s="8" t="s">
        <v>364</v>
      </c>
    </row>
    <row r="21445">
      <c r="H21445" s="8" t="s">
        <v>364</v>
      </c>
    </row>
    <row r="21446">
      <c r="H21446" s="8" t="s">
        <v>364</v>
      </c>
    </row>
    <row r="21447">
      <c r="H21447" s="8" t="s">
        <v>364</v>
      </c>
    </row>
    <row r="21448">
      <c r="H21448" s="8" t="s">
        <v>364</v>
      </c>
    </row>
    <row r="21449">
      <c r="H21449" s="8" t="s">
        <v>364</v>
      </c>
    </row>
    <row r="21450">
      <c r="H21450" s="8" t="s">
        <v>364</v>
      </c>
    </row>
    <row r="21451">
      <c r="H21451" s="8" t="s">
        <v>364</v>
      </c>
    </row>
    <row r="21452">
      <c r="H21452" s="8" t="s">
        <v>364</v>
      </c>
    </row>
    <row r="21453">
      <c r="H21453" s="8" t="s">
        <v>364</v>
      </c>
    </row>
    <row r="21454">
      <c r="H21454" s="8" t="s">
        <v>364</v>
      </c>
    </row>
    <row r="21455">
      <c r="H21455" s="8" t="s">
        <v>364</v>
      </c>
    </row>
    <row r="21456">
      <c r="H21456" s="8" t="s">
        <v>364</v>
      </c>
    </row>
    <row r="21457">
      <c r="H21457" s="8" t="s">
        <v>364</v>
      </c>
    </row>
    <row r="21458">
      <c r="H21458" s="8" t="s">
        <v>364</v>
      </c>
    </row>
    <row r="21459">
      <c r="H21459" s="8" t="s">
        <v>364</v>
      </c>
    </row>
    <row r="21460">
      <c r="H21460" s="8" t="s">
        <v>364</v>
      </c>
    </row>
    <row r="21461">
      <c r="H21461" s="8" t="s">
        <v>364</v>
      </c>
    </row>
    <row r="21462">
      <c r="H21462" s="8" t="s">
        <v>364</v>
      </c>
    </row>
    <row r="21463">
      <c r="H21463" s="8" t="s">
        <v>364</v>
      </c>
    </row>
    <row r="21464">
      <c r="H21464" s="8" t="s">
        <v>364</v>
      </c>
    </row>
    <row r="21465">
      <c r="H21465" s="8" t="s">
        <v>364</v>
      </c>
    </row>
    <row r="21466">
      <c r="H21466" s="8" t="s">
        <v>364</v>
      </c>
    </row>
    <row r="21467">
      <c r="H21467" s="8" t="s">
        <v>364</v>
      </c>
    </row>
    <row r="21468">
      <c r="H21468" s="8" t="s">
        <v>364</v>
      </c>
    </row>
    <row r="21469">
      <c r="H21469" s="8" t="s">
        <v>364</v>
      </c>
    </row>
    <row r="21470">
      <c r="H21470" s="8" t="s">
        <v>364</v>
      </c>
    </row>
    <row r="21471">
      <c r="H21471" s="8" t="s">
        <v>364</v>
      </c>
    </row>
    <row r="21472">
      <c r="H21472" s="8" t="s">
        <v>364</v>
      </c>
    </row>
    <row r="21473">
      <c r="H21473" s="8" t="s">
        <v>364</v>
      </c>
    </row>
    <row r="21474">
      <c r="H21474" s="8" t="s">
        <v>364</v>
      </c>
    </row>
    <row r="21475">
      <c r="H21475" s="8" t="s">
        <v>364</v>
      </c>
    </row>
    <row r="21476">
      <c r="H21476" s="8" t="s">
        <v>364</v>
      </c>
    </row>
    <row r="21477">
      <c r="H21477" s="8" t="s">
        <v>364</v>
      </c>
    </row>
    <row r="21478">
      <c r="H21478" s="8" t="s">
        <v>364</v>
      </c>
    </row>
    <row r="21479">
      <c r="H21479" s="8" t="s">
        <v>364</v>
      </c>
    </row>
    <row r="21480">
      <c r="H21480" s="8" t="s">
        <v>364</v>
      </c>
    </row>
    <row r="21481">
      <c r="H21481" s="8" t="s">
        <v>364</v>
      </c>
    </row>
    <row r="21482">
      <c r="H21482" s="8" t="s">
        <v>364</v>
      </c>
    </row>
    <row r="21483">
      <c r="H21483" s="8" t="s">
        <v>364</v>
      </c>
    </row>
    <row r="21484">
      <c r="H21484" s="8" t="s">
        <v>364</v>
      </c>
    </row>
    <row r="21485">
      <c r="H21485" s="8" t="s">
        <v>364</v>
      </c>
    </row>
    <row r="21486">
      <c r="H21486" s="8" t="s">
        <v>364</v>
      </c>
    </row>
    <row r="21487">
      <c r="H21487" s="8" t="s">
        <v>364</v>
      </c>
    </row>
    <row r="21488">
      <c r="H21488" s="8" t="s">
        <v>364</v>
      </c>
    </row>
    <row r="21489">
      <c r="H21489" s="8" t="s">
        <v>364</v>
      </c>
    </row>
    <row r="21490">
      <c r="H21490" s="8" t="s">
        <v>364</v>
      </c>
    </row>
    <row r="21491">
      <c r="H21491" s="8" t="s">
        <v>364</v>
      </c>
    </row>
    <row r="21492">
      <c r="H21492" s="8" t="s">
        <v>364</v>
      </c>
    </row>
    <row r="21493">
      <c r="H21493" s="8" t="s">
        <v>364</v>
      </c>
    </row>
    <row r="21494">
      <c r="H21494" s="8" t="s">
        <v>364</v>
      </c>
    </row>
    <row r="21495">
      <c r="H21495" s="8" t="s">
        <v>364</v>
      </c>
    </row>
    <row r="21496">
      <c r="H21496" s="8" t="s">
        <v>364</v>
      </c>
    </row>
    <row r="21497">
      <c r="H21497" s="8" t="s">
        <v>364</v>
      </c>
    </row>
    <row r="21498">
      <c r="H21498" s="8" t="s">
        <v>364</v>
      </c>
    </row>
    <row r="21499">
      <c r="H21499" s="8" t="s">
        <v>364</v>
      </c>
    </row>
    <row r="21500">
      <c r="H21500" s="8" t="s">
        <v>364</v>
      </c>
    </row>
    <row r="21501">
      <c r="H21501" s="8" t="s">
        <v>364</v>
      </c>
    </row>
    <row r="21502">
      <c r="H21502" s="8" t="s">
        <v>364</v>
      </c>
    </row>
    <row r="21503">
      <c r="H21503" s="8" t="s">
        <v>364</v>
      </c>
    </row>
    <row r="21504">
      <c r="H21504" s="8" t="s">
        <v>364</v>
      </c>
    </row>
    <row r="21505">
      <c r="H21505" s="8" t="s">
        <v>364</v>
      </c>
    </row>
    <row r="21506">
      <c r="H21506" s="8" t="s">
        <v>364</v>
      </c>
    </row>
    <row r="21507">
      <c r="H21507" s="8" t="s">
        <v>364</v>
      </c>
    </row>
    <row r="21508">
      <c r="H21508" s="8" t="s">
        <v>364</v>
      </c>
    </row>
    <row r="21509">
      <c r="H21509" s="8" t="s">
        <v>364</v>
      </c>
    </row>
    <row r="21510">
      <c r="H21510" s="8" t="s">
        <v>364</v>
      </c>
    </row>
    <row r="21511">
      <c r="H21511" s="8" t="s">
        <v>364</v>
      </c>
    </row>
    <row r="21512">
      <c r="H21512" s="8" t="s">
        <v>364</v>
      </c>
    </row>
    <row r="21513">
      <c r="H21513" s="8" t="s">
        <v>364</v>
      </c>
    </row>
    <row r="21514">
      <c r="H21514" s="8" t="s">
        <v>364</v>
      </c>
    </row>
    <row r="21515">
      <c r="H21515" s="8" t="s">
        <v>364</v>
      </c>
    </row>
    <row r="21516">
      <c r="H21516" s="8" t="s">
        <v>364</v>
      </c>
    </row>
    <row r="21517">
      <c r="H21517" s="8" t="s">
        <v>364</v>
      </c>
    </row>
    <row r="21518">
      <c r="H21518" s="8" t="s">
        <v>364</v>
      </c>
    </row>
    <row r="21519">
      <c r="H21519" s="8" t="s">
        <v>364</v>
      </c>
    </row>
    <row r="21520">
      <c r="H21520" s="8" t="s">
        <v>364</v>
      </c>
    </row>
    <row r="21521">
      <c r="H21521" s="8" t="s">
        <v>364</v>
      </c>
    </row>
    <row r="21522">
      <c r="H21522" s="8" t="s">
        <v>364</v>
      </c>
    </row>
    <row r="21523">
      <c r="H21523" s="8" t="s">
        <v>364</v>
      </c>
    </row>
    <row r="21524">
      <c r="H21524" s="8" t="s">
        <v>364</v>
      </c>
    </row>
    <row r="21525">
      <c r="H21525" s="8" t="s">
        <v>364</v>
      </c>
    </row>
    <row r="21526">
      <c r="H21526" s="8" t="s">
        <v>364</v>
      </c>
    </row>
    <row r="21527">
      <c r="H21527" s="8" t="s">
        <v>364</v>
      </c>
    </row>
    <row r="21528">
      <c r="H21528" s="8" t="s">
        <v>364</v>
      </c>
    </row>
    <row r="21529">
      <c r="H21529" s="8" t="s">
        <v>364</v>
      </c>
    </row>
    <row r="21530">
      <c r="H21530" s="8" t="s">
        <v>364</v>
      </c>
    </row>
    <row r="21531">
      <c r="H21531" s="8" t="s">
        <v>364</v>
      </c>
    </row>
    <row r="21532">
      <c r="H21532" s="8" t="s">
        <v>364</v>
      </c>
    </row>
    <row r="21533">
      <c r="H21533" s="8" t="s">
        <v>364</v>
      </c>
    </row>
    <row r="21534">
      <c r="H21534" s="8" t="s">
        <v>364</v>
      </c>
    </row>
    <row r="21535">
      <c r="H21535" s="8" t="s">
        <v>364</v>
      </c>
    </row>
    <row r="21536">
      <c r="H21536" s="8" t="s">
        <v>364</v>
      </c>
    </row>
    <row r="21537">
      <c r="H21537" s="8" t="s">
        <v>364</v>
      </c>
    </row>
    <row r="21538">
      <c r="H21538" s="8" t="s">
        <v>364</v>
      </c>
    </row>
    <row r="21539">
      <c r="H21539" s="8" t="s">
        <v>364</v>
      </c>
    </row>
    <row r="21540">
      <c r="H21540" s="8" t="s">
        <v>364</v>
      </c>
    </row>
    <row r="21541">
      <c r="H21541" s="8" t="s">
        <v>364</v>
      </c>
    </row>
    <row r="21542">
      <c r="H21542" s="8" t="s">
        <v>364</v>
      </c>
    </row>
    <row r="21543">
      <c r="H21543" s="8" t="s">
        <v>364</v>
      </c>
    </row>
    <row r="21544">
      <c r="H21544" s="8" t="s">
        <v>364</v>
      </c>
    </row>
    <row r="21545">
      <c r="H21545" s="8" t="s">
        <v>364</v>
      </c>
    </row>
    <row r="21546">
      <c r="H21546" s="8" t="s">
        <v>364</v>
      </c>
    </row>
    <row r="21547">
      <c r="H21547" s="8" t="s">
        <v>364</v>
      </c>
    </row>
    <row r="21548">
      <c r="H21548" s="8" t="s">
        <v>364</v>
      </c>
    </row>
    <row r="21549">
      <c r="H21549" s="8" t="s">
        <v>364</v>
      </c>
    </row>
    <row r="21550">
      <c r="H21550" s="8" t="s">
        <v>364</v>
      </c>
    </row>
    <row r="21551">
      <c r="H21551" s="8" t="s">
        <v>364</v>
      </c>
    </row>
    <row r="21552">
      <c r="H21552" s="8" t="s">
        <v>364</v>
      </c>
    </row>
    <row r="21553">
      <c r="H21553" s="8" t="s">
        <v>364</v>
      </c>
    </row>
    <row r="21554">
      <c r="H21554" s="8" t="s">
        <v>364</v>
      </c>
    </row>
    <row r="21555">
      <c r="H21555" s="8" t="s">
        <v>364</v>
      </c>
    </row>
    <row r="21556">
      <c r="H21556" s="8" t="s">
        <v>364</v>
      </c>
    </row>
    <row r="21557">
      <c r="H21557" s="8" t="s">
        <v>364</v>
      </c>
    </row>
    <row r="21558">
      <c r="H21558" s="8" t="s">
        <v>364</v>
      </c>
    </row>
    <row r="21559">
      <c r="H21559" s="8" t="s">
        <v>364</v>
      </c>
    </row>
    <row r="21560">
      <c r="H21560" s="8" t="s">
        <v>364</v>
      </c>
    </row>
    <row r="21561">
      <c r="H21561" s="8" t="s">
        <v>364</v>
      </c>
    </row>
    <row r="21562">
      <c r="H21562" s="8" t="s">
        <v>364</v>
      </c>
    </row>
    <row r="21563">
      <c r="H21563" s="8" t="s">
        <v>364</v>
      </c>
    </row>
    <row r="21564">
      <c r="H21564" s="8" t="s">
        <v>364</v>
      </c>
    </row>
    <row r="21565">
      <c r="H21565" s="8" t="s">
        <v>364</v>
      </c>
    </row>
    <row r="21566">
      <c r="H21566" s="8" t="s">
        <v>364</v>
      </c>
    </row>
    <row r="21567">
      <c r="H21567" s="8" t="s">
        <v>364</v>
      </c>
    </row>
    <row r="21568">
      <c r="H21568" s="8" t="s">
        <v>364</v>
      </c>
    </row>
    <row r="21569">
      <c r="H21569" s="8" t="s">
        <v>364</v>
      </c>
    </row>
    <row r="21570">
      <c r="H21570" s="8" t="s">
        <v>364</v>
      </c>
    </row>
    <row r="21571">
      <c r="H21571" s="8" t="s">
        <v>364</v>
      </c>
    </row>
    <row r="21572">
      <c r="H21572" s="8" t="s">
        <v>364</v>
      </c>
    </row>
    <row r="21573">
      <c r="H21573" s="8" t="s">
        <v>364</v>
      </c>
    </row>
    <row r="21574">
      <c r="H21574" s="8" t="s">
        <v>364</v>
      </c>
    </row>
    <row r="21575">
      <c r="H21575" s="8" t="s">
        <v>364</v>
      </c>
    </row>
    <row r="21576">
      <c r="H21576" s="8" t="s">
        <v>364</v>
      </c>
    </row>
    <row r="21577">
      <c r="H21577" s="8" t="s">
        <v>364</v>
      </c>
    </row>
    <row r="21578">
      <c r="H21578" s="8" t="s">
        <v>364</v>
      </c>
    </row>
    <row r="21579">
      <c r="H21579" s="8" t="s">
        <v>364</v>
      </c>
    </row>
    <row r="21580">
      <c r="H21580" s="8" t="s">
        <v>364</v>
      </c>
    </row>
    <row r="21581">
      <c r="H21581" s="8" t="s">
        <v>364</v>
      </c>
    </row>
    <row r="21582">
      <c r="H21582" s="8" t="s">
        <v>364</v>
      </c>
    </row>
    <row r="21583">
      <c r="H21583" s="8" t="s">
        <v>364</v>
      </c>
    </row>
    <row r="21584">
      <c r="H21584" s="8" t="s">
        <v>364</v>
      </c>
    </row>
    <row r="21585">
      <c r="H21585" s="8" t="s">
        <v>364</v>
      </c>
    </row>
    <row r="21586">
      <c r="H21586" s="8" t="s">
        <v>364</v>
      </c>
    </row>
    <row r="21587">
      <c r="H21587" s="8" t="s">
        <v>364</v>
      </c>
    </row>
    <row r="21588">
      <c r="H21588" s="8" t="s">
        <v>364</v>
      </c>
    </row>
    <row r="21589">
      <c r="H21589" s="8" t="s">
        <v>364</v>
      </c>
    </row>
    <row r="21590">
      <c r="H21590" s="8" t="s">
        <v>364</v>
      </c>
    </row>
    <row r="21591">
      <c r="H21591" s="8" t="s">
        <v>364</v>
      </c>
    </row>
    <row r="21592">
      <c r="H21592" s="8" t="s">
        <v>364</v>
      </c>
    </row>
    <row r="21593">
      <c r="H21593" s="8" t="s">
        <v>364</v>
      </c>
    </row>
    <row r="21594">
      <c r="H21594" s="8" t="s">
        <v>364</v>
      </c>
    </row>
    <row r="21595">
      <c r="H21595" s="8" t="s">
        <v>364</v>
      </c>
    </row>
    <row r="21596">
      <c r="H21596" s="8" t="s">
        <v>364</v>
      </c>
    </row>
    <row r="21597">
      <c r="H21597" s="8" t="s">
        <v>364</v>
      </c>
    </row>
    <row r="21598">
      <c r="H21598" s="8" t="s">
        <v>364</v>
      </c>
    </row>
    <row r="21599">
      <c r="H21599" s="8" t="s">
        <v>364</v>
      </c>
    </row>
    <row r="21600">
      <c r="H21600" s="8" t="s">
        <v>364</v>
      </c>
    </row>
    <row r="21601">
      <c r="H21601" s="8" t="s">
        <v>364</v>
      </c>
    </row>
    <row r="21602">
      <c r="H21602" s="8" t="s">
        <v>364</v>
      </c>
    </row>
    <row r="21603">
      <c r="H21603" s="8" t="s">
        <v>364</v>
      </c>
    </row>
    <row r="21604">
      <c r="H21604" s="8" t="s">
        <v>364</v>
      </c>
    </row>
    <row r="21605">
      <c r="H21605" s="8" t="s">
        <v>364</v>
      </c>
    </row>
    <row r="21606">
      <c r="H21606" s="8" t="s">
        <v>364</v>
      </c>
    </row>
    <row r="21607">
      <c r="H21607" s="8" t="s">
        <v>364</v>
      </c>
    </row>
    <row r="21608">
      <c r="H21608" s="8" t="s">
        <v>364</v>
      </c>
    </row>
    <row r="21609">
      <c r="H21609" s="8" t="s">
        <v>364</v>
      </c>
    </row>
    <row r="21610">
      <c r="H21610" s="8" t="s">
        <v>364</v>
      </c>
    </row>
    <row r="21611">
      <c r="H21611" s="8" t="s">
        <v>364</v>
      </c>
    </row>
    <row r="21612">
      <c r="H21612" s="8" t="s">
        <v>364</v>
      </c>
    </row>
    <row r="21613">
      <c r="H21613" s="8" t="s">
        <v>364</v>
      </c>
    </row>
    <row r="21614">
      <c r="H21614" s="8" t="s">
        <v>364</v>
      </c>
    </row>
    <row r="21615">
      <c r="H21615" s="8" t="s">
        <v>364</v>
      </c>
    </row>
    <row r="21616">
      <c r="H21616" s="8" t="s">
        <v>364</v>
      </c>
    </row>
    <row r="21617">
      <c r="H21617" s="8" t="s">
        <v>364</v>
      </c>
    </row>
    <row r="21618">
      <c r="H21618" s="8" t="s">
        <v>364</v>
      </c>
    </row>
    <row r="21619">
      <c r="H21619" s="8" t="s">
        <v>364</v>
      </c>
    </row>
    <row r="21620">
      <c r="H21620" s="8" t="s">
        <v>364</v>
      </c>
    </row>
    <row r="21621">
      <c r="H21621" s="8" t="s">
        <v>364</v>
      </c>
    </row>
    <row r="21622">
      <c r="H21622" s="8" t="s">
        <v>364</v>
      </c>
    </row>
    <row r="21623">
      <c r="H21623" s="8" t="s">
        <v>364</v>
      </c>
    </row>
    <row r="21624">
      <c r="H21624" s="8" t="s">
        <v>364</v>
      </c>
    </row>
    <row r="21625">
      <c r="H21625" s="8" t="s">
        <v>364</v>
      </c>
    </row>
    <row r="21626">
      <c r="H21626" s="8" t="s">
        <v>364</v>
      </c>
    </row>
    <row r="21627">
      <c r="H21627" s="8" t="s">
        <v>364</v>
      </c>
    </row>
    <row r="21628">
      <c r="H21628" s="8" t="s">
        <v>364</v>
      </c>
    </row>
    <row r="21629">
      <c r="H21629" s="8" t="s">
        <v>364</v>
      </c>
    </row>
    <row r="21630">
      <c r="H21630" s="8" t="s">
        <v>364</v>
      </c>
    </row>
    <row r="21631">
      <c r="H21631" s="8" t="s">
        <v>364</v>
      </c>
    </row>
    <row r="21632">
      <c r="H21632" s="8" t="s">
        <v>364</v>
      </c>
    </row>
    <row r="21633">
      <c r="H21633" s="8" t="s">
        <v>364</v>
      </c>
    </row>
    <row r="21634">
      <c r="H21634" s="8" t="s">
        <v>364</v>
      </c>
    </row>
    <row r="21635">
      <c r="H21635" s="8" t="s">
        <v>364</v>
      </c>
    </row>
    <row r="21636">
      <c r="H21636" s="8" t="s">
        <v>364</v>
      </c>
    </row>
    <row r="21637">
      <c r="H21637" s="8" t="s">
        <v>364</v>
      </c>
    </row>
    <row r="21638">
      <c r="H21638" s="8" t="s">
        <v>364</v>
      </c>
    </row>
    <row r="21639">
      <c r="H21639" s="8" t="s">
        <v>364</v>
      </c>
    </row>
    <row r="21640">
      <c r="H21640" s="8" t="s">
        <v>364</v>
      </c>
    </row>
    <row r="21641">
      <c r="H21641" s="8" t="s">
        <v>364</v>
      </c>
    </row>
    <row r="21642">
      <c r="H21642" s="8" t="s">
        <v>364</v>
      </c>
    </row>
    <row r="21643">
      <c r="H21643" s="8" t="s">
        <v>364</v>
      </c>
    </row>
    <row r="21644">
      <c r="H21644" s="8" t="s">
        <v>364</v>
      </c>
    </row>
    <row r="21645">
      <c r="H21645" s="8" t="s">
        <v>364</v>
      </c>
    </row>
    <row r="21646">
      <c r="H21646" s="8" t="s">
        <v>364</v>
      </c>
    </row>
    <row r="21647">
      <c r="H21647" s="8" t="s">
        <v>364</v>
      </c>
    </row>
    <row r="21648">
      <c r="H21648" s="8" t="s">
        <v>364</v>
      </c>
    </row>
    <row r="21649">
      <c r="H21649" s="8" t="s">
        <v>364</v>
      </c>
    </row>
    <row r="21650">
      <c r="H21650" s="8" t="s">
        <v>364</v>
      </c>
    </row>
    <row r="21651">
      <c r="H21651" s="8" t="s">
        <v>364</v>
      </c>
    </row>
    <row r="21652">
      <c r="H21652" s="8" t="s">
        <v>364</v>
      </c>
    </row>
    <row r="21653">
      <c r="H21653" s="8" t="s">
        <v>364</v>
      </c>
    </row>
    <row r="21654">
      <c r="H21654" s="8" t="s">
        <v>364</v>
      </c>
    </row>
    <row r="21655">
      <c r="H21655" s="8" t="s">
        <v>364</v>
      </c>
    </row>
    <row r="21656">
      <c r="H21656" s="8" t="s">
        <v>364</v>
      </c>
    </row>
    <row r="21657">
      <c r="H21657" s="8" t="s">
        <v>364</v>
      </c>
    </row>
    <row r="21658">
      <c r="H21658" s="8" t="s">
        <v>364</v>
      </c>
    </row>
    <row r="21659">
      <c r="H21659" s="8" t="s">
        <v>364</v>
      </c>
    </row>
    <row r="21660">
      <c r="H21660" s="8" t="s">
        <v>364</v>
      </c>
    </row>
    <row r="21661">
      <c r="H21661" s="8" t="s">
        <v>364</v>
      </c>
    </row>
    <row r="21662">
      <c r="H21662" s="8" t="s">
        <v>364</v>
      </c>
    </row>
    <row r="21663">
      <c r="H21663" s="8" t="s">
        <v>364</v>
      </c>
    </row>
    <row r="21664">
      <c r="H21664" s="8" t="s">
        <v>364</v>
      </c>
    </row>
    <row r="21665">
      <c r="H21665" s="8" t="s">
        <v>364</v>
      </c>
    </row>
    <row r="21666">
      <c r="H21666" s="8" t="s">
        <v>364</v>
      </c>
    </row>
    <row r="21667">
      <c r="H21667" s="8" t="s">
        <v>364</v>
      </c>
    </row>
    <row r="21668">
      <c r="H21668" s="8" t="s">
        <v>364</v>
      </c>
    </row>
    <row r="21669">
      <c r="H21669" s="8" t="s">
        <v>364</v>
      </c>
    </row>
    <row r="21670">
      <c r="H21670" s="8" t="s">
        <v>364</v>
      </c>
    </row>
    <row r="21671">
      <c r="H21671" s="8" t="s">
        <v>364</v>
      </c>
    </row>
    <row r="21672">
      <c r="H21672" s="8" t="s">
        <v>364</v>
      </c>
    </row>
    <row r="21673">
      <c r="H21673" s="8" t="s">
        <v>364</v>
      </c>
    </row>
    <row r="21674">
      <c r="H21674" s="8" t="s">
        <v>364</v>
      </c>
    </row>
    <row r="21675">
      <c r="H21675" s="8" t="s">
        <v>364</v>
      </c>
    </row>
    <row r="21676">
      <c r="H21676" s="8" t="s">
        <v>364</v>
      </c>
    </row>
    <row r="21677">
      <c r="H21677" s="8" t="s">
        <v>364</v>
      </c>
    </row>
    <row r="21678">
      <c r="H21678" s="8" t="s">
        <v>364</v>
      </c>
    </row>
    <row r="21679">
      <c r="H21679" s="8" t="s">
        <v>364</v>
      </c>
    </row>
    <row r="21680">
      <c r="H21680" s="8" t="s">
        <v>364</v>
      </c>
    </row>
    <row r="21681">
      <c r="H21681" s="8" t="s">
        <v>364</v>
      </c>
    </row>
    <row r="21682">
      <c r="H21682" s="8" t="s">
        <v>364</v>
      </c>
    </row>
    <row r="21683">
      <c r="H21683" s="8" t="s">
        <v>364</v>
      </c>
    </row>
    <row r="21684">
      <c r="H21684" s="8" t="s">
        <v>364</v>
      </c>
    </row>
    <row r="21685">
      <c r="H21685" s="8" t="s">
        <v>364</v>
      </c>
    </row>
    <row r="21686">
      <c r="H21686" s="8" t="s">
        <v>364</v>
      </c>
    </row>
    <row r="21687">
      <c r="H21687" s="8" t="s">
        <v>364</v>
      </c>
    </row>
    <row r="21688">
      <c r="H21688" s="8" t="s">
        <v>364</v>
      </c>
    </row>
    <row r="21689">
      <c r="H21689" s="8" t="s">
        <v>364</v>
      </c>
    </row>
    <row r="21690">
      <c r="H21690" s="8" t="s">
        <v>364</v>
      </c>
    </row>
    <row r="21691">
      <c r="H21691" s="8" t="s">
        <v>364</v>
      </c>
    </row>
    <row r="21692">
      <c r="H21692" s="8" t="s">
        <v>364</v>
      </c>
    </row>
    <row r="21693">
      <c r="H21693" s="8" t="s">
        <v>364</v>
      </c>
    </row>
    <row r="21694">
      <c r="H21694" s="8" t="s">
        <v>364</v>
      </c>
    </row>
    <row r="21695">
      <c r="H21695" s="8" t="s">
        <v>364</v>
      </c>
    </row>
    <row r="21696">
      <c r="H21696" s="8" t="s">
        <v>364</v>
      </c>
    </row>
    <row r="21697">
      <c r="H21697" s="8" t="s">
        <v>364</v>
      </c>
    </row>
    <row r="21698">
      <c r="H21698" s="8" t="s">
        <v>364</v>
      </c>
    </row>
    <row r="21699">
      <c r="H21699" s="8" t="s">
        <v>364</v>
      </c>
    </row>
    <row r="21700">
      <c r="H21700" s="8" t="s">
        <v>364</v>
      </c>
    </row>
    <row r="21701">
      <c r="H21701" s="8" t="s">
        <v>364</v>
      </c>
    </row>
    <row r="21702">
      <c r="H21702" s="8" t="s">
        <v>364</v>
      </c>
    </row>
    <row r="21703">
      <c r="H21703" s="8" t="s">
        <v>364</v>
      </c>
    </row>
    <row r="21704">
      <c r="H21704" s="8" t="s">
        <v>364</v>
      </c>
    </row>
    <row r="21705">
      <c r="H21705" s="8" t="s">
        <v>364</v>
      </c>
    </row>
    <row r="21706">
      <c r="H21706" s="8" t="s">
        <v>364</v>
      </c>
    </row>
    <row r="21707">
      <c r="H21707" s="8" t="s">
        <v>364</v>
      </c>
    </row>
    <row r="21708">
      <c r="H21708" s="8" t="s">
        <v>364</v>
      </c>
    </row>
    <row r="21709">
      <c r="H21709" s="8" t="s">
        <v>364</v>
      </c>
    </row>
    <row r="21710">
      <c r="H21710" s="8" t="s">
        <v>364</v>
      </c>
    </row>
    <row r="21711">
      <c r="H21711" s="8" t="s">
        <v>364</v>
      </c>
    </row>
    <row r="21712">
      <c r="H21712" s="8" t="s">
        <v>364</v>
      </c>
    </row>
    <row r="21713">
      <c r="H21713" s="8" t="s">
        <v>364</v>
      </c>
    </row>
    <row r="21714">
      <c r="H21714" s="8" t="s">
        <v>364</v>
      </c>
    </row>
    <row r="21715">
      <c r="H21715" s="8" t="s">
        <v>364</v>
      </c>
    </row>
    <row r="21716">
      <c r="H21716" s="8" t="s">
        <v>364</v>
      </c>
    </row>
    <row r="21717">
      <c r="H21717" s="8" t="s">
        <v>364</v>
      </c>
    </row>
    <row r="21718">
      <c r="H21718" s="8" t="s">
        <v>364</v>
      </c>
    </row>
    <row r="21719">
      <c r="H21719" s="8" t="s">
        <v>364</v>
      </c>
    </row>
    <row r="21720">
      <c r="H21720" s="8" t="s">
        <v>364</v>
      </c>
    </row>
    <row r="21721">
      <c r="H21721" s="8" t="s">
        <v>364</v>
      </c>
    </row>
    <row r="21722">
      <c r="H21722" s="8" t="s">
        <v>364</v>
      </c>
    </row>
    <row r="21723">
      <c r="H21723" s="8" t="s">
        <v>364</v>
      </c>
    </row>
    <row r="21724">
      <c r="H21724" s="8" t="s">
        <v>364</v>
      </c>
    </row>
    <row r="21725">
      <c r="H21725" s="8" t="s">
        <v>364</v>
      </c>
    </row>
    <row r="21726">
      <c r="H21726" s="8" t="s">
        <v>364</v>
      </c>
    </row>
    <row r="21727">
      <c r="H21727" s="8" t="s">
        <v>364</v>
      </c>
    </row>
    <row r="21728">
      <c r="H21728" s="8" t="s">
        <v>364</v>
      </c>
    </row>
    <row r="21729">
      <c r="H21729" s="8" t="s">
        <v>364</v>
      </c>
    </row>
    <row r="21730">
      <c r="H21730" s="8" t="s">
        <v>364</v>
      </c>
    </row>
    <row r="21731">
      <c r="H21731" s="8" t="s">
        <v>364</v>
      </c>
    </row>
    <row r="21732">
      <c r="H21732" s="8" t="s">
        <v>364</v>
      </c>
    </row>
    <row r="21733">
      <c r="H21733" s="8" t="s">
        <v>364</v>
      </c>
    </row>
    <row r="21734">
      <c r="H21734" s="8" t="s">
        <v>364</v>
      </c>
    </row>
    <row r="21735">
      <c r="H21735" s="8" t="s">
        <v>364</v>
      </c>
    </row>
    <row r="21736">
      <c r="H21736" s="8" t="s">
        <v>364</v>
      </c>
    </row>
    <row r="21737">
      <c r="H21737" s="8" t="s">
        <v>364</v>
      </c>
    </row>
    <row r="21738">
      <c r="H21738" s="8" t="s">
        <v>364</v>
      </c>
    </row>
    <row r="21739">
      <c r="H21739" s="8" t="s">
        <v>364</v>
      </c>
    </row>
    <row r="21740">
      <c r="H21740" s="8" t="s">
        <v>364</v>
      </c>
    </row>
    <row r="21741">
      <c r="H21741" s="8" t="s">
        <v>364</v>
      </c>
    </row>
    <row r="21742">
      <c r="H21742" s="8" t="s">
        <v>364</v>
      </c>
    </row>
    <row r="21743">
      <c r="H21743" s="8" t="s">
        <v>364</v>
      </c>
    </row>
    <row r="21744">
      <c r="H21744" s="8" t="s">
        <v>364</v>
      </c>
    </row>
    <row r="21745">
      <c r="H21745" s="8" t="s">
        <v>364</v>
      </c>
    </row>
    <row r="21746">
      <c r="H21746" s="8" t="s">
        <v>364</v>
      </c>
    </row>
    <row r="21747">
      <c r="H21747" s="8" t="s">
        <v>364</v>
      </c>
    </row>
    <row r="21748">
      <c r="H21748" s="8" t="s">
        <v>364</v>
      </c>
    </row>
    <row r="21749">
      <c r="H21749" s="8" t="s">
        <v>364</v>
      </c>
    </row>
    <row r="21750">
      <c r="H21750" s="8" t="s">
        <v>364</v>
      </c>
    </row>
    <row r="21751">
      <c r="H21751" s="8" t="s">
        <v>364</v>
      </c>
    </row>
    <row r="21752">
      <c r="H21752" s="8" t="s">
        <v>364</v>
      </c>
    </row>
    <row r="21753">
      <c r="H21753" s="8" t="s">
        <v>364</v>
      </c>
    </row>
    <row r="21754">
      <c r="H21754" s="8" t="s">
        <v>364</v>
      </c>
    </row>
    <row r="21755">
      <c r="H21755" s="8" t="s">
        <v>364</v>
      </c>
    </row>
    <row r="21756">
      <c r="H21756" s="8" t="s">
        <v>364</v>
      </c>
    </row>
    <row r="21757">
      <c r="H21757" s="8" t="s">
        <v>364</v>
      </c>
    </row>
    <row r="21758">
      <c r="H21758" s="8" t="s">
        <v>364</v>
      </c>
    </row>
    <row r="21759">
      <c r="H21759" s="8" t="s">
        <v>364</v>
      </c>
    </row>
    <row r="21760">
      <c r="H21760" s="8" t="s">
        <v>364</v>
      </c>
    </row>
    <row r="21761">
      <c r="H21761" s="8" t="s">
        <v>364</v>
      </c>
    </row>
    <row r="21762">
      <c r="H21762" s="8" t="s">
        <v>364</v>
      </c>
    </row>
    <row r="21763">
      <c r="H21763" s="8" t="s">
        <v>364</v>
      </c>
    </row>
    <row r="21764">
      <c r="H21764" s="8" t="s">
        <v>364</v>
      </c>
    </row>
    <row r="21765">
      <c r="H21765" s="8" t="s">
        <v>364</v>
      </c>
    </row>
    <row r="21766">
      <c r="H21766" s="8" t="s">
        <v>364</v>
      </c>
    </row>
    <row r="21767">
      <c r="H21767" s="8" t="s">
        <v>364</v>
      </c>
    </row>
    <row r="21768">
      <c r="H21768" s="8" t="s">
        <v>364</v>
      </c>
    </row>
    <row r="21769">
      <c r="H21769" s="8" t="s">
        <v>364</v>
      </c>
    </row>
    <row r="21770">
      <c r="H21770" s="8" t="s">
        <v>364</v>
      </c>
    </row>
    <row r="21771">
      <c r="H21771" s="8" t="s">
        <v>364</v>
      </c>
    </row>
    <row r="21772">
      <c r="H21772" s="8" t="s">
        <v>364</v>
      </c>
    </row>
    <row r="21773">
      <c r="H21773" s="8" t="s">
        <v>364</v>
      </c>
    </row>
    <row r="21774">
      <c r="H21774" s="8" t="s">
        <v>364</v>
      </c>
    </row>
    <row r="21775">
      <c r="H21775" s="8" t="s">
        <v>364</v>
      </c>
    </row>
    <row r="21776">
      <c r="H21776" s="8" t="s">
        <v>364</v>
      </c>
    </row>
    <row r="21777">
      <c r="H21777" s="8" t="s">
        <v>364</v>
      </c>
    </row>
    <row r="21778">
      <c r="H21778" s="8" t="s">
        <v>364</v>
      </c>
    </row>
    <row r="21779">
      <c r="H21779" s="8" t="s">
        <v>364</v>
      </c>
    </row>
    <row r="21780">
      <c r="H21780" s="8" t="s">
        <v>364</v>
      </c>
    </row>
    <row r="21781">
      <c r="H21781" s="8" t="s">
        <v>364</v>
      </c>
    </row>
    <row r="21782">
      <c r="H21782" s="8" t="s">
        <v>364</v>
      </c>
    </row>
    <row r="21783">
      <c r="H21783" s="8" t="s">
        <v>364</v>
      </c>
    </row>
    <row r="21784">
      <c r="H21784" s="8" t="s">
        <v>364</v>
      </c>
    </row>
    <row r="21785">
      <c r="H21785" s="8" t="s">
        <v>364</v>
      </c>
    </row>
    <row r="21786">
      <c r="H21786" s="8" t="s">
        <v>364</v>
      </c>
    </row>
    <row r="21787">
      <c r="H21787" s="8" t="s">
        <v>364</v>
      </c>
    </row>
    <row r="21788">
      <c r="H21788" s="8" t="s">
        <v>364</v>
      </c>
    </row>
    <row r="21789">
      <c r="H21789" s="8" t="s">
        <v>364</v>
      </c>
    </row>
    <row r="21790">
      <c r="H21790" s="8" t="s">
        <v>364</v>
      </c>
    </row>
    <row r="21791">
      <c r="H21791" s="8" t="s">
        <v>364</v>
      </c>
    </row>
    <row r="21792">
      <c r="H21792" s="8" t="s">
        <v>364</v>
      </c>
    </row>
    <row r="21793">
      <c r="H21793" s="8" t="s">
        <v>364</v>
      </c>
    </row>
    <row r="21794">
      <c r="H21794" s="8" t="s">
        <v>364</v>
      </c>
    </row>
    <row r="21795">
      <c r="H21795" s="8" t="s">
        <v>364</v>
      </c>
    </row>
    <row r="21796">
      <c r="H21796" s="8" t="s">
        <v>364</v>
      </c>
    </row>
    <row r="21797">
      <c r="H21797" s="8" t="s">
        <v>364</v>
      </c>
    </row>
    <row r="21798">
      <c r="H21798" s="8" t="s">
        <v>364</v>
      </c>
    </row>
    <row r="21799">
      <c r="H21799" s="8" t="s">
        <v>364</v>
      </c>
    </row>
    <row r="21800">
      <c r="H21800" s="8" t="s">
        <v>364</v>
      </c>
    </row>
    <row r="21801">
      <c r="H21801" s="8" t="s">
        <v>364</v>
      </c>
    </row>
    <row r="21802">
      <c r="H21802" s="8" t="s">
        <v>364</v>
      </c>
    </row>
    <row r="21803">
      <c r="H21803" s="8" t="s">
        <v>364</v>
      </c>
    </row>
    <row r="21804">
      <c r="H21804" s="8" t="s">
        <v>364</v>
      </c>
    </row>
    <row r="21805">
      <c r="H21805" s="8" t="s">
        <v>364</v>
      </c>
    </row>
    <row r="21806">
      <c r="H21806" s="8" t="s">
        <v>364</v>
      </c>
    </row>
    <row r="21807">
      <c r="H21807" s="8" t="s">
        <v>364</v>
      </c>
    </row>
    <row r="21808">
      <c r="H21808" s="8" t="s">
        <v>364</v>
      </c>
    </row>
    <row r="21809">
      <c r="H21809" s="8" t="s">
        <v>364</v>
      </c>
    </row>
    <row r="21810">
      <c r="H21810" s="8" t="s">
        <v>364</v>
      </c>
    </row>
    <row r="21811">
      <c r="H21811" s="8" t="s">
        <v>364</v>
      </c>
    </row>
    <row r="21812">
      <c r="H21812" s="8" t="s">
        <v>364</v>
      </c>
    </row>
    <row r="21813">
      <c r="H21813" s="8" t="s">
        <v>364</v>
      </c>
    </row>
    <row r="21814">
      <c r="H21814" s="8" t="s">
        <v>364</v>
      </c>
    </row>
    <row r="21815">
      <c r="H21815" s="8" t="s">
        <v>364</v>
      </c>
    </row>
    <row r="21816">
      <c r="H21816" s="8" t="s">
        <v>364</v>
      </c>
    </row>
    <row r="21817">
      <c r="H21817" s="8" t="s">
        <v>364</v>
      </c>
    </row>
    <row r="21818">
      <c r="H21818" s="8" t="s">
        <v>364</v>
      </c>
    </row>
    <row r="21819">
      <c r="H21819" s="8" t="s">
        <v>364</v>
      </c>
    </row>
    <row r="21820">
      <c r="H21820" s="8" t="s">
        <v>364</v>
      </c>
    </row>
    <row r="21821">
      <c r="H21821" s="8" t="s">
        <v>364</v>
      </c>
    </row>
    <row r="21822">
      <c r="H21822" s="8" t="s">
        <v>364</v>
      </c>
    </row>
    <row r="21823">
      <c r="H21823" s="8" t="s">
        <v>364</v>
      </c>
    </row>
    <row r="21824">
      <c r="H21824" s="8" t="s">
        <v>364</v>
      </c>
    </row>
    <row r="21825">
      <c r="H21825" s="8" t="s">
        <v>364</v>
      </c>
    </row>
    <row r="21826">
      <c r="H21826" s="8" t="s">
        <v>364</v>
      </c>
    </row>
    <row r="21827">
      <c r="H21827" s="8" t="s">
        <v>364</v>
      </c>
    </row>
    <row r="21828">
      <c r="H21828" s="8" t="s">
        <v>364</v>
      </c>
    </row>
    <row r="21829">
      <c r="H21829" s="8" t="s">
        <v>364</v>
      </c>
    </row>
    <row r="21830">
      <c r="H21830" s="8" t="s">
        <v>364</v>
      </c>
    </row>
    <row r="21831">
      <c r="H21831" s="8" t="s">
        <v>364</v>
      </c>
    </row>
    <row r="21832">
      <c r="H21832" s="8" t="s">
        <v>364</v>
      </c>
    </row>
    <row r="21833">
      <c r="H21833" s="8" t="s">
        <v>364</v>
      </c>
    </row>
    <row r="21834">
      <c r="H21834" s="8" t="s">
        <v>364</v>
      </c>
    </row>
    <row r="21835">
      <c r="H21835" s="8" t="s">
        <v>364</v>
      </c>
    </row>
    <row r="21836">
      <c r="H21836" s="8" t="s">
        <v>364</v>
      </c>
    </row>
    <row r="21837">
      <c r="H21837" s="8" t="s">
        <v>364</v>
      </c>
    </row>
    <row r="21838">
      <c r="H21838" s="8" t="s">
        <v>364</v>
      </c>
    </row>
    <row r="21839">
      <c r="H21839" s="8" t="s">
        <v>364</v>
      </c>
    </row>
    <row r="21840">
      <c r="H21840" s="8" t="s">
        <v>364</v>
      </c>
    </row>
    <row r="21841">
      <c r="H21841" s="8" t="s">
        <v>364</v>
      </c>
    </row>
    <row r="21842">
      <c r="H21842" s="8" t="s">
        <v>364</v>
      </c>
    </row>
    <row r="21843">
      <c r="H21843" s="8" t="s">
        <v>364</v>
      </c>
    </row>
    <row r="21844">
      <c r="H21844" s="8" t="s">
        <v>364</v>
      </c>
    </row>
    <row r="21845">
      <c r="H21845" s="8" t="s">
        <v>364</v>
      </c>
    </row>
    <row r="21846">
      <c r="H21846" s="8" t="s">
        <v>364</v>
      </c>
    </row>
    <row r="21847">
      <c r="H21847" s="8" t="s">
        <v>364</v>
      </c>
    </row>
    <row r="21848">
      <c r="H21848" s="8" t="s">
        <v>364</v>
      </c>
    </row>
    <row r="21849">
      <c r="H21849" s="8" t="s">
        <v>364</v>
      </c>
    </row>
    <row r="21850">
      <c r="H21850" s="8" t="s">
        <v>364</v>
      </c>
    </row>
    <row r="21851">
      <c r="H21851" s="8" t="s">
        <v>364</v>
      </c>
    </row>
    <row r="21852">
      <c r="H21852" s="8" t="s">
        <v>364</v>
      </c>
    </row>
    <row r="21853">
      <c r="H21853" s="8" t="s">
        <v>364</v>
      </c>
    </row>
    <row r="21854">
      <c r="H21854" s="8" t="s">
        <v>364</v>
      </c>
    </row>
    <row r="21855">
      <c r="H21855" s="8" t="s">
        <v>364</v>
      </c>
    </row>
    <row r="21856">
      <c r="H21856" s="8" t="s">
        <v>364</v>
      </c>
    </row>
    <row r="21857">
      <c r="H21857" s="8" t="s">
        <v>364</v>
      </c>
    </row>
    <row r="21858">
      <c r="H21858" s="8" t="s">
        <v>364</v>
      </c>
    </row>
    <row r="21859">
      <c r="H21859" s="8" t="s">
        <v>364</v>
      </c>
    </row>
    <row r="21860">
      <c r="H21860" s="8" t="s">
        <v>364</v>
      </c>
    </row>
    <row r="21861">
      <c r="H21861" s="8" t="s">
        <v>364</v>
      </c>
    </row>
    <row r="21862">
      <c r="H21862" s="8" t="s">
        <v>364</v>
      </c>
    </row>
    <row r="21863">
      <c r="H21863" s="8" t="s">
        <v>364</v>
      </c>
    </row>
    <row r="21864">
      <c r="H21864" s="8" t="s">
        <v>364</v>
      </c>
    </row>
    <row r="21865">
      <c r="H21865" s="8" t="s">
        <v>364</v>
      </c>
    </row>
    <row r="21866">
      <c r="H21866" s="8" t="s">
        <v>364</v>
      </c>
    </row>
    <row r="21867">
      <c r="H21867" s="8" t="s">
        <v>364</v>
      </c>
    </row>
    <row r="21868">
      <c r="H21868" s="8" t="s">
        <v>364</v>
      </c>
    </row>
    <row r="21869">
      <c r="H21869" s="8" t="s">
        <v>364</v>
      </c>
    </row>
    <row r="21870">
      <c r="H21870" s="8" t="s">
        <v>364</v>
      </c>
    </row>
    <row r="21871">
      <c r="H21871" s="8" t="s">
        <v>364</v>
      </c>
    </row>
    <row r="21872">
      <c r="H21872" s="8" t="s">
        <v>364</v>
      </c>
    </row>
    <row r="21873">
      <c r="H21873" s="8" t="s">
        <v>364</v>
      </c>
    </row>
    <row r="21874">
      <c r="H21874" s="8" t="s">
        <v>364</v>
      </c>
    </row>
    <row r="21875">
      <c r="H21875" s="8" t="s">
        <v>364</v>
      </c>
    </row>
    <row r="21876">
      <c r="H21876" s="8" t="s">
        <v>364</v>
      </c>
    </row>
    <row r="21877">
      <c r="H21877" s="8" t="s">
        <v>364</v>
      </c>
    </row>
    <row r="21878">
      <c r="H21878" s="8" t="s">
        <v>364</v>
      </c>
    </row>
    <row r="21879">
      <c r="H21879" s="8" t="s">
        <v>364</v>
      </c>
    </row>
    <row r="21880">
      <c r="H21880" s="8" t="s">
        <v>364</v>
      </c>
    </row>
    <row r="21881">
      <c r="H21881" s="8" t="s">
        <v>364</v>
      </c>
    </row>
    <row r="21882">
      <c r="H21882" s="8" t="s">
        <v>364</v>
      </c>
    </row>
    <row r="21883">
      <c r="H21883" s="8" t="s">
        <v>364</v>
      </c>
    </row>
    <row r="21884">
      <c r="H21884" s="8" t="s">
        <v>364</v>
      </c>
    </row>
    <row r="21885">
      <c r="H21885" s="8" t="s">
        <v>364</v>
      </c>
    </row>
    <row r="21886">
      <c r="H21886" s="8" t="s">
        <v>364</v>
      </c>
    </row>
    <row r="21887">
      <c r="H21887" s="8" t="s">
        <v>364</v>
      </c>
    </row>
    <row r="21888">
      <c r="H21888" s="8" t="s">
        <v>364</v>
      </c>
    </row>
    <row r="21889">
      <c r="H21889" s="8" t="s">
        <v>364</v>
      </c>
    </row>
    <row r="21890">
      <c r="H21890" s="8" t="s">
        <v>364</v>
      </c>
    </row>
    <row r="21891">
      <c r="H21891" s="8" t="s">
        <v>364</v>
      </c>
    </row>
    <row r="21892">
      <c r="H21892" s="8" t="s">
        <v>364</v>
      </c>
    </row>
    <row r="21893">
      <c r="H21893" s="8" t="s">
        <v>364</v>
      </c>
    </row>
    <row r="21894">
      <c r="H21894" s="8" t="s">
        <v>364</v>
      </c>
    </row>
    <row r="21895">
      <c r="H21895" s="8" t="s">
        <v>364</v>
      </c>
    </row>
    <row r="21896">
      <c r="H21896" s="8" t="s">
        <v>364</v>
      </c>
    </row>
    <row r="21897">
      <c r="H21897" s="8" t="s">
        <v>364</v>
      </c>
    </row>
    <row r="21898">
      <c r="H21898" s="8" t="s">
        <v>364</v>
      </c>
    </row>
    <row r="21899">
      <c r="H21899" s="8" t="s">
        <v>364</v>
      </c>
    </row>
    <row r="21900">
      <c r="H21900" s="8" t="s">
        <v>364</v>
      </c>
    </row>
    <row r="21901">
      <c r="H21901" s="8" t="s">
        <v>364</v>
      </c>
    </row>
    <row r="21902">
      <c r="H21902" s="8" t="s">
        <v>364</v>
      </c>
    </row>
    <row r="21903">
      <c r="H21903" s="8" t="s">
        <v>364</v>
      </c>
    </row>
    <row r="21904">
      <c r="H21904" s="8" t="s">
        <v>364</v>
      </c>
    </row>
    <row r="21905">
      <c r="H21905" s="8" t="s">
        <v>364</v>
      </c>
    </row>
    <row r="21906">
      <c r="H21906" s="8" t="s">
        <v>364</v>
      </c>
    </row>
    <row r="21907">
      <c r="H21907" s="8" t="s">
        <v>364</v>
      </c>
    </row>
    <row r="21908">
      <c r="H21908" s="8" t="s">
        <v>364</v>
      </c>
    </row>
    <row r="21909">
      <c r="H21909" s="8" t="s">
        <v>364</v>
      </c>
    </row>
    <row r="21910">
      <c r="H21910" s="8" t="s">
        <v>364</v>
      </c>
    </row>
    <row r="21911">
      <c r="H21911" s="8" t="s">
        <v>364</v>
      </c>
    </row>
    <row r="21912">
      <c r="H21912" s="8" t="s">
        <v>364</v>
      </c>
    </row>
    <row r="21913">
      <c r="H21913" s="8" t="s">
        <v>364</v>
      </c>
    </row>
    <row r="21914">
      <c r="H21914" s="8" t="s">
        <v>364</v>
      </c>
    </row>
    <row r="21915">
      <c r="H21915" s="8" t="s">
        <v>364</v>
      </c>
    </row>
    <row r="21916">
      <c r="H21916" s="8" t="s">
        <v>364</v>
      </c>
    </row>
    <row r="21917">
      <c r="H21917" s="8" t="s">
        <v>364</v>
      </c>
    </row>
    <row r="21918">
      <c r="H21918" s="8" t="s">
        <v>364</v>
      </c>
    </row>
    <row r="21919">
      <c r="H21919" s="8" t="s">
        <v>364</v>
      </c>
    </row>
    <row r="21920">
      <c r="H21920" s="8" t="s">
        <v>364</v>
      </c>
    </row>
    <row r="21921">
      <c r="H21921" s="8" t="s">
        <v>364</v>
      </c>
    </row>
    <row r="21922">
      <c r="H21922" s="8" t="s">
        <v>364</v>
      </c>
    </row>
    <row r="21923">
      <c r="H21923" s="8" t="s">
        <v>364</v>
      </c>
    </row>
    <row r="21924">
      <c r="H21924" s="8" t="s">
        <v>364</v>
      </c>
    </row>
    <row r="21925">
      <c r="H21925" s="8" t="s">
        <v>364</v>
      </c>
    </row>
    <row r="21926">
      <c r="H21926" s="8" t="s">
        <v>364</v>
      </c>
    </row>
    <row r="21927">
      <c r="H21927" s="8" t="s">
        <v>364</v>
      </c>
    </row>
    <row r="21928">
      <c r="H21928" s="8" t="s">
        <v>364</v>
      </c>
    </row>
    <row r="21929">
      <c r="H21929" s="8" t="s">
        <v>364</v>
      </c>
    </row>
    <row r="21930">
      <c r="H21930" s="8" t="s">
        <v>364</v>
      </c>
    </row>
    <row r="21931">
      <c r="H21931" s="8" t="s">
        <v>364</v>
      </c>
    </row>
    <row r="21932">
      <c r="H21932" s="8" t="s">
        <v>364</v>
      </c>
    </row>
    <row r="21933">
      <c r="H21933" s="8" t="s">
        <v>364</v>
      </c>
    </row>
    <row r="21934">
      <c r="H21934" s="8" t="s">
        <v>364</v>
      </c>
    </row>
    <row r="21935">
      <c r="H21935" s="8" t="s">
        <v>364</v>
      </c>
    </row>
    <row r="21936">
      <c r="H21936" s="8" t="s">
        <v>364</v>
      </c>
    </row>
    <row r="21937">
      <c r="H21937" s="8" t="s">
        <v>364</v>
      </c>
    </row>
    <row r="21938">
      <c r="H21938" s="8" t="s">
        <v>364</v>
      </c>
    </row>
    <row r="21939">
      <c r="H21939" s="8" t="s">
        <v>364</v>
      </c>
    </row>
    <row r="21940">
      <c r="H21940" s="8" t="s">
        <v>364</v>
      </c>
    </row>
    <row r="21941">
      <c r="H21941" s="8" t="s">
        <v>364</v>
      </c>
    </row>
    <row r="21942">
      <c r="H21942" s="8" t="s">
        <v>364</v>
      </c>
    </row>
    <row r="21943">
      <c r="H21943" s="8" t="s">
        <v>364</v>
      </c>
    </row>
    <row r="21944">
      <c r="H21944" s="8" t="s">
        <v>364</v>
      </c>
    </row>
    <row r="21945">
      <c r="H21945" s="8" t="s">
        <v>364</v>
      </c>
    </row>
    <row r="21946">
      <c r="H21946" s="8" t="s">
        <v>364</v>
      </c>
    </row>
    <row r="21947">
      <c r="H21947" s="8" t="s">
        <v>364</v>
      </c>
    </row>
    <row r="21948">
      <c r="H21948" s="8" t="s">
        <v>364</v>
      </c>
    </row>
    <row r="21949">
      <c r="H21949" s="8" t="s">
        <v>364</v>
      </c>
    </row>
    <row r="21950">
      <c r="H21950" s="8" t="s">
        <v>364</v>
      </c>
    </row>
    <row r="21951">
      <c r="H21951" s="8" t="s">
        <v>364</v>
      </c>
    </row>
    <row r="21952">
      <c r="H21952" s="8" t="s">
        <v>364</v>
      </c>
    </row>
    <row r="21953">
      <c r="H21953" s="8" t="s">
        <v>364</v>
      </c>
    </row>
    <row r="21954">
      <c r="H21954" s="8" t="s">
        <v>364</v>
      </c>
    </row>
    <row r="21955">
      <c r="H21955" s="8" t="s">
        <v>364</v>
      </c>
    </row>
    <row r="21956">
      <c r="H21956" s="8" t="s">
        <v>364</v>
      </c>
    </row>
    <row r="21957">
      <c r="H21957" s="8" t="s">
        <v>364</v>
      </c>
    </row>
    <row r="21958">
      <c r="H21958" s="8" t="s">
        <v>364</v>
      </c>
    </row>
    <row r="21959">
      <c r="H21959" s="8" t="s">
        <v>364</v>
      </c>
    </row>
    <row r="21960">
      <c r="H21960" s="8" t="s">
        <v>364</v>
      </c>
    </row>
    <row r="21961">
      <c r="H21961" s="8" t="s">
        <v>364</v>
      </c>
    </row>
    <row r="21962">
      <c r="H21962" s="8" t="s">
        <v>364</v>
      </c>
    </row>
    <row r="21963">
      <c r="H21963" s="8" t="s">
        <v>364</v>
      </c>
    </row>
    <row r="21964">
      <c r="H21964" s="8" t="s">
        <v>364</v>
      </c>
    </row>
    <row r="21965">
      <c r="H21965" s="8" t="s">
        <v>364</v>
      </c>
    </row>
    <row r="21966">
      <c r="H21966" s="8" t="s">
        <v>364</v>
      </c>
    </row>
    <row r="21967">
      <c r="H21967" s="8" t="s">
        <v>364</v>
      </c>
    </row>
    <row r="21968">
      <c r="H21968" s="8" t="s">
        <v>364</v>
      </c>
    </row>
    <row r="21969">
      <c r="H21969" s="8" t="s">
        <v>364</v>
      </c>
    </row>
    <row r="21970">
      <c r="H21970" s="8" t="s">
        <v>364</v>
      </c>
    </row>
    <row r="21971">
      <c r="H21971" s="8" t="s">
        <v>364</v>
      </c>
    </row>
    <row r="21972">
      <c r="H21972" s="8" t="s">
        <v>364</v>
      </c>
    </row>
    <row r="21973">
      <c r="H21973" s="8" t="s">
        <v>364</v>
      </c>
    </row>
    <row r="21974">
      <c r="H21974" s="8" t="s">
        <v>364</v>
      </c>
    </row>
    <row r="21975">
      <c r="H21975" s="8" t="s">
        <v>364</v>
      </c>
    </row>
    <row r="21976">
      <c r="H21976" s="8" t="s">
        <v>364</v>
      </c>
    </row>
    <row r="21977">
      <c r="H21977" s="8" t="s">
        <v>364</v>
      </c>
    </row>
    <row r="21978">
      <c r="H21978" s="8" t="s">
        <v>364</v>
      </c>
    </row>
    <row r="21979">
      <c r="H21979" s="8" t="s">
        <v>364</v>
      </c>
    </row>
    <row r="21980">
      <c r="H21980" s="8" t="s">
        <v>364</v>
      </c>
    </row>
    <row r="21981">
      <c r="H21981" s="8" t="s">
        <v>364</v>
      </c>
    </row>
    <row r="21982">
      <c r="H21982" s="8" t="s">
        <v>364</v>
      </c>
    </row>
    <row r="21983">
      <c r="H21983" s="8" t="s">
        <v>364</v>
      </c>
    </row>
    <row r="21984">
      <c r="H21984" s="8" t="s">
        <v>364</v>
      </c>
    </row>
    <row r="21985">
      <c r="H21985" s="8" t="s">
        <v>364</v>
      </c>
    </row>
    <row r="21986">
      <c r="H21986" s="8" t="s">
        <v>364</v>
      </c>
    </row>
    <row r="21987">
      <c r="H21987" s="8" t="s">
        <v>364</v>
      </c>
    </row>
    <row r="21988">
      <c r="H21988" s="8" t="s">
        <v>364</v>
      </c>
    </row>
    <row r="21989">
      <c r="H21989" s="8" t="s">
        <v>364</v>
      </c>
    </row>
    <row r="21990">
      <c r="H21990" s="8" t="s">
        <v>364</v>
      </c>
    </row>
    <row r="21991">
      <c r="H21991" s="8" t="s">
        <v>364</v>
      </c>
    </row>
    <row r="21992">
      <c r="H21992" s="8" t="s">
        <v>364</v>
      </c>
    </row>
    <row r="21993">
      <c r="H21993" s="8" t="s">
        <v>364</v>
      </c>
    </row>
    <row r="21994">
      <c r="H21994" s="8" t="s">
        <v>364</v>
      </c>
    </row>
    <row r="21995">
      <c r="H21995" s="8" t="s">
        <v>364</v>
      </c>
    </row>
    <row r="21996">
      <c r="H21996" s="8" t="s">
        <v>364</v>
      </c>
    </row>
    <row r="21997">
      <c r="H21997" s="8" t="s">
        <v>364</v>
      </c>
    </row>
    <row r="21998">
      <c r="H21998" s="8" t="s">
        <v>364</v>
      </c>
    </row>
    <row r="21999">
      <c r="H21999" s="8" t="s">
        <v>364</v>
      </c>
    </row>
    <row r="22000">
      <c r="H22000" s="8" t="s">
        <v>364</v>
      </c>
    </row>
    <row r="22001">
      <c r="H22001" s="8" t="s">
        <v>364</v>
      </c>
    </row>
    <row r="22002">
      <c r="H22002" s="8" t="s">
        <v>364</v>
      </c>
    </row>
    <row r="22003">
      <c r="H22003" s="8" t="s">
        <v>364</v>
      </c>
    </row>
    <row r="22004">
      <c r="H22004" s="8" t="s">
        <v>364</v>
      </c>
    </row>
    <row r="22005">
      <c r="H22005" s="8" t="s">
        <v>364</v>
      </c>
    </row>
    <row r="22006">
      <c r="H22006" s="8" t="s">
        <v>364</v>
      </c>
    </row>
    <row r="22007">
      <c r="H22007" s="8" t="s">
        <v>364</v>
      </c>
    </row>
    <row r="22008">
      <c r="H22008" s="8" t="s">
        <v>364</v>
      </c>
    </row>
    <row r="22009">
      <c r="H22009" s="8" t="s">
        <v>364</v>
      </c>
    </row>
    <row r="22010">
      <c r="H22010" s="8" t="s">
        <v>364</v>
      </c>
    </row>
    <row r="22011">
      <c r="H22011" s="8" t="s">
        <v>364</v>
      </c>
    </row>
    <row r="22012">
      <c r="H22012" s="8" t="s">
        <v>364</v>
      </c>
    </row>
    <row r="22013">
      <c r="H22013" s="8" t="s">
        <v>364</v>
      </c>
    </row>
    <row r="22014">
      <c r="H22014" s="8" t="s">
        <v>364</v>
      </c>
    </row>
    <row r="22015">
      <c r="H22015" s="8" t="s">
        <v>364</v>
      </c>
    </row>
    <row r="22016">
      <c r="H22016" s="8" t="s">
        <v>364</v>
      </c>
    </row>
    <row r="22017">
      <c r="H22017" s="8" t="s">
        <v>364</v>
      </c>
    </row>
    <row r="22018">
      <c r="H22018" s="8" t="s">
        <v>364</v>
      </c>
    </row>
    <row r="22019">
      <c r="H22019" s="8" t="s">
        <v>364</v>
      </c>
    </row>
    <row r="22020">
      <c r="H22020" s="8" t="s">
        <v>364</v>
      </c>
    </row>
    <row r="22021">
      <c r="H22021" s="8" t="s">
        <v>364</v>
      </c>
    </row>
    <row r="22022">
      <c r="H22022" s="8" t="s">
        <v>364</v>
      </c>
    </row>
    <row r="22023">
      <c r="H22023" s="8" t="s">
        <v>364</v>
      </c>
    </row>
    <row r="22024">
      <c r="H22024" s="8" t="s">
        <v>364</v>
      </c>
    </row>
    <row r="22025">
      <c r="H22025" s="8" t="s">
        <v>364</v>
      </c>
    </row>
    <row r="22026">
      <c r="H22026" s="8" t="s">
        <v>364</v>
      </c>
    </row>
    <row r="22027">
      <c r="H22027" s="8" t="s">
        <v>364</v>
      </c>
    </row>
    <row r="22028">
      <c r="H22028" s="8" t="s">
        <v>364</v>
      </c>
    </row>
    <row r="22029">
      <c r="H22029" s="8" t="s">
        <v>364</v>
      </c>
    </row>
    <row r="22030">
      <c r="H22030" s="8" t="s">
        <v>364</v>
      </c>
    </row>
    <row r="22031">
      <c r="H22031" s="8" t="s">
        <v>364</v>
      </c>
    </row>
    <row r="22032">
      <c r="H22032" s="8" t="s">
        <v>364</v>
      </c>
    </row>
    <row r="22033">
      <c r="H22033" s="8" t="s">
        <v>364</v>
      </c>
    </row>
    <row r="22034">
      <c r="H22034" s="8" t="s">
        <v>364</v>
      </c>
    </row>
    <row r="22035">
      <c r="H22035" s="8" t="s">
        <v>364</v>
      </c>
    </row>
    <row r="22036">
      <c r="H22036" s="8" t="s">
        <v>364</v>
      </c>
    </row>
    <row r="22037">
      <c r="H22037" s="8" t="s">
        <v>364</v>
      </c>
    </row>
    <row r="22038">
      <c r="H22038" s="8" t="s">
        <v>364</v>
      </c>
    </row>
    <row r="22039">
      <c r="H22039" s="8" t="s">
        <v>364</v>
      </c>
    </row>
    <row r="22040">
      <c r="H22040" s="8" t="s">
        <v>364</v>
      </c>
    </row>
    <row r="22041">
      <c r="H22041" s="8" t="s">
        <v>364</v>
      </c>
    </row>
    <row r="22042">
      <c r="H22042" s="8" t="s">
        <v>364</v>
      </c>
    </row>
    <row r="22043">
      <c r="H22043" s="8" t="s">
        <v>364</v>
      </c>
    </row>
    <row r="22044">
      <c r="H22044" s="8" t="s">
        <v>364</v>
      </c>
    </row>
    <row r="22045">
      <c r="H22045" s="8" t="s">
        <v>364</v>
      </c>
    </row>
    <row r="22046">
      <c r="H22046" s="8" t="s">
        <v>364</v>
      </c>
    </row>
    <row r="22047">
      <c r="H22047" s="8" t="s">
        <v>364</v>
      </c>
    </row>
    <row r="22048">
      <c r="H22048" s="8" t="s">
        <v>364</v>
      </c>
    </row>
    <row r="22049">
      <c r="H22049" s="8" t="s">
        <v>364</v>
      </c>
    </row>
    <row r="22050">
      <c r="H22050" s="8" t="s">
        <v>364</v>
      </c>
    </row>
    <row r="22051">
      <c r="H22051" s="8" t="s">
        <v>364</v>
      </c>
    </row>
    <row r="22052">
      <c r="H22052" s="8" t="s">
        <v>364</v>
      </c>
    </row>
    <row r="22053">
      <c r="H22053" s="8" t="s">
        <v>364</v>
      </c>
    </row>
    <row r="22054">
      <c r="H22054" s="8" t="s">
        <v>364</v>
      </c>
    </row>
    <row r="22055">
      <c r="H22055" s="8" t="s">
        <v>364</v>
      </c>
    </row>
    <row r="22056">
      <c r="H22056" s="8" t="s">
        <v>364</v>
      </c>
    </row>
    <row r="22057">
      <c r="H22057" s="8" t="s">
        <v>364</v>
      </c>
    </row>
    <row r="22058">
      <c r="H22058" s="8" t="s">
        <v>364</v>
      </c>
    </row>
    <row r="22059">
      <c r="H22059" s="8" t="s">
        <v>364</v>
      </c>
    </row>
    <row r="22060">
      <c r="H22060" s="8" t="s">
        <v>364</v>
      </c>
    </row>
    <row r="22061">
      <c r="H22061" s="8" t="s">
        <v>364</v>
      </c>
    </row>
    <row r="22062">
      <c r="H22062" s="8" t="s">
        <v>364</v>
      </c>
    </row>
    <row r="22063">
      <c r="H22063" s="8" t="s">
        <v>364</v>
      </c>
    </row>
    <row r="22064">
      <c r="H22064" s="8" t="s">
        <v>364</v>
      </c>
    </row>
    <row r="22065">
      <c r="H22065" s="8" t="s">
        <v>364</v>
      </c>
    </row>
    <row r="22066">
      <c r="H22066" s="8" t="s">
        <v>364</v>
      </c>
    </row>
    <row r="22067">
      <c r="H22067" s="8" t="s">
        <v>364</v>
      </c>
    </row>
    <row r="22068">
      <c r="H22068" s="8" t="s">
        <v>364</v>
      </c>
    </row>
    <row r="22069">
      <c r="H22069" s="8" t="s">
        <v>364</v>
      </c>
    </row>
    <row r="22070">
      <c r="H22070" s="8" t="s">
        <v>364</v>
      </c>
    </row>
    <row r="22071">
      <c r="H22071" s="8" t="s">
        <v>364</v>
      </c>
    </row>
    <row r="22072">
      <c r="H22072" s="8" t="s">
        <v>364</v>
      </c>
    </row>
    <row r="22073">
      <c r="H22073" s="8" t="s">
        <v>364</v>
      </c>
    </row>
    <row r="22074">
      <c r="H22074" s="8" t="s">
        <v>364</v>
      </c>
    </row>
    <row r="22075">
      <c r="H22075" s="8" t="s">
        <v>364</v>
      </c>
    </row>
    <row r="22076">
      <c r="H22076" s="8" t="s">
        <v>364</v>
      </c>
    </row>
    <row r="22077">
      <c r="H22077" s="8" t="s">
        <v>364</v>
      </c>
    </row>
    <row r="22078">
      <c r="H22078" s="8" t="s">
        <v>364</v>
      </c>
    </row>
    <row r="22079">
      <c r="H22079" s="8" t="s">
        <v>364</v>
      </c>
    </row>
    <row r="22080">
      <c r="H22080" s="8" t="s">
        <v>364</v>
      </c>
    </row>
    <row r="22081">
      <c r="H22081" s="8" t="s">
        <v>364</v>
      </c>
    </row>
    <row r="22082">
      <c r="H22082" s="8" t="s">
        <v>364</v>
      </c>
    </row>
    <row r="22083">
      <c r="H22083" s="8" t="s">
        <v>364</v>
      </c>
    </row>
    <row r="22084">
      <c r="H22084" s="8" t="s">
        <v>364</v>
      </c>
    </row>
    <row r="22085">
      <c r="H22085" s="8" t="s">
        <v>364</v>
      </c>
    </row>
    <row r="22086">
      <c r="H22086" s="8" t="s">
        <v>364</v>
      </c>
    </row>
    <row r="22087">
      <c r="H22087" s="8" t="s">
        <v>364</v>
      </c>
    </row>
    <row r="22088">
      <c r="H22088" s="8" t="s">
        <v>364</v>
      </c>
    </row>
    <row r="22089">
      <c r="H22089" s="8" t="s">
        <v>364</v>
      </c>
    </row>
    <row r="22090">
      <c r="H22090" s="8" t="s">
        <v>364</v>
      </c>
    </row>
    <row r="22091">
      <c r="H22091" s="8" t="s">
        <v>364</v>
      </c>
    </row>
    <row r="22092">
      <c r="H22092" s="8" t="s">
        <v>364</v>
      </c>
    </row>
    <row r="22093">
      <c r="H22093" s="8" t="s">
        <v>364</v>
      </c>
    </row>
    <row r="22094">
      <c r="H22094" s="8" t="s">
        <v>364</v>
      </c>
    </row>
    <row r="22095">
      <c r="H22095" s="8" t="s">
        <v>364</v>
      </c>
    </row>
    <row r="22096">
      <c r="H22096" s="8" t="s">
        <v>364</v>
      </c>
    </row>
    <row r="22097">
      <c r="H22097" s="8" t="s">
        <v>364</v>
      </c>
    </row>
    <row r="22098">
      <c r="H22098" s="8" t="s">
        <v>364</v>
      </c>
    </row>
    <row r="22099">
      <c r="H22099" s="8" t="s">
        <v>364</v>
      </c>
    </row>
    <row r="22100">
      <c r="H22100" s="8" t="s">
        <v>364</v>
      </c>
    </row>
    <row r="22101">
      <c r="H22101" s="8" t="s">
        <v>364</v>
      </c>
    </row>
    <row r="22102">
      <c r="H22102" s="8" t="s">
        <v>364</v>
      </c>
    </row>
    <row r="22103">
      <c r="H22103" s="8" t="s">
        <v>364</v>
      </c>
    </row>
    <row r="22104">
      <c r="H22104" s="8" t="s">
        <v>364</v>
      </c>
    </row>
    <row r="22105">
      <c r="H22105" s="8" t="s">
        <v>364</v>
      </c>
    </row>
    <row r="22106">
      <c r="H22106" s="8" t="s">
        <v>364</v>
      </c>
    </row>
    <row r="22107">
      <c r="H22107" s="8" t="s">
        <v>364</v>
      </c>
    </row>
    <row r="22108">
      <c r="H22108" s="8" t="s">
        <v>364</v>
      </c>
    </row>
    <row r="22109">
      <c r="H22109" s="8" t="s">
        <v>364</v>
      </c>
    </row>
    <row r="22110">
      <c r="H22110" s="8" t="s">
        <v>364</v>
      </c>
    </row>
    <row r="22111">
      <c r="H22111" s="8" t="s">
        <v>364</v>
      </c>
    </row>
    <row r="22112">
      <c r="H22112" s="8" t="s">
        <v>364</v>
      </c>
    </row>
    <row r="22113">
      <c r="H22113" s="8" t="s">
        <v>364</v>
      </c>
    </row>
    <row r="22114">
      <c r="H22114" s="8" t="s">
        <v>364</v>
      </c>
    </row>
    <row r="22115">
      <c r="H22115" s="8" t="s">
        <v>364</v>
      </c>
    </row>
    <row r="22116">
      <c r="H22116" s="8" t="s">
        <v>364</v>
      </c>
    </row>
    <row r="22117">
      <c r="H22117" s="8" t="s">
        <v>364</v>
      </c>
    </row>
    <row r="22118">
      <c r="H22118" s="8" t="s">
        <v>364</v>
      </c>
    </row>
    <row r="22119">
      <c r="H22119" s="8" t="s">
        <v>364</v>
      </c>
    </row>
    <row r="22120">
      <c r="H22120" s="8" t="s">
        <v>364</v>
      </c>
    </row>
    <row r="22121">
      <c r="H22121" s="8" t="s">
        <v>364</v>
      </c>
    </row>
    <row r="22122">
      <c r="H22122" s="8" t="s">
        <v>364</v>
      </c>
    </row>
    <row r="22123">
      <c r="H22123" s="8" t="s">
        <v>364</v>
      </c>
    </row>
    <row r="22124">
      <c r="H22124" s="8" t="s">
        <v>364</v>
      </c>
    </row>
    <row r="22125">
      <c r="H22125" s="8" t="s">
        <v>364</v>
      </c>
    </row>
    <row r="22126">
      <c r="H22126" s="8" t="s">
        <v>364</v>
      </c>
    </row>
    <row r="22127">
      <c r="H22127" s="8" t="s">
        <v>364</v>
      </c>
    </row>
    <row r="22128">
      <c r="H22128" s="8" t="s">
        <v>364</v>
      </c>
    </row>
    <row r="22129">
      <c r="H22129" s="8" t="s">
        <v>364</v>
      </c>
    </row>
    <row r="22130">
      <c r="H22130" s="8" t="s">
        <v>364</v>
      </c>
    </row>
    <row r="22131">
      <c r="H22131" s="8" t="s">
        <v>364</v>
      </c>
    </row>
    <row r="22132">
      <c r="H22132" s="8" t="s">
        <v>364</v>
      </c>
    </row>
    <row r="22133">
      <c r="H22133" s="8" t="s">
        <v>364</v>
      </c>
    </row>
    <row r="22134">
      <c r="H22134" s="8" t="s">
        <v>364</v>
      </c>
    </row>
    <row r="22135">
      <c r="H22135" s="8" t="s">
        <v>364</v>
      </c>
    </row>
    <row r="22136">
      <c r="H22136" s="8" t="s">
        <v>364</v>
      </c>
    </row>
    <row r="22137">
      <c r="H22137" s="8" t="s">
        <v>364</v>
      </c>
    </row>
    <row r="22138">
      <c r="H22138" s="8" t="s">
        <v>364</v>
      </c>
    </row>
    <row r="22139">
      <c r="H22139" s="8" t="s">
        <v>364</v>
      </c>
    </row>
    <row r="22140">
      <c r="H22140" s="8" t="s">
        <v>364</v>
      </c>
    </row>
    <row r="22141">
      <c r="H22141" s="8" t="s">
        <v>364</v>
      </c>
    </row>
    <row r="22142">
      <c r="H22142" s="8" t="s">
        <v>364</v>
      </c>
    </row>
    <row r="22143">
      <c r="H22143" s="8" t="s">
        <v>364</v>
      </c>
    </row>
    <row r="22144">
      <c r="H22144" s="8" t="s">
        <v>364</v>
      </c>
    </row>
    <row r="22145">
      <c r="H22145" s="8" t="s">
        <v>364</v>
      </c>
    </row>
    <row r="22146">
      <c r="H22146" s="8" t="s">
        <v>364</v>
      </c>
    </row>
    <row r="22147">
      <c r="H22147" s="8" t="s">
        <v>364</v>
      </c>
    </row>
    <row r="22148">
      <c r="H22148" s="8" t="s">
        <v>364</v>
      </c>
    </row>
    <row r="22149">
      <c r="H22149" s="8" t="s">
        <v>364</v>
      </c>
    </row>
    <row r="22150">
      <c r="H22150" s="8" t="s">
        <v>364</v>
      </c>
    </row>
    <row r="22151">
      <c r="H22151" s="8" t="s">
        <v>364</v>
      </c>
    </row>
    <row r="22152">
      <c r="H22152" s="8" t="s">
        <v>364</v>
      </c>
    </row>
    <row r="22153">
      <c r="H22153" s="8" t="s">
        <v>364</v>
      </c>
    </row>
    <row r="22154">
      <c r="H22154" s="8" t="s">
        <v>364</v>
      </c>
    </row>
    <row r="22155">
      <c r="H22155" s="8" t="s">
        <v>364</v>
      </c>
    </row>
    <row r="22156">
      <c r="H22156" s="8" t="s">
        <v>364</v>
      </c>
    </row>
    <row r="22157">
      <c r="H22157" s="8" t="s">
        <v>364</v>
      </c>
    </row>
    <row r="22158">
      <c r="H22158" s="8" t="s">
        <v>364</v>
      </c>
    </row>
    <row r="22159">
      <c r="H22159" s="8" t="s">
        <v>364</v>
      </c>
    </row>
    <row r="22160">
      <c r="H22160" s="8" t="s">
        <v>364</v>
      </c>
    </row>
    <row r="22161">
      <c r="H22161" s="8" t="s">
        <v>364</v>
      </c>
    </row>
    <row r="22162">
      <c r="H22162" s="8" t="s">
        <v>364</v>
      </c>
    </row>
    <row r="22163">
      <c r="H22163" s="8" t="s">
        <v>364</v>
      </c>
    </row>
    <row r="22164">
      <c r="H22164" s="8" t="s">
        <v>364</v>
      </c>
    </row>
    <row r="22165">
      <c r="H22165" s="8" t="s">
        <v>364</v>
      </c>
    </row>
    <row r="22166">
      <c r="H22166" s="8" t="s">
        <v>364</v>
      </c>
    </row>
    <row r="22167">
      <c r="H22167" s="8" t="s">
        <v>364</v>
      </c>
    </row>
    <row r="22168">
      <c r="H22168" s="8" t="s">
        <v>364</v>
      </c>
    </row>
    <row r="22169">
      <c r="H22169" s="8" t="s">
        <v>364</v>
      </c>
    </row>
    <row r="22170">
      <c r="H22170" s="8" t="s">
        <v>364</v>
      </c>
    </row>
    <row r="22171">
      <c r="H22171" s="8" t="s">
        <v>364</v>
      </c>
    </row>
    <row r="22172">
      <c r="H22172" s="8" t="s">
        <v>364</v>
      </c>
    </row>
    <row r="22173">
      <c r="H22173" s="8" t="s">
        <v>364</v>
      </c>
    </row>
    <row r="22174">
      <c r="H22174" s="8" t="s">
        <v>364</v>
      </c>
    </row>
    <row r="22175">
      <c r="H22175" s="8" t="s">
        <v>364</v>
      </c>
    </row>
    <row r="22176">
      <c r="H22176" s="8" t="s">
        <v>364</v>
      </c>
    </row>
    <row r="22177">
      <c r="H22177" s="8" t="s">
        <v>364</v>
      </c>
    </row>
    <row r="22178">
      <c r="H22178" s="8" t="s">
        <v>364</v>
      </c>
    </row>
    <row r="22179">
      <c r="H22179" s="8" t="s">
        <v>364</v>
      </c>
    </row>
    <row r="22180">
      <c r="H22180" s="8" t="s">
        <v>364</v>
      </c>
    </row>
    <row r="22181">
      <c r="H22181" s="8" t="s">
        <v>364</v>
      </c>
    </row>
    <row r="22182">
      <c r="H22182" s="8" t="s">
        <v>364</v>
      </c>
    </row>
    <row r="22183">
      <c r="H22183" s="8" t="s">
        <v>364</v>
      </c>
    </row>
    <row r="22184">
      <c r="H22184" s="8" t="s">
        <v>364</v>
      </c>
    </row>
    <row r="22185">
      <c r="H22185" s="8" t="s">
        <v>364</v>
      </c>
    </row>
    <row r="22186">
      <c r="H22186" s="8" t="s">
        <v>364</v>
      </c>
    </row>
    <row r="22187">
      <c r="H22187" s="8" t="s">
        <v>364</v>
      </c>
    </row>
    <row r="22188">
      <c r="H22188" s="8" t="s">
        <v>364</v>
      </c>
    </row>
    <row r="22189">
      <c r="H22189" s="8" t="s">
        <v>364</v>
      </c>
    </row>
    <row r="22190">
      <c r="H22190" s="8" t="s">
        <v>364</v>
      </c>
    </row>
    <row r="22191">
      <c r="H22191" s="8" t="s">
        <v>364</v>
      </c>
    </row>
    <row r="22192">
      <c r="H22192" s="8" t="s">
        <v>364</v>
      </c>
    </row>
    <row r="22193">
      <c r="H22193" s="8" t="s">
        <v>364</v>
      </c>
    </row>
    <row r="22194">
      <c r="H22194" s="8" t="s">
        <v>364</v>
      </c>
    </row>
    <row r="22195">
      <c r="H22195" s="8" t="s">
        <v>364</v>
      </c>
    </row>
    <row r="22196">
      <c r="H22196" s="8" t="s">
        <v>364</v>
      </c>
    </row>
    <row r="22197">
      <c r="H22197" s="8" t="s">
        <v>364</v>
      </c>
    </row>
    <row r="22198">
      <c r="H22198" s="8" t="s">
        <v>364</v>
      </c>
    </row>
    <row r="22199">
      <c r="H22199" s="8" t="s">
        <v>364</v>
      </c>
    </row>
    <row r="22200">
      <c r="H22200" s="8" t="s">
        <v>364</v>
      </c>
    </row>
    <row r="22201">
      <c r="H22201" s="8" t="s">
        <v>364</v>
      </c>
    </row>
    <row r="22202">
      <c r="H22202" s="8" t="s">
        <v>364</v>
      </c>
    </row>
    <row r="22203">
      <c r="H22203" s="8" t="s">
        <v>364</v>
      </c>
    </row>
    <row r="22204">
      <c r="H22204" s="8" t="s">
        <v>364</v>
      </c>
    </row>
    <row r="22205">
      <c r="H22205" s="8" t="s">
        <v>364</v>
      </c>
    </row>
    <row r="22206">
      <c r="H22206" s="8" t="s">
        <v>364</v>
      </c>
    </row>
    <row r="22207">
      <c r="H22207" s="8" t="s">
        <v>364</v>
      </c>
    </row>
    <row r="22208">
      <c r="H22208" s="8" t="s">
        <v>364</v>
      </c>
    </row>
    <row r="22209">
      <c r="H22209" s="8" t="s">
        <v>364</v>
      </c>
    </row>
    <row r="22210">
      <c r="H22210" s="8" t="s">
        <v>364</v>
      </c>
    </row>
    <row r="22211">
      <c r="H22211" s="8" t="s">
        <v>364</v>
      </c>
    </row>
    <row r="22212">
      <c r="H22212" s="8" t="s">
        <v>364</v>
      </c>
    </row>
    <row r="22213">
      <c r="H22213" s="8" t="s">
        <v>364</v>
      </c>
    </row>
    <row r="22214">
      <c r="H22214" s="8" t="s">
        <v>364</v>
      </c>
    </row>
    <row r="22215">
      <c r="H22215" s="8" t="s">
        <v>364</v>
      </c>
    </row>
    <row r="22216">
      <c r="H22216" s="8" t="s">
        <v>364</v>
      </c>
    </row>
    <row r="22217">
      <c r="H22217" s="8" t="s">
        <v>364</v>
      </c>
    </row>
    <row r="22218">
      <c r="H22218" s="8" t="s">
        <v>364</v>
      </c>
    </row>
    <row r="22219">
      <c r="H22219" s="8" t="s">
        <v>364</v>
      </c>
    </row>
    <row r="22220">
      <c r="H22220" s="8" t="s">
        <v>364</v>
      </c>
    </row>
    <row r="22221">
      <c r="H22221" s="8" t="s">
        <v>364</v>
      </c>
    </row>
    <row r="22222">
      <c r="H22222" s="8" t="s">
        <v>364</v>
      </c>
    </row>
    <row r="22223">
      <c r="H22223" s="8" t="s">
        <v>364</v>
      </c>
    </row>
    <row r="22224">
      <c r="H22224" s="8" t="s">
        <v>364</v>
      </c>
    </row>
    <row r="22225">
      <c r="H22225" s="8" t="s">
        <v>364</v>
      </c>
    </row>
    <row r="22226">
      <c r="H22226" s="8" t="s">
        <v>364</v>
      </c>
    </row>
    <row r="22227">
      <c r="H22227" s="8" t="s">
        <v>364</v>
      </c>
    </row>
    <row r="22228">
      <c r="H22228" s="8" t="s">
        <v>364</v>
      </c>
    </row>
    <row r="22229">
      <c r="H22229" s="8" t="s">
        <v>364</v>
      </c>
    </row>
    <row r="22230">
      <c r="H22230" s="8" t="s">
        <v>364</v>
      </c>
    </row>
    <row r="22231">
      <c r="H22231" s="8" t="s">
        <v>364</v>
      </c>
    </row>
    <row r="22232">
      <c r="H22232" s="8" t="s">
        <v>364</v>
      </c>
    </row>
    <row r="22233">
      <c r="H22233" s="8" t="s">
        <v>364</v>
      </c>
    </row>
    <row r="22234">
      <c r="H22234" s="8" t="s">
        <v>364</v>
      </c>
    </row>
    <row r="22235">
      <c r="H22235" s="8" t="s">
        <v>364</v>
      </c>
    </row>
    <row r="22236">
      <c r="H22236" s="8" t="s">
        <v>364</v>
      </c>
    </row>
    <row r="22237">
      <c r="H22237" s="8" t="s">
        <v>364</v>
      </c>
    </row>
    <row r="22238">
      <c r="H22238" s="8" t="s">
        <v>364</v>
      </c>
    </row>
    <row r="22239">
      <c r="H22239" s="8" t="s">
        <v>364</v>
      </c>
    </row>
    <row r="22240">
      <c r="H22240" s="8" t="s">
        <v>364</v>
      </c>
    </row>
    <row r="22241">
      <c r="H22241" s="8" t="s">
        <v>364</v>
      </c>
    </row>
    <row r="22242">
      <c r="H22242" s="8" t="s">
        <v>364</v>
      </c>
    </row>
    <row r="22243">
      <c r="H22243" s="8" t="s">
        <v>364</v>
      </c>
    </row>
    <row r="22244">
      <c r="H22244" s="8" t="s">
        <v>364</v>
      </c>
    </row>
    <row r="22245">
      <c r="H22245" s="8" t="s">
        <v>364</v>
      </c>
    </row>
    <row r="22246">
      <c r="H22246" s="8" t="s">
        <v>364</v>
      </c>
    </row>
    <row r="22247">
      <c r="H22247" s="8" t="s">
        <v>364</v>
      </c>
    </row>
    <row r="22248">
      <c r="H22248" s="8" t="s">
        <v>364</v>
      </c>
    </row>
    <row r="22249">
      <c r="H22249" s="8" t="s">
        <v>364</v>
      </c>
    </row>
    <row r="22250">
      <c r="H22250" s="8" t="s">
        <v>364</v>
      </c>
    </row>
    <row r="22251">
      <c r="H22251" s="8" t="s">
        <v>364</v>
      </c>
    </row>
    <row r="22252">
      <c r="H22252" s="8" t="s">
        <v>364</v>
      </c>
    </row>
    <row r="22253">
      <c r="H22253" s="8" t="s">
        <v>364</v>
      </c>
    </row>
    <row r="22254">
      <c r="H22254" s="8" t="s">
        <v>364</v>
      </c>
    </row>
    <row r="22255">
      <c r="H22255" s="8" t="s">
        <v>364</v>
      </c>
    </row>
    <row r="22256">
      <c r="H22256" s="8" t="s">
        <v>364</v>
      </c>
    </row>
    <row r="22257">
      <c r="H22257" s="8" t="s">
        <v>364</v>
      </c>
    </row>
    <row r="22258">
      <c r="H22258" s="8" t="s">
        <v>364</v>
      </c>
    </row>
    <row r="22259">
      <c r="H22259" s="8" t="s">
        <v>364</v>
      </c>
    </row>
    <row r="22260">
      <c r="H22260" s="8" t="s">
        <v>364</v>
      </c>
    </row>
    <row r="22261">
      <c r="H22261" s="8" t="s">
        <v>364</v>
      </c>
    </row>
    <row r="22262">
      <c r="H22262" s="8" t="s">
        <v>364</v>
      </c>
    </row>
    <row r="22263">
      <c r="H22263" s="8" t="s">
        <v>364</v>
      </c>
    </row>
    <row r="22264">
      <c r="H22264" s="8" t="s">
        <v>364</v>
      </c>
    </row>
    <row r="22265">
      <c r="H22265" s="8" t="s">
        <v>364</v>
      </c>
    </row>
    <row r="22266">
      <c r="H22266" s="8" t="s">
        <v>364</v>
      </c>
    </row>
    <row r="22267">
      <c r="H22267" s="8" t="s">
        <v>364</v>
      </c>
    </row>
    <row r="22268">
      <c r="H22268" s="8" t="s">
        <v>364</v>
      </c>
    </row>
    <row r="22269">
      <c r="H22269" s="8" t="s">
        <v>364</v>
      </c>
    </row>
    <row r="22270">
      <c r="H22270" s="8" t="s">
        <v>364</v>
      </c>
    </row>
    <row r="22271">
      <c r="H22271" s="8" t="s">
        <v>364</v>
      </c>
    </row>
    <row r="22272">
      <c r="H22272" s="8" t="s">
        <v>364</v>
      </c>
    </row>
    <row r="22273">
      <c r="H22273" s="8" t="s">
        <v>364</v>
      </c>
    </row>
    <row r="22274">
      <c r="H22274" s="8" t="s">
        <v>364</v>
      </c>
    </row>
    <row r="22275">
      <c r="H22275" s="8" t="s">
        <v>364</v>
      </c>
    </row>
    <row r="22276">
      <c r="H22276" s="8" t="s">
        <v>364</v>
      </c>
    </row>
    <row r="22277">
      <c r="H22277" s="8" t="s">
        <v>364</v>
      </c>
    </row>
    <row r="22278">
      <c r="H22278" s="8" t="s">
        <v>364</v>
      </c>
    </row>
    <row r="22279">
      <c r="H22279" s="8" t="s">
        <v>364</v>
      </c>
    </row>
    <row r="22280">
      <c r="H22280" s="8" t="s">
        <v>364</v>
      </c>
    </row>
    <row r="22281">
      <c r="H22281" s="8" t="s">
        <v>364</v>
      </c>
    </row>
    <row r="22282">
      <c r="H22282" s="8" t="s">
        <v>364</v>
      </c>
    </row>
    <row r="22283">
      <c r="H22283" s="8" t="s">
        <v>364</v>
      </c>
    </row>
    <row r="22284">
      <c r="H22284" s="8" t="s">
        <v>364</v>
      </c>
    </row>
    <row r="22285">
      <c r="H22285" s="8" t="s">
        <v>364</v>
      </c>
    </row>
    <row r="22286">
      <c r="H22286" s="8" t="s">
        <v>364</v>
      </c>
    </row>
    <row r="22287">
      <c r="H22287" s="8" t="s">
        <v>364</v>
      </c>
    </row>
    <row r="22288">
      <c r="H22288" s="8" t="s">
        <v>364</v>
      </c>
    </row>
    <row r="22289">
      <c r="H22289" s="8" t="s">
        <v>364</v>
      </c>
    </row>
    <row r="22290">
      <c r="H22290" s="8" t="s">
        <v>364</v>
      </c>
    </row>
    <row r="22291">
      <c r="H22291" s="8" t="s">
        <v>364</v>
      </c>
    </row>
    <row r="22292">
      <c r="H22292" s="8" t="s">
        <v>364</v>
      </c>
    </row>
    <row r="22293">
      <c r="H22293" s="8" t="s">
        <v>364</v>
      </c>
    </row>
    <row r="22294">
      <c r="H22294" s="8" t="s">
        <v>364</v>
      </c>
    </row>
    <row r="22295">
      <c r="H22295" s="8" t="s">
        <v>364</v>
      </c>
    </row>
    <row r="22296">
      <c r="H22296" s="8" t="s">
        <v>364</v>
      </c>
    </row>
    <row r="22297">
      <c r="H22297" s="8" t="s">
        <v>364</v>
      </c>
    </row>
    <row r="22298">
      <c r="H22298" s="8" t="s">
        <v>364</v>
      </c>
    </row>
    <row r="22299">
      <c r="H22299" s="8" t="s">
        <v>364</v>
      </c>
    </row>
    <row r="22300">
      <c r="H22300" s="8" t="s">
        <v>364</v>
      </c>
    </row>
    <row r="22301">
      <c r="H22301" s="8" t="s">
        <v>364</v>
      </c>
    </row>
    <row r="22302">
      <c r="H22302" s="8" t="s">
        <v>364</v>
      </c>
    </row>
    <row r="22303">
      <c r="H22303" s="8" t="s">
        <v>364</v>
      </c>
    </row>
    <row r="22304">
      <c r="H22304" s="8" t="s">
        <v>364</v>
      </c>
    </row>
    <row r="22305">
      <c r="H22305" s="8" t="s">
        <v>364</v>
      </c>
    </row>
    <row r="22306">
      <c r="H22306" s="8" t="s">
        <v>364</v>
      </c>
    </row>
    <row r="22307">
      <c r="H22307" s="8" t="s">
        <v>364</v>
      </c>
    </row>
    <row r="22308">
      <c r="H22308" s="8" t="s">
        <v>364</v>
      </c>
    </row>
    <row r="22309">
      <c r="H22309" s="8" t="s">
        <v>364</v>
      </c>
    </row>
    <row r="22310">
      <c r="H22310" s="8" t="s">
        <v>364</v>
      </c>
    </row>
    <row r="22311">
      <c r="H22311" s="8" t="s">
        <v>364</v>
      </c>
    </row>
    <row r="22312">
      <c r="H22312" s="8" t="s">
        <v>364</v>
      </c>
    </row>
    <row r="22313">
      <c r="H22313" s="8" t="s">
        <v>364</v>
      </c>
    </row>
    <row r="22314">
      <c r="H22314" s="8" t="s">
        <v>364</v>
      </c>
    </row>
    <row r="22315">
      <c r="H22315" s="8" t="s">
        <v>364</v>
      </c>
    </row>
    <row r="22316">
      <c r="H22316" s="8" t="s">
        <v>364</v>
      </c>
    </row>
    <row r="22317">
      <c r="H22317" s="8" t="s">
        <v>364</v>
      </c>
    </row>
    <row r="22318">
      <c r="H22318" s="8" t="s">
        <v>364</v>
      </c>
    </row>
    <row r="22319">
      <c r="H22319" s="8" t="s">
        <v>364</v>
      </c>
    </row>
    <row r="22320">
      <c r="H22320" s="8" t="s">
        <v>364</v>
      </c>
    </row>
    <row r="22321">
      <c r="H22321" s="8" t="s">
        <v>364</v>
      </c>
    </row>
    <row r="22322">
      <c r="H22322" s="8" t="s">
        <v>364</v>
      </c>
    </row>
    <row r="22323">
      <c r="H22323" s="8" t="s">
        <v>364</v>
      </c>
    </row>
    <row r="22324">
      <c r="H22324" s="8" t="s">
        <v>364</v>
      </c>
    </row>
    <row r="22325">
      <c r="H22325" s="8" t="s">
        <v>364</v>
      </c>
    </row>
    <row r="22326">
      <c r="H22326" s="8" t="s">
        <v>364</v>
      </c>
    </row>
    <row r="22327">
      <c r="H22327" s="8" t="s">
        <v>364</v>
      </c>
    </row>
    <row r="22328">
      <c r="H22328" s="8" t="s">
        <v>364</v>
      </c>
    </row>
    <row r="22329">
      <c r="H22329" s="8" t="s">
        <v>364</v>
      </c>
    </row>
    <row r="22330">
      <c r="H22330" s="8" t="s">
        <v>364</v>
      </c>
    </row>
    <row r="22331">
      <c r="H22331" s="8" t="s">
        <v>364</v>
      </c>
    </row>
    <row r="22332">
      <c r="H22332" s="8" t="s">
        <v>364</v>
      </c>
    </row>
    <row r="22333">
      <c r="H22333" s="8" t="s">
        <v>364</v>
      </c>
    </row>
    <row r="22334">
      <c r="H22334" s="8" t="s">
        <v>364</v>
      </c>
    </row>
    <row r="22335">
      <c r="H22335" s="8" t="s">
        <v>364</v>
      </c>
    </row>
    <row r="22336">
      <c r="H22336" s="8" t="s">
        <v>364</v>
      </c>
    </row>
    <row r="22337">
      <c r="H22337" s="8" t="s">
        <v>364</v>
      </c>
    </row>
    <row r="22338">
      <c r="H22338" s="8" t="s">
        <v>364</v>
      </c>
    </row>
    <row r="22339">
      <c r="H22339" s="8" t="s">
        <v>364</v>
      </c>
    </row>
    <row r="22340">
      <c r="H22340" s="8" t="s">
        <v>364</v>
      </c>
    </row>
    <row r="22341">
      <c r="H22341" s="8" t="s">
        <v>364</v>
      </c>
    </row>
    <row r="22342">
      <c r="H22342" s="8" t="s">
        <v>364</v>
      </c>
    </row>
    <row r="22343">
      <c r="H22343" s="8" t="s">
        <v>364</v>
      </c>
    </row>
    <row r="22344">
      <c r="H22344" s="8" t="s">
        <v>364</v>
      </c>
    </row>
    <row r="22345">
      <c r="H22345" s="8" t="s">
        <v>364</v>
      </c>
    </row>
    <row r="22346">
      <c r="H22346" s="8" t="s">
        <v>364</v>
      </c>
    </row>
    <row r="22347">
      <c r="H22347" s="8" t="s">
        <v>364</v>
      </c>
    </row>
    <row r="22348">
      <c r="H22348" s="8" t="s">
        <v>364</v>
      </c>
    </row>
    <row r="22349">
      <c r="H22349" s="8" t="s">
        <v>364</v>
      </c>
    </row>
    <row r="22350">
      <c r="H22350" s="8" t="s">
        <v>364</v>
      </c>
    </row>
    <row r="22351">
      <c r="H22351" s="8" t="s">
        <v>364</v>
      </c>
    </row>
    <row r="22352">
      <c r="H22352" s="8" t="s">
        <v>364</v>
      </c>
    </row>
    <row r="22353">
      <c r="H22353" s="8" t="s">
        <v>364</v>
      </c>
    </row>
    <row r="22354">
      <c r="H22354" s="8" t="s">
        <v>364</v>
      </c>
    </row>
    <row r="22355">
      <c r="H22355" s="8" t="s">
        <v>364</v>
      </c>
    </row>
    <row r="22356">
      <c r="H22356" s="8" t="s">
        <v>364</v>
      </c>
    </row>
    <row r="22357">
      <c r="H22357" s="8" t="s">
        <v>364</v>
      </c>
    </row>
    <row r="22358">
      <c r="H22358" s="8" t="s">
        <v>364</v>
      </c>
    </row>
    <row r="22359">
      <c r="H22359" s="8" t="s">
        <v>364</v>
      </c>
    </row>
    <row r="22360">
      <c r="H22360" s="8" t="s">
        <v>364</v>
      </c>
    </row>
    <row r="22361">
      <c r="H22361" s="8" t="s">
        <v>364</v>
      </c>
    </row>
    <row r="22362">
      <c r="H22362" s="8" t="s">
        <v>364</v>
      </c>
    </row>
    <row r="22363">
      <c r="H22363" s="8" t="s">
        <v>364</v>
      </c>
    </row>
    <row r="22364">
      <c r="H22364" s="8" t="s">
        <v>364</v>
      </c>
    </row>
    <row r="22365">
      <c r="H22365" s="8" t="s">
        <v>364</v>
      </c>
    </row>
    <row r="22366">
      <c r="H22366" s="8" t="s">
        <v>364</v>
      </c>
    </row>
    <row r="22367">
      <c r="H22367" s="8" t="s">
        <v>364</v>
      </c>
    </row>
    <row r="22368">
      <c r="H22368" s="8" t="s">
        <v>364</v>
      </c>
    </row>
    <row r="22369">
      <c r="H22369" s="8" t="s">
        <v>364</v>
      </c>
    </row>
    <row r="22370">
      <c r="H22370" s="8" t="s">
        <v>364</v>
      </c>
    </row>
    <row r="22371">
      <c r="H22371" s="8" t="s">
        <v>364</v>
      </c>
    </row>
    <row r="22372">
      <c r="H22372" s="8" t="s">
        <v>364</v>
      </c>
    </row>
    <row r="22373">
      <c r="H22373" s="8" t="s">
        <v>364</v>
      </c>
    </row>
    <row r="22374">
      <c r="H22374" s="8" t="s">
        <v>364</v>
      </c>
    </row>
    <row r="22375">
      <c r="H22375" s="8" t="s">
        <v>364</v>
      </c>
    </row>
    <row r="22376">
      <c r="H22376" s="8" t="s">
        <v>364</v>
      </c>
    </row>
    <row r="22377">
      <c r="H22377" s="8" t="s">
        <v>364</v>
      </c>
    </row>
    <row r="22378">
      <c r="H22378" s="8" t="s">
        <v>364</v>
      </c>
    </row>
    <row r="22379">
      <c r="H22379" s="8" t="s">
        <v>364</v>
      </c>
    </row>
    <row r="22380">
      <c r="H22380" s="8" t="s">
        <v>364</v>
      </c>
    </row>
    <row r="22381">
      <c r="H22381" s="8" t="s">
        <v>364</v>
      </c>
    </row>
    <row r="22382">
      <c r="H22382" s="8" t="s">
        <v>364</v>
      </c>
    </row>
    <row r="22383">
      <c r="H22383" s="8" t="s">
        <v>364</v>
      </c>
    </row>
    <row r="22384">
      <c r="H22384" s="8" t="s">
        <v>364</v>
      </c>
    </row>
    <row r="22385">
      <c r="H22385" s="8" t="s">
        <v>364</v>
      </c>
    </row>
    <row r="22386">
      <c r="H22386" s="8" t="s">
        <v>364</v>
      </c>
    </row>
    <row r="22387">
      <c r="H22387" s="8" t="s">
        <v>364</v>
      </c>
    </row>
    <row r="22388">
      <c r="H22388" s="8" t="s">
        <v>364</v>
      </c>
    </row>
    <row r="22389">
      <c r="H22389" s="8" t="s">
        <v>364</v>
      </c>
    </row>
    <row r="22390">
      <c r="H22390" s="8" t="s">
        <v>364</v>
      </c>
    </row>
    <row r="22391">
      <c r="H22391" s="8" t="s">
        <v>364</v>
      </c>
    </row>
    <row r="22392">
      <c r="H22392" s="8" t="s">
        <v>364</v>
      </c>
    </row>
    <row r="22393">
      <c r="H22393" s="8" t="s">
        <v>364</v>
      </c>
    </row>
    <row r="22394">
      <c r="H22394" s="8" t="s">
        <v>364</v>
      </c>
    </row>
    <row r="22395">
      <c r="H22395" s="8" t="s">
        <v>364</v>
      </c>
    </row>
    <row r="22396">
      <c r="H22396" s="8" t="s">
        <v>364</v>
      </c>
    </row>
    <row r="22397">
      <c r="H22397" s="8" t="s">
        <v>364</v>
      </c>
    </row>
    <row r="22398">
      <c r="H22398" s="8" t="s">
        <v>364</v>
      </c>
    </row>
    <row r="22399">
      <c r="H22399" s="8" t="s">
        <v>364</v>
      </c>
    </row>
    <row r="22400">
      <c r="H22400" s="8" t="s">
        <v>364</v>
      </c>
    </row>
    <row r="22401">
      <c r="H22401" s="8" t="s">
        <v>364</v>
      </c>
    </row>
    <row r="22402">
      <c r="H22402" s="8" t="s">
        <v>364</v>
      </c>
    </row>
    <row r="22403">
      <c r="H22403" s="8" t="s">
        <v>364</v>
      </c>
    </row>
    <row r="22404">
      <c r="H22404" s="8" t="s">
        <v>364</v>
      </c>
    </row>
    <row r="22405">
      <c r="H22405" s="8" t="s">
        <v>364</v>
      </c>
    </row>
    <row r="22406">
      <c r="H22406" s="8" t="s">
        <v>364</v>
      </c>
    </row>
    <row r="22407">
      <c r="H22407" s="8" t="s">
        <v>364</v>
      </c>
    </row>
    <row r="22408">
      <c r="H22408" s="8" t="s">
        <v>364</v>
      </c>
    </row>
    <row r="22409">
      <c r="H22409" s="8" t="s">
        <v>364</v>
      </c>
    </row>
    <row r="22410">
      <c r="H22410" s="8" t="s">
        <v>364</v>
      </c>
    </row>
    <row r="22411">
      <c r="H22411" s="8" t="s">
        <v>364</v>
      </c>
    </row>
    <row r="22412">
      <c r="H22412" s="8" t="s">
        <v>364</v>
      </c>
    </row>
    <row r="22413">
      <c r="H22413" s="8" t="s">
        <v>364</v>
      </c>
    </row>
    <row r="22414">
      <c r="H22414" s="8" t="s">
        <v>364</v>
      </c>
    </row>
    <row r="22415">
      <c r="H22415" s="8" t="s">
        <v>364</v>
      </c>
    </row>
    <row r="22416">
      <c r="H22416" s="8" t="s">
        <v>364</v>
      </c>
    </row>
    <row r="22417">
      <c r="H22417" s="8" t="s">
        <v>364</v>
      </c>
    </row>
    <row r="22418">
      <c r="H22418" s="8" t="s">
        <v>364</v>
      </c>
    </row>
    <row r="22419">
      <c r="H22419" s="8" t="s">
        <v>364</v>
      </c>
    </row>
    <row r="22420">
      <c r="H22420" s="8" t="s">
        <v>364</v>
      </c>
    </row>
    <row r="22421">
      <c r="H22421" s="8" t="s">
        <v>364</v>
      </c>
    </row>
    <row r="22422">
      <c r="H22422" s="8" t="s">
        <v>364</v>
      </c>
    </row>
    <row r="22423">
      <c r="H22423" s="8" t="s">
        <v>364</v>
      </c>
    </row>
    <row r="22424">
      <c r="H22424" s="8" t="s">
        <v>364</v>
      </c>
    </row>
    <row r="22425">
      <c r="H22425" s="8" t="s">
        <v>364</v>
      </c>
    </row>
    <row r="22426">
      <c r="H22426" s="8" t="s">
        <v>364</v>
      </c>
    </row>
    <row r="22427">
      <c r="H22427" s="8" t="s">
        <v>364</v>
      </c>
    </row>
    <row r="22428">
      <c r="H22428" s="8" t="s">
        <v>364</v>
      </c>
    </row>
    <row r="22429">
      <c r="H22429" s="8" t="s">
        <v>364</v>
      </c>
    </row>
    <row r="22430">
      <c r="H22430" s="8" t="s">
        <v>364</v>
      </c>
    </row>
    <row r="22431">
      <c r="H22431" s="8" t="s">
        <v>364</v>
      </c>
    </row>
    <row r="22432">
      <c r="H22432" s="8" t="s">
        <v>364</v>
      </c>
    </row>
    <row r="22433">
      <c r="H22433" s="8" t="s">
        <v>364</v>
      </c>
    </row>
    <row r="22434">
      <c r="H22434" s="8" t="s">
        <v>364</v>
      </c>
    </row>
    <row r="22435">
      <c r="H22435" s="8" t="s">
        <v>364</v>
      </c>
    </row>
    <row r="22436">
      <c r="H22436" s="8" t="s">
        <v>364</v>
      </c>
    </row>
    <row r="22437">
      <c r="H22437" s="8" t="s">
        <v>364</v>
      </c>
    </row>
    <row r="22438">
      <c r="H22438" s="8" t="s">
        <v>364</v>
      </c>
    </row>
    <row r="22439">
      <c r="H22439" s="8" t="s">
        <v>364</v>
      </c>
    </row>
    <row r="22440">
      <c r="H22440" s="8" t="s">
        <v>364</v>
      </c>
    </row>
    <row r="22441">
      <c r="H22441" s="8" t="s">
        <v>364</v>
      </c>
    </row>
    <row r="22442">
      <c r="H22442" s="8" t="s">
        <v>364</v>
      </c>
    </row>
    <row r="22443">
      <c r="H22443" s="8" t="s">
        <v>364</v>
      </c>
    </row>
    <row r="22444">
      <c r="H22444" s="8" t="s">
        <v>364</v>
      </c>
    </row>
    <row r="22445">
      <c r="H22445" s="8" t="s">
        <v>364</v>
      </c>
    </row>
    <row r="22446">
      <c r="H22446" s="8" t="s">
        <v>364</v>
      </c>
    </row>
    <row r="22447">
      <c r="H22447" s="8" t="s">
        <v>364</v>
      </c>
    </row>
    <row r="22448">
      <c r="H22448" s="8" t="s">
        <v>364</v>
      </c>
    </row>
    <row r="22449">
      <c r="H22449" s="8" t="s">
        <v>364</v>
      </c>
    </row>
    <row r="22450">
      <c r="H22450" s="8" t="s">
        <v>364</v>
      </c>
    </row>
    <row r="22451">
      <c r="H22451" s="8" t="s">
        <v>364</v>
      </c>
    </row>
    <row r="22452">
      <c r="H22452" s="8" t="s">
        <v>364</v>
      </c>
    </row>
    <row r="22453">
      <c r="H22453" s="8" t="s">
        <v>364</v>
      </c>
    </row>
    <row r="22454">
      <c r="H22454" s="8" t="s">
        <v>364</v>
      </c>
    </row>
    <row r="22455">
      <c r="H22455" s="8" t="s">
        <v>364</v>
      </c>
    </row>
    <row r="22456">
      <c r="H22456" s="8" t="s">
        <v>364</v>
      </c>
    </row>
    <row r="22457">
      <c r="H22457" s="8" t="s">
        <v>364</v>
      </c>
    </row>
    <row r="22458">
      <c r="H22458" s="8" t="s">
        <v>364</v>
      </c>
    </row>
    <row r="22459">
      <c r="H22459" s="8" t="s">
        <v>364</v>
      </c>
    </row>
    <row r="22460">
      <c r="H22460" s="8" t="s">
        <v>364</v>
      </c>
    </row>
    <row r="22461">
      <c r="H22461" s="8" t="s">
        <v>364</v>
      </c>
    </row>
    <row r="22462">
      <c r="H22462" s="8" t="s">
        <v>364</v>
      </c>
    </row>
    <row r="22463">
      <c r="H22463" s="8" t="s">
        <v>364</v>
      </c>
    </row>
    <row r="22464">
      <c r="H22464" s="8" t="s">
        <v>364</v>
      </c>
    </row>
    <row r="22465">
      <c r="H22465" s="8" t="s">
        <v>364</v>
      </c>
    </row>
    <row r="22466">
      <c r="H22466" s="8" t="s">
        <v>364</v>
      </c>
    </row>
    <row r="22467">
      <c r="H22467" s="8" t="s">
        <v>364</v>
      </c>
    </row>
    <row r="22468">
      <c r="H22468" s="8" t="s">
        <v>364</v>
      </c>
    </row>
    <row r="22469">
      <c r="H22469" s="8" t="s">
        <v>364</v>
      </c>
    </row>
    <row r="22470">
      <c r="H22470" s="8" t="s">
        <v>364</v>
      </c>
    </row>
    <row r="22471">
      <c r="H22471" s="8" t="s">
        <v>364</v>
      </c>
    </row>
    <row r="22472">
      <c r="H22472" s="8" t="s">
        <v>364</v>
      </c>
    </row>
    <row r="22473">
      <c r="H22473" s="8" t="s">
        <v>364</v>
      </c>
    </row>
    <row r="22474">
      <c r="H22474" s="8" t="s">
        <v>364</v>
      </c>
    </row>
    <row r="22475">
      <c r="H22475" s="8" t="s">
        <v>364</v>
      </c>
    </row>
    <row r="22476">
      <c r="H22476" s="8" t="s">
        <v>364</v>
      </c>
    </row>
    <row r="22477">
      <c r="H22477" s="8" t="s">
        <v>364</v>
      </c>
    </row>
    <row r="22478">
      <c r="H22478" s="8" t="s">
        <v>364</v>
      </c>
    </row>
    <row r="22479">
      <c r="H22479" s="8" t="s">
        <v>364</v>
      </c>
    </row>
    <row r="22480">
      <c r="H22480" s="8" t="s">
        <v>364</v>
      </c>
    </row>
    <row r="22481">
      <c r="H22481" s="8" t="s">
        <v>364</v>
      </c>
    </row>
    <row r="22482">
      <c r="H22482" s="8" t="s">
        <v>364</v>
      </c>
    </row>
    <row r="22483">
      <c r="H22483" s="8" t="s">
        <v>364</v>
      </c>
    </row>
    <row r="22484">
      <c r="H22484" s="8" t="s">
        <v>364</v>
      </c>
    </row>
    <row r="22485">
      <c r="H22485" s="8" t="s">
        <v>364</v>
      </c>
    </row>
    <row r="22486">
      <c r="H22486" s="8" t="s">
        <v>364</v>
      </c>
    </row>
    <row r="22487">
      <c r="H22487" s="8" t="s">
        <v>364</v>
      </c>
    </row>
    <row r="22488">
      <c r="H22488" s="8" t="s">
        <v>364</v>
      </c>
    </row>
    <row r="22489">
      <c r="H22489" s="8" t="s">
        <v>364</v>
      </c>
    </row>
    <row r="22490">
      <c r="H22490" s="8" t="s">
        <v>364</v>
      </c>
    </row>
    <row r="22491">
      <c r="H22491" s="8" t="s">
        <v>364</v>
      </c>
    </row>
    <row r="22492">
      <c r="H22492" s="8" t="s">
        <v>364</v>
      </c>
    </row>
    <row r="22493">
      <c r="H22493" s="8" t="s">
        <v>364</v>
      </c>
    </row>
    <row r="22494">
      <c r="H22494" s="8" t="s">
        <v>364</v>
      </c>
    </row>
    <row r="22495">
      <c r="H22495" s="8" t="s">
        <v>364</v>
      </c>
    </row>
    <row r="22496">
      <c r="H22496" s="8" t="s">
        <v>364</v>
      </c>
    </row>
    <row r="22497">
      <c r="H22497" s="8" t="s">
        <v>364</v>
      </c>
    </row>
    <row r="22498">
      <c r="H22498" s="8" t="s">
        <v>364</v>
      </c>
    </row>
    <row r="22499">
      <c r="H22499" s="8" t="s">
        <v>364</v>
      </c>
    </row>
    <row r="22500">
      <c r="H22500" s="8" t="s">
        <v>364</v>
      </c>
    </row>
    <row r="22501">
      <c r="H22501" s="8" t="s">
        <v>364</v>
      </c>
    </row>
    <row r="22502">
      <c r="H22502" s="8" t="s">
        <v>364</v>
      </c>
    </row>
    <row r="22503">
      <c r="H22503" s="8" t="s">
        <v>364</v>
      </c>
    </row>
    <row r="22504">
      <c r="H22504" s="8" t="s">
        <v>364</v>
      </c>
    </row>
    <row r="22505">
      <c r="H22505" s="8" t="s">
        <v>364</v>
      </c>
    </row>
    <row r="22506">
      <c r="H22506" s="8" t="s">
        <v>364</v>
      </c>
    </row>
    <row r="22507">
      <c r="H22507" s="8" t="s">
        <v>364</v>
      </c>
    </row>
    <row r="22508">
      <c r="H22508" s="8" t="s">
        <v>364</v>
      </c>
    </row>
    <row r="22509">
      <c r="H22509" s="8" t="s">
        <v>364</v>
      </c>
    </row>
    <row r="22510">
      <c r="H22510" s="8" t="s">
        <v>364</v>
      </c>
    </row>
    <row r="22511">
      <c r="H22511" s="8" t="s">
        <v>364</v>
      </c>
    </row>
    <row r="22512">
      <c r="H22512" s="8" t="s">
        <v>364</v>
      </c>
    </row>
    <row r="22513">
      <c r="H22513" s="8" t="s">
        <v>364</v>
      </c>
    </row>
    <row r="22514">
      <c r="H22514" s="8" t="s">
        <v>364</v>
      </c>
    </row>
    <row r="22515">
      <c r="H22515" s="8" t="s">
        <v>364</v>
      </c>
    </row>
    <row r="22516">
      <c r="H22516" s="8" t="s">
        <v>364</v>
      </c>
    </row>
    <row r="22517">
      <c r="H22517" s="8" t="s">
        <v>364</v>
      </c>
    </row>
    <row r="22518">
      <c r="H22518" s="8" t="s">
        <v>364</v>
      </c>
    </row>
    <row r="22519">
      <c r="H22519" s="8" t="s">
        <v>364</v>
      </c>
    </row>
    <row r="22520">
      <c r="H22520" s="8" t="s">
        <v>364</v>
      </c>
    </row>
    <row r="22521">
      <c r="H22521" s="8" t="s">
        <v>364</v>
      </c>
    </row>
    <row r="22522">
      <c r="H22522" s="8" t="s">
        <v>364</v>
      </c>
    </row>
    <row r="22523">
      <c r="H22523" s="8" t="s">
        <v>364</v>
      </c>
    </row>
    <row r="22524">
      <c r="H22524" s="8" t="s">
        <v>364</v>
      </c>
    </row>
    <row r="22525">
      <c r="H22525" s="8" t="s">
        <v>364</v>
      </c>
    </row>
    <row r="22526">
      <c r="H22526" s="8" t="s">
        <v>364</v>
      </c>
    </row>
    <row r="22527">
      <c r="H22527" s="8" t="s">
        <v>364</v>
      </c>
    </row>
    <row r="22528">
      <c r="H22528" s="8" t="s">
        <v>364</v>
      </c>
    </row>
    <row r="22529">
      <c r="H22529" s="8" t="s">
        <v>364</v>
      </c>
    </row>
    <row r="22530">
      <c r="H22530" s="8" t="s">
        <v>364</v>
      </c>
    </row>
    <row r="22531">
      <c r="H22531" s="8" t="s">
        <v>364</v>
      </c>
    </row>
    <row r="22532">
      <c r="H22532" s="8" t="s">
        <v>364</v>
      </c>
    </row>
    <row r="22533">
      <c r="H22533" s="8" t="s">
        <v>364</v>
      </c>
    </row>
    <row r="22534">
      <c r="H22534" s="8" t="s">
        <v>364</v>
      </c>
    </row>
    <row r="22535">
      <c r="H22535" s="8" t="s">
        <v>364</v>
      </c>
    </row>
    <row r="22536">
      <c r="H22536" s="8" t="s">
        <v>364</v>
      </c>
    </row>
    <row r="22537">
      <c r="H22537" s="8" t="s">
        <v>364</v>
      </c>
    </row>
    <row r="22538">
      <c r="H22538" s="8" t="s">
        <v>364</v>
      </c>
    </row>
    <row r="22539">
      <c r="H22539" s="8" t="s">
        <v>364</v>
      </c>
    </row>
    <row r="22540">
      <c r="H22540" s="8" t="s">
        <v>364</v>
      </c>
    </row>
    <row r="22541">
      <c r="H22541" s="8" t="s">
        <v>364</v>
      </c>
    </row>
    <row r="22542">
      <c r="H22542" s="8" t="s">
        <v>364</v>
      </c>
    </row>
    <row r="22543">
      <c r="H22543" s="8" t="s">
        <v>364</v>
      </c>
    </row>
    <row r="22544">
      <c r="H22544" s="8" t="s">
        <v>364</v>
      </c>
    </row>
    <row r="22545">
      <c r="H22545" s="8" t="s">
        <v>364</v>
      </c>
    </row>
    <row r="22546">
      <c r="H22546" s="8" t="s">
        <v>364</v>
      </c>
    </row>
    <row r="22547">
      <c r="H22547" s="8" t="s">
        <v>364</v>
      </c>
    </row>
    <row r="22548">
      <c r="H22548" s="8" t="s">
        <v>364</v>
      </c>
    </row>
    <row r="22549">
      <c r="H22549" s="8" t="s">
        <v>364</v>
      </c>
    </row>
    <row r="22550">
      <c r="H22550" s="8" t="s">
        <v>364</v>
      </c>
    </row>
    <row r="22551">
      <c r="H22551" s="8" t="s">
        <v>364</v>
      </c>
    </row>
    <row r="22552">
      <c r="H22552" s="8" t="s">
        <v>364</v>
      </c>
    </row>
    <row r="22553">
      <c r="H22553" s="8" t="s">
        <v>364</v>
      </c>
    </row>
    <row r="22554">
      <c r="H22554" s="8" t="s">
        <v>364</v>
      </c>
    </row>
    <row r="22555">
      <c r="H22555" s="8" t="s">
        <v>364</v>
      </c>
    </row>
    <row r="22556">
      <c r="H22556" s="8" t="s">
        <v>364</v>
      </c>
    </row>
    <row r="22557">
      <c r="H22557" s="8" t="s">
        <v>364</v>
      </c>
    </row>
    <row r="22558">
      <c r="H22558" s="8" t="s">
        <v>364</v>
      </c>
    </row>
    <row r="22559">
      <c r="H22559" s="8" t="s">
        <v>364</v>
      </c>
    </row>
    <row r="22560">
      <c r="H22560" s="8" t="s">
        <v>364</v>
      </c>
    </row>
    <row r="22561">
      <c r="H22561" s="8" t="s">
        <v>364</v>
      </c>
    </row>
    <row r="22562">
      <c r="H22562" s="8" t="s">
        <v>364</v>
      </c>
    </row>
    <row r="22563">
      <c r="H22563" s="8" t="s">
        <v>364</v>
      </c>
    </row>
    <row r="22564">
      <c r="H22564" s="8" t="s">
        <v>364</v>
      </c>
    </row>
    <row r="22565">
      <c r="H22565" s="8" t="s">
        <v>364</v>
      </c>
    </row>
    <row r="22566">
      <c r="H22566" s="8" t="s">
        <v>364</v>
      </c>
    </row>
    <row r="22567">
      <c r="H22567" s="8" t="s">
        <v>364</v>
      </c>
    </row>
    <row r="22568">
      <c r="H22568" s="8" t="s">
        <v>364</v>
      </c>
    </row>
    <row r="22569">
      <c r="H22569" s="8" t="s">
        <v>364</v>
      </c>
    </row>
    <row r="22570">
      <c r="H22570" s="8" t="s">
        <v>364</v>
      </c>
    </row>
    <row r="22571">
      <c r="H22571" s="8" t="s">
        <v>364</v>
      </c>
    </row>
    <row r="22572">
      <c r="H22572" s="8" t="s">
        <v>364</v>
      </c>
    </row>
    <row r="22573">
      <c r="H22573" s="8" t="s">
        <v>364</v>
      </c>
    </row>
    <row r="22574">
      <c r="H22574" s="8" t="s">
        <v>364</v>
      </c>
    </row>
    <row r="22575">
      <c r="H22575" s="8" t="s">
        <v>364</v>
      </c>
    </row>
    <row r="22576">
      <c r="H22576" s="8" t="s">
        <v>364</v>
      </c>
    </row>
    <row r="22577">
      <c r="H22577" s="8" t="s">
        <v>364</v>
      </c>
    </row>
    <row r="22578">
      <c r="H22578" s="8" t="s">
        <v>364</v>
      </c>
    </row>
    <row r="22579">
      <c r="H22579" s="8" t="s">
        <v>364</v>
      </c>
    </row>
    <row r="22580">
      <c r="H22580" s="8" t="s">
        <v>364</v>
      </c>
    </row>
    <row r="22581">
      <c r="H22581" s="8" t="s">
        <v>364</v>
      </c>
    </row>
    <row r="22582">
      <c r="H22582" s="8" t="s">
        <v>364</v>
      </c>
    </row>
    <row r="22583">
      <c r="H22583" s="8" t="s">
        <v>364</v>
      </c>
    </row>
    <row r="22584">
      <c r="H22584" s="8" t="s">
        <v>364</v>
      </c>
    </row>
    <row r="22585">
      <c r="H22585" s="8" t="s">
        <v>364</v>
      </c>
    </row>
    <row r="22586">
      <c r="H22586" s="8" t="s">
        <v>364</v>
      </c>
    </row>
    <row r="22587">
      <c r="H22587" s="8" t="s">
        <v>364</v>
      </c>
    </row>
    <row r="22588">
      <c r="H22588" s="8" t="s">
        <v>364</v>
      </c>
    </row>
    <row r="22589">
      <c r="H22589" s="8" t="s">
        <v>364</v>
      </c>
    </row>
    <row r="22590">
      <c r="H22590" s="8" t="s">
        <v>364</v>
      </c>
    </row>
    <row r="22591">
      <c r="H22591" s="8" t="s">
        <v>364</v>
      </c>
    </row>
    <row r="22592">
      <c r="H22592" s="8" t="s">
        <v>364</v>
      </c>
    </row>
    <row r="22593">
      <c r="H22593" s="8" t="s">
        <v>364</v>
      </c>
    </row>
    <row r="22594">
      <c r="H22594" s="8" t="s">
        <v>364</v>
      </c>
    </row>
    <row r="22595">
      <c r="H22595" s="8" t="s">
        <v>364</v>
      </c>
    </row>
    <row r="22596">
      <c r="H22596" s="8" t="s">
        <v>364</v>
      </c>
    </row>
    <row r="22597">
      <c r="H22597" s="8" t="s">
        <v>364</v>
      </c>
    </row>
    <row r="22598">
      <c r="H22598" s="8" t="s">
        <v>364</v>
      </c>
    </row>
    <row r="22599">
      <c r="H22599" s="8" t="s">
        <v>364</v>
      </c>
    </row>
    <row r="22600">
      <c r="H22600" s="8" t="s">
        <v>364</v>
      </c>
    </row>
    <row r="22601">
      <c r="H22601" s="8" t="s">
        <v>364</v>
      </c>
    </row>
    <row r="22602">
      <c r="H22602" s="8" t="s">
        <v>364</v>
      </c>
    </row>
    <row r="22603">
      <c r="H22603" s="8" t="s">
        <v>364</v>
      </c>
    </row>
    <row r="22604">
      <c r="H22604" s="8" t="s">
        <v>364</v>
      </c>
    </row>
    <row r="22605">
      <c r="H22605" s="8" t="s">
        <v>364</v>
      </c>
    </row>
    <row r="22606">
      <c r="H22606" s="8" t="s">
        <v>364</v>
      </c>
    </row>
    <row r="22607">
      <c r="H22607" s="8" t="s">
        <v>364</v>
      </c>
    </row>
    <row r="22608">
      <c r="H22608" s="8" t="s">
        <v>364</v>
      </c>
    </row>
    <row r="22609">
      <c r="H22609" s="8" t="s">
        <v>364</v>
      </c>
    </row>
    <row r="22610">
      <c r="H22610" s="8" t="s">
        <v>364</v>
      </c>
    </row>
    <row r="22611">
      <c r="H22611" s="8" t="s">
        <v>364</v>
      </c>
    </row>
    <row r="22612">
      <c r="H22612" s="8" t="s">
        <v>364</v>
      </c>
    </row>
    <row r="22613">
      <c r="H22613" s="8" t="s">
        <v>364</v>
      </c>
    </row>
    <row r="22614">
      <c r="H22614" s="8" t="s">
        <v>364</v>
      </c>
    </row>
    <row r="22615">
      <c r="H22615" s="8" t="s">
        <v>364</v>
      </c>
    </row>
    <row r="22616">
      <c r="H22616" s="8" t="s">
        <v>364</v>
      </c>
    </row>
    <row r="22617">
      <c r="H22617" s="8" t="s">
        <v>364</v>
      </c>
    </row>
    <row r="22618">
      <c r="H22618" s="8" t="s">
        <v>364</v>
      </c>
    </row>
    <row r="22619">
      <c r="H22619" s="8" t="s">
        <v>364</v>
      </c>
    </row>
    <row r="22620">
      <c r="H22620" s="8" t="s">
        <v>364</v>
      </c>
    </row>
    <row r="22621">
      <c r="H22621" s="8" t="s">
        <v>364</v>
      </c>
    </row>
    <row r="22622">
      <c r="H22622" s="8" t="s">
        <v>364</v>
      </c>
    </row>
    <row r="22623">
      <c r="H22623" s="8" t="s">
        <v>364</v>
      </c>
    </row>
    <row r="22624">
      <c r="H22624" s="8" t="s">
        <v>364</v>
      </c>
    </row>
    <row r="22625">
      <c r="H22625" s="8" t="s">
        <v>364</v>
      </c>
    </row>
    <row r="22626">
      <c r="H22626" s="8" t="s">
        <v>364</v>
      </c>
    </row>
    <row r="22627">
      <c r="H22627" s="8" t="s">
        <v>364</v>
      </c>
    </row>
    <row r="22628">
      <c r="H22628" s="8" t="s">
        <v>364</v>
      </c>
    </row>
    <row r="22629">
      <c r="H22629" s="8" t="s">
        <v>364</v>
      </c>
    </row>
    <row r="22630">
      <c r="H22630" s="8" t="s">
        <v>364</v>
      </c>
    </row>
    <row r="22631">
      <c r="H22631" s="8" t="s">
        <v>364</v>
      </c>
    </row>
    <row r="22632">
      <c r="H22632" s="8" t="s">
        <v>364</v>
      </c>
    </row>
    <row r="22633">
      <c r="H22633" s="8" t="s">
        <v>364</v>
      </c>
    </row>
    <row r="22634">
      <c r="H22634" s="8" t="s">
        <v>364</v>
      </c>
    </row>
    <row r="22635">
      <c r="H22635" s="8" t="s">
        <v>364</v>
      </c>
    </row>
    <row r="22636">
      <c r="H22636" s="8" t="s">
        <v>364</v>
      </c>
    </row>
    <row r="22637">
      <c r="H22637" s="8" t="s">
        <v>364</v>
      </c>
    </row>
    <row r="22638">
      <c r="H22638" s="8" t="s">
        <v>364</v>
      </c>
    </row>
    <row r="22639">
      <c r="H22639" s="8" t="s">
        <v>364</v>
      </c>
    </row>
    <row r="22640">
      <c r="H22640" s="8" t="s">
        <v>364</v>
      </c>
    </row>
    <row r="22641">
      <c r="H22641" s="8" t="s">
        <v>364</v>
      </c>
    </row>
    <row r="22642">
      <c r="H22642" s="8" t="s">
        <v>364</v>
      </c>
    </row>
    <row r="22643">
      <c r="H22643" s="8" t="s">
        <v>364</v>
      </c>
    </row>
    <row r="22644">
      <c r="H22644" s="8" t="s">
        <v>364</v>
      </c>
    </row>
    <row r="22645">
      <c r="H22645" s="8" t="s">
        <v>364</v>
      </c>
    </row>
    <row r="22646">
      <c r="H22646" s="8" t="s">
        <v>364</v>
      </c>
    </row>
    <row r="22647">
      <c r="H22647" s="8" t="s">
        <v>364</v>
      </c>
    </row>
    <row r="22648">
      <c r="H22648" s="8" t="s">
        <v>364</v>
      </c>
    </row>
    <row r="22649">
      <c r="H22649" s="8" t="s">
        <v>364</v>
      </c>
    </row>
    <row r="22650">
      <c r="H22650" s="8" t="s">
        <v>364</v>
      </c>
    </row>
    <row r="22651">
      <c r="H22651" s="8" t="s">
        <v>364</v>
      </c>
    </row>
    <row r="22652">
      <c r="H22652" s="8" t="s">
        <v>364</v>
      </c>
    </row>
    <row r="22653">
      <c r="H22653" s="8" t="s">
        <v>364</v>
      </c>
    </row>
    <row r="22654">
      <c r="H22654" s="8" t="s">
        <v>364</v>
      </c>
    </row>
    <row r="22655">
      <c r="H22655" s="8" t="s">
        <v>364</v>
      </c>
    </row>
    <row r="22656">
      <c r="H22656" s="8" t="s">
        <v>364</v>
      </c>
    </row>
    <row r="22657">
      <c r="H22657" s="8" t="s">
        <v>364</v>
      </c>
    </row>
    <row r="22658">
      <c r="H22658" s="8" t="s">
        <v>364</v>
      </c>
    </row>
    <row r="22659">
      <c r="H22659" s="8" t="s">
        <v>364</v>
      </c>
    </row>
    <row r="22660">
      <c r="H22660" s="8" t="s">
        <v>364</v>
      </c>
    </row>
    <row r="22661">
      <c r="H22661" s="8" t="s">
        <v>364</v>
      </c>
    </row>
    <row r="22662">
      <c r="H22662" s="8" t="s">
        <v>364</v>
      </c>
    </row>
    <row r="22663">
      <c r="H22663" s="8" t="s">
        <v>364</v>
      </c>
    </row>
    <row r="22664">
      <c r="H22664" s="8" t="s">
        <v>364</v>
      </c>
    </row>
    <row r="22665">
      <c r="H22665" s="8" t="s">
        <v>364</v>
      </c>
    </row>
    <row r="22666">
      <c r="H22666" s="8" t="s">
        <v>364</v>
      </c>
    </row>
    <row r="22667">
      <c r="H22667" s="8" t="s">
        <v>364</v>
      </c>
    </row>
    <row r="22668">
      <c r="H22668" s="8" t="s">
        <v>364</v>
      </c>
    </row>
    <row r="22669">
      <c r="H22669" s="8" t="s">
        <v>364</v>
      </c>
    </row>
    <row r="22670">
      <c r="H22670" s="8" t="s">
        <v>364</v>
      </c>
    </row>
    <row r="22671">
      <c r="H22671" s="8" t="s">
        <v>364</v>
      </c>
    </row>
    <row r="22672">
      <c r="H22672" s="8" t="s">
        <v>364</v>
      </c>
    </row>
    <row r="22673">
      <c r="H22673" s="8" t="s">
        <v>364</v>
      </c>
    </row>
    <row r="22674">
      <c r="H22674" s="8" t="s">
        <v>364</v>
      </c>
    </row>
    <row r="22675">
      <c r="H22675" s="8" t="s">
        <v>364</v>
      </c>
    </row>
    <row r="22676">
      <c r="H22676" s="8" t="s">
        <v>364</v>
      </c>
    </row>
    <row r="22677">
      <c r="H22677" s="8" t="s">
        <v>364</v>
      </c>
    </row>
    <row r="22678">
      <c r="H22678" s="8" t="s">
        <v>364</v>
      </c>
    </row>
    <row r="22679">
      <c r="H22679" s="8" t="s">
        <v>364</v>
      </c>
    </row>
    <row r="22680">
      <c r="H22680" s="8" t="s">
        <v>364</v>
      </c>
    </row>
    <row r="22681">
      <c r="H22681" s="8" t="s">
        <v>364</v>
      </c>
    </row>
    <row r="22682">
      <c r="H22682" s="8" t="s">
        <v>364</v>
      </c>
    </row>
    <row r="22683">
      <c r="H22683" s="8" t="s">
        <v>364</v>
      </c>
    </row>
    <row r="22684">
      <c r="H22684" s="8" t="s">
        <v>364</v>
      </c>
    </row>
    <row r="22685">
      <c r="H22685" s="8" t="s">
        <v>364</v>
      </c>
    </row>
    <row r="22686">
      <c r="H22686" s="8" t="s">
        <v>364</v>
      </c>
    </row>
    <row r="22687">
      <c r="H22687" s="8" t="s">
        <v>364</v>
      </c>
    </row>
    <row r="22688">
      <c r="H22688" s="8" t="s">
        <v>364</v>
      </c>
    </row>
    <row r="22689">
      <c r="H22689" s="8" t="s">
        <v>364</v>
      </c>
    </row>
    <row r="22690">
      <c r="H22690" s="8" t="s">
        <v>364</v>
      </c>
    </row>
    <row r="22691">
      <c r="H22691" s="8" t="s">
        <v>364</v>
      </c>
    </row>
    <row r="22692">
      <c r="H22692" s="8" t="s">
        <v>364</v>
      </c>
    </row>
    <row r="22693">
      <c r="H22693" s="8" t="s">
        <v>364</v>
      </c>
    </row>
    <row r="22694">
      <c r="H22694" s="8" t="s">
        <v>364</v>
      </c>
    </row>
    <row r="22695">
      <c r="H22695" s="8" t="s">
        <v>364</v>
      </c>
    </row>
    <row r="22696">
      <c r="H22696" s="8" t="s">
        <v>364</v>
      </c>
    </row>
    <row r="22697">
      <c r="H22697" s="8" t="s">
        <v>364</v>
      </c>
    </row>
    <row r="22698">
      <c r="H22698" s="8" t="s">
        <v>364</v>
      </c>
    </row>
    <row r="22699">
      <c r="H22699" s="8" t="s">
        <v>364</v>
      </c>
    </row>
    <row r="22700">
      <c r="H22700" s="8" t="s">
        <v>364</v>
      </c>
    </row>
    <row r="22701">
      <c r="H22701" s="8" t="s">
        <v>364</v>
      </c>
    </row>
    <row r="22702">
      <c r="H22702" s="8" t="s">
        <v>364</v>
      </c>
    </row>
    <row r="22703">
      <c r="H22703" s="8" t="s">
        <v>364</v>
      </c>
    </row>
    <row r="22704">
      <c r="H22704" s="8" t="s">
        <v>364</v>
      </c>
    </row>
    <row r="22705">
      <c r="H22705" s="8" t="s">
        <v>364</v>
      </c>
    </row>
    <row r="22706">
      <c r="H22706" s="8" t="s">
        <v>364</v>
      </c>
    </row>
    <row r="22707">
      <c r="H22707" s="8" t="s">
        <v>364</v>
      </c>
    </row>
    <row r="22708">
      <c r="H22708" s="8" t="s">
        <v>364</v>
      </c>
    </row>
    <row r="22709">
      <c r="H22709" s="8" t="s">
        <v>364</v>
      </c>
    </row>
    <row r="22710">
      <c r="H22710" s="8" t="s">
        <v>364</v>
      </c>
    </row>
    <row r="22711">
      <c r="H22711" s="8" t="s">
        <v>364</v>
      </c>
    </row>
    <row r="22712">
      <c r="H22712" s="8" t="s">
        <v>364</v>
      </c>
    </row>
    <row r="22713">
      <c r="H22713" s="8" t="s">
        <v>364</v>
      </c>
    </row>
    <row r="22714">
      <c r="H22714" s="8" t="s">
        <v>364</v>
      </c>
    </row>
    <row r="22715">
      <c r="H22715" s="8" t="s">
        <v>364</v>
      </c>
    </row>
    <row r="22716">
      <c r="H22716" s="8" t="s">
        <v>364</v>
      </c>
    </row>
    <row r="22717">
      <c r="H22717" s="8" t="s">
        <v>364</v>
      </c>
    </row>
    <row r="22718">
      <c r="H22718" s="8" t="s">
        <v>364</v>
      </c>
    </row>
    <row r="22719">
      <c r="H22719" s="8" t="s">
        <v>364</v>
      </c>
    </row>
    <row r="22720">
      <c r="H22720" s="8" t="s">
        <v>364</v>
      </c>
    </row>
    <row r="22721">
      <c r="H22721" s="8" t="s">
        <v>364</v>
      </c>
    </row>
    <row r="22722">
      <c r="H22722" s="8" t="s">
        <v>364</v>
      </c>
    </row>
    <row r="22723">
      <c r="H22723" s="8" t="s">
        <v>364</v>
      </c>
    </row>
    <row r="22724">
      <c r="H22724" s="8" t="s">
        <v>364</v>
      </c>
    </row>
    <row r="22725">
      <c r="H22725" s="8" t="s">
        <v>364</v>
      </c>
    </row>
    <row r="22726">
      <c r="H22726" s="8" t="s">
        <v>364</v>
      </c>
    </row>
    <row r="22727">
      <c r="H22727" s="8" t="s">
        <v>364</v>
      </c>
    </row>
    <row r="22728">
      <c r="H22728" s="8" t="s">
        <v>364</v>
      </c>
    </row>
    <row r="22729">
      <c r="H22729" s="8" t="s">
        <v>364</v>
      </c>
    </row>
    <row r="22730">
      <c r="H22730" s="8" t="s">
        <v>364</v>
      </c>
    </row>
    <row r="22731">
      <c r="H22731" s="8" t="s">
        <v>364</v>
      </c>
    </row>
    <row r="22732">
      <c r="H22732" s="8" t="s">
        <v>364</v>
      </c>
    </row>
    <row r="22733">
      <c r="H22733" s="8" t="s">
        <v>364</v>
      </c>
    </row>
    <row r="22734">
      <c r="H22734" s="8" t="s">
        <v>364</v>
      </c>
    </row>
    <row r="22735">
      <c r="H22735" s="8" t="s">
        <v>364</v>
      </c>
    </row>
    <row r="22736">
      <c r="H22736" s="8" t="s">
        <v>364</v>
      </c>
    </row>
    <row r="22737">
      <c r="H22737" s="8" t="s">
        <v>364</v>
      </c>
    </row>
    <row r="22738">
      <c r="H22738" s="8" t="s">
        <v>364</v>
      </c>
    </row>
    <row r="22739">
      <c r="H22739" s="8" t="s">
        <v>364</v>
      </c>
    </row>
    <row r="22740">
      <c r="H22740" s="8" t="s">
        <v>364</v>
      </c>
    </row>
    <row r="22741">
      <c r="H22741" s="8" t="s">
        <v>364</v>
      </c>
    </row>
    <row r="22742">
      <c r="H22742" s="8" t="s">
        <v>364</v>
      </c>
    </row>
    <row r="22743">
      <c r="H22743" s="8" t="s">
        <v>364</v>
      </c>
    </row>
    <row r="22744">
      <c r="H22744" s="8" t="s">
        <v>364</v>
      </c>
    </row>
    <row r="22745">
      <c r="H22745" s="8" t="s">
        <v>364</v>
      </c>
    </row>
    <row r="22746">
      <c r="H22746" s="8" t="s">
        <v>364</v>
      </c>
    </row>
    <row r="22747">
      <c r="H22747" s="8" t="s">
        <v>364</v>
      </c>
    </row>
    <row r="22748">
      <c r="H22748" s="8" t="s">
        <v>364</v>
      </c>
    </row>
    <row r="22749">
      <c r="H22749" s="8" t="s">
        <v>364</v>
      </c>
    </row>
    <row r="22750">
      <c r="H22750" s="8" t="s">
        <v>364</v>
      </c>
    </row>
    <row r="22751">
      <c r="H22751" s="8" t="s">
        <v>364</v>
      </c>
    </row>
    <row r="22752">
      <c r="H22752" s="8" t="s">
        <v>364</v>
      </c>
    </row>
    <row r="22753">
      <c r="H22753" s="8" t="s">
        <v>364</v>
      </c>
    </row>
    <row r="22754">
      <c r="H22754" s="8" t="s">
        <v>364</v>
      </c>
    </row>
    <row r="22755">
      <c r="H22755" s="8" t="s">
        <v>364</v>
      </c>
    </row>
    <row r="22756">
      <c r="H22756" s="8" t="s">
        <v>364</v>
      </c>
    </row>
    <row r="22757">
      <c r="H22757" s="8" t="s">
        <v>364</v>
      </c>
    </row>
    <row r="22758">
      <c r="H22758" s="8" t="s">
        <v>364</v>
      </c>
    </row>
    <row r="22759">
      <c r="H22759" s="8" t="s">
        <v>364</v>
      </c>
    </row>
    <row r="22760">
      <c r="H22760" s="8" t="s">
        <v>364</v>
      </c>
    </row>
    <row r="22761">
      <c r="H22761" s="8" t="s">
        <v>364</v>
      </c>
    </row>
    <row r="22762">
      <c r="H22762" s="8" t="s">
        <v>364</v>
      </c>
    </row>
    <row r="22763">
      <c r="H22763" s="8" t="s">
        <v>364</v>
      </c>
    </row>
    <row r="22764">
      <c r="H22764" s="8" t="s">
        <v>364</v>
      </c>
    </row>
    <row r="22765">
      <c r="H22765" s="8" t="s">
        <v>364</v>
      </c>
    </row>
    <row r="22766">
      <c r="H22766" s="8" t="s">
        <v>364</v>
      </c>
    </row>
    <row r="22767">
      <c r="H22767" s="8" t="s">
        <v>364</v>
      </c>
    </row>
    <row r="22768">
      <c r="H22768" s="8" t="s">
        <v>364</v>
      </c>
    </row>
    <row r="22769">
      <c r="H22769" s="8" t="s">
        <v>364</v>
      </c>
    </row>
    <row r="22770">
      <c r="H22770" s="8" t="s">
        <v>364</v>
      </c>
    </row>
    <row r="22771">
      <c r="H22771" s="8" t="s">
        <v>364</v>
      </c>
    </row>
    <row r="22772">
      <c r="H22772" s="8" t="s">
        <v>364</v>
      </c>
    </row>
    <row r="22773">
      <c r="H22773" s="8" t="s">
        <v>364</v>
      </c>
    </row>
    <row r="22774">
      <c r="H22774" s="8" t="s">
        <v>364</v>
      </c>
    </row>
    <row r="22775">
      <c r="H22775" s="8" t="s">
        <v>364</v>
      </c>
    </row>
    <row r="22776">
      <c r="H22776" s="8" t="s">
        <v>364</v>
      </c>
    </row>
    <row r="22777">
      <c r="H22777" s="8" t="s">
        <v>364</v>
      </c>
    </row>
    <row r="22778">
      <c r="H22778" s="8" t="s">
        <v>364</v>
      </c>
    </row>
    <row r="22779">
      <c r="H22779" s="8" t="s">
        <v>364</v>
      </c>
    </row>
    <row r="22780">
      <c r="H22780" s="8" t="s">
        <v>364</v>
      </c>
    </row>
    <row r="22781">
      <c r="H22781" s="8" t="s">
        <v>364</v>
      </c>
    </row>
    <row r="22782">
      <c r="H22782" s="8" t="s">
        <v>364</v>
      </c>
    </row>
    <row r="22783">
      <c r="H22783" s="8" t="s">
        <v>364</v>
      </c>
    </row>
    <row r="22784">
      <c r="H22784" s="8" t="s">
        <v>364</v>
      </c>
    </row>
    <row r="22785">
      <c r="H22785" s="8" t="s">
        <v>364</v>
      </c>
    </row>
    <row r="22786">
      <c r="H22786" s="8" t="s">
        <v>364</v>
      </c>
    </row>
    <row r="22787">
      <c r="H22787" s="8" t="s">
        <v>364</v>
      </c>
    </row>
    <row r="22788">
      <c r="H22788" s="8" t="s">
        <v>364</v>
      </c>
    </row>
    <row r="22789">
      <c r="H22789" s="8" t="s">
        <v>364</v>
      </c>
    </row>
    <row r="22790">
      <c r="H22790" s="8" t="s">
        <v>364</v>
      </c>
    </row>
    <row r="22791">
      <c r="H22791" s="8" t="s">
        <v>364</v>
      </c>
    </row>
    <row r="22792">
      <c r="H22792" s="8" t="s">
        <v>364</v>
      </c>
    </row>
    <row r="22793">
      <c r="H22793" s="8" t="s">
        <v>364</v>
      </c>
    </row>
    <row r="22794">
      <c r="H22794" s="8" t="s">
        <v>364</v>
      </c>
    </row>
    <row r="22795">
      <c r="H22795" s="8" t="s">
        <v>364</v>
      </c>
    </row>
    <row r="22796">
      <c r="H22796" s="8" t="s">
        <v>364</v>
      </c>
    </row>
    <row r="22797">
      <c r="H22797" s="8" t="s">
        <v>364</v>
      </c>
    </row>
    <row r="22798">
      <c r="H22798" s="8" t="s">
        <v>364</v>
      </c>
    </row>
    <row r="22799">
      <c r="H22799" s="8" t="s">
        <v>364</v>
      </c>
    </row>
    <row r="22800">
      <c r="H22800" s="8" t="s">
        <v>364</v>
      </c>
    </row>
    <row r="22801">
      <c r="H22801" s="8" t="s">
        <v>364</v>
      </c>
    </row>
    <row r="22802">
      <c r="H22802" s="8" t="s">
        <v>364</v>
      </c>
    </row>
    <row r="22803">
      <c r="H22803" s="8" t="s">
        <v>364</v>
      </c>
    </row>
    <row r="22804">
      <c r="H22804" s="8" t="s">
        <v>364</v>
      </c>
    </row>
    <row r="22805">
      <c r="H22805" s="8" t="s">
        <v>364</v>
      </c>
    </row>
    <row r="22806">
      <c r="H22806" s="8" t="s">
        <v>364</v>
      </c>
    </row>
    <row r="22807">
      <c r="H22807" s="8" t="s">
        <v>364</v>
      </c>
    </row>
    <row r="22808">
      <c r="H22808" s="8" t="s">
        <v>364</v>
      </c>
    </row>
    <row r="22809">
      <c r="H22809" s="8" t="s">
        <v>364</v>
      </c>
    </row>
    <row r="22810">
      <c r="H22810" s="8" t="s">
        <v>364</v>
      </c>
    </row>
    <row r="22811">
      <c r="H22811" s="8" t="s">
        <v>364</v>
      </c>
    </row>
    <row r="22812">
      <c r="H22812" s="8" t="s">
        <v>364</v>
      </c>
    </row>
    <row r="22813">
      <c r="H22813" s="8" t="s">
        <v>364</v>
      </c>
    </row>
    <row r="22814">
      <c r="H22814" s="8" t="s">
        <v>364</v>
      </c>
    </row>
    <row r="22815">
      <c r="H22815" s="8" t="s">
        <v>364</v>
      </c>
    </row>
    <row r="22816">
      <c r="H22816" s="8" t="s">
        <v>364</v>
      </c>
    </row>
    <row r="22817">
      <c r="H22817" s="8" t="s">
        <v>364</v>
      </c>
    </row>
    <row r="22818">
      <c r="H22818" s="8" t="s">
        <v>364</v>
      </c>
    </row>
    <row r="22819">
      <c r="H22819" s="8" t="s">
        <v>364</v>
      </c>
    </row>
    <row r="22820">
      <c r="H22820" s="8" t="s">
        <v>364</v>
      </c>
    </row>
    <row r="22821">
      <c r="H22821" s="8" t="s">
        <v>364</v>
      </c>
    </row>
    <row r="22822">
      <c r="H22822" s="8" t="s">
        <v>364</v>
      </c>
    </row>
    <row r="22823">
      <c r="H22823" s="8" t="s">
        <v>364</v>
      </c>
    </row>
    <row r="22824">
      <c r="H22824" s="8" t="s">
        <v>364</v>
      </c>
    </row>
    <row r="22825">
      <c r="H22825" s="8" t="s">
        <v>364</v>
      </c>
    </row>
    <row r="22826">
      <c r="H22826" s="8" t="s">
        <v>364</v>
      </c>
    </row>
    <row r="22827">
      <c r="H22827" s="8" t="s">
        <v>364</v>
      </c>
    </row>
    <row r="22828">
      <c r="H22828" s="8" t="s">
        <v>364</v>
      </c>
    </row>
    <row r="22829">
      <c r="H22829" s="8" t="s">
        <v>364</v>
      </c>
    </row>
    <row r="22830">
      <c r="H22830" s="8" t="s">
        <v>364</v>
      </c>
    </row>
    <row r="22831">
      <c r="H22831" s="8" t="s">
        <v>364</v>
      </c>
    </row>
    <row r="22832">
      <c r="H22832" s="8" t="s">
        <v>364</v>
      </c>
    </row>
    <row r="22833">
      <c r="H22833" s="8" t="s">
        <v>364</v>
      </c>
    </row>
    <row r="22834">
      <c r="H22834" s="8" t="s">
        <v>364</v>
      </c>
    </row>
    <row r="22835">
      <c r="H22835" s="8" t="s">
        <v>364</v>
      </c>
    </row>
    <row r="22836">
      <c r="H22836" s="8" t="s">
        <v>364</v>
      </c>
    </row>
    <row r="22837">
      <c r="H22837" s="8" t="s">
        <v>364</v>
      </c>
    </row>
    <row r="22838">
      <c r="H22838" s="8" t="s">
        <v>364</v>
      </c>
    </row>
    <row r="22839">
      <c r="H22839" s="8" t="s">
        <v>364</v>
      </c>
    </row>
    <row r="22840">
      <c r="H22840" s="8" t="s">
        <v>364</v>
      </c>
    </row>
    <row r="22841">
      <c r="H22841" s="8" t="s">
        <v>364</v>
      </c>
    </row>
    <row r="22842">
      <c r="H22842" s="8" t="s">
        <v>364</v>
      </c>
    </row>
    <row r="22843">
      <c r="H22843" s="8" t="s">
        <v>364</v>
      </c>
    </row>
    <row r="22844">
      <c r="H22844" s="8" t="s">
        <v>364</v>
      </c>
    </row>
    <row r="22845">
      <c r="H22845" s="8" t="s">
        <v>364</v>
      </c>
    </row>
    <row r="22846">
      <c r="H22846" s="8" t="s">
        <v>364</v>
      </c>
    </row>
    <row r="22847">
      <c r="H22847" s="8" t="s">
        <v>364</v>
      </c>
    </row>
    <row r="22848">
      <c r="H22848" s="8" t="s">
        <v>364</v>
      </c>
    </row>
    <row r="22849">
      <c r="H22849" s="8" t="s">
        <v>364</v>
      </c>
    </row>
    <row r="22850">
      <c r="H22850" s="8" t="s">
        <v>364</v>
      </c>
    </row>
    <row r="22851">
      <c r="H22851" s="8" t="s">
        <v>364</v>
      </c>
    </row>
    <row r="22852">
      <c r="H22852" s="8" t="s">
        <v>364</v>
      </c>
    </row>
    <row r="22853">
      <c r="H22853" s="8" t="s">
        <v>364</v>
      </c>
    </row>
    <row r="22854">
      <c r="H22854" s="8" t="s">
        <v>364</v>
      </c>
    </row>
    <row r="22855">
      <c r="H22855" s="8" t="s">
        <v>364</v>
      </c>
    </row>
    <row r="22856">
      <c r="H22856" s="8" t="s">
        <v>364</v>
      </c>
    </row>
    <row r="22857">
      <c r="H22857" s="8" t="s">
        <v>364</v>
      </c>
    </row>
    <row r="22858">
      <c r="H22858" s="8" t="s">
        <v>364</v>
      </c>
    </row>
    <row r="22859">
      <c r="H22859" s="8" t="s">
        <v>364</v>
      </c>
    </row>
    <row r="22860">
      <c r="H22860" s="8" t="s">
        <v>364</v>
      </c>
    </row>
    <row r="22861">
      <c r="H22861" s="8" t="s">
        <v>364</v>
      </c>
    </row>
    <row r="22862">
      <c r="H22862" s="8" t="s">
        <v>364</v>
      </c>
    </row>
    <row r="22863">
      <c r="H22863" s="8" t="s">
        <v>364</v>
      </c>
    </row>
    <row r="22864">
      <c r="H22864" s="8" t="s">
        <v>364</v>
      </c>
    </row>
    <row r="22865">
      <c r="H22865" s="8" t="s">
        <v>364</v>
      </c>
    </row>
    <row r="22866">
      <c r="H22866" s="8" t="s">
        <v>364</v>
      </c>
    </row>
    <row r="22867">
      <c r="H22867" s="8" t="s">
        <v>364</v>
      </c>
    </row>
    <row r="22868">
      <c r="H22868" s="8" t="s">
        <v>364</v>
      </c>
    </row>
    <row r="22869">
      <c r="H22869" s="8" t="s">
        <v>364</v>
      </c>
    </row>
    <row r="22870">
      <c r="H22870" s="8" t="s">
        <v>364</v>
      </c>
    </row>
    <row r="22871">
      <c r="H22871" s="8" t="s">
        <v>364</v>
      </c>
    </row>
    <row r="22872">
      <c r="H22872" s="8" t="s">
        <v>364</v>
      </c>
    </row>
    <row r="22873">
      <c r="H22873" s="8" t="s">
        <v>364</v>
      </c>
    </row>
    <row r="22874">
      <c r="H22874" s="8" t="s">
        <v>364</v>
      </c>
    </row>
    <row r="22875">
      <c r="H22875" s="8" t="s">
        <v>364</v>
      </c>
    </row>
    <row r="22876">
      <c r="H22876" s="8" t="s">
        <v>364</v>
      </c>
    </row>
    <row r="22877">
      <c r="H22877" s="8" t="s">
        <v>364</v>
      </c>
    </row>
    <row r="22878">
      <c r="H22878" s="8" t="s">
        <v>364</v>
      </c>
    </row>
    <row r="22879">
      <c r="H22879" s="8" t="s">
        <v>364</v>
      </c>
    </row>
    <row r="22880">
      <c r="H22880" s="8" t="s">
        <v>364</v>
      </c>
    </row>
    <row r="22881">
      <c r="H22881" s="8" t="s">
        <v>364</v>
      </c>
    </row>
    <row r="22882">
      <c r="H22882" s="8" t="s">
        <v>364</v>
      </c>
    </row>
    <row r="22883">
      <c r="H22883" s="8" t="s">
        <v>364</v>
      </c>
    </row>
    <row r="22884">
      <c r="H22884" s="8" t="s">
        <v>364</v>
      </c>
    </row>
    <row r="22885">
      <c r="H22885" s="8" t="s">
        <v>364</v>
      </c>
    </row>
    <row r="22886">
      <c r="H22886" s="8" t="s">
        <v>364</v>
      </c>
    </row>
    <row r="22887">
      <c r="H22887" s="8" t="s">
        <v>364</v>
      </c>
    </row>
    <row r="22888">
      <c r="H22888" s="8" t="s">
        <v>364</v>
      </c>
    </row>
    <row r="22889">
      <c r="H22889" s="8" t="s">
        <v>364</v>
      </c>
    </row>
    <row r="22890">
      <c r="H22890" s="8" t="s">
        <v>364</v>
      </c>
    </row>
    <row r="22891">
      <c r="H22891" s="8" t="s">
        <v>364</v>
      </c>
    </row>
    <row r="22892">
      <c r="H22892" s="8" t="s">
        <v>364</v>
      </c>
    </row>
    <row r="22893">
      <c r="H22893" s="8" t="s">
        <v>364</v>
      </c>
    </row>
    <row r="22894">
      <c r="H22894" s="8" t="s">
        <v>364</v>
      </c>
    </row>
    <row r="22895">
      <c r="H22895" s="8" t="s">
        <v>364</v>
      </c>
    </row>
    <row r="22896">
      <c r="H22896" s="8" t="s">
        <v>364</v>
      </c>
    </row>
    <row r="22897">
      <c r="H22897" s="8" t="s">
        <v>364</v>
      </c>
    </row>
    <row r="22898">
      <c r="H22898" s="8" t="s">
        <v>364</v>
      </c>
    </row>
    <row r="22899">
      <c r="H22899" s="8" t="s">
        <v>364</v>
      </c>
    </row>
    <row r="22900">
      <c r="H22900" s="8" t="s">
        <v>364</v>
      </c>
    </row>
    <row r="22901">
      <c r="H22901" s="8" t="s">
        <v>364</v>
      </c>
    </row>
    <row r="22902">
      <c r="H22902" s="8" t="s">
        <v>364</v>
      </c>
    </row>
    <row r="22903">
      <c r="H22903" s="8" t="s">
        <v>364</v>
      </c>
    </row>
    <row r="22904">
      <c r="H22904" s="8" t="s">
        <v>364</v>
      </c>
    </row>
    <row r="22905">
      <c r="H22905" s="8" t="s">
        <v>364</v>
      </c>
    </row>
    <row r="22906">
      <c r="H22906" s="8" t="s">
        <v>364</v>
      </c>
    </row>
    <row r="22907">
      <c r="H22907" s="8" t="s">
        <v>364</v>
      </c>
    </row>
    <row r="22908">
      <c r="H22908" s="8" t="s">
        <v>364</v>
      </c>
    </row>
    <row r="22909">
      <c r="H22909" s="8" t="s">
        <v>364</v>
      </c>
    </row>
    <row r="22910">
      <c r="H22910" s="8" t="s">
        <v>364</v>
      </c>
    </row>
    <row r="22911">
      <c r="H22911" s="8" t="s">
        <v>364</v>
      </c>
    </row>
    <row r="22912">
      <c r="H22912" s="8" t="s">
        <v>364</v>
      </c>
    </row>
    <row r="22913">
      <c r="H22913" s="8" t="s">
        <v>364</v>
      </c>
    </row>
    <row r="22914">
      <c r="H22914" s="8" t="s">
        <v>364</v>
      </c>
    </row>
    <row r="22915">
      <c r="H22915" s="8" t="s">
        <v>364</v>
      </c>
    </row>
    <row r="22916">
      <c r="H22916" s="8" t="s">
        <v>364</v>
      </c>
    </row>
    <row r="22917">
      <c r="H22917" s="8" t="s">
        <v>364</v>
      </c>
    </row>
    <row r="22918">
      <c r="H22918" s="8" t="s">
        <v>364</v>
      </c>
    </row>
    <row r="22919">
      <c r="H22919" s="8" t="s">
        <v>364</v>
      </c>
    </row>
    <row r="22920">
      <c r="H22920" s="8" t="s">
        <v>364</v>
      </c>
    </row>
    <row r="22921">
      <c r="H22921" s="8" t="s">
        <v>364</v>
      </c>
    </row>
    <row r="22922">
      <c r="H22922" s="8" t="s">
        <v>364</v>
      </c>
    </row>
    <row r="22923">
      <c r="H22923" s="8" t="s">
        <v>364</v>
      </c>
    </row>
    <row r="22924">
      <c r="H22924" s="8" t="s">
        <v>364</v>
      </c>
    </row>
    <row r="22925">
      <c r="H22925" s="8" t="s">
        <v>364</v>
      </c>
    </row>
    <row r="22926">
      <c r="H22926" s="8" t="s">
        <v>364</v>
      </c>
    </row>
    <row r="22927">
      <c r="H22927" s="8" t="s">
        <v>364</v>
      </c>
    </row>
    <row r="22928">
      <c r="H22928" s="8" t="s">
        <v>364</v>
      </c>
    </row>
    <row r="22929">
      <c r="H22929" s="8" t="s">
        <v>364</v>
      </c>
    </row>
    <row r="22930">
      <c r="H22930" s="8" t="s">
        <v>364</v>
      </c>
    </row>
    <row r="22931">
      <c r="H22931" s="8" t="s">
        <v>364</v>
      </c>
    </row>
    <row r="22932">
      <c r="H22932" s="8" t="s">
        <v>364</v>
      </c>
    </row>
    <row r="22933">
      <c r="H22933" s="8" t="s">
        <v>364</v>
      </c>
    </row>
    <row r="22934">
      <c r="H22934" s="8" t="s">
        <v>364</v>
      </c>
    </row>
    <row r="22935">
      <c r="H22935" s="8" t="s">
        <v>364</v>
      </c>
    </row>
    <row r="22936">
      <c r="H22936" s="8" t="s">
        <v>364</v>
      </c>
    </row>
    <row r="22937">
      <c r="H22937" s="8" t="s">
        <v>364</v>
      </c>
    </row>
    <row r="22938">
      <c r="H22938" s="8" t="s">
        <v>364</v>
      </c>
    </row>
    <row r="22939">
      <c r="H22939" s="8" t="s">
        <v>364</v>
      </c>
    </row>
    <row r="22940">
      <c r="H22940" s="8" t="s">
        <v>364</v>
      </c>
    </row>
    <row r="22941">
      <c r="H22941" s="8" t="s">
        <v>364</v>
      </c>
    </row>
    <row r="22942">
      <c r="H22942" s="8" t="s">
        <v>364</v>
      </c>
    </row>
    <row r="22943">
      <c r="H22943" s="8" t="s">
        <v>364</v>
      </c>
    </row>
    <row r="22944">
      <c r="H22944" s="8" t="s">
        <v>364</v>
      </c>
    </row>
    <row r="22945">
      <c r="H22945" s="8" t="s">
        <v>364</v>
      </c>
    </row>
    <row r="22946">
      <c r="H22946" s="8" t="s">
        <v>364</v>
      </c>
    </row>
    <row r="22947">
      <c r="H22947" s="8" t="s">
        <v>364</v>
      </c>
    </row>
    <row r="22948">
      <c r="H22948" s="8" t="s">
        <v>364</v>
      </c>
    </row>
    <row r="22949">
      <c r="H22949" s="8" t="s">
        <v>364</v>
      </c>
    </row>
    <row r="22950">
      <c r="H22950" s="8" t="s">
        <v>364</v>
      </c>
    </row>
    <row r="22951">
      <c r="H22951" s="8" t="s">
        <v>364</v>
      </c>
    </row>
    <row r="22952">
      <c r="H22952" s="8" t="s">
        <v>364</v>
      </c>
    </row>
    <row r="22953">
      <c r="H22953" s="8" t="s">
        <v>364</v>
      </c>
    </row>
    <row r="22954">
      <c r="H22954" s="8" t="s">
        <v>364</v>
      </c>
    </row>
    <row r="22955">
      <c r="H22955" s="8" t="s">
        <v>364</v>
      </c>
    </row>
    <row r="22956">
      <c r="H22956" s="8" t="s">
        <v>364</v>
      </c>
    </row>
    <row r="22957">
      <c r="H22957" s="8" t="s">
        <v>364</v>
      </c>
    </row>
    <row r="22958">
      <c r="H22958" s="8" t="s">
        <v>364</v>
      </c>
    </row>
    <row r="22959">
      <c r="H22959" s="8" t="s">
        <v>364</v>
      </c>
    </row>
    <row r="22960">
      <c r="H22960" s="8" t="s">
        <v>364</v>
      </c>
    </row>
    <row r="22961">
      <c r="H22961" s="8" t="s">
        <v>364</v>
      </c>
    </row>
    <row r="22962">
      <c r="H22962" s="8" t="s">
        <v>364</v>
      </c>
    </row>
    <row r="22963">
      <c r="H22963" s="8" t="s">
        <v>364</v>
      </c>
    </row>
    <row r="22964">
      <c r="H22964" s="8" t="s">
        <v>364</v>
      </c>
    </row>
    <row r="22965">
      <c r="H22965" s="8" t="s">
        <v>364</v>
      </c>
    </row>
    <row r="22966">
      <c r="H22966" s="8" t="s">
        <v>364</v>
      </c>
    </row>
    <row r="22967">
      <c r="H22967" s="8" t="s">
        <v>364</v>
      </c>
    </row>
    <row r="22968">
      <c r="H22968" s="8" t="s">
        <v>364</v>
      </c>
    </row>
    <row r="22969">
      <c r="H22969" s="8" t="s">
        <v>364</v>
      </c>
    </row>
    <row r="22970">
      <c r="H22970" s="8" t="s">
        <v>364</v>
      </c>
    </row>
    <row r="22971">
      <c r="H22971" s="8" t="s">
        <v>364</v>
      </c>
    </row>
    <row r="22972">
      <c r="H22972" s="8" t="s">
        <v>364</v>
      </c>
    </row>
    <row r="22973">
      <c r="H22973" s="8" t="s">
        <v>364</v>
      </c>
    </row>
    <row r="22974">
      <c r="H22974" s="8" t="s">
        <v>364</v>
      </c>
    </row>
    <row r="22975">
      <c r="H22975" s="8" t="s">
        <v>364</v>
      </c>
    </row>
    <row r="22976">
      <c r="H22976" s="8" t="s">
        <v>364</v>
      </c>
    </row>
    <row r="22977">
      <c r="H22977" s="8" t="s">
        <v>364</v>
      </c>
    </row>
    <row r="22978">
      <c r="H22978" s="8" t="s">
        <v>364</v>
      </c>
    </row>
    <row r="22979">
      <c r="H22979" s="8" t="s">
        <v>364</v>
      </c>
    </row>
    <row r="22980">
      <c r="H22980" s="8" t="s">
        <v>364</v>
      </c>
    </row>
    <row r="22981">
      <c r="H22981" s="8" t="s">
        <v>364</v>
      </c>
    </row>
    <row r="22982">
      <c r="H22982" s="8" t="s">
        <v>364</v>
      </c>
    </row>
    <row r="22983">
      <c r="H22983" s="8" t="s">
        <v>364</v>
      </c>
    </row>
    <row r="22984">
      <c r="H22984" s="8" t="s">
        <v>364</v>
      </c>
    </row>
    <row r="22985">
      <c r="H22985" s="8" t="s">
        <v>364</v>
      </c>
    </row>
    <row r="22986">
      <c r="H22986" s="8" t="s">
        <v>364</v>
      </c>
    </row>
    <row r="22987">
      <c r="H22987" s="8" t="s">
        <v>364</v>
      </c>
    </row>
    <row r="22988">
      <c r="H22988" s="8" t="s">
        <v>364</v>
      </c>
    </row>
    <row r="22989">
      <c r="H22989" s="8" t="s">
        <v>364</v>
      </c>
    </row>
    <row r="22990">
      <c r="H22990" s="8" t="s">
        <v>364</v>
      </c>
    </row>
    <row r="22991">
      <c r="H22991" s="8" t="s">
        <v>364</v>
      </c>
    </row>
    <row r="22992">
      <c r="H22992" s="8" t="s">
        <v>364</v>
      </c>
    </row>
    <row r="22993">
      <c r="H22993" s="8" t="s">
        <v>364</v>
      </c>
    </row>
    <row r="22994">
      <c r="H22994" s="8" t="s">
        <v>364</v>
      </c>
    </row>
    <row r="22995">
      <c r="H22995" s="8" t="s">
        <v>364</v>
      </c>
    </row>
    <row r="22996">
      <c r="H22996" s="8" t="s">
        <v>364</v>
      </c>
    </row>
    <row r="22997">
      <c r="H22997" s="8" t="s">
        <v>364</v>
      </c>
    </row>
    <row r="22998">
      <c r="H22998" s="8" t="s">
        <v>364</v>
      </c>
    </row>
    <row r="22999">
      <c r="H22999" s="8" t="s">
        <v>364</v>
      </c>
    </row>
    <row r="23000">
      <c r="H23000" s="8" t="s">
        <v>364</v>
      </c>
    </row>
    <row r="23001">
      <c r="H23001" s="8" t="s">
        <v>364</v>
      </c>
    </row>
    <row r="23002">
      <c r="H23002" s="8" t="s">
        <v>364</v>
      </c>
    </row>
    <row r="23003">
      <c r="H23003" s="8" t="s">
        <v>364</v>
      </c>
    </row>
    <row r="23004">
      <c r="H23004" s="8" t="s">
        <v>364</v>
      </c>
    </row>
    <row r="23005">
      <c r="H23005" s="8" t="s">
        <v>364</v>
      </c>
    </row>
    <row r="23006">
      <c r="H23006" s="8" t="s">
        <v>364</v>
      </c>
    </row>
    <row r="23007">
      <c r="H23007" s="8" t="s">
        <v>364</v>
      </c>
    </row>
    <row r="23008">
      <c r="H23008" s="8" t="s">
        <v>364</v>
      </c>
    </row>
    <row r="23009">
      <c r="H23009" s="8" t="s">
        <v>364</v>
      </c>
    </row>
    <row r="23010">
      <c r="H23010" s="8" t="s">
        <v>364</v>
      </c>
    </row>
    <row r="23011">
      <c r="H23011" s="8" t="s">
        <v>364</v>
      </c>
    </row>
    <row r="23012">
      <c r="H23012" s="8" t="s">
        <v>364</v>
      </c>
    </row>
    <row r="23013">
      <c r="H23013" s="8" t="s">
        <v>364</v>
      </c>
    </row>
    <row r="23014">
      <c r="H23014" s="8" t="s">
        <v>364</v>
      </c>
    </row>
    <row r="23015">
      <c r="H23015" s="8" t="s">
        <v>364</v>
      </c>
    </row>
    <row r="23016">
      <c r="H23016" s="8" t="s">
        <v>364</v>
      </c>
    </row>
    <row r="23017">
      <c r="H23017" s="8" t="s">
        <v>364</v>
      </c>
    </row>
    <row r="23018">
      <c r="H23018" s="8" t="s">
        <v>364</v>
      </c>
    </row>
    <row r="23019">
      <c r="H23019" s="8" t="s">
        <v>364</v>
      </c>
    </row>
    <row r="23020">
      <c r="H23020" s="8" t="s">
        <v>364</v>
      </c>
    </row>
    <row r="23021">
      <c r="H23021" s="8" t="s">
        <v>364</v>
      </c>
    </row>
    <row r="23022">
      <c r="H23022" s="8" t="s">
        <v>364</v>
      </c>
    </row>
    <row r="23023">
      <c r="H23023" s="8" t="s">
        <v>364</v>
      </c>
    </row>
    <row r="23024">
      <c r="H23024" s="8" t="s">
        <v>364</v>
      </c>
    </row>
    <row r="23025">
      <c r="H23025" s="8" t="s">
        <v>364</v>
      </c>
    </row>
    <row r="23026">
      <c r="H23026" s="8" t="s">
        <v>364</v>
      </c>
    </row>
    <row r="23027">
      <c r="H23027" s="8" t="s">
        <v>364</v>
      </c>
    </row>
    <row r="23028">
      <c r="H23028" s="8" t="s">
        <v>364</v>
      </c>
    </row>
    <row r="23029">
      <c r="H23029" s="8" t="s">
        <v>364</v>
      </c>
    </row>
    <row r="23030">
      <c r="H23030" s="8" t="s">
        <v>364</v>
      </c>
    </row>
    <row r="23031">
      <c r="H23031" s="8" t="s">
        <v>364</v>
      </c>
    </row>
    <row r="23032">
      <c r="H23032" s="8" t="s">
        <v>364</v>
      </c>
    </row>
    <row r="23033">
      <c r="H23033" s="8" t="s">
        <v>364</v>
      </c>
    </row>
    <row r="23034">
      <c r="H23034" s="8" t="s">
        <v>364</v>
      </c>
    </row>
    <row r="23035">
      <c r="H23035" s="8" t="s">
        <v>364</v>
      </c>
    </row>
    <row r="23036">
      <c r="H23036" s="8" t="s">
        <v>364</v>
      </c>
    </row>
    <row r="23037">
      <c r="H23037" s="8" t="s">
        <v>364</v>
      </c>
    </row>
    <row r="23038">
      <c r="H23038" s="8" t="s">
        <v>364</v>
      </c>
    </row>
    <row r="23039">
      <c r="H23039" s="8" t="s">
        <v>364</v>
      </c>
    </row>
    <row r="23040">
      <c r="H23040" s="8" t="s">
        <v>364</v>
      </c>
    </row>
    <row r="23041">
      <c r="H23041" s="8" t="s">
        <v>364</v>
      </c>
    </row>
    <row r="23042">
      <c r="H23042" s="8" t="s">
        <v>364</v>
      </c>
    </row>
    <row r="23043">
      <c r="H23043" s="8" t="s">
        <v>364</v>
      </c>
    </row>
    <row r="23044">
      <c r="H23044" s="8" t="s">
        <v>364</v>
      </c>
    </row>
    <row r="23045">
      <c r="H23045" s="8" t="s">
        <v>364</v>
      </c>
    </row>
    <row r="23046">
      <c r="H23046" s="8" t="s">
        <v>364</v>
      </c>
    </row>
    <row r="23047">
      <c r="H23047" s="8" t="s">
        <v>364</v>
      </c>
    </row>
    <row r="23048">
      <c r="H23048" s="8" t="s">
        <v>364</v>
      </c>
    </row>
    <row r="23049">
      <c r="H23049" s="8" t="s">
        <v>364</v>
      </c>
    </row>
    <row r="23050">
      <c r="H23050" s="8" t="s">
        <v>364</v>
      </c>
    </row>
    <row r="23051">
      <c r="H23051" s="8" t="s">
        <v>364</v>
      </c>
    </row>
    <row r="23052">
      <c r="H23052" s="8" t="s">
        <v>364</v>
      </c>
    </row>
    <row r="23053">
      <c r="H23053" s="8" t="s">
        <v>364</v>
      </c>
    </row>
    <row r="23054">
      <c r="H23054" s="8" t="s">
        <v>364</v>
      </c>
    </row>
    <row r="23055">
      <c r="H23055" s="8" t="s">
        <v>364</v>
      </c>
    </row>
    <row r="23056">
      <c r="H23056" s="8" t="s">
        <v>364</v>
      </c>
    </row>
    <row r="23057">
      <c r="H23057" s="8" t="s">
        <v>364</v>
      </c>
    </row>
    <row r="23058">
      <c r="H23058" s="8" t="s">
        <v>364</v>
      </c>
    </row>
    <row r="23059">
      <c r="H23059" s="8" t="s">
        <v>364</v>
      </c>
    </row>
    <row r="23060">
      <c r="H23060" s="8" t="s">
        <v>364</v>
      </c>
    </row>
    <row r="23061">
      <c r="H23061" s="8" t="s">
        <v>364</v>
      </c>
    </row>
    <row r="23062">
      <c r="H23062" s="8" t="s">
        <v>364</v>
      </c>
    </row>
    <row r="23063">
      <c r="H23063" s="8" t="s">
        <v>364</v>
      </c>
    </row>
    <row r="23064">
      <c r="H23064" s="8" t="s">
        <v>364</v>
      </c>
    </row>
    <row r="23065">
      <c r="H23065" s="8" t="s">
        <v>364</v>
      </c>
    </row>
    <row r="23066">
      <c r="H23066" s="8" t="s">
        <v>364</v>
      </c>
    </row>
    <row r="23067">
      <c r="H23067" s="8" t="s">
        <v>364</v>
      </c>
    </row>
    <row r="23068">
      <c r="H23068" s="8" t="s">
        <v>364</v>
      </c>
    </row>
    <row r="23069">
      <c r="H23069" s="8" t="s">
        <v>364</v>
      </c>
    </row>
    <row r="23070">
      <c r="H23070" s="8" t="s">
        <v>364</v>
      </c>
    </row>
    <row r="23071">
      <c r="H23071" s="8" t="s">
        <v>364</v>
      </c>
    </row>
    <row r="23072">
      <c r="H23072" s="8" t="s">
        <v>364</v>
      </c>
    </row>
    <row r="23073">
      <c r="H23073" s="8" t="s">
        <v>364</v>
      </c>
    </row>
    <row r="23074">
      <c r="H23074" s="8" t="s">
        <v>364</v>
      </c>
    </row>
    <row r="23075">
      <c r="H23075" s="8" t="s">
        <v>364</v>
      </c>
    </row>
    <row r="23076">
      <c r="H23076" s="8" t="s">
        <v>364</v>
      </c>
    </row>
    <row r="23077">
      <c r="H23077" s="8" t="s">
        <v>364</v>
      </c>
    </row>
    <row r="23078">
      <c r="H23078" s="8" t="s">
        <v>364</v>
      </c>
    </row>
    <row r="23079">
      <c r="H23079" s="8" t="s">
        <v>364</v>
      </c>
    </row>
    <row r="23080">
      <c r="H23080" s="8" t="s">
        <v>364</v>
      </c>
    </row>
    <row r="23081">
      <c r="H23081" s="8" t="s">
        <v>364</v>
      </c>
    </row>
    <row r="23082">
      <c r="H23082" s="8" t="s">
        <v>364</v>
      </c>
    </row>
    <row r="23083">
      <c r="H23083" s="8" t="s">
        <v>364</v>
      </c>
    </row>
    <row r="23084">
      <c r="H23084" s="8" t="s">
        <v>364</v>
      </c>
    </row>
    <row r="23085">
      <c r="H23085" s="8" t="s">
        <v>364</v>
      </c>
    </row>
    <row r="23086">
      <c r="H23086" s="8" t="s">
        <v>364</v>
      </c>
    </row>
    <row r="23087">
      <c r="H23087" s="8" t="s">
        <v>364</v>
      </c>
    </row>
    <row r="23088">
      <c r="H23088" s="8" t="s">
        <v>364</v>
      </c>
    </row>
    <row r="23089">
      <c r="H23089" s="8" t="s">
        <v>364</v>
      </c>
    </row>
    <row r="23090">
      <c r="H23090" s="8" t="s">
        <v>364</v>
      </c>
    </row>
    <row r="23091">
      <c r="H23091" s="8" t="s">
        <v>364</v>
      </c>
    </row>
    <row r="23092">
      <c r="H23092" s="8" t="s">
        <v>364</v>
      </c>
    </row>
    <row r="23093">
      <c r="H23093" s="8" t="s">
        <v>364</v>
      </c>
    </row>
    <row r="23094">
      <c r="H23094" s="8" t="s">
        <v>364</v>
      </c>
    </row>
    <row r="23095">
      <c r="H23095" s="8" t="s">
        <v>364</v>
      </c>
    </row>
    <row r="23096">
      <c r="H23096" s="8" t="s">
        <v>364</v>
      </c>
    </row>
    <row r="23097">
      <c r="H23097" s="8" t="s">
        <v>364</v>
      </c>
    </row>
    <row r="23098">
      <c r="H23098" s="8" t="s">
        <v>364</v>
      </c>
    </row>
    <row r="23099">
      <c r="H23099" s="8" t="s">
        <v>364</v>
      </c>
    </row>
    <row r="23100">
      <c r="H23100" s="8" t="s">
        <v>364</v>
      </c>
    </row>
    <row r="23101">
      <c r="H23101" s="8" t="s">
        <v>364</v>
      </c>
    </row>
    <row r="23102">
      <c r="H23102" s="8" t="s">
        <v>364</v>
      </c>
    </row>
    <row r="23103">
      <c r="H23103" s="8" t="s">
        <v>364</v>
      </c>
    </row>
    <row r="23104">
      <c r="H23104" s="8" t="s">
        <v>364</v>
      </c>
    </row>
    <row r="23105">
      <c r="H23105" s="8" t="s">
        <v>364</v>
      </c>
    </row>
    <row r="23106">
      <c r="H23106" s="8" t="s">
        <v>364</v>
      </c>
    </row>
    <row r="23107">
      <c r="H23107" s="8" t="s">
        <v>364</v>
      </c>
    </row>
    <row r="23108">
      <c r="H23108" s="8" t="s">
        <v>364</v>
      </c>
    </row>
    <row r="23109">
      <c r="H23109" s="8" t="s">
        <v>364</v>
      </c>
    </row>
    <row r="23110">
      <c r="H23110" s="8" t="s">
        <v>364</v>
      </c>
    </row>
    <row r="23111">
      <c r="H23111" s="8" t="s">
        <v>364</v>
      </c>
    </row>
    <row r="23112">
      <c r="H23112" s="8" t="s">
        <v>364</v>
      </c>
    </row>
    <row r="23113">
      <c r="H23113" s="8" t="s">
        <v>364</v>
      </c>
    </row>
    <row r="23114">
      <c r="H23114" s="8" t="s">
        <v>364</v>
      </c>
    </row>
    <row r="23115">
      <c r="H23115" s="8" t="s">
        <v>364</v>
      </c>
    </row>
    <row r="23116">
      <c r="H23116" s="8" t="s">
        <v>364</v>
      </c>
    </row>
    <row r="23117">
      <c r="H23117" s="8" t="s">
        <v>364</v>
      </c>
    </row>
    <row r="23118">
      <c r="H23118" s="8" t="s">
        <v>364</v>
      </c>
    </row>
    <row r="23119">
      <c r="H23119" s="8" t="s">
        <v>364</v>
      </c>
    </row>
    <row r="23120">
      <c r="H23120" s="8" t="s">
        <v>364</v>
      </c>
    </row>
    <row r="23121">
      <c r="H23121" s="8" t="s">
        <v>364</v>
      </c>
    </row>
    <row r="23122">
      <c r="H23122" s="8" t="s">
        <v>364</v>
      </c>
    </row>
    <row r="23123">
      <c r="H23123" s="8" t="s">
        <v>364</v>
      </c>
    </row>
    <row r="23124">
      <c r="H23124" s="8" t="s">
        <v>364</v>
      </c>
    </row>
    <row r="23125">
      <c r="H23125" s="8" t="s">
        <v>364</v>
      </c>
    </row>
    <row r="23126">
      <c r="H23126" s="8" t="s">
        <v>364</v>
      </c>
    </row>
    <row r="23127">
      <c r="H23127" s="8" t="s">
        <v>364</v>
      </c>
    </row>
    <row r="23128">
      <c r="H23128" s="8" t="s">
        <v>364</v>
      </c>
    </row>
    <row r="23129">
      <c r="H23129" s="8" t="s">
        <v>364</v>
      </c>
    </row>
    <row r="23130">
      <c r="H23130" s="8" t="s">
        <v>364</v>
      </c>
    </row>
    <row r="23131">
      <c r="H23131" s="8" t="s">
        <v>364</v>
      </c>
    </row>
    <row r="23132">
      <c r="H23132" s="8" t="s">
        <v>364</v>
      </c>
    </row>
    <row r="23133">
      <c r="H23133" s="8" t="s">
        <v>364</v>
      </c>
    </row>
    <row r="23134">
      <c r="H23134" s="8" t="s">
        <v>364</v>
      </c>
    </row>
    <row r="23135">
      <c r="H23135" s="8" t="s">
        <v>364</v>
      </c>
    </row>
    <row r="23136">
      <c r="H23136" s="8" t="s">
        <v>364</v>
      </c>
    </row>
    <row r="23137">
      <c r="H23137" s="8" t="s">
        <v>364</v>
      </c>
    </row>
    <row r="23138">
      <c r="H23138" s="8" t="s">
        <v>364</v>
      </c>
    </row>
    <row r="23139">
      <c r="H23139" s="8" t="s">
        <v>364</v>
      </c>
    </row>
    <row r="23140">
      <c r="H23140" s="8" t="s">
        <v>364</v>
      </c>
    </row>
    <row r="23141">
      <c r="H23141" s="8" t="s">
        <v>364</v>
      </c>
    </row>
    <row r="23142">
      <c r="H23142" s="8" t="s">
        <v>364</v>
      </c>
    </row>
    <row r="23143">
      <c r="H23143" s="8" t="s">
        <v>364</v>
      </c>
    </row>
    <row r="23144">
      <c r="H23144" s="8" t="s">
        <v>364</v>
      </c>
    </row>
    <row r="23145">
      <c r="H23145" s="8" t="s">
        <v>364</v>
      </c>
    </row>
    <row r="23146">
      <c r="H23146" s="8" t="s">
        <v>364</v>
      </c>
    </row>
    <row r="23147">
      <c r="H23147" s="8" t="s">
        <v>364</v>
      </c>
    </row>
    <row r="23148">
      <c r="H23148" s="8" t="s">
        <v>364</v>
      </c>
    </row>
    <row r="23149">
      <c r="H23149" s="8" t="s">
        <v>364</v>
      </c>
    </row>
    <row r="23150">
      <c r="H23150" s="8" t="s">
        <v>364</v>
      </c>
    </row>
    <row r="23151">
      <c r="H23151" s="8" t="s">
        <v>364</v>
      </c>
    </row>
    <row r="23152">
      <c r="H23152" s="8" t="s">
        <v>364</v>
      </c>
    </row>
    <row r="23153">
      <c r="H23153" s="8" t="s">
        <v>364</v>
      </c>
    </row>
    <row r="23154">
      <c r="H23154" s="8" t="s">
        <v>364</v>
      </c>
    </row>
    <row r="23155">
      <c r="H23155" s="8" t="s">
        <v>364</v>
      </c>
    </row>
    <row r="23156">
      <c r="H23156" s="8" t="s">
        <v>364</v>
      </c>
    </row>
    <row r="23157">
      <c r="H23157" s="8" t="s">
        <v>364</v>
      </c>
    </row>
    <row r="23158">
      <c r="H23158" s="8" t="s">
        <v>364</v>
      </c>
    </row>
    <row r="23159">
      <c r="H23159" s="8" t="s">
        <v>364</v>
      </c>
    </row>
    <row r="23160">
      <c r="H23160" s="8" t="s">
        <v>364</v>
      </c>
    </row>
    <row r="23161">
      <c r="H23161" s="8" t="s">
        <v>364</v>
      </c>
    </row>
    <row r="23162">
      <c r="H23162" s="8" t="s">
        <v>364</v>
      </c>
    </row>
    <row r="23163">
      <c r="H23163" s="8" t="s">
        <v>364</v>
      </c>
    </row>
    <row r="23164">
      <c r="H23164" s="8" t="s">
        <v>364</v>
      </c>
    </row>
    <row r="23165">
      <c r="H23165" s="8" t="s">
        <v>364</v>
      </c>
    </row>
    <row r="23166">
      <c r="H23166" s="8" t="s">
        <v>364</v>
      </c>
    </row>
    <row r="23167">
      <c r="H23167" s="8" t="s">
        <v>364</v>
      </c>
    </row>
    <row r="23168">
      <c r="H23168" s="8" t="s">
        <v>364</v>
      </c>
    </row>
    <row r="23169">
      <c r="H23169" s="8" t="s">
        <v>364</v>
      </c>
    </row>
    <row r="23170">
      <c r="H23170" s="8" t="s">
        <v>364</v>
      </c>
    </row>
    <row r="23171">
      <c r="H23171" s="8" t="s">
        <v>364</v>
      </c>
    </row>
    <row r="23172">
      <c r="H23172" s="8" t="s">
        <v>364</v>
      </c>
    </row>
    <row r="23173">
      <c r="H23173" s="8" t="s">
        <v>364</v>
      </c>
    </row>
    <row r="23174">
      <c r="H23174" s="8" t="s">
        <v>364</v>
      </c>
    </row>
    <row r="23175">
      <c r="H23175" s="8" t="s">
        <v>364</v>
      </c>
    </row>
    <row r="23176">
      <c r="H23176" s="8" t="s">
        <v>364</v>
      </c>
    </row>
    <row r="23177">
      <c r="H23177" s="8" t="s">
        <v>364</v>
      </c>
    </row>
    <row r="23178">
      <c r="H23178" s="8" t="s">
        <v>364</v>
      </c>
    </row>
    <row r="23179">
      <c r="H23179" s="8" t="s">
        <v>364</v>
      </c>
    </row>
    <row r="23180">
      <c r="H23180" s="8" t="s">
        <v>364</v>
      </c>
    </row>
    <row r="23181">
      <c r="H23181" s="8" t="s">
        <v>364</v>
      </c>
    </row>
    <row r="23182">
      <c r="H23182" s="8" t="s">
        <v>364</v>
      </c>
    </row>
    <row r="23183">
      <c r="H23183" s="8" t="s">
        <v>364</v>
      </c>
    </row>
    <row r="23184">
      <c r="H23184" s="8" t="s">
        <v>364</v>
      </c>
    </row>
    <row r="23185">
      <c r="H23185" s="8" t="s">
        <v>364</v>
      </c>
    </row>
    <row r="23186">
      <c r="H23186" s="8" t="s">
        <v>364</v>
      </c>
    </row>
    <row r="23187">
      <c r="H23187" s="8" t="s">
        <v>364</v>
      </c>
    </row>
    <row r="23188">
      <c r="H23188" s="8" t="s">
        <v>364</v>
      </c>
    </row>
    <row r="23189">
      <c r="H23189" s="8" t="s">
        <v>364</v>
      </c>
    </row>
    <row r="23190">
      <c r="H23190" s="8" t="s">
        <v>364</v>
      </c>
    </row>
    <row r="23191">
      <c r="H23191" s="8" t="s">
        <v>364</v>
      </c>
    </row>
    <row r="23192">
      <c r="H23192" s="8" t="s">
        <v>364</v>
      </c>
    </row>
    <row r="23193">
      <c r="H23193" s="8" t="s">
        <v>364</v>
      </c>
    </row>
    <row r="23194">
      <c r="H23194" s="8" t="s">
        <v>364</v>
      </c>
    </row>
    <row r="23195">
      <c r="H23195" s="8" t="s">
        <v>364</v>
      </c>
    </row>
    <row r="23196">
      <c r="H23196" s="8" t="s">
        <v>364</v>
      </c>
    </row>
    <row r="23197">
      <c r="H23197" s="8" t="s">
        <v>364</v>
      </c>
    </row>
    <row r="23198">
      <c r="H23198" s="8" t="s">
        <v>364</v>
      </c>
    </row>
    <row r="23199">
      <c r="H23199" s="8" t="s">
        <v>364</v>
      </c>
    </row>
    <row r="23200">
      <c r="H23200" s="8" t="s">
        <v>364</v>
      </c>
    </row>
    <row r="23201">
      <c r="H23201" s="8" t="s">
        <v>364</v>
      </c>
    </row>
    <row r="23202">
      <c r="H23202" s="8" t="s">
        <v>364</v>
      </c>
    </row>
    <row r="23203">
      <c r="H23203" s="8" t="s">
        <v>364</v>
      </c>
    </row>
    <row r="23204">
      <c r="H23204" s="8" t="s">
        <v>364</v>
      </c>
    </row>
    <row r="23205">
      <c r="H23205" s="8" t="s">
        <v>364</v>
      </c>
    </row>
    <row r="23206">
      <c r="H23206" s="8" t="s">
        <v>364</v>
      </c>
    </row>
    <row r="23207">
      <c r="H23207" s="8" t="s">
        <v>364</v>
      </c>
    </row>
    <row r="23208">
      <c r="H23208" s="8" t="s">
        <v>364</v>
      </c>
    </row>
    <row r="23209">
      <c r="H23209" s="8" t="s">
        <v>364</v>
      </c>
    </row>
    <row r="23210">
      <c r="H23210" s="8" t="s">
        <v>364</v>
      </c>
    </row>
    <row r="23211">
      <c r="H23211" s="8" t="s">
        <v>364</v>
      </c>
    </row>
    <row r="23212">
      <c r="H23212" s="8" t="s">
        <v>364</v>
      </c>
    </row>
    <row r="23213">
      <c r="H23213" s="8" t="s">
        <v>364</v>
      </c>
    </row>
    <row r="23214">
      <c r="H23214" s="8" t="s">
        <v>364</v>
      </c>
    </row>
    <row r="23215">
      <c r="H23215" s="8" t="s">
        <v>364</v>
      </c>
    </row>
    <row r="23216">
      <c r="H23216" s="8" t="s">
        <v>364</v>
      </c>
    </row>
    <row r="23217">
      <c r="H23217" s="8" t="s">
        <v>364</v>
      </c>
    </row>
    <row r="23218">
      <c r="H23218" s="8" t="s">
        <v>364</v>
      </c>
    </row>
    <row r="23219">
      <c r="H23219" s="8" t="s">
        <v>364</v>
      </c>
    </row>
    <row r="23220">
      <c r="H23220" s="8" t="s">
        <v>364</v>
      </c>
    </row>
    <row r="23221">
      <c r="H23221" s="8" t="s">
        <v>364</v>
      </c>
    </row>
    <row r="23222">
      <c r="H23222" s="8" t="s">
        <v>364</v>
      </c>
    </row>
    <row r="23223">
      <c r="H23223" s="8" t="s">
        <v>364</v>
      </c>
    </row>
    <row r="23224">
      <c r="H23224" s="8" t="s">
        <v>364</v>
      </c>
    </row>
    <row r="23225">
      <c r="H23225" s="8" t="s">
        <v>364</v>
      </c>
    </row>
    <row r="23226">
      <c r="H23226" s="8" t="s">
        <v>364</v>
      </c>
    </row>
    <row r="23227">
      <c r="H23227" s="8" t="s">
        <v>364</v>
      </c>
    </row>
    <row r="23228">
      <c r="H23228" s="8" t="s">
        <v>364</v>
      </c>
    </row>
    <row r="23229">
      <c r="H23229" s="8" t="s">
        <v>364</v>
      </c>
    </row>
    <row r="23230">
      <c r="H23230" s="8" t="s">
        <v>364</v>
      </c>
    </row>
    <row r="23231">
      <c r="H23231" s="8" t="s">
        <v>364</v>
      </c>
    </row>
    <row r="23232">
      <c r="H23232" s="8" t="s">
        <v>364</v>
      </c>
    </row>
    <row r="23233">
      <c r="H23233" s="8" t="s">
        <v>364</v>
      </c>
    </row>
    <row r="23234">
      <c r="H23234" s="8" t="s">
        <v>364</v>
      </c>
    </row>
    <row r="23235">
      <c r="H23235" s="8" t="s">
        <v>364</v>
      </c>
    </row>
    <row r="23236">
      <c r="H23236" s="8" t="s">
        <v>364</v>
      </c>
    </row>
    <row r="23237">
      <c r="H23237" s="8" t="s">
        <v>364</v>
      </c>
    </row>
    <row r="23238">
      <c r="H23238" s="8" t="s">
        <v>364</v>
      </c>
    </row>
    <row r="23239">
      <c r="H23239" s="8" t="s">
        <v>364</v>
      </c>
    </row>
    <row r="23240">
      <c r="H23240" s="8" t="s">
        <v>364</v>
      </c>
    </row>
    <row r="23241">
      <c r="H23241" s="8" t="s">
        <v>364</v>
      </c>
    </row>
    <row r="23242">
      <c r="H23242" s="8" t="s">
        <v>364</v>
      </c>
    </row>
    <row r="23243">
      <c r="H23243" s="8" t="s">
        <v>364</v>
      </c>
    </row>
    <row r="23244">
      <c r="H23244" s="8" t="s">
        <v>364</v>
      </c>
    </row>
    <row r="23245">
      <c r="H23245" s="8" t="s">
        <v>364</v>
      </c>
    </row>
    <row r="23246">
      <c r="H23246" s="8" t="s">
        <v>364</v>
      </c>
    </row>
    <row r="23247">
      <c r="H23247" s="8" t="s">
        <v>364</v>
      </c>
    </row>
    <row r="23248">
      <c r="H23248" s="8" t="s">
        <v>364</v>
      </c>
    </row>
    <row r="23249">
      <c r="H23249" s="8" t="s">
        <v>364</v>
      </c>
    </row>
    <row r="23250">
      <c r="H23250" s="8" t="s">
        <v>364</v>
      </c>
    </row>
    <row r="23251">
      <c r="H23251" s="8" t="s">
        <v>364</v>
      </c>
    </row>
    <row r="23252">
      <c r="H23252" s="8" t="s">
        <v>364</v>
      </c>
    </row>
    <row r="23253">
      <c r="H23253" s="8" t="s">
        <v>364</v>
      </c>
    </row>
    <row r="23254">
      <c r="H23254" s="8" t="s">
        <v>364</v>
      </c>
    </row>
    <row r="23255">
      <c r="H23255" s="8" t="s">
        <v>364</v>
      </c>
    </row>
    <row r="23256">
      <c r="H23256" s="8" t="s">
        <v>364</v>
      </c>
    </row>
    <row r="23257">
      <c r="H23257" s="8" t="s">
        <v>364</v>
      </c>
    </row>
    <row r="23258">
      <c r="H23258" s="8" t="s">
        <v>364</v>
      </c>
    </row>
    <row r="23259">
      <c r="H23259" s="8" t="s">
        <v>364</v>
      </c>
    </row>
    <row r="23260">
      <c r="H23260" s="8" t="s">
        <v>364</v>
      </c>
    </row>
    <row r="23261">
      <c r="H23261" s="8" t="s">
        <v>364</v>
      </c>
    </row>
    <row r="23262">
      <c r="H23262" s="8" t="s">
        <v>364</v>
      </c>
    </row>
    <row r="23263">
      <c r="H23263" s="8" t="s">
        <v>364</v>
      </c>
    </row>
    <row r="23264">
      <c r="H23264" s="8" t="s">
        <v>364</v>
      </c>
    </row>
    <row r="23265">
      <c r="H23265" s="8" t="s">
        <v>364</v>
      </c>
    </row>
    <row r="23266">
      <c r="H23266" s="8" t="s">
        <v>364</v>
      </c>
    </row>
    <row r="23267">
      <c r="H23267" s="8" t="s">
        <v>364</v>
      </c>
    </row>
    <row r="23268">
      <c r="H23268" s="8" t="s">
        <v>364</v>
      </c>
    </row>
    <row r="23269">
      <c r="H23269" s="8" t="s">
        <v>364</v>
      </c>
    </row>
    <row r="23270">
      <c r="H23270" s="8" t="s">
        <v>364</v>
      </c>
    </row>
    <row r="23271">
      <c r="H23271" s="8" t="s">
        <v>364</v>
      </c>
    </row>
    <row r="23272">
      <c r="H23272" s="8" t="s">
        <v>364</v>
      </c>
    </row>
    <row r="23273">
      <c r="H23273" s="8" t="s">
        <v>364</v>
      </c>
    </row>
    <row r="23274">
      <c r="H23274" s="8" t="s">
        <v>364</v>
      </c>
    </row>
    <row r="23275">
      <c r="H23275" s="8" t="s">
        <v>364</v>
      </c>
    </row>
    <row r="23276">
      <c r="H23276" s="8" t="s">
        <v>364</v>
      </c>
    </row>
    <row r="23277">
      <c r="H23277" s="8" t="s">
        <v>364</v>
      </c>
    </row>
    <row r="23278">
      <c r="H23278" s="8" t="s">
        <v>364</v>
      </c>
    </row>
    <row r="23279">
      <c r="H23279" s="8" t="s">
        <v>364</v>
      </c>
    </row>
    <row r="23280">
      <c r="H23280" s="8" t="s">
        <v>364</v>
      </c>
    </row>
    <row r="23281">
      <c r="H23281" s="8" t="s">
        <v>364</v>
      </c>
    </row>
    <row r="23282">
      <c r="H23282" s="8" t="s">
        <v>364</v>
      </c>
    </row>
    <row r="23283">
      <c r="H23283" s="8" t="s">
        <v>364</v>
      </c>
    </row>
    <row r="23284">
      <c r="H23284" s="8" t="s">
        <v>364</v>
      </c>
    </row>
    <row r="23285">
      <c r="H23285" s="8" t="s">
        <v>364</v>
      </c>
    </row>
    <row r="23286">
      <c r="H23286" s="8" t="s">
        <v>364</v>
      </c>
    </row>
    <row r="23287">
      <c r="H23287" s="8" t="s">
        <v>364</v>
      </c>
    </row>
    <row r="23288">
      <c r="H23288" s="8" t="s">
        <v>364</v>
      </c>
    </row>
    <row r="23289">
      <c r="H23289" s="8" t="s">
        <v>364</v>
      </c>
    </row>
    <row r="23290">
      <c r="H23290" s="8" t="s">
        <v>364</v>
      </c>
    </row>
    <row r="23291">
      <c r="H23291" s="8" t="s">
        <v>364</v>
      </c>
    </row>
    <row r="23292">
      <c r="H23292" s="8" t="s">
        <v>364</v>
      </c>
    </row>
    <row r="23293">
      <c r="H23293" s="8" t="s">
        <v>364</v>
      </c>
    </row>
    <row r="23294">
      <c r="H23294" s="8" t="s">
        <v>364</v>
      </c>
    </row>
    <row r="23295">
      <c r="H23295" s="8" t="s">
        <v>364</v>
      </c>
    </row>
    <row r="23296">
      <c r="H23296" s="8" t="s">
        <v>364</v>
      </c>
    </row>
    <row r="23297">
      <c r="H23297" s="8" t="s">
        <v>364</v>
      </c>
    </row>
    <row r="23298">
      <c r="H23298" s="8" t="s">
        <v>364</v>
      </c>
    </row>
    <row r="23299">
      <c r="H23299" s="8" t="s">
        <v>364</v>
      </c>
    </row>
    <row r="23300">
      <c r="H23300" s="8" t="s">
        <v>364</v>
      </c>
    </row>
    <row r="23301">
      <c r="H23301" s="8" t="s">
        <v>364</v>
      </c>
    </row>
    <row r="23302">
      <c r="H23302" s="8" t="s">
        <v>364</v>
      </c>
    </row>
    <row r="23303">
      <c r="H23303" s="8" t="s">
        <v>364</v>
      </c>
    </row>
    <row r="23304">
      <c r="H23304" s="8" t="s">
        <v>364</v>
      </c>
    </row>
    <row r="23305">
      <c r="H23305" s="8" t="s">
        <v>364</v>
      </c>
    </row>
    <row r="23306">
      <c r="H23306" s="8" t="s">
        <v>364</v>
      </c>
    </row>
    <row r="23307">
      <c r="H23307" s="8" t="s">
        <v>364</v>
      </c>
    </row>
    <row r="23308">
      <c r="H23308" s="8" t="s">
        <v>364</v>
      </c>
    </row>
    <row r="23309">
      <c r="H23309" s="8" t="s">
        <v>364</v>
      </c>
    </row>
    <row r="23310">
      <c r="H23310" s="8" t="s">
        <v>364</v>
      </c>
    </row>
    <row r="23311">
      <c r="H23311" s="8" t="s">
        <v>364</v>
      </c>
    </row>
    <row r="23312">
      <c r="H23312" s="8" t="s">
        <v>364</v>
      </c>
    </row>
    <row r="23313">
      <c r="H23313" s="8" t="s">
        <v>364</v>
      </c>
    </row>
    <row r="23314">
      <c r="H23314" s="8" t="s">
        <v>364</v>
      </c>
    </row>
    <row r="23315">
      <c r="H23315" s="8" t="s">
        <v>364</v>
      </c>
    </row>
    <row r="23316">
      <c r="H23316" s="8" t="s">
        <v>364</v>
      </c>
    </row>
    <row r="23317">
      <c r="H23317" s="8" t="s">
        <v>364</v>
      </c>
    </row>
    <row r="23318">
      <c r="H23318" s="8" t="s">
        <v>364</v>
      </c>
    </row>
    <row r="23319">
      <c r="H23319" s="8" t="s">
        <v>364</v>
      </c>
    </row>
    <row r="23320">
      <c r="H23320" s="8" t="s">
        <v>364</v>
      </c>
    </row>
    <row r="23321">
      <c r="H23321" s="8" t="s">
        <v>364</v>
      </c>
    </row>
    <row r="23322">
      <c r="H23322" s="8" t="s">
        <v>364</v>
      </c>
    </row>
    <row r="23323">
      <c r="H23323" s="8" t="s">
        <v>364</v>
      </c>
    </row>
    <row r="23324">
      <c r="H23324" s="8" t="s">
        <v>364</v>
      </c>
    </row>
    <row r="23325">
      <c r="H23325" s="8" t="s">
        <v>364</v>
      </c>
    </row>
    <row r="23326">
      <c r="H23326" s="8" t="s">
        <v>364</v>
      </c>
    </row>
    <row r="23327">
      <c r="H23327" s="8" t="s">
        <v>364</v>
      </c>
    </row>
    <row r="23328">
      <c r="H23328" s="8" t="s">
        <v>364</v>
      </c>
    </row>
    <row r="23329">
      <c r="H23329" s="8" t="s">
        <v>364</v>
      </c>
    </row>
    <row r="23330">
      <c r="H23330" s="8" t="s">
        <v>364</v>
      </c>
    </row>
    <row r="23331">
      <c r="H23331" s="8" t="s">
        <v>364</v>
      </c>
    </row>
    <row r="23332">
      <c r="H23332" s="8" t="s">
        <v>364</v>
      </c>
    </row>
    <row r="23333">
      <c r="H23333" s="8" t="s">
        <v>364</v>
      </c>
    </row>
    <row r="23334">
      <c r="H23334" s="8" t="s">
        <v>364</v>
      </c>
    </row>
    <row r="23335">
      <c r="H23335" s="8" t="s">
        <v>364</v>
      </c>
    </row>
    <row r="23336">
      <c r="H23336" s="8" t="s">
        <v>364</v>
      </c>
    </row>
    <row r="23337">
      <c r="H23337" s="8" t="s">
        <v>364</v>
      </c>
    </row>
    <row r="23338">
      <c r="H23338" s="8" t="s">
        <v>364</v>
      </c>
    </row>
    <row r="23339">
      <c r="H23339" s="8" t="s">
        <v>364</v>
      </c>
    </row>
    <row r="23340">
      <c r="H23340" s="8" t="s">
        <v>364</v>
      </c>
    </row>
    <row r="23341">
      <c r="H23341" s="8" t="s">
        <v>364</v>
      </c>
    </row>
    <row r="23342">
      <c r="H23342" s="8" t="s">
        <v>364</v>
      </c>
    </row>
    <row r="23343">
      <c r="H23343" s="8" t="s">
        <v>364</v>
      </c>
    </row>
    <row r="23344">
      <c r="H23344" s="8" t="s">
        <v>364</v>
      </c>
    </row>
    <row r="23345">
      <c r="H23345" s="8" t="s">
        <v>364</v>
      </c>
    </row>
    <row r="23346">
      <c r="H23346" s="8" t="s">
        <v>364</v>
      </c>
    </row>
    <row r="23347">
      <c r="H23347" s="8" t="s">
        <v>364</v>
      </c>
    </row>
    <row r="23348">
      <c r="H23348" s="8" t="s">
        <v>364</v>
      </c>
    </row>
    <row r="23349">
      <c r="H23349" s="8" t="s">
        <v>364</v>
      </c>
    </row>
    <row r="23350">
      <c r="H23350" s="8" t="s">
        <v>364</v>
      </c>
    </row>
    <row r="23351">
      <c r="H23351" s="8" t="s">
        <v>364</v>
      </c>
    </row>
    <row r="23352">
      <c r="H23352" s="8" t="s">
        <v>364</v>
      </c>
    </row>
    <row r="23353">
      <c r="H23353" s="8" t="s">
        <v>364</v>
      </c>
    </row>
    <row r="23354">
      <c r="H23354" s="8" t="s">
        <v>364</v>
      </c>
    </row>
    <row r="23355">
      <c r="H23355" s="8" t="s">
        <v>364</v>
      </c>
    </row>
    <row r="23356">
      <c r="H23356" s="8" t="s">
        <v>364</v>
      </c>
    </row>
    <row r="23357">
      <c r="H23357" s="8" t="s">
        <v>364</v>
      </c>
    </row>
    <row r="23358">
      <c r="H23358" s="8" t="s">
        <v>364</v>
      </c>
    </row>
    <row r="23359">
      <c r="H23359" s="8" t="s">
        <v>364</v>
      </c>
    </row>
    <row r="23360">
      <c r="H23360" s="8" t="s">
        <v>364</v>
      </c>
    </row>
    <row r="23361">
      <c r="H23361" s="8" t="s">
        <v>364</v>
      </c>
    </row>
    <row r="23362">
      <c r="H23362" s="8" t="s">
        <v>364</v>
      </c>
    </row>
    <row r="23363">
      <c r="H23363" s="8" t="s">
        <v>364</v>
      </c>
    </row>
    <row r="23364">
      <c r="H23364" s="8" t="s">
        <v>364</v>
      </c>
    </row>
    <row r="23365">
      <c r="H23365" s="8" t="s">
        <v>364</v>
      </c>
    </row>
    <row r="23366">
      <c r="H23366" s="8" t="s">
        <v>364</v>
      </c>
    </row>
    <row r="23367">
      <c r="H23367" s="8" t="s">
        <v>364</v>
      </c>
    </row>
    <row r="23368">
      <c r="H23368" s="8" t="s">
        <v>364</v>
      </c>
    </row>
    <row r="23369">
      <c r="H23369" s="8" t="s">
        <v>364</v>
      </c>
    </row>
    <row r="23370">
      <c r="H23370" s="8" t="s">
        <v>364</v>
      </c>
    </row>
    <row r="23371">
      <c r="H23371" s="8" t="s">
        <v>364</v>
      </c>
    </row>
    <row r="23372">
      <c r="H23372" s="8" t="s">
        <v>364</v>
      </c>
    </row>
    <row r="23373">
      <c r="H23373" s="8" t="s">
        <v>364</v>
      </c>
    </row>
    <row r="23374">
      <c r="H23374" s="8" t="s">
        <v>364</v>
      </c>
    </row>
    <row r="23375">
      <c r="H23375" s="8" t="s">
        <v>364</v>
      </c>
    </row>
    <row r="23376">
      <c r="H23376" s="8" t="s">
        <v>364</v>
      </c>
    </row>
    <row r="23377">
      <c r="H23377" s="8" t="s">
        <v>364</v>
      </c>
    </row>
    <row r="23378">
      <c r="H23378" s="8" t="s">
        <v>364</v>
      </c>
    </row>
    <row r="23379">
      <c r="H23379" s="8" t="s">
        <v>364</v>
      </c>
    </row>
    <row r="23380">
      <c r="H23380" s="8" t="s">
        <v>364</v>
      </c>
    </row>
    <row r="23381">
      <c r="H23381" s="8" t="s">
        <v>364</v>
      </c>
    </row>
    <row r="23382">
      <c r="H23382" s="8" t="s">
        <v>364</v>
      </c>
    </row>
    <row r="23383">
      <c r="H23383" s="8" t="s">
        <v>364</v>
      </c>
    </row>
    <row r="23384">
      <c r="H23384" s="8" t="s">
        <v>364</v>
      </c>
    </row>
    <row r="23385">
      <c r="H23385" s="8" t="s">
        <v>364</v>
      </c>
    </row>
    <row r="23386">
      <c r="H23386" s="8" t="s">
        <v>364</v>
      </c>
    </row>
    <row r="23387">
      <c r="H23387" s="8" t="s">
        <v>364</v>
      </c>
    </row>
    <row r="23388">
      <c r="H23388" s="8" t="s">
        <v>364</v>
      </c>
    </row>
    <row r="23389">
      <c r="H23389" s="8" t="s">
        <v>364</v>
      </c>
    </row>
    <row r="23390">
      <c r="H23390" s="8" t="s">
        <v>364</v>
      </c>
    </row>
    <row r="23391">
      <c r="H23391" s="8" t="s">
        <v>364</v>
      </c>
    </row>
    <row r="23392">
      <c r="H23392" s="8" t="s">
        <v>364</v>
      </c>
    </row>
    <row r="23393">
      <c r="H23393" s="8" t="s">
        <v>364</v>
      </c>
    </row>
    <row r="23394">
      <c r="H23394" s="8" t="s">
        <v>364</v>
      </c>
    </row>
    <row r="23395">
      <c r="H23395" s="8" t="s">
        <v>364</v>
      </c>
    </row>
    <row r="23396">
      <c r="H23396" s="8" t="s">
        <v>364</v>
      </c>
    </row>
    <row r="23397">
      <c r="H23397" s="8" t="s">
        <v>364</v>
      </c>
    </row>
    <row r="23398">
      <c r="H23398" s="8" t="s">
        <v>364</v>
      </c>
    </row>
    <row r="23399">
      <c r="H23399" s="8" t="s">
        <v>364</v>
      </c>
    </row>
    <row r="23400">
      <c r="H23400" s="8" t="s">
        <v>364</v>
      </c>
    </row>
    <row r="23401">
      <c r="H23401" s="8" t="s">
        <v>364</v>
      </c>
    </row>
    <row r="23402">
      <c r="H23402" s="8" t="s">
        <v>364</v>
      </c>
    </row>
    <row r="23403">
      <c r="H23403" s="8" t="s">
        <v>364</v>
      </c>
    </row>
    <row r="23404">
      <c r="H23404" s="8" t="s">
        <v>364</v>
      </c>
    </row>
    <row r="23405">
      <c r="H23405" s="8" t="s">
        <v>364</v>
      </c>
    </row>
    <row r="23406">
      <c r="H23406" s="8" t="s">
        <v>364</v>
      </c>
    </row>
    <row r="23407">
      <c r="H23407" s="8" t="s">
        <v>364</v>
      </c>
    </row>
    <row r="23408">
      <c r="H23408" s="8" t="s">
        <v>364</v>
      </c>
    </row>
    <row r="23409">
      <c r="H23409" s="8" t="s">
        <v>364</v>
      </c>
    </row>
    <row r="23410">
      <c r="H23410" s="8" t="s">
        <v>364</v>
      </c>
    </row>
    <row r="23411">
      <c r="H23411" s="8" t="s">
        <v>364</v>
      </c>
    </row>
    <row r="23412">
      <c r="H23412" s="8" t="s">
        <v>364</v>
      </c>
    </row>
    <row r="23413">
      <c r="H23413" s="8" t="s">
        <v>364</v>
      </c>
    </row>
    <row r="23414">
      <c r="H23414" s="8" t="s">
        <v>364</v>
      </c>
    </row>
    <row r="23415">
      <c r="H23415" s="8" t="s">
        <v>364</v>
      </c>
    </row>
    <row r="23416">
      <c r="H23416" s="8" t="s">
        <v>364</v>
      </c>
    </row>
    <row r="23417">
      <c r="H23417" s="8" t="s">
        <v>364</v>
      </c>
    </row>
    <row r="23418">
      <c r="H23418" s="8" t="s">
        <v>364</v>
      </c>
    </row>
    <row r="23419">
      <c r="H23419" s="8" t="s">
        <v>364</v>
      </c>
    </row>
    <row r="23420">
      <c r="H23420" s="8" t="s">
        <v>364</v>
      </c>
    </row>
    <row r="23421">
      <c r="H23421" s="8" t="s">
        <v>364</v>
      </c>
    </row>
    <row r="23422">
      <c r="H23422" s="8" t="s">
        <v>364</v>
      </c>
    </row>
    <row r="23423">
      <c r="H23423" s="8" t="s">
        <v>364</v>
      </c>
    </row>
    <row r="23424">
      <c r="H23424" s="8" t="s">
        <v>364</v>
      </c>
    </row>
    <row r="23425">
      <c r="H23425" s="8" t="s">
        <v>364</v>
      </c>
    </row>
    <row r="23426">
      <c r="H23426" s="8" t="s">
        <v>364</v>
      </c>
    </row>
    <row r="23427">
      <c r="H23427" s="8" t="s">
        <v>364</v>
      </c>
    </row>
    <row r="23428">
      <c r="H23428" s="8" t="s">
        <v>364</v>
      </c>
    </row>
    <row r="23429">
      <c r="H23429" s="8" t="s">
        <v>364</v>
      </c>
    </row>
    <row r="23430">
      <c r="H23430" s="8" t="s">
        <v>364</v>
      </c>
    </row>
    <row r="23431">
      <c r="H23431" s="8" t="s">
        <v>364</v>
      </c>
    </row>
    <row r="23432">
      <c r="H23432" s="8" t="s">
        <v>364</v>
      </c>
    </row>
    <row r="23433">
      <c r="H23433" s="8" t="s">
        <v>364</v>
      </c>
    </row>
    <row r="23434">
      <c r="H23434" s="8" t="s">
        <v>364</v>
      </c>
    </row>
    <row r="23435">
      <c r="H23435" s="8" t="s">
        <v>364</v>
      </c>
    </row>
    <row r="23436">
      <c r="H23436" s="8" t="s">
        <v>364</v>
      </c>
    </row>
    <row r="23437">
      <c r="H23437" s="8" t="s">
        <v>364</v>
      </c>
    </row>
    <row r="23438">
      <c r="H23438" s="8" t="s">
        <v>364</v>
      </c>
    </row>
    <row r="23439">
      <c r="H23439" s="8" t="s">
        <v>364</v>
      </c>
    </row>
    <row r="23440">
      <c r="H23440" s="8" t="s">
        <v>364</v>
      </c>
    </row>
    <row r="23441">
      <c r="H23441" s="8" t="s">
        <v>364</v>
      </c>
    </row>
    <row r="23442">
      <c r="H23442" s="8" t="s">
        <v>364</v>
      </c>
    </row>
    <row r="23443">
      <c r="H23443" s="8" t="s">
        <v>364</v>
      </c>
    </row>
    <row r="23444">
      <c r="H23444" s="8" t="s">
        <v>364</v>
      </c>
    </row>
    <row r="23445">
      <c r="H23445" s="8" t="s">
        <v>364</v>
      </c>
    </row>
    <row r="23446">
      <c r="H23446" s="8" t="s">
        <v>364</v>
      </c>
    </row>
    <row r="23447">
      <c r="H23447" s="8" t="s">
        <v>364</v>
      </c>
    </row>
    <row r="23448">
      <c r="H23448" s="8" t="s">
        <v>364</v>
      </c>
    </row>
    <row r="23449">
      <c r="H23449" s="8" t="s">
        <v>364</v>
      </c>
    </row>
    <row r="23450">
      <c r="H23450" s="8" t="s">
        <v>364</v>
      </c>
    </row>
    <row r="23451">
      <c r="H23451" s="8" t="s">
        <v>364</v>
      </c>
    </row>
    <row r="23452">
      <c r="H23452" s="8" t="s">
        <v>364</v>
      </c>
    </row>
    <row r="23453">
      <c r="H23453" s="8" t="s">
        <v>364</v>
      </c>
    </row>
    <row r="23454">
      <c r="H23454" s="8" t="s">
        <v>364</v>
      </c>
    </row>
    <row r="23455">
      <c r="H23455" s="8" t="s">
        <v>364</v>
      </c>
    </row>
    <row r="23456">
      <c r="H23456" s="8" t="s">
        <v>364</v>
      </c>
    </row>
    <row r="23457">
      <c r="H23457" s="8" t="s">
        <v>364</v>
      </c>
    </row>
    <row r="23458">
      <c r="H23458" s="8" t="s">
        <v>364</v>
      </c>
    </row>
    <row r="23459">
      <c r="H23459" s="8" t="s">
        <v>364</v>
      </c>
    </row>
    <row r="23460">
      <c r="H23460" s="8" t="s">
        <v>364</v>
      </c>
    </row>
    <row r="23461">
      <c r="H23461" s="8" t="s">
        <v>364</v>
      </c>
    </row>
    <row r="23462">
      <c r="H23462" s="8" t="s">
        <v>364</v>
      </c>
    </row>
    <row r="23463">
      <c r="H23463" s="8" t="s">
        <v>364</v>
      </c>
    </row>
    <row r="23464">
      <c r="H23464" s="8" t="s">
        <v>364</v>
      </c>
    </row>
    <row r="23465">
      <c r="H23465" s="8" t="s">
        <v>364</v>
      </c>
    </row>
    <row r="23466">
      <c r="H23466" s="8" t="s">
        <v>364</v>
      </c>
    </row>
    <row r="23467">
      <c r="H23467" s="8" t="s">
        <v>364</v>
      </c>
    </row>
    <row r="23468">
      <c r="H23468" s="8" t="s">
        <v>364</v>
      </c>
    </row>
    <row r="23469">
      <c r="H23469" s="8" t="s">
        <v>364</v>
      </c>
    </row>
    <row r="23470">
      <c r="H23470" s="8" t="s">
        <v>364</v>
      </c>
    </row>
    <row r="23471">
      <c r="H23471" s="8" t="s">
        <v>364</v>
      </c>
    </row>
    <row r="23472">
      <c r="H23472" s="8" t="s">
        <v>364</v>
      </c>
    </row>
    <row r="23473">
      <c r="H23473" s="8" t="s">
        <v>364</v>
      </c>
    </row>
    <row r="23474">
      <c r="H23474" s="8" t="s">
        <v>364</v>
      </c>
    </row>
    <row r="23475">
      <c r="H23475" s="8" t="s">
        <v>364</v>
      </c>
    </row>
    <row r="23476">
      <c r="H23476" s="8" t="s">
        <v>364</v>
      </c>
    </row>
    <row r="23477">
      <c r="H23477" s="8" t="s">
        <v>364</v>
      </c>
    </row>
    <row r="23478">
      <c r="H23478" s="8" t="s">
        <v>364</v>
      </c>
    </row>
    <row r="23479">
      <c r="H23479" s="8" t="s">
        <v>364</v>
      </c>
    </row>
    <row r="23480">
      <c r="H23480" s="8" t="s">
        <v>364</v>
      </c>
    </row>
    <row r="23481">
      <c r="H23481" s="8" t="s">
        <v>364</v>
      </c>
    </row>
    <row r="23482">
      <c r="H23482" s="8" t="s">
        <v>364</v>
      </c>
    </row>
    <row r="23483">
      <c r="H23483" s="8" t="s">
        <v>364</v>
      </c>
    </row>
    <row r="23484">
      <c r="H23484" s="8" t="s">
        <v>364</v>
      </c>
    </row>
    <row r="23485">
      <c r="H23485" s="8" t="s">
        <v>364</v>
      </c>
    </row>
    <row r="23486">
      <c r="H23486" s="8" t="s">
        <v>364</v>
      </c>
    </row>
    <row r="23487">
      <c r="H23487" s="8" t="s">
        <v>364</v>
      </c>
    </row>
    <row r="23488">
      <c r="H23488" s="8" t="s">
        <v>364</v>
      </c>
    </row>
    <row r="23489">
      <c r="H23489" s="8" t="s">
        <v>364</v>
      </c>
    </row>
    <row r="23490">
      <c r="H23490" s="8" t="s">
        <v>364</v>
      </c>
    </row>
    <row r="23491">
      <c r="H23491" s="8" t="s">
        <v>364</v>
      </c>
    </row>
    <row r="23492">
      <c r="H23492" s="8" t="s">
        <v>364</v>
      </c>
    </row>
    <row r="23493">
      <c r="H23493" s="8" t="s">
        <v>364</v>
      </c>
    </row>
    <row r="23494">
      <c r="H23494" s="8" t="s">
        <v>364</v>
      </c>
    </row>
    <row r="23495">
      <c r="H23495" s="8" t="s">
        <v>364</v>
      </c>
    </row>
    <row r="23496">
      <c r="H23496" s="8" t="s">
        <v>364</v>
      </c>
    </row>
    <row r="23497">
      <c r="H23497" s="8" t="s">
        <v>364</v>
      </c>
    </row>
    <row r="23498">
      <c r="H23498" s="8" t="s">
        <v>364</v>
      </c>
    </row>
    <row r="23499">
      <c r="H23499" s="8" t="s">
        <v>364</v>
      </c>
    </row>
    <row r="23500">
      <c r="H23500" s="8" t="s">
        <v>364</v>
      </c>
    </row>
    <row r="23501">
      <c r="H23501" s="8" t="s">
        <v>364</v>
      </c>
    </row>
    <row r="23502">
      <c r="H23502" s="8" t="s">
        <v>364</v>
      </c>
    </row>
    <row r="23503">
      <c r="H23503" s="8" t="s">
        <v>364</v>
      </c>
    </row>
    <row r="23504">
      <c r="H23504" s="8" t="s">
        <v>364</v>
      </c>
    </row>
    <row r="23505">
      <c r="H23505" s="8" t="s">
        <v>364</v>
      </c>
    </row>
    <row r="23506">
      <c r="H23506" s="8" t="s">
        <v>364</v>
      </c>
    </row>
    <row r="23507">
      <c r="H23507" s="8" t="s">
        <v>364</v>
      </c>
    </row>
    <row r="23508">
      <c r="H23508" s="8" t="s">
        <v>364</v>
      </c>
    </row>
    <row r="23509">
      <c r="H23509" s="8" t="s">
        <v>364</v>
      </c>
    </row>
    <row r="23510">
      <c r="H23510" s="8" t="s">
        <v>364</v>
      </c>
    </row>
    <row r="23511">
      <c r="H23511" s="8" t="s">
        <v>364</v>
      </c>
    </row>
    <row r="23512">
      <c r="H23512" s="8" t="s">
        <v>364</v>
      </c>
    </row>
    <row r="23513">
      <c r="H23513" s="8" t="s">
        <v>364</v>
      </c>
    </row>
    <row r="23514">
      <c r="H23514" s="8" t="s">
        <v>364</v>
      </c>
    </row>
    <row r="23515">
      <c r="H23515" s="8" t="s">
        <v>364</v>
      </c>
    </row>
    <row r="23516">
      <c r="H23516" s="8" t="s">
        <v>364</v>
      </c>
    </row>
    <row r="23517">
      <c r="H23517" s="8" t="s">
        <v>364</v>
      </c>
    </row>
    <row r="23518">
      <c r="H23518" s="8" t="s">
        <v>364</v>
      </c>
    </row>
    <row r="23519">
      <c r="H23519" s="8" t="s">
        <v>364</v>
      </c>
    </row>
    <row r="23520">
      <c r="H23520" s="8" t="s">
        <v>364</v>
      </c>
    </row>
    <row r="23521">
      <c r="H23521" s="8" t="s">
        <v>364</v>
      </c>
    </row>
    <row r="23522">
      <c r="H23522" s="8" t="s">
        <v>364</v>
      </c>
    </row>
    <row r="23523">
      <c r="H23523" s="8" t="s">
        <v>364</v>
      </c>
    </row>
    <row r="23524">
      <c r="H23524" s="8" t="s">
        <v>364</v>
      </c>
    </row>
    <row r="23525">
      <c r="H23525" s="8" t="s">
        <v>364</v>
      </c>
    </row>
    <row r="23526">
      <c r="H23526" s="8" t="s">
        <v>364</v>
      </c>
    </row>
    <row r="23527">
      <c r="H23527" s="8" t="s">
        <v>364</v>
      </c>
    </row>
    <row r="23528">
      <c r="H23528" s="8" t="s">
        <v>364</v>
      </c>
    </row>
    <row r="23529">
      <c r="H23529" s="8" t="s">
        <v>364</v>
      </c>
    </row>
    <row r="23530">
      <c r="H23530" s="8" t="s">
        <v>364</v>
      </c>
    </row>
    <row r="23531">
      <c r="H23531" s="8" t="s">
        <v>364</v>
      </c>
    </row>
    <row r="23532">
      <c r="H23532" s="8" t="s">
        <v>364</v>
      </c>
    </row>
    <row r="23533">
      <c r="H23533" s="8" t="s">
        <v>364</v>
      </c>
    </row>
    <row r="23534">
      <c r="H23534" s="8" t="s">
        <v>364</v>
      </c>
    </row>
    <row r="23535">
      <c r="H23535" s="8" t="s">
        <v>364</v>
      </c>
    </row>
    <row r="23536">
      <c r="H23536" s="8" t="s">
        <v>364</v>
      </c>
    </row>
    <row r="23537">
      <c r="H23537" s="8" t="s">
        <v>364</v>
      </c>
    </row>
    <row r="23538">
      <c r="H23538" s="8" t="s">
        <v>364</v>
      </c>
    </row>
    <row r="23539">
      <c r="H23539" s="8" t="s">
        <v>364</v>
      </c>
    </row>
    <row r="23540">
      <c r="H23540" s="8" t="s">
        <v>364</v>
      </c>
    </row>
    <row r="23541">
      <c r="H23541" s="8" t="s">
        <v>364</v>
      </c>
    </row>
    <row r="23542">
      <c r="H23542" s="8" t="s">
        <v>364</v>
      </c>
    </row>
    <row r="23543">
      <c r="H23543" s="8" t="s">
        <v>364</v>
      </c>
    </row>
    <row r="23544">
      <c r="H23544" s="8" t="s">
        <v>364</v>
      </c>
    </row>
    <row r="23545">
      <c r="H23545" s="8" t="s">
        <v>364</v>
      </c>
    </row>
    <row r="23546">
      <c r="H23546" s="8" t="s">
        <v>364</v>
      </c>
    </row>
    <row r="23547">
      <c r="H23547" s="8" t="s">
        <v>364</v>
      </c>
    </row>
    <row r="23548">
      <c r="H23548" s="8" t="s">
        <v>364</v>
      </c>
    </row>
    <row r="23549">
      <c r="H23549" s="8" t="s">
        <v>364</v>
      </c>
    </row>
    <row r="23550">
      <c r="H23550" s="8" t="s">
        <v>364</v>
      </c>
    </row>
    <row r="23551">
      <c r="H23551" s="8" t="s">
        <v>364</v>
      </c>
    </row>
    <row r="23552">
      <c r="H23552" s="8" t="s">
        <v>364</v>
      </c>
    </row>
    <row r="23553">
      <c r="H23553" s="8" t="s">
        <v>364</v>
      </c>
    </row>
    <row r="23554">
      <c r="H23554" s="8" t="s">
        <v>364</v>
      </c>
    </row>
    <row r="23555">
      <c r="H23555" s="8" t="s">
        <v>364</v>
      </c>
    </row>
    <row r="23556">
      <c r="H23556" s="8" t="s">
        <v>364</v>
      </c>
    </row>
    <row r="23557">
      <c r="H23557" s="8" t="s">
        <v>364</v>
      </c>
    </row>
    <row r="23558">
      <c r="H23558" s="8" t="s">
        <v>364</v>
      </c>
    </row>
    <row r="23559">
      <c r="H23559" s="8" t="s">
        <v>364</v>
      </c>
    </row>
    <row r="23560">
      <c r="H23560" s="8" t="s">
        <v>364</v>
      </c>
    </row>
    <row r="23561">
      <c r="H23561" s="8" t="s">
        <v>364</v>
      </c>
    </row>
    <row r="23562">
      <c r="H23562" s="8" t="s">
        <v>364</v>
      </c>
    </row>
    <row r="23563">
      <c r="H23563" s="8" t="s">
        <v>364</v>
      </c>
    </row>
    <row r="23564">
      <c r="H23564" s="8" t="s">
        <v>364</v>
      </c>
    </row>
    <row r="23565">
      <c r="H23565" s="8" t="s">
        <v>364</v>
      </c>
    </row>
    <row r="23566">
      <c r="H23566" s="8" t="s">
        <v>364</v>
      </c>
    </row>
    <row r="23567">
      <c r="H23567" s="8" t="s">
        <v>364</v>
      </c>
    </row>
    <row r="23568">
      <c r="H23568" s="8" t="s">
        <v>364</v>
      </c>
    </row>
    <row r="23569">
      <c r="H23569" s="8" t="s">
        <v>364</v>
      </c>
    </row>
    <row r="23570">
      <c r="H23570" s="8" t="s">
        <v>364</v>
      </c>
    </row>
    <row r="23571">
      <c r="H23571" s="8" t="s">
        <v>364</v>
      </c>
    </row>
    <row r="23572">
      <c r="H23572" s="8" t="s">
        <v>364</v>
      </c>
    </row>
    <row r="23573">
      <c r="H23573" s="8" t="s">
        <v>364</v>
      </c>
    </row>
    <row r="23574">
      <c r="H23574" s="8" t="s">
        <v>364</v>
      </c>
    </row>
    <row r="23575">
      <c r="H23575" s="8" t="s">
        <v>364</v>
      </c>
    </row>
    <row r="23576">
      <c r="H23576" s="8" t="s">
        <v>364</v>
      </c>
    </row>
    <row r="23577">
      <c r="H23577" s="8" t="s">
        <v>364</v>
      </c>
    </row>
    <row r="23578">
      <c r="H23578" s="8" t="s">
        <v>364</v>
      </c>
    </row>
    <row r="23579">
      <c r="H23579" s="8" t="s">
        <v>364</v>
      </c>
    </row>
    <row r="23580">
      <c r="H23580" s="8" t="s">
        <v>364</v>
      </c>
    </row>
    <row r="23581">
      <c r="H23581" s="8" t="s">
        <v>364</v>
      </c>
    </row>
    <row r="23582">
      <c r="H23582" s="8" t="s">
        <v>364</v>
      </c>
    </row>
    <row r="23583">
      <c r="H23583" s="8" t="s">
        <v>364</v>
      </c>
    </row>
    <row r="23584">
      <c r="H23584" s="8" t="s">
        <v>364</v>
      </c>
    </row>
    <row r="23585">
      <c r="H23585" s="8" t="s">
        <v>364</v>
      </c>
    </row>
    <row r="23586">
      <c r="H23586" s="8" t="s">
        <v>364</v>
      </c>
    </row>
    <row r="23587">
      <c r="H23587" s="8" t="s">
        <v>364</v>
      </c>
    </row>
    <row r="23588">
      <c r="H23588" s="8" t="s">
        <v>364</v>
      </c>
    </row>
    <row r="23589">
      <c r="H23589" s="8" t="s">
        <v>364</v>
      </c>
    </row>
    <row r="23590">
      <c r="H23590" s="8" t="s">
        <v>364</v>
      </c>
    </row>
    <row r="23591">
      <c r="H23591" s="8" t="s">
        <v>364</v>
      </c>
    </row>
    <row r="23592">
      <c r="H23592" s="8" t="s">
        <v>364</v>
      </c>
    </row>
    <row r="23593">
      <c r="H23593" s="8" t="s">
        <v>364</v>
      </c>
    </row>
    <row r="23594">
      <c r="H23594" s="8" t="s">
        <v>364</v>
      </c>
    </row>
    <row r="23595">
      <c r="H23595" s="8" t="s">
        <v>364</v>
      </c>
    </row>
    <row r="23596">
      <c r="H23596" s="8" t="s">
        <v>364</v>
      </c>
    </row>
    <row r="23597">
      <c r="H23597" s="8" t="s">
        <v>364</v>
      </c>
    </row>
    <row r="23598">
      <c r="H23598" s="8" t="s">
        <v>364</v>
      </c>
    </row>
    <row r="23599">
      <c r="H23599" s="8" t="s">
        <v>364</v>
      </c>
    </row>
    <row r="23600">
      <c r="H23600" s="8" t="s">
        <v>364</v>
      </c>
    </row>
    <row r="23601">
      <c r="H23601" s="8" t="s">
        <v>364</v>
      </c>
    </row>
    <row r="23602">
      <c r="H23602" s="8" t="s">
        <v>364</v>
      </c>
    </row>
    <row r="23603">
      <c r="H23603" s="8" t="s">
        <v>364</v>
      </c>
    </row>
    <row r="23604">
      <c r="H23604" s="8" t="s">
        <v>364</v>
      </c>
    </row>
    <row r="23605">
      <c r="H23605" s="8" t="s">
        <v>364</v>
      </c>
    </row>
    <row r="23606">
      <c r="H23606" s="8" t="s">
        <v>364</v>
      </c>
    </row>
    <row r="23607">
      <c r="H23607" s="8" t="s">
        <v>364</v>
      </c>
    </row>
    <row r="23608">
      <c r="H23608" s="8" t="s">
        <v>364</v>
      </c>
    </row>
    <row r="23609">
      <c r="H23609" s="8" t="s">
        <v>364</v>
      </c>
    </row>
    <row r="23610">
      <c r="H23610" s="8" t="s">
        <v>364</v>
      </c>
    </row>
    <row r="23611">
      <c r="H23611" s="8" t="s">
        <v>364</v>
      </c>
    </row>
    <row r="23612">
      <c r="H23612" s="8" t="s">
        <v>364</v>
      </c>
    </row>
    <row r="23613">
      <c r="H23613" s="8" t="s">
        <v>364</v>
      </c>
    </row>
    <row r="23614">
      <c r="H23614" s="8" t="s">
        <v>364</v>
      </c>
    </row>
    <row r="23615">
      <c r="H23615" s="8" t="s">
        <v>364</v>
      </c>
    </row>
    <row r="23616">
      <c r="H23616" s="8" t="s">
        <v>364</v>
      </c>
    </row>
    <row r="23617">
      <c r="H23617" s="8" t="s">
        <v>364</v>
      </c>
    </row>
    <row r="23618">
      <c r="H23618" s="8" t="s">
        <v>364</v>
      </c>
    </row>
    <row r="23619">
      <c r="H23619" s="8" t="s">
        <v>364</v>
      </c>
    </row>
    <row r="23620">
      <c r="H23620" s="8" t="s">
        <v>364</v>
      </c>
    </row>
    <row r="23621">
      <c r="H23621" s="8" t="s">
        <v>364</v>
      </c>
    </row>
    <row r="23622">
      <c r="H23622" s="8" t="s">
        <v>364</v>
      </c>
    </row>
    <row r="23623">
      <c r="H23623" s="8" t="s">
        <v>364</v>
      </c>
    </row>
    <row r="23624">
      <c r="H23624" s="8" t="s">
        <v>364</v>
      </c>
    </row>
    <row r="23625">
      <c r="H23625" s="8" t="s">
        <v>364</v>
      </c>
    </row>
    <row r="23626">
      <c r="H23626" s="8" t="s">
        <v>364</v>
      </c>
    </row>
    <row r="23627">
      <c r="H23627" s="8" t="s">
        <v>364</v>
      </c>
    </row>
    <row r="23628">
      <c r="H23628" s="8" t="s">
        <v>364</v>
      </c>
    </row>
    <row r="23629">
      <c r="H23629" s="8" t="s">
        <v>364</v>
      </c>
    </row>
    <row r="23630">
      <c r="H23630" s="8" t="s">
        <v>364</v>
      </c>
    </row>
    <row r="23631">
      <c r="H23631" s="8" t="s">
        <v>364</v>
      </c>
    </row>
    <row r="23632">
      <c r="H23632" s="8" t="s">
        <v>364</v>
      </c>
    </row>
    <row r="23633">
      <c r="H23633" s="8" t="s">
        <v>364</v>
      </c>
    </row>
    <row r="23634">
      <c r="H23634" s="8" t="s">
        <v>364</v>
      </c>
    </row>
    <row r="23635">
      <c r="H23635" s="8" t="s">
        <v>364</v>
      </c>
    </row>
    <row r="23636">
      <c r="H23636" s="8" t="s">
        <v>364</v>
      </c>
    </row>
    <row r="23637">
      <c r="H23637" s="8" t="s">
        <v>364</v>
      </c>
    </row>
    <row r="23638">
      <c r="H23638" s="8" t="s">
        <v>364</v>
      </c>
    </row>
    <row r="23639">
      <c r="H23639" s="8" t="s">
        <v>364</v>
      </c>
    </row>
    <row r="23640">
      <c r="H23640" s="8" t="s">
        <v>364</v>
      </c>
    </row>
    <row r="23641">
      <c r="H23641" s="8" t="s">
        <v>364</v>
      </c>
    </row>
    <row r="23642">
      <c r="H23642" s="8" t="s">
        <v>364</v>
      </c>
    </row>
    <row r="23643">
      <c r="H23643" s="8" t="s">
        <v>364</v>
      </c>
    </row>
    <row r="23644">
      <c r="H23644" s="8" t="s">
        <v>364</v>
      </c>
    </row>
    <row r="23645">
      <c r="H23645" s="8" t="s">
        <v>364</v>
      </c>
    </row>
    <row r="23646">
      <c r="H23646" s="8" t="s">
        <v>364</v>
      </c>
    </row>
    <row r="23647">
      <c r="H23647" s="8" t="s">
        <v>364</v>
      </c>
    </row>
    <row r="23648">
      <c r="H23648" s="8" t="s">
        <v>364</v>
      </c>
    </row>
    <row r="23649">
      <c r="H23649" s="8" t="s">
        <v>364</v>
      </c>
    </row>
    <row r="23650">
      <c r="H23650" s="8" t="s">
        <v>364</v>
      </c>
    </row>
    <row r="23651">
      <c r="H23651" s="8" t="s">
        <v>364</v>
      </c>
    </row>
    <row r="23652">
      <c r="H23652" s="8" t="s">
        <v>364</v>
      </c>
    </row>
    <row r="23653">
      <c r="H23653" s="8" t="s">
        <v>364</v>
      </c>
    </row>
    <row r="23654">
      <c r="H23654" s="8" t="s">
        <v>364</v>
      </c>
    </row>
    <row r="23655">
      <c r="H23655" s="8" t="s">
        <v>364</v>
      </c>
    </row>
    <row r="23656">
      <c r="H23656" s="8" t="s">
        <v>364</v>
      </c>
    </row>
    <row r="23657">
      <c r="H23657" s="8" t="s">
        <v>364</v>
      </c>
    </row>
    <row r="23658">
      <c r="H23658" s="8" t="s">
        <v>364</v>
      </c>
    </row>
    <row r="23659">
      <c r="H23659" s="8" t="s">
        <v>364</v>
      </c>
    </row>
    <row r="23660">
      <c r="H23660" s="8" t="s">
        <v>364</v>
      </c>
    </row>
    <row r="23661">
      <c r="H23661" s="8" t="s">
        <v>364</v>
      </c>
    </row>
    <row r="23662">
      <c r="H23662" s="8" t="s">
        <v>364</v>
      </c>
    </row>
    <row r="23663">
      <c r="H23663" s="8" t="s">
        <v>364</v>
      </c>
    </row>
    <row r="23664">
      <c r="H23664" s="8" t="s">
        <v>364</v>
      </c>
    </row>
    <row r="23665">
      <c r="H23665" s="8" t="s">
        <v>364</v>
      </c>
    </row>
    <row r="23666">
      <c r="H23666" s="8" t="s">
        <v>364</v>
      </c>
    </row>
    <row r="23667">
      <c r="H23667" s="8" t="s">
        <v>364</v>
      </c>
    </row>
    <row r="23668">
      <c r="H23668" s="8" t="s">
        <v>364</v>
      </c>
    </row>
    <row r="23669">
      <c r="H23669" s="8" t="s">
        <v>364</v>
      </c>
    </row>
    <row r="23670">
      <c r="H23670" s="8" t="s">
        <v>364</v>
      </c>
    </row>
    <row r="23671">
      <c r="H23671" s="8" t="s">
        <v>364</v>
      </c>
    </row>
    <row r="23672">
      <c r="H23672" s="8" t="s">
        <v>364</v>
      </c>
    </row>
    <row r="23673">
      <c r="H23673" s="8" t="s">
        <v>364</v>
      </c>
    </row>
    <row r="23674">
      <c r="H23674" s="8" t="s">
        <v>364</v>
      </c>
    </row>
    <row r="23675">
      <c r="H23675" s="8" t="s">
        <v>364</v>
      </c>
    </row>
    <row r="23676">
      <c r="H23676" s="8" t="s">
        <v>364</v>
      </c>
    </row>
    <row r="23677">
      <c r="H23677" s="8" t="s">
        <v>364</v>
      </c>
    </row>
    <row r="23678">
      <c r="H23678" s="8" t="s">
        <v>364</v>
      </c>
    </row>
    <row r="23679">
      <c r="H23679" s="8" t="s">
        <v>364</v>
      </c>
    </row>
    <row r="23680">
      <c r="H23680" s="8" t="s">
        <v>364</v>
      </c>
    </row>
    <row r="23681">
      <c r="H23681" s="8" t="s">
        <v>364</v>
      </c>
    </row>
    <row r="23682">
      <c r="H23682" s="8" t="s">
        <v>364</v>
      </c>
    </row>
    <row r="23683">
      <c r="H23683" s="8" t="s">
        <v>364</v>
      </c>
    </row>
    <row r="23684">
      <c r="H23684" s="8" t="s">
        <v>364</v>
      </c>
    </row>
    <row r="23685">
      <c r="H23685" s="8" t="s">
        <v>364</v>
      </c>
    </row>
    <row r="23686">
      <c r="H23686" s="8" t="s">
        <v>364</v>
      </c>
    </row>
    <row r="23687">
      <c r="H23687" s="8" t="s">
        <v>364</v>
      </c>
    </row>
    <row r="23688">
      <c r="H23688" s="8" t="s">
        <v>364</v>
      </c>
    </row>
    <row r="23689">
      <c r="H23689" s="8" t="s">
        <v>364</v>
      </c>
    </row>
    <row r="23690">
      <c r="H23690" s="8" t="s">
        <v>364</v>
      </c>
    </row>
    <row r="23691">
      <c r="H23691" s="8" t="s">
        <v>364</v>
      </c>
    </row>
    <row r="23692">
      <c r="H23692" s="8" t="s">
        <v>364</v>
      </c>
    </row>
    <row r="23693">
      <c r="H23693" s="8" t="s">
        <v>364</v>
      </c>
    </row>
    <row r="23694">
      <c r="H23694" s="8" t="s">
        <v>364</v>
      </c>
    </row>
    <row r="23695">
      <c r="H23695" s="8" t="s">
        <v>364</v>
      </c>
    </row>
    <row r="23696">
      <c r="H23696" s="8" t="s">
        <v>364</v>
      </c>
    </row>
    <row r="23697">
      <c r="H23697" s="8" t="s">
        <v>364</v>
      </c>
    </row>
    <row r="23698">
      <c r="H23698" s="8" t="s">
        <v>364</v>
      </c>
    </row>
    <row r="23699">
      <c r="H23699" s="8" t="s">
        <v>364</v>
      </c>
    </row>
    <row r="23700">
      <c r="H23700" s="8" t="s">
        <v>364</v>
      </c>
    </row>
    <row r="23701">
      <c r="H23701" s="8" t="s">
        <v>364</v>
      </c>
    </row>
    <row r="23702">
      <c r="H23702" s="8" t="s">
        <v>364</v>
      </c>
    </row>
    <row r="23703">
      <c r="H23703" s="8" t="s">
        <v>364</v>
      </c>
    </row>
    <row r="23704">
      <c r="H23704" s="8" t="s">
        <v>364</v>
      </c>
    </row>
    <row r="23705">
      <c r="H23705" s="8" t="s">
        <v>364</v>
      </c>
    </row>
    <row r="23706">
      <c r="H23706" s="8" t="s">
        <v>364</v>
      </c>
    </row>
    <row r="23707">
      <c r="H23707" s="8" t="s">
        <v>364</v>
      </c>
    </row>
    <row r="23708">
      <c r="H23708" s="8" t="s">
        <v>364</v>
      </c>
    </row>
    <row r="23709">
      <c r="H23709" s="8" t="s">
        <v>364</v>
      </c>
    </row>
    <row r="23710">
      <c r="H23710" s="8" t="s">
        <v>364</v>
      </c>
    </row>
    <row r="23711">
      <c r="H23711" s="8" t="s">
        <v>364</v>
      </c>
    </row>
    <row r="23712">
      <c r="H23712" s="8" t="s">
        <v>364</v>
      </c>
    </row>
    <row r="23713">
      <c r="H23713" s="8" t="s">
        <v>364</v>
      </c>
    </row>
    <row r="23714">
      <c r="H23714" s="8" t="s">
        <v>364</v>
      </c>
    </row>
    <row r="23715">
      <c r="H23715" s="8" t="s">
        <v>364</v>
      </c>
    </row>
    <row r="23716">
      <c r="H23716" s="8" t="s">
        <v>364</v>
      </c>
    </row>
    <row r="23717">
      <c r="H23717" s="8" t="s">
        <v>364</v>
      </c>
    </row>
    <row r="23718">
      <c r="H23718" s="8" t="s">
        <v>364</v>
      </c>
    </row>
    <row r="23719">
      <c r="H23719" s="8" t="s">
        <v>364</v>
      </c>
    </row>
    <row r="23720">
      <c r="H23720" s="8" t="s">
        <v>364</v>
      </c>
    </row>
    <row r="23721">
      <c r="H23721" s="8" t="s">
        <v>364</v>
      </c>
    </row>
    <row r="23722">
      <c r="H23722" s="8" t="s">
        <v>364</v>
      </c>
    </row>
    <row r="23723">
      <c r="H23723" s="8" t="s">
        <v>364</v>
      </c>
    </row>
    <row r="23724">
      <c r="H23724" s="8" t="s">
        <v>364</v>
      </c>
    </row>
    <row r="23725">
      <c r="H23725" s="8" t="s">
        <v>364</v>
      </c>
    </row>
    <row r="23726">
      <c r="H23726" s="8" t="s">
        <v>364</v>
      </c>
    </row>
    <row r="23727">
      <c r="H23727" s="8" t="s">
        <v>364</v>
      </c>
    </row>
    <row r="23728">
      <c r="H23728" s="8" t="s">
        <v>364</v>
      </c>
    </row>
    <row r="23729">
      <c r="H23729" s="8" t="s">
        <v>364</v>
      </c>
    </row>
    <row r="23730">
      <c r="H23730" s="8" t="s">
        <v>364</v>
      </c>
    </row>
    <row r="23731">
      <c r="H23731" s="8" t="s">
        <v>364</v>
      </c>
    </row>
    <row r="23732">
      <c r="H23732" s="8" t="s">
        <v>364</v>
      </c>
    </row>
    <row r="23733">
      <c r="H23733" s="8" t="s">
        <v>364</v>
      </c>
    </row>
    <row r="23734">
      <c r="H23734" s="8" t="s">
        <v>364</v>
      </c>
    </row>
    <row r="23735">
      <c r="H23735" s="8" t="s">
        <v>364</v>
      </c>
    </row>
    <row r="23736">
      <c r="H23736" s="8" t="s">
        <v>364</v>
      </c>
    </row>
    <row r="23737">
      <c r="H23737" s="8" t="s">
        <v>364</v>
      </c>
    </row>
    <row r="23738">
      <c r="H23738" s="8" t="s">
        <v>364</v>
      </c>
    </row>
    <row r="23739">
      <c r="H23739" s="8" t="s">
        <v>364</v>
      </c>
    </row>
    <row r="23740">
      <c r="H23740" s="8" t="s">
        <v>364</v>
      </c>
    </row>
    <row r="23741">
      <c r="H23741" s="8" t="s">
        <v>364</v>
      </c>
    </row>
    <row r="23742">
      <c r="H23742" s="8" t="s">
        <v>364</v>
      </c>
    </row>
    <row r="23743">
      <c r="H23743" s="8" t="s">
        <v>364</v>
      </c>
    </row>
    <row r="23744">
      <c r="H23744" s="8" t="s">
        <v>364</v>
      </c>
    </row>
    <row r="23745">
      <c r="H23745" s="8" t="s">
        <v>364</v>
      </c>
    </row>
    <row r="23746">
      <c r="H23746" s="8" t="s">
        <v>364</v>
      </c>
    </row>
    <row r="23747">
      <c r="H23747" s="8" t="s">
        <v>364</v>
      </c>
    </row>
    <row r="23748">
      <c r="H23748" s="8" t="s">
        <v>364</v>
      </c>
    </row>
    <row r="23749">
      <c r="H23749" s="8" t="s">
        <v>364</v>
      </c>
    </row>
    <row r="23750">
      <c r="H23750" s="8" t="s">
        <v>364</v>
      </c>
    </row>
    <row r="23751">
      <c r="H23751" s="8" t="s">
        <v>364</v>
      </c>
    </row>
    <row r="23752">
      <c r="H23752" s="8" t="s">
        <v>364</v>
      </c>
    </row>
    <row r="23753">
      <c r="H23753" s="8" t="s">
        <v>364</v>
      </c>
    </row>
    <row r="23754">
      <c r="H23754" s="8" t="s">
        <v>364</v>
      </c>
    </row>
    <row r="23755">
      <c r="H23755" s="8" t="s">
        <v>364</v>
      </c>
    </row>
    <row r="23756">
      <c r="H23756" s="8" t="s">
        <v>364</v>
      </c>
    </row>
    <row r="23757">
      <c r="H23757" s="8" t="s">
        <v>364</v>
      </c>
    </row>
    <row r="23758">
      <c r="H23758" s="8" t="s">
        <v>364</v>
      </c>
    </row>
    <row r="23759">
      <c r="H23759" s="8" t="s">
        <v>364</v>
      </c>
    </row>
    <row r="23760">
      <c r="H23760" s="8" t="s">
        <v>364</v>
      </c>
    </row>
    <row r="23761">
      <c r="H23761" s="8" t="s">
        <v>364</v>
      </c>
    </row>
    <row r="23762">
      <c r="H23762" s="8" t="s">
        <v>364</v>
      </c>
    </row>
    <row r="23763">
      <c r="H23763" s="8" t="s">
        <v>364</v>
      </c>
    </row>
    <row r="23764">
      <c r="H23764" s="8" t="s">
        <v>364</v>
      </c>
    </row>
    <row r="23765">
      <c r="H23765" s="8" t="s">
        <v>364</v>
      </c>
    </row>
    <row r="23766">
      <c r="H23766" s="8" t="s">
        <v>364</v>
      </c>
    </row>
    <row r="23767">
      <c r="H23767" s="8" t="s">
        <v>364</v>
      </c>
    </row>
    <row r="23768">
      <c r="H23768" s="8" t="s">
        <v>364</v>
      </c>
    </row>
    <row r="23769">
      <c r="H23769" s="8" t="s">
        <v>364</v>
      </c>
    </row>
    <row r="23770">
      <c r="H23770" s="8" t="s">
        <v>364</v>
      </c>
    </row>
    <row r="23771">
      <c r="H23771" s="8" t="s">
        <v>364</v>
      </c>
    </row>
    <row r="23772">
      <c r="H23772" s="8" t="s">
        <v>364</v>
      </c>
    </row>
    <row r="23773">
      <c r="H23773" s="8" t="s">
        <v>364</v>
      </c>
    </row>
    <row r="23774">
      <c r="H23774" s="8" t="s">
        <v>364</v>
      </c>
    </row>
    <row r="23775">
      <c r="H23775" s="8" t="s">
        <v>364</v>
      </c>
    </row>
    <row r="23776">
      <c r="H23776" s="8" t="s">
        <v>364</v>
      </c>
    </row>
    <row r="23777">
      <c r="H23777" s="8" t="s">
        <v>364</v>
      </c>
    </row>
    <row r="23778">
      <c r="H23778" s="8" t="s">
        <v>364</v>
      </c>
    </row>
    <row r="23779">
      <c r="H23779" s="8" t="s">
        <v>364</v>
      </c>
    </row>
    <row r="23780">
      <c r="H23780" s="8" t="s">
        <v>364</v>
      </c>
    </row>
    <row r="23781">
      <c r="H23781" s="8" t="s">
        <v>364</v>
      </c>
    </row>
    <row r="23782">
      <c r="H23782" s="8" t="s">
        <v>364</v>
      </c>
    </row>
    <row r="23783">
      <c r="H23783" s="8" t="s">
        <v>364</v>
      </c>
    </row>
    <row r="23784">
      <c r="H23784" s="8" t="s">
        <v>364</v>
      </c>
    </row>
    <row r="23785">
      <c r="H23785" s="8" t="s">
        <v>364</v>
      </c>
    </row>
    <row r="23786">
      <c r="H23786" s="8" t="s">
        <v>364</v>
      </c>
    </row>
    <row r="23787">
      <c r="H23787" s="8" t="s">
        <v>364</v>
      </c>
    </row>
    <row r="23788">
      <c r="H23788" s="8" t="s">
        <v>364</v>
      </c>
    </row>
    <row r="23789">
      <c r="H23789" s="8" t="s">
        <v>364</v>
      </c>
    </row>
    <row r="23790">
      <c r="H23790" s="8" t="s">
        <v>364</v>
      </c>
    </row>
    <row r="23791">
      <c r="H23791" s="8" t="s">
        <v>364</v>
      </c>
    </row>
    <row r="23792">
      <c r="H23792" s="8" t="s">
        <v>364</v>
      </c>
    </row>
    <row r="23793">
      <c r="H23793" s="8" t="s">
        <v>364</v>
      </c>
    </row>
    <row r="23794">
      <c r="H23794" s="8" t="s">
        <v>364</v>
      </c>
    </row>
    <row r="23795">
      <c r="H23795" s="8" t="s">
        <v>364</v>
      </c>
    </row>
    <row r="23796">
      <c r="H23796" s="8" t="s">
        <v>364</v>
      </c>
    </row>
    <row r="23797">
      <c r="H23797" s="8" t="s">
        <v>364</v>
      </c>
    </row>
    <row r="23798">
      <c r="H23798" s="8" t="s">
        <v>364</v>
      </c>
    </row>
    <row r="23799">
      <c r="H23799" s="8" t="s">
        <v>364</v>
      </c>
    </row>
    <row r="23800">
      <c r="H23800" s="8" t="s">
        <v>364</v>
      </c>
    </row>
    <row r="23801">
      <c r="H23801" s="8" t="s">
        <v>364</v>
      </c>
    </row>
    <row r="23802">
      <c r="H23802" s="8" t="s">
        <v>364</v>
      </c>
    </row>
    <row r="23803">
      <c r="H23803" s="8" t="s">
        <v>364</v>
      </c>
    </row>
    <row r="23804">
      <c r="H23804" s="8" t="s">
        <v>364</v>
      </c>
    </row>
    <row r="23805">
      <c r="H23805" s="8" t="s">
        <v>364</v>
      </c>
    </row>
    <row r="23806">
      <c r="H23806" s="8" t="s">
        <v>364</v>
      </c>
    </row>
    <row r="23807">
      <c r="H23807" s="8" t="s">
        <v>364</v>
      </c>
    </row>
    <row r="23808">
      <c r="H23808" s="8" t="s">
        <v>364</v>
      </c>
    </row>
    <row r="23809">
      <c r="H23809" s="8" t="s">
        <v>364</v>
      </c>
    </row>
    <row r="23810">
      <c r="H23810" s="8" t="s">
        <v>364</v>
      </c>
    </row>
    <row r="23811">
      <c r="H23811" s="8" t="s">
        <v>364</v>
      </c>
    </row>
    <row r="23812">
      <c r="H23812" s="8" t="s">
        <v>364</v>
      </c>
    </row>
    <row r="23813">
      <c r="H23813" s="8" t="s">
        <v>364</v>
      </c>
    </row>
    <row r="23814">
      <c r="H23814" s="8" t="s">
        <v>364</v>
      </c>
    </row>
    <row r="23815">
      <c r="H23815" s="8" t="s">
        <v>364</v>
      </c>
    </row>
    <row r="23816">
      <c r="H23816" s="8" t="s">
        <v>364</v>
      </c>
    </row>
    <row r="23817">
      <c r="H23817" s="8" t="s">
        <v>364</v>
      </c>
    </row>
    <row r="23818">
      <c r="H23818" s="8" t="s">
        <v>364</v>
      </c>
    </row>
    <row r="23819">
      <c r="H23819" s="8" t="s">
        <v>364</v>
      </c>
    </row>
    <row r="23820">
      <c r="H23820" s="8" t="s">
        <v>364</v>
      </c>
    </row>
    <row r="23821">
      <c r="H23821" s="8" t="s">
        <v>364</v>
      </c>
    </row>
    <row r="23822">
      <c r="H23822" s="8" t="s">
        <v>364</v>
      </c>
    </row>
    <row r="23823">
      <c r="H23823" s="8" t="s">
        <v>364</v>
      </c>
    </row>
    <row r="23824">
      <c r="H23824" s="8" t="s">
        <v>364</v>
      </c>
    </row>
    <row r="23825">
      <c r="H23825" s="8" t="s">
        <v>364</v>
      </c>
    </row>
    <row r="23826">
      <c r="H23826" s="8" t="s">
        <v>364</v>
      </c>
    </row>
    <row r="23827">
      <c r="H23827" s="8" t="s">
        <v>364</v>
      </c>
    </row>
    <row r="23828">
      <c r="H23828" s="8" t="s">
        <v>364</v>
      </c>
    </row>
    <row r="23829">
      <c r="H23829" s="8" t="s">
        <v>364</v>
      </c>
    </row>
    <row r="23830">
      <c r="H23830" s="8" t="s">
        <v>364</v>
      </c>
    </row>
    <row r="23831">
      <c r="H23831" s="8" t="s">
        <v>364</v>
      </c>
    </row>
    <row r="23832">
      <c r="H23832" s="8" t="s">
        <v>364</v>
      </c>
    </row>
    <row r="23833">
      <c r="H23833" s="8" t="s">
        <v>364</v>
      </c>
    </row>
    <row r="23834">
      <c r="H23834" s="8" t="s">
        <v>364</v>
      </c>
    </row>
    <row r="23835">
      <c r="H23835" s="8" t="s">
        <v>364</v>
      </c>
    </row>
    <row r="23836">
      <c r="H23836" s="8" t="s">
        <v>364</v>
      </c>
    </row>
    <row r="23837">
      <c r="H23837" s="8" t="s">
        <v>364</v>
      </c>
    </row>
    <row r="23838">
      <c r="H23838" s="8" t="s">
        <v>364</v>
      </c>
    </row>
    <row r="23839">
      <c r="H23839" s="8" t="s">
        <v>364</v>
      </c>
    </row>
    <row r="23840">
      <c r="H23840" s="8" t="s">
        <v>364</v>
      </c>
    </row>
    <row r="23841">
      <c r="H23841" s="8" t="s">
        <v>364</v>
      </c>
    </row>
    <row r="23842">
      <c r="H23842" s="8" t="s">
        <v>364</v>
      </c>
    </row>
    <row r="23843">
      <c r="H23843" s="8" t="s">
        <v>364</v>
      </c>
    </row>
    <row r="23844">
      <c r="H23844" s="8" t="s">
        <v>364</v>
      </c>
    </row>
    <row r="23845">
      <c r="H23845" s="8" t="s">
        <v>364</v>
      </c>
    </row>
    <row r="23846">
      <c r="H23846" s="8" t="s">
        <v>364</v>
      </c>
    </row>
    <row r="23847">
      <c r="H23847" s="8" t="s">
        <v>364</v>
      </c>
    </row>
    <row r="23848">
      <c r="H23848" s="8" t="s">
        <v>364</v>
      </c>
    </row>
    <row r="23849">
      <c r="H23849" s="8" t="s">
        <v>364</v>
      </c>
    </row>
    <row r="23850">
      <c r="H23850" s="8" t="s">
        <v>364</v>
      </c>
    </row>
    <row r="23851">
      <c r="H23851" s="8" t="s">
        <v>364</v>
      </c>
    </row>
    <row r="23852">
      <c r="H23852" s="8" t="s">
        <v>364</v>
      </c>
    </row>
    <row r="23853">
      <c r="H23853" s="8" t="s">
        <v>364</v>
      </c>
    </row>
    <row r="23854">
      <c r="H23854" s="8" t="s">
        <v>364</v>
      </c>
    </row>
    <row r="23855">
      <c r="H23855" s="8" t="s">
        <v>364</v>
      </c>
    </row>
    <row r="23856">
      <c r="H23856" s="8" t="s">
        <v>364</v>
      </c>
    </row>
    <row r="23857">
      <c r="H23857" s="8" t="s">
        <v>364</v>
      </c>
    </row>
    <row r="23858">
      <c r="H23858" s="8" t="s">
        <v>364</v>
      </c>
    </row>
    <row r="23859">
      <c r="H23859" s="8" t="s">
        <v>364</v>
      </c>
    </row>
    <row r="23860">
      <c r="H23860" s="8" t="s">
        <v>364</v>
      </c>
    </row>
    <row r="23861">
      <c r="H23861" s="8" t="s">
        <v>364</v>
      </c>
    </row>
    <row r="23862">
      <c r="H23862" s="8" t="s">
        <v>364</v>
      </c>
    </row>
    <row r="23863">
      <c r="H23863" s="8" t="s">
        <v>364</v>
      </c>
    </row>
    <row r="23864">
      <c r="H23864" s="8" t="s">
        <v>364</v>
      </c>
    </row>
    <row r="23865">
      <c r="H23865" s="8" t="s">
        <v>364</v>
      </c>
    </row>
    <row r="23866">
      <c r="H23866" s="8" t="s">
        <v>364</v>
      </c>
    </row>
    <row r="23867">
      <c r="H23867" s="8" t="s">
        <v>364</v>
      </c>
    </row>
    <row r="23868">
      <c r="H23868" s="8" t="s">
        <v>364</v>
      </c>
    </row>
    <row r="23869">
      <c r="H23869" s="8" t="s">
        <v>364</v>
      </c>
    </row>
    <row r="23870">
      <c r="H23870" s="8" t="s">
        <v>364</v>
      </c>
    </row>
    <row r="23871">
      <c r="H23871" s="8" t="s">
        <v>364</v>
      </c>
    </row>
    <row r="23872">
      <c r="H23872" s="8" t="s">
        <v>364</v>
      </c>
    </row>
    <row r="23873">
      <c r="H23873" s="8" t="s">
        <v>364</v>
      </c>
    </row>
    <row r="23874">
      <c r="H23874" s="8" t="s">
        <v>364</v>
      </c>
    </row>
    <row r="23875">
      <c r="H23875" s="8" t="s">
        <v>364</v>
      </c>
    </row>
    <row r="23876">
      <c r="H23876" s="8" t="s">
        <v>364</v>
      </c>
    </row>
    <row r="23877">
      <c r="H23877" s="8" t="s">
        <v>364</v>
      </c>
    </row>
    <row r="23878">
      <c r="H23878" s="8" t="s">
        <v>364</v>
      </c>
    </row>
    <row r="23879">
      <c r="H23879" s="8" t="s">
        <v>364</v>
      </c>
    </row>
    <row r="23880">
      <c r="H23880" s="8" t="s">
        <v>364</v>
      </c>
    </row>
    <row r="23881">
      <c r="H23881" s="8" t="s">
        <v>364</v>
      </c>
    </row>
    <row r="23882">
      <c r="H23882" s="8" t="s">
        <v>364</v>
      </c>
    </row>
    <row r="23883">
      <c r="H23883" s="8" t="s">
        <v>364</v>
      </c>
    </row>
    <row r="23884">
      <c r="H23884" s="8" t="s">
        <v>364</v>
      </c>
    </row>
    <row r="23885">
      <c r="H23885" s="8" t="s">
        <v>364</v>
      </c>
    </row>
    <row r="23886">
      <c r="H23886" s="8" t="s">
        <v>364</v>
      </c>
    </row>
    <row r="23887">
      <c r="H23887" s="8" t="s">
        <v>364</v>
      </c>
    </row>
    <row r="23888">
      <c r="H23888" s="8" t="s">
        <v>364</v>
      </c>
    </row>
    <row r="23889">
      <c r="H23889" s="8" t="s">
        <v>364</v>
      </c>
    </row>
    <row r="23890">
      <c r="H23890" s="8" t="s">
        <v>364</v>
      </c>
    </row>
    <row r="23891">
      <c r="H23891" s="8" t="s">
        <v>364</v>
      </c>
    </row>
    <row r="23892">
      <c r="H23892" s="8" t="s">
        <v>364</v>
      </c>
    </row>
    <row r="23893">
      <c r="H23893" s="8" t="s">
        <v>364</v>
      </c>
    </row>
    <row r="23894">
      <c r="H23894" s="8" t="s">
        <v>364</v>
      </c>
    </row>
    <row r="23895">
      <c r="H23895" s="8" t="s">
        <v>364</v>
      </c>
    </row>
    <row r="23896">
      <c r="H23896" s="8" t="s">
        <v>364</v>
      </c>
    </row>
    <row r="23897">
      <c r="H23897" s="8" t="s">
        <v>364</v>
      </c>
    </row>
    <row r="23898">
      <c r="H23898" s="8" t="s">
        <v>364</v>
      </c>
    </row>
    <row r="23899">
      <c r="H23899" s="8" t="s">
        <v>364</v>
      </c>
    </row>
    <row r="23900">
      <c r="H23900" s="8" t="s">
        <v>364</v>
      </c>
    </row>
    <row r="23901">
      <c r="H23901" s="8" t="s">
        <v>364</v>
      </c>
    </row>
    <row r="23902">
      <c r="H23902" s="8" t="s">
        <v>364</v>
      </c>
    </row>
    <row r="23903">
      <c r="H23903" s="8" t="s">
        <v>364</v>
      </c>
    </row>
    <row r="23904">
      <c r="H23904" s="8" t="s">
        <v>364</v>
      </c>
    </row>
    <row r="23905">
      <c r="H23905" s="8" t="s">
        <v>364</v>
      </c>
    </row>
    <row r="23906">
      <c r="H23906" s="8" t="s">
        <v>364</v>
      </c>
    </row>
    <row r="23907">
      <c r="H23907" s="8" t="s">
        <v>364</v>
      </c>
    </row>
    <row r="23908">
      <c r="H23908" s="8" t="s">
        <v>364</v>
      </c>
    </row>
    <row r="23909">
      <c r="H23909" s="8" t="s">
        <v>364</v>
      </c>
    </row>
    <row r="23910">
      <c r="H23910" s="8" t="s">
        <v>364</v>
      </c>
    </row>
    <row r="23911">
      <c r="H23911" s="8" t="s">
        <v>364</v>
      </c>
    </row>
    <row r="23912">
      <c r="H23912" s="8" t="s">
        <v>364</v>
      </c>
    </row>
    <row r="23913">
      <c r="H23913" s="8" t="s">
        <v>364</v>
      </c>
    </row>
    <row r="23914">
      <c r="H23914" s="8" t="s">
        <v>364</v>
      </c>
    </row>
    <row r="23915">
      <c r="H23915" s="8" t="s">
        <v>364</v>
      </c>
    </row>
    <row r="23916">
      <c r="H23916" s="8" t="s">
        <v>364</v>
      </c>
    </row>
    <row r="23917">
      <c r="H23917" s="8" t="s">
        <v>364</v>
      </c>
    </row>
    <row r="23918">
      <c r="H23918" s="8" t="s">
        <v>364</v>
      </c>
    </row>
    <row r="23919">
      <c r="H23919" s="8" t="s">
        <v>364</v>
      </c>
    </row>
    <row r="23920">
      <c r="H23920" s="8" t="s">
        <v>364</v>
      </c>
    </row>
    <row r="23921">
      <c r="H23921" s="8" t="s">
        <v>364</v>
      </c>
    </row>
    <row r="23922">
      <c r="H23922" s="8" t="s">
        <v>364</v>
      </c>
    </row>
    <row r="23923">
      <c r="H23923" s="8" t="s">
        <v>364</v>
      </c>
    </row>
    <row r="23924">
      <c r="H23924" s="8" t="s">
        <v>364</v>
      </c>
    </row>
    <row r="23925">
      <c r="H23925" s="8" t="s">
        <v>364</v>
      </c>
    </row>
    <row r="23926">
      <c r="H23926" s="8" t="s">
        <v>364</v>
      </c>
    </row>
    <row r="23927">
      <c r="H23927" s="8" t="s">
        <v>364</v>
      </c>
    </row>
    <row r="23928">
      <c r="H23928" s="8" t="s">
        <v>364</v>
      </c>
    </row>
    <row r="23929">
      <c r="H23929" s="8" t="s">
        <v>364</v>
      </c>
    </row>
    <row r="23930">
      <c r="H23930" s="8" t="s">
        <v>364</v>
      </c>
    </row>
    <row r="23931">
      <c r="H23931" s="8" t="s">
        <v>364</v>
      </c>
    </row>
    <row r="23932">
      <c r="H23932" s="8" t="s">
        <v>364</v>
      </c>
    </row>
    <row r="23933">
      <c r="H23933" s="8" t="s">
        <v>364</v>
      </c>
    </row>
    <row r="23934">
      <c r="H23934" s="8" t="s">
        <v>364</v>
      </c>
    </row>
    <row r="23935">
      <c r="H23935" s="8" t="s">
        <v>364</v>
      </c>
    </row>
    <row r="23936">
      <c r="H23936" s="8" t="s">
        <v>364</v>
      </c>
    </row>
    <row r="23937">
      <c r="H23937" s="8" t="s">
        <v>364</v>
      </c>
    </row>
    <row r="23938">
      <c r="H23938" s="8" t="s">
        <v>364</v>
      </c>
    </row>
    <row r="23939">
      <c r="H23939" s="8" t="s">
        <v>364</v>
      </c>
    </row>
    <row r="23940">
      <c r="H23940" s="8" t="s">
        <v>364</v>
      </c>
    </row>
    <row r="23941">
      <c r="H23941" s="8" t="s">
        <v>364</v>
      </c>
    </row>
    <row r="23942">
      <c r="H23942" s="8" t="s">
        <v>364</v>
      </c>
    </row>
    <row r="23943">
      <c r="H23943" s="8" t="s">
        <v>364</v>
      </c>
    </row>
    <row r="23944">
      <c r="H23944" s="8" t="s">
        <v>364</v>
      </c>
    </row>
    <row r="23945">
      <c r="H23945" s="8" t="s">
        <v>364</v>
      </c>
    </row>
    <row r="23946">
      <c r="H23946" s="8" t="s">
        <v>364</v>
      </c>
    </row>
    <row r="23947">
      <c r="H23947" s="8" t="s">
        <v>364</v>
      </c>
    </row>
    <row r="23948">
      <c r="H23948" s="8" t="s">
        <v>364</v>
      </c>
    </row>
    <row r="23949">
      <c r="H23949" s="8" t="s">
        <v>364</v>
      </c>
    </row>
    <row r="23950">
      <c r="H23950" s="8" t="s">
        <v>364</v>
      </c>
    </row>
    <row r="23951">
      <c r="H23951" s="8" t="s">
        <v>364</v>
      </c>
    </row>
    <row r="23952">
      <c r="H23952" s="8" t="s">
        <v>364</v>
      </c>
    </row>
    <row r="23953">
      <c r="H23953" s="8" t="s">
        <v>364</v>
      </c>
    </row>
    <row r="23954">
      <c r="H23954" s="8" t="s">
        <v>364</v>
      </c>
    </row>
    <row r="23955">
      <c r="H23955" s="8" t="s">
        <v>364</v>
      </c>
    </row>
    <row r="23956">
      <c r="H23956" s="8" t="s">
        <v>364</v>
      </c>
    </row>
    <row r="23957">
      <c r="H23957" s="8" t="s">
        <v>364</v>
      </c>
    </row>
    <row r="23958">
      <c r="H23958" s="8" t="s">
        <v>364</v>
      </c>
    </row>
    <row r="23959">
      <c r="H23959" s="8" t="s">
        <v>364</v>
      </c>
    </row>
    <row r="23960">
      <c r="H23960" s="8" t="s">
        <v>364</v>
      </c>
    </row>
    <row r="23961">
      <c r="H23961" s="8" t="s">
        <v>364</v>
      </c>
    </row>
    <row r="23962">
      <c r="H23962" s="8" t="s">
        <v>364</v>
      </c>
    </row>
    <row r="23963">
      <c r="H23963" s="8" t="s">
        <v>364</v>
      </c>
    </row>
    <row r="23964">
      <c r="H23964" s="8" t="s">
        <v>364</v>
      </c>
    </row>
    <row r="23965">
      <c r="H23965" s="8" t="s">
        <v>364</v>
      </c>
    </row>
    <row r="23966">
      <c r="H23966" s="8" t="s">
        <v>364</v>
      </c>
    </row>
    <row r="23967">
      <c r="H23967" s="8" t="s">
        <v>364</v>
      </c>
    </row>
    <row r="23968">
      <c r="H23968" s="8" t="s">
        <v>364</v>
      </c>
    </row>
    <row r="23969">
      <c r="H23969" s="8" t="s">
        <v>364</v>
      </c>
    </row>
    <row r="23970">
      <c r="H23970" s="8" t="s">
        <v>364</v>
      </c>
    </row>
    <row r="23971">
      <c r="H23971" s="8" t="s">
        <v>364</v>
      </c>
    </row>
    <row r="23972">
      <c r="H23972" s="8" t="s">
        <v>364</v>
      </c>
    </row>
    <row r="23973">
      <c r="H23973" s="8" t="s">
        <v>364</v>
      </c>
    </row>
    <row r="23974">
      <c r="H23974" s="8" t="s">
        <v>364</v>
      </c>
    </row>
    <row r="23975">
      <c r="H23975" s="8" t="s">
        <v>364</v>
      </c>
    </row>
    <row r="23976">
      <c r="H23976" s="8" t="s">
        <v>364</v>
      </c>
    </row>
    <row r="23977">
      <c r="H23977" s="8" t="s">
        <v>364</v>
      </c>
    </row>
    <row r="23978">
      <c r="H23978" s="8" t="s">
        <v>364</v>
      </c>
    </row>
    <row r="23979">
      <c r="H23979" s="8" t="s">
        <v>364</v>
      </c>
    </row>
    <row r="23980">
      <c r="H23980" s="8" t="s">
        <v>364</v>
      </c>
    </row>
    <row r="23981">
      <c r="H23981" s="8" t="s">
        <v>364</v>
      </c>
    </row>
    <row r="23982">
      <c r="H23982" s="8" t="s">
        <v>364</v>
      </c>
    </row>
    <row r="23983">
      <c r="H23983" s="8" t="s">
        <v>364</v>
      </c>
    </row>
    <row r="23984">
      <c r="H23984" s="8" t="s">
        <v>364</v>
      </c>
    </row>
    <row r="23985">
      <c r="H23985" s="8" t="s">
        <v>364</v>
      </c>
    </row>
    <row r="23986">
      <c r="H23986" s="8" t="s">
        <v>364</v>
      </c>
    </row>
    <row r="23987">
      <c r="H23987" s="8" t="s">
        <v>364</v>
      </c>
    </row>
    <row r="23988">
      <c r="H23988" s="8" t="s">
        <v>364</v>
      </c>
    </row>
    <row r="23989">
      <c r="H23989" s="8" t="s">
        <v>364</v>
      </c>
    </row>
    <row r="23990">
      <c r="H23990" s="8" t="s">
        <v>364</v>
      </c>
    </row>
    <row r="23991">
      <c r="H23991" s="8" t="s">
        <v>364</v>
      </c>
    </row>
    <row r="23992">
      <c r="H23992" s="8" t="s">
        <v>364</v>
      </c>
    </row>
    <row r="23993">
      <c r="H23993" s="8" t="s">
        <v>364</v>
      </c>
    </row>
    <row r="23994">
      <c r="H23994" s="8" t="s">
        <v>364</v>
      </c>
    </row>
    <row r="23995">
      <c r="H23995" s="8" t="s">
        <v>364</v>
      </c>
    </row>
    <row r="23996">
      <c r="H23996" s="8" t="s">
        <v>364</v>
      </c>
    </row>
    <row r="23997">
      <c r="H23997" s="8" t="s">
        <v>364</v>
      </c>
    </row>
    <row r="23998">
      <c r="H23998" s="8" t="s">
        <v>364</v>
      </c>
    </row>
    <row r="23999">
      <c r="H23999" s="8" t="s">
        <v>364</v>
      </c>
    </row>
    <row r="24000">
      <c r="H24000" s="8" t="s">
        <v>364</v>
      </c>
    </row>
    <row r="24001">
      <c r="H24001" s="8" t="s">
        <v>364</v>
      </c>
    </row>
    <row r="24002">
      <c r="H24002" s="8" t="s">
        <v>364</v>
      </c>
    </row>
    <row r="24003">
      <c r="H24003" s="8" t="s">
        <v>364</v>
      </c>
    </row>
    <row r="24004">
      <c r="H24004" s="8" t="s">
        <v>364</v>
      </c>
    </row>
    <row r="24005">
      <c r="H24005" s="8" t="s">
        <v>364</v>
      </c>
    </row>
    <row r="24006">
      <c r="H24006" s="8" t="s">
        <v>364</v>
      </c>
    </row>
    <row r="24007">
      <c r="H24007" s="8" t="s">
        <v>364</v>
      </c>
    </row>
    <row r="24008">
      <c r="H24008" s="8" t="s">
        <v>364</v>
      </c>
    </row>
    <row r="24009">
      <c r="H24009" s="8" t="s">
        <v>364</v>
      </c>
    </row>
    <row r="24010">
      <c r="H24010" s="8" t="s">
        <v>364</v>
      </c>
    </row>
    <row r="24011">
      <c r="H24011" s="8" t="s">
        <v>364</v>
      </c>
    </row>
    <row r="24012">
      <c r="H24012" s="8" t="s">
        <v>364</v>
      </c>
    </row>
    <row r="24013">
      <c r="H24013" s="8" t="s">
        <v>364</v>
      </c>
    </row>
    <row r="24014">
      <c r="H24014" s="8" t="s">
        <v>364</v>
      </c>
    </row>
    <row r="24015">
      <c r="H24015" s="8" t="s">
        <v>364</v>
      </c>
    </row>
    <row r="24016">
      <c r="H24016" s="8" t="s">
        <v>364</v>
      </c>
    </row>
    <row r="24017">
      <c r="H24017" s="8" t="s">
        <v>364</v>
      </c>
    </row>
    <row r="24018">
      <c r="H24018" s="8" t="s">
        <v>364</v>
      </c>
    </row>
    <row r="24019">
      <c r="H24019" s="8" t="s">
        <v>364</v>
      </c>
    </row>
    <row r="24020">
      <c r="H24020" s="8" t="s">
        <v>364</v>
      </c>
    </row>
    <row r="24021">
      <c r="H24021" s="8" t="s">
        <v>364</v>
      </c>
    </row>
    <row r="24022">
      <c r="H24022" s="8" t="s">
        <v>364</v>
      </c>
    </row>
    <row r="24023">
      <c r="H24023" s="8" t="s">
        <v>364</v>
      </c>
    </row>
    <row r="24024">
      <c r="H24024" s="8" t="s">
        <v>364</v>
      </c>
    </row>
    <row r="24025">
      <c r="H24025" s="8" t="s">
        <v>364</v>
      </c>
    </row>
    <row r="24026">
      <c r="H24026" s="8" t="s">
        <v>364</v>
      </c>
    </row>
    <row r="24027">
      <c r="H24027" s="8" t="s">
        <v>364</v>
      </c>
    </row>
    <row r="24028">
      <c r="H24028" s="8" t="s">
        <v>364</v>
      </c>
    </row>
    <row r="24029">
      <c r="H24029" s="8" t="s">
        <v>364</v>
      </c>
    </row>
    <row r="24030">
      <c r="H24030" s="8" t="s">
        <v>364</v>
      </c>
    </row>
    <row r="24031">
      <c r="H24031" s="8" t="s">
        <v>364</v>
      </c>
    </row>
    <row r="24032">
      <c r="H24032" s="8" t="s">
        <v>364</v>
      </c>
    </row>
    <row r="24033">
      <c r="H24033" s="8" t="s">
        <v>364</v>
      </c>
    </row>
    <row r="24034">
      <c r="H24034" s="8" t="s">
        <v>364</v>
      </c>
    </row>
    <row r="24035">
      <c r="H24035" s="8" t="s">
        <v>364</v>
      </c>
    </row>
    <row r="24036">
      <c r="H24036" s="8" t="s">
        <v>364</v>
      </c>
    </row>
    <row r="24037">
      <c r="H24037" s="8" t="s">
        <v>364</v>
      </c>
    </row>
    <row r="24038">
      <c r="H24038" s="8" t="s">
        <v>364</v>
      </c>
    </row>
    <row r="24039">
      <c r="H24039" s="8" t="s">
        <v>364</v>
      </c>
    </row>
    <row r="24040">
      <c r="H24040" s="8" t="s">
        <v>364</v>
      </c>
    </row>
    <row r="24041">
      <c r="H24041" s="8" t="s">
        <v>364</v>
      </c>
    </row>
    <row r="24042">
      <c r="H24042" s="8" t="s">
        <v>364</v>
      </c>
    </row>
    <row r="24043">
      <c r="H24043" s="8" t="s">
        <v>364</v>
      </c>
    </row>
    <row r="24044">
      <c r="H24044" s="8" t="s">
        <v>364</v>
      </c>
    </row>
    <row r="24045">
      <c r="H24045" s="8" t="s">
        <v>364</v>
      </c>
    </row>
    <row r="24046">
      <c r="H24046" s="8" t="s">
        <v>364</v>
      </c>
    </row>
    <row r="24047">
      <c r="H24047" s="8" t="s">
        <v>364</v>
      </c>
    </row>
    <row r="24048">
      <c r="H24048" s="8" t="s">
        <v>364</v>
      </c>
    </row>
    <row r="24049">
      <c r="H24049" s="8" t="s">
        <v>364</v>
      </c>
    </row>
    <row r="24050">
      <c r="H24050" s="8" t="s">
        <v>364</v>
      </c>
    </row>
    <row r="24051">
      <c r="H24051" s="8" t="s">
        <v>364</v>
      </c>
    </row>
    <row r="24052">
      <c r="H24052" s="8" t="s">
        <v>364</v>
      </c>
    </row>
    <row r="24053">
      <c r="H24053" s="8" t="s">
        <v>364</v>
      </c>
    </row>
    <row r="24054">
      <c r="H24054" s="8" t="s">
        <v>364</v>
      </c>
    </row>
    <row r="24055">
      <c r="H24055" s="8" t="s">
        <v>364</v>
      </c>
    </row>
    <row r="24056">
      <c r="H24056" s="8" t="s">
        <v>364</v>
      </c>
    </row>
    <row r="24057">
      <c r="H24057" s="8" t="s">
        <v>364</v>
      </c>
    </row>
    <row r="24058">
      <c r="H24058" s="8" t="s">
        <v>364</v>
      </c>
    </row>
    <row r="24059">
      <c r="H24059" s="8" t="s">
        <v>364</v>
      </c>
    </row>
    <row r="24060">
      <c r="H24060" s="8" t="s">
        <v>364</v>
      </c>
    </row>
    <row r="24061">
      <c r="H24061" s="8" t="s">
        <v>364</v>
      </c>
    </row>
    <row r="24062">
      <c r="H24062" s="8" t="s">
        <v>364</v>
      </c>
    </row>
    <row r="24063">
      <c r="H24063" s="8" t="s">
        <v>364</v>
      </c>
    </row>
    <row r="24064">
      <c r="H24064" s="8" t="s">
        <v>364</v>
      </c>
    </row>
    <row r="24065">
      <c r="H24065" s="8" t="s">
        <v>364</v>
      </c>
    </row>
    <row r="24066">
      <c r="H24066" s="8" t="s">
        <v>364</v>
      </c>
    </row>
    <row r="24067">
      <c r="H24067" s="8" t="s">
        <v>364</v>
      </c>
    </row>
    <row r="24068">
      <c r="H24068" s="8" t="s">
        <v>364</v>
      </c>
    </row>
    <row r="24069">
      <c r="H24069" s="8" t="s">
        <v>364</v>
      </c>
    </row>
    <row r="24070">
      <c r="H24070" s="8" t="s">
        <v>364</v>
      </c>
    </row>
    <row r="24071">
      <c r="H24071" s="8" t="s">
        <v>364</v>
      </c>
    </row>
    <row r="24072">
      <c r="H24072" s="8" t="s">
        <v>364</v>
      </c>
    </row>
    <row r="24073">
      <c r="H24073" s="8" t="s">
        <v>364</v>
      </c>
    </row>
    <row r="24074">
      <c r="H24074" s="8" t="s">
        <v>364</v>
      </c>
    </row>
    <row r="24075">
      <c r="H24075" s="8" t="s">
        <v>364</v>
      </c>
    </row>
    <row r="24076">
      <c r="H24076" s="8" t="s">
        <v>364</v>
      </c>
    </row>
    <row r="24077">
      <c r="H24077" s="8" t="s">
        <v>364</v>
      </c>
    </row>
    <row r="24078">
      <c r="H24078" s="8" t="s">
        <v>364</v>
      </c>
    </row>
    <row r="24079">
      <c r="H24079" s="8" t="s">
        <v>364</v>
      </c>
    </row>
    <row r="24080">
      <c r="H24080" s="8" t="s">
        <v>364</v>
      </c>
    </row>
    <row r="24081">
      <c r="H24081" s="8" t="s">
        <v>364</v>
      </c>
    </row>
    <row r="24082">
      <c r="H24082" s="8" t="s">
        <v>364</v>
      </c>
    </row>
    <row r="24083">
      <c r="H24083" s="8" t="s">
        <v>364</v>
      </c>
    </row>
    <row r="24084">
      <c r="H24084" s="8" t="s">
        <v>364</v>
      </c>
    </row>
    <row r="24085">
      <c r="H24085" s="8" t="s">
        <v>364</v>
      </c>
    </row>
    <row r="24086">
      <c r="H24086" s="8" t="s">
        <v>364</v>
      </c>
    </row>
    <row r="24087">
      <c r="H24087" s="8" t="s">
        <v>364</v>
      </c>
    </row>
    <row r="24088">
      <c r="H24088" s="8" t="s">
        <v>364</v>
      </c>
    </row>
    <row r="24089">
      <c r="H24089" s="8" t="s">
        <v>364</v>
      </c>
    </row>
    <row r="24090">
      <c r="H24090" s="8" t="s">
        <v>364</v>
      </c>
    </row>
    <row r="24091">
      <c r="H24091" s="8" t="s">
        <v>364</v>
      </c>
    </row>
    <row r="24092">
      <c r="H24092" s="8" t="s">
        <v>364</v>
      </c>
    </row>
    <row r="24093">
      <c r="H24093" s="8" t="s">
        <v>364</v>
      </c>
    </row>
    <row r="24094">
      <c r="H24094" s="8" t="s">
        <v>364</v>
      </c>
    </row>
    <row r="24095">
      <c r="H24095" s="8" t="s">
        <v>364</v>
      </c>
    </row>
    <row r="24096">
      <c r="H24096" s="8" t="s">
        <v>364</v>
      </c>
    </row>
    <row r="24097">
      <c r="H24097" s="8" t="s">
        <v>364</v>
      </c>
    </row>
    <row r="24098">
      <c r="H24098" s="8" t="s">
        <v>364</v>
      </c>
    </row>
    <row r="24099">
      <c r="H24099" s="8" t="s">
        <v>364</v>
      </c>
    </row>
    <row r="24100">
      <c r="H24100" s="8" t="s">
        <v>364</v>
      </c>
    </row>
    <row r="24101">
      <c r="H24101" s="8" t="s">
        <v>364</v>
      </c>
    </row>
    <row r="24102">
      <c r="H24102" s="8" t="s">
        <v>364</v>
      </c>
    </row>
    <row r="24103">
      <c r="H24103" s="8" t="s">
        <v>364</v>
      </c>
    </row>
    <row r="24104">
      <c r="H24104" s="8" t="s">
        <v>364</v>
      </c>
    </row>
    <row r="24105">
      <c r="H24105" s="8" t="s">
        <v>364</v>
      </c>
    </row>
    <row r="24106">
      <c r="H24106" s="8" t="s">
        <v>364</v>
      </c>
    </row>
    <row r="24107">
      <c r="H24107" s="8" t="s">
        <v>364</v>
      </c>
    </row>
    <row r="24108">
      <c r="H24108" s="8" t="s">
        <v>364</v>
      </c>
    </row>
    <row r="24109">
      <c r="H24109" s="8" t="s">
        <v>364</v>
      </c>
    </row>
    <row r="24110">
      <c r="H24110" s="8" t="s">
        <v>364</v>
      </c>
    </row>
    <row r="24111">
      <c r="H24111" s="8" t="s">
        <v>364</v>
      </c>
    </row>
    <row r="24112">
      <c r="H24112" s="8" t="s">
        <v>364</v>
      </c>
    </row>
    <row r="24113">
      <c r="H24113" s="8" t="s">
        <v>364</v>
      </c>
    </row>
    <row r="24114">
      <c r="H24114" s="8" t="s">
        <v>364</v>
      </c>
    </row>
    <row r="24115">
      <c r="H24115" s="8" t="s">
        <v>364</v>
      </c>
    </row>
    <row r="24116">
      <c r="H24116" s="8" t="s">
        <v>364</v>
      </c>
    </row>
    <row r="24117">
      <c r="H24117" s="8" t="s">
        <v>364</v>
      </c>
    </row>
    <row r="24118">
      <c r="H24118" s="8" t="s">
        <v>364</v>
      </c>
    </row>
    <row r="24119">
      <c r="H24119" s="8" t="s">
        <v>364</v>
      </c>
    </row>
    <row r="24120">
      <c r="H24120" s="8" t="s">
        <v>364</v>
      </c>
    </row>
    <row r="24121">
      <c r="H24121" s="8" t="s">
        <v>364</v>
      </c>
    </row>
    <row r="24122">
      <c r="H24122" s="8" t="s">
        <v>364</v>
      </c>
    </row>
    <row r="24123">
      <c r="H24123" s="8" t="s">
        <v>364</v>
      </c>
    </row>
    <row r="24124">
      <c r="H24124" s="8" t="s">
        <v>364</v>
      </c>
    </row>
    <row r="24125">
      <c r="H24125" s="8" t="s">
        <v>364</v>
      </c>
    </row>
    <row r="24126">
      <c r="H24126" s="8" t="s">
        <v>364</v>
      </c>
    </row>
    <row r="24127">
      <c r="H24127" s="8" t="s">
        <v>364</v>
      </c>
    </row>
    <row r="24128">
      <c r="H24128" s="8" t="s">
        <v>364</v>
      </c>
    </row>
    <row r="24129">
      <c r="H24129" s="8" t="s">
        <v>364</v>
      </c>
    </row>
    <row r="24130">
      <c r="H24130" s="8" t="s">
        <v>364</v>
      </c>
    </row>
    <row r="24131">
      <c r="H24131" s="8" t="s">
        <v>364</v>
      </c>
    </row>
    <row r="24132">
      <c r="H24132" s="8" t="s">
        <v>364</v>
      </c>
    </row>
    <row r="24133">
      <c r="H24133" s="8" t="s">
        <v>364</v>
      </c>
    </row>
    <row r="24134">
      <c r="H24134" s="8" t="s">
        <v>364</v>
      </c>
    </row>
    <row r="24135">
      <c r="H24135" s="8" t="s">
        <v>364</v>
      </c>
    </row>
    <row r="24136">
      <c r="H24136" s="8" t="s">
        <v>364</v>
      </c>
    </row>
    <row r="24137">
      <c r="H24137" s="8" t="s">
        <v>364</v>
      </c>
    </row>
    <row r="24138">
      <c r="H24138" s="8" t="s">
        <v>364</v>
      </c>
    </row>
    <row r="24139">
      <c r="H24139" s="8" t="s">
        <v>364</v>
      </c>
    </row>
    <row r="24140">
      <c r="H24140" s="8" t="s">
        <v>364</v>
      </c>
    </row>
    <row r="24141">
      <c r="H24141" s="8" t="s">
        <v>364</v>
      </c>
    </row>
    <row r="24142">
      <c r="H24142" s="8" t="s">
        <v>364</v>
      </c>
    </row>
    <row r="24143">
      <c r="H24143" s="8" t="s">
        <v>364</v>
      </c>
    </row>
    <row r="24144">
      <c r="H24144" s="8" t="s">
        <v>364</v>
      </c>
    </row>
    <row r="24145">
      <c r="H24145" s="8" t="s">
        <v>364</v>
      </c>
    </row>
    <row r="24146">
      <c r="H24146" s="8" t="s">
        <v>364</v>
      </c>
    </row>
    <row r="24147">
      <c r="H24147" s="8" t="s">
        <v>364</v>
      </c>
    </row>
    <row r="24148">
      <c r="H24148" s="8" t="s">
        <v>364</v>
      </c>
    </row>
    <row r="24149">
      <c r="H24149" s="8" t="s">
        <v>364</v>
      </c>
    </row>
    <row r="24150">
      <c r="H24150" s="8" t="s">
        <v>364</v>
      </c>
    </row>
    <row r="24151">
      <c r="H24151" s="8" t="s">
        <v>364</v>
      </c>
    </row>
    <row r="24152">
      <c r="H24152" s="8" t="s">
        <v>364</v>
      </c>
    </row>
    <row r="24153">
      <c r="H24153" s="8" t="s">
        <v>364</v>
      </c>
    </row>
    <row r="24154">
      <c r="H24154" s="8" t="s">
        <v>364</v>
      </c>
    </row>
    <row r="24155">
      <c r="H24155" s="8" t="s">
        <v>364</v>
      </c>
    </row>
    <row r="24156">
      <c r="H24156" s="8" t="s">
        <v>364</v>
      </c>
    </row>
    <row r="24157">
      <c r="H24157" s="8" t="s">
        <v>364</v>
      </c>
    </row>
    <row r="24158">
      <c r="H24158" s="8" t="s">
        <v>364</v>
      </c>
    </row>
    <row r="24159">
      <c r="H24159" s="8" t="s">
        <v>364</v>
      </c>
    </row>
    <row r="24160">
      <c r="H24160" s="8" t="s">
        <v>364</v>
      </c>
    </row>
    <row r="24161">
      <c r="H24161" s="8" t="s">
        <v>364</v>
      </c>
    </row>
    <row r="24162">
      <c r="H24162" s="8" t="s">
        <v>364</v>
      </c>
    </row>
    <row r="24163">
      <c r="H24163" s="8" t="s">
        <v>364</v>
      </c>
    </row>
    <row r="24164">
      <c r="H24164" s="8" t="s">
        <v>364</v>
      </c>
    </row>
    <row r="24165">
      <c r="H24165" s="8" t="s">
        <v>364</v>
      </c>
    </row>
    <row r="24166">
      <c r="H24166" s="8" t="s">
        <v>364</v>
      </c>
    </row>
    <row r="24167">
      <c r="H24167" s="8" t="s">
        <v>364</v>
      </c>
    </row>
    <row r="24168">
      <c r="H24168" s="8" t="s">
        <v>364</v>
      </c>
    </row>
    <row r="24169">
      <c r="H24169" s="8" t="s">
        <v>364</v>
      </c>
    </row>
    <row r="24170">
      <c r="H24170" s="8" t="s">
        <v>364</v>
      </c>
    </row>
    <row r="24171">
      <c r="H24171" s="8" t="s">
        <v>364</v>
      </c>
    </row>
    <row r="24172">
      <c r="H24172" s="8" t="s">
        <v>364</v>
      </c>
    </row>
    <row r="24173">
      <c r="H24173" s="8" t="s">
        <v>364</v>
      </c>
    </row>
    <row r="24174">
      <c r="H24174" s="8" t="s">
        <v>364</v>
      </c>
    </row>
    <row r="24175">
      <c r="H24175" s="8" t="s">
        <v>364</v>
      </c>
    </row>
    <row r="24176">
      <c r="H24176" s="8" t="s">
        <v>364</v>
      </c>
    </row>
    <row r="24177">
      <c r="H24177" s="8" t="s">
        <v>364</v>
      </c>
    </row>
    <row r="24178">
      <c r="H24178" s="8" t="s">
        <v>364</v>
      </c>
    </row>
    <row r="24179">
      <c r="H24179" s="8" t="s">
        <v>364</v>
      </c>
    </row>
    <row r="24180">
      <c r="H24180" s="8" t="s">
        <v>364</v>
      </c>
    </row>
    <row r="24181">
      <c r="H24181" s="8" t="s">
        <v>364</v>
      </c>
    </row>
    <row r="24182">
      <c r="H24182" s="8" t="s">
        <v>364</v>
      </c>
    </row>
    <row r="24183">
      <c r="H24183" s="8" t="s">
        <v>364</v>
      </c>
    </row>
    <row r="24184">
      <c r="H24184" s="8" t="s">
        <v>364</v>
      </c>
    </row>
    <row r="24185">
      <c r="H24185" s="8" t="s">
        <v>364</v>
      </c>
    </row>
    <row r="24186">
      <c r="H24186" s="8" t="s">
        <v>364</v>
      </c>
    </row>
    <row r="24187">
      <c r="H24187" s="8" t="s">
        <v>364</v>
      </c>
    </row>
    <row r="24188">
      <c r="H24188" s="8" t="s">
        <v>364</v>
      </c>
    </row>
    <row r="24189">
      <c r="H24189" s="8" t="s">
        <v>364</v>
      </c>
    </row>
    <row r="24190">
      <c r="H24190" s="8" t="s">
        <v>364</v>
      </c>
    </row>
    <row r="24191">
      <c r="H24191" s="8" t="s">
        <v>364</v>
      </c>
    </row>
    <row r="24192">
      <c r="H24192" s="8" t="s">
        <v>364</v>
      </c>
    </row>
    <row r="24193">
      <c r="H24193" s="8" t="s">
        <v>364</v>
      </c>
    </row>
    <row r="24194">
      <c r="H24194" s="8" t="s">
        <v>364</v>
      </c>
    </row>
    <row r="24195">
      <c r="H24195" s="8" t="s">
        <v>364</v>
      </c>
    </row>
    <row r="24196">
      <c r="H24196" s="8" t="s">
        <v>364</v>
      </c>
    </row>
    <row r="24197">
      <c r="H24197" s="8" t="s">
        <v>364</v>
      </c>
    </row>
    <row r="24198">
      <c r="H24198" s="8" t="s">
        <v>364</v>
      </c>
    </row>
    <row r="24199">
      <c r="H24199" s="8" t="s">
        <v>364</v>
      </c>
    </row>
    <row r="24200">
      <c r="H24200" s="8" t="s">
        <v>364</v>
      </c>
    </row>
    <row r="24201">
      <c r="H24201" s="8" t="s">
        <v>364</v>
      </c>
    </row>
    <row r="24202">
      <c r="H24202" s="8" t="s">
        <v>364</v>
      </c>
    </row>
    <row r="24203">
      <c r="H24203" s="8" t="s">
        <v>364</v>
      </c>
    </row>
    <row r="24204">
      <c r="H24204" s="8" t="s">
        <v>364</v>
      </c>
    </row>
    <row r="24205">
      <c r="H24205" s="8" t="s">
        <v>364</v>
      </c>
    </row>
    <row r="24206">
      <c r="H24206" s="8" t="s">
        <v>364</v>
      </c>
    </row>
    <row r="24207">
      <c r="H24207" s="8" t="s">
        <v>364</v>
      </c>
    </row>
    <row r="24208">
      <c r="H24208" s="8" t="s">
        <v>364</v>
      </c>
    </row>
    <row r="24209">
      <c r="H24209" s="8" t="s">
        <v>364</v>
      </c>
    </row>
    <row r="24210">
      <c r="H24210" s="8" t="s">
        <v>364</v>
      </c>
    </row>
    <row r="24211">
      <c r="H24211" s="8" t="s">
        <v>364</v>
      </c>
    </row>
    <row r="24212">
      <c r="H24212" s="8" t="s">
        <v>364</v>
      </c>
    </row>
    <row r="24213">
      <c r="H24213" s="8" t="s">
        <v>364</v>
      </c>
    </row>
    <row r="24214">
      <c r="H24214" s="8" t="s">
        <v>364</v>
      </c>
    </row>
    <row r="24215">
      <c r="H24215" s="8" t="s">
        <v>364</v>
      </c>
    </row>
    <row r="24216">
      <c r="H24216" s="8" t="s">
        <v>364</v>
      </c>
    </row>
    <row r="24217">
      <c r="H24217" s="8" t="s">
        <v>364</v>
      </c>
    </row>
    <row r="24218">
      <c r="H24218" s="8" t="s">
        <v>364</v>
      </c>
    </row>
    <row r="24219">
      <c r="H24219" s="8" t="s">
        <v>364</v>
      </c>
    </row>
    <row r="24220">
      <c r="H24220" s="8" t="s">
        <v>364</v>
      </c>
    </row>
    <row r="24221">
      <c r="H24221" s="8" t="s">
        <v>364</v>
      </c>
    </row>
    <row r="24222">
      <c r="H24222" s="8" t="s">
        <v>364</v>
      </c>
    </row>
    <row r="24223">
      <c r="H24223" s="8" t="s">
        <v>364</v>
      </c>
    </row>
    <row r="24224">
      <c r="H24224" s="8" t="s">
        <v>364</v>
      </c>
    </row>
    <row r="24225">
      <c r="H24225" s="8" t="s">
        <v>364</v>
      </c>
    </row>
    <row r="24226">
      <c r="H24226" s="8" t="s">
        <v>364</v>
      </c>
    </row>
    <row r="24227">
      <c r="H24227" s="8" t="s">
        <v>364</v>
      </c>
    </row>
    <row r="24228">
      <c r="H24228" s="8" t="s">
        <v>364</v>
      </c>
    </row>
    <row r="24229">
      <c r="H24229" s="8" t="s">
        <v>364</v>
      </c>
    </row>
    <row r="24230">
      <c r="H24230" s="8" t="s">
        <v>364</v>
      </c>
    </row>
    <row r="24231">
      <c r="H24231" s="8" t="s">
        <v>364</v>
      </c>
    </row>
    <row r="24232">
      <c r="H24232" s="8" t="s">
        <v>364</v>
      </c>
    </row>
    <row r="24233">
      <c r="H24233" s="8" t="s">
        <v>364</v>
      </c>
    </row>
    <row r="24234">
      <c r="H24234" s="8" t="s">
        <v>364</v>
      </c>
    </row>
    <row r="24235">
      <c r="H24235" s="8" t="s">
        <v>364</v>
      </c>
    </row>
    <row r="24236">
      <c r="H24236" s="8" t="s">
        <v>364</v>
      </c>
    </row>
    <row r="24237">
      <c r="H24237" s="8" t="s">
        <v>364</v>
      </c>
    </row>
    <row r="24238">
      <c r="H24238" s="8" t="s">
        <v>364</v>
      </c>
    </row>
    <row r="24239">
      <c r="H24239" s="8" t="s">
        <v>364</v>
      </c>
    </row>
    <row r="24240">
      <c r="H24240" s="8" t="s">
        <v>364</v>
      </c>
    </row>
    <row r="24241">
      <c r="H24241" s="8" t="s">
        <v>364</v>
      </c>
    </row>
    <row r="24242">
      <c r="H24242" s="8" t="s">
        <v>364</v>
      </c>
    </row>
    <row r="24243">
      <c r="H24243" s="8" t="s">
        <v>364</v>
      </c>
    </row>
    <row r="24244">
      <c r="H24244" s="8" t="s">
        <v>364</v>
      </c>
    </row>
    <row r="24245">
      <c r="H24245" s="8" t="s">
        <v>364</v>
      </c>
    </row>
    <row r="24246">
      <c r="H24246" s="8" t="s">
        <v>364</v>
      </c>
    </row>
    <row r="24247">
      <c r="H24247" s="8" t="s">
        <v>364</v>
      </c>
    </row>
    <row r="24248">
      <c r="H24248" s="8" t="s">
        <v>364</v>
      </c>
    </row>
    <row r="24249">
      <c r="H24249" s="8" t="s">
        <v>364</v>
      </c>
    </row>
    <row r="24250">
      <c r="H24250" s="8" t="s">
        <v>364</v>
      </c>
    </row>
    <row r="24251">
      <c r="H24251" s="8" t="s">
        <v>364</v>
      </c>
    </row>
    <row r="24252">
      <c r="H24252" s="8" t="s">
        <v>364</v>
      </c>
    </row>
    <row r="24253">
      <c r="H24253" s="8" t="s">
        <v>364</v>
      </c>
    </row>
    <row r="24254">
      <c r="H24254" s="8" t="s">
        <v>364</v>
      </c>
    </row>
    <row r="24255">
      <c r="H24255" s="8" t="s">
        <v>364</v>
      </c>
    </row>
    <row r="24256">
      <c r="H24256" s="8" t="s">
        <v>364</v>
      </c>
    </row>
    <row r="24257">
      <c r="H24257" s="8" t="s">
        <v>364</v>
      </c>
    </row>
    <row r="24258">
      <c r="H24258" s="8" t="s">
        <v>364</v>
      </c>
    </row>
    <row r="24259">
      <c r="H24259" s="8" t="s">
        <v>364</v>
      </c>
    </row>
    <row r="24260">
      <c r="H24260" s="8" t="s">
        <v>364</v>
      </c>
    </row>
    <row r="24261">
      <c r="H24261" s="8" t="s">
        <v>364</v>
      </c>
    </row>
    <row r="24262">
      <c r="H24262" s="8" t="s">
        <v>364</v>
      </c>
    </row>
    <row r="24263">
      <c r="H24263" s="8" t="s">
        <v>364</v>
      </c>
    </row>
    <row r="24264">
      <c r="H24264" s="8" t="s">
        <v>364</v>
      </c>
    </row>
    <row r="24265">
      <c r="H24265" s="8" t="s">
        <v>364</v>
      </c>
    </row>
    <row r="24266">
      <c r="H24266" s="8" t="s">
        <v>364</v>
      </c>
    </row>
    <row r="24267">
      <c r="H24267" s="8" t="s">
        <v>364</v>
      </c>
    </row>
    <row r="24268">
      <c r="H24268" s="8" t="s">
        <v>364</v>
      </c>
    </row>
    <row r="24269">
      <c r="H24269" s="8" t="s">
        <v>364</v>
      </c>
    </row>
    <row r="24270">
      <c r="H24270" s="8" t="s">
        <v>364</v>
      </c>
    </row>
    <row r="24271">
      <c r="H24271" s="8" t="s">
        <v>364</v>
      </c>
    </row>
    <row r="24272">
      <c r="H24272" s="8" t="s">
        <v>364</v>
      </c>
    </row>
    <row r="24273">
      <c r="H24273" s="8" t="s">
        <v>364</v>
      </c>
    </row>
    <row r="24274">
      <c r="H24274" s="8" t="s">
        <v>364</v>
      </c>
    </row>
    <row r="24275">
      <c r="H24275" s="8" t="s">
        <v>364</v>
      </c>
    </row>
    <row r="24276">
      <c r="H24276" s="8" t="s">
        <v>364</v>
      </c>
    </row>
    <row r="24277">
      <c r="H24277" s="8" t="s">
        <v>364</v>
      </c>
    </row>
    <row r="24278">
      <c r="H24278" s="8" t="s">
        <v>364</v>
      </c>
    </row>
    <row r="24279">
      <c r="H24279" s="8" t="s">
        <v>364</v>
      </c>
    </row>
    <row r="24280">
      <c r="H24280" s="8" t="s">
        <v>364</v>
      </c>
    </row>
    <row r="24281">
      <c r="H24281" s="8" t="s">
        <v>364</v>
      </c>
    </row>
    <row r="24282">
      <c r="H24282" s="8" t="s">
        <v>364</v>
      </c>
    </row>
    <row r="24283">
      <c r="H24283" s="8" t="s">
        <v>364</v>
      </c>
    </row>
    <row r="24284">
      <c r="H24284" s="8" t="s">
        <v>364</v>
      </c>
    </row>
    <row r="24285">
      <c r="H24285" s="8" t="s">
        <v>364</v>
      </c>
    </row>
    <row r="24286">
      <c r="H24286" s="8" t="s">
        <v>364</v>
      </c>
    </row>
    <row r="24287">
      <c r="H24287" s="8" t="s">
        <v>364</v>
      </c>
    </row>
    <row r="24288">
      <c r="H24288" s="8" t="s">
        <v>364</v>
      </c>
    </row>
    <row r="24289">
      <c r="H24289" s="8" t="s">
        <v>364</v>
      </c>
    </row>
    <row r="24290">
      <c r="H24290" s="8" t="s">
        <v>364</v>
      </c>
    </row>
    <row r="24291">
      <c r="H24291" s="8" t="s">
        <v>364</v>
      </c>
    </row>
    <row r="24292">
      <c r="H24292" s="8" t="s">
        <v>364</v>
      </c>
    </row>
    <row r="24293">
      <c r="H24293" s="8" t="s">
        <v>364</v>
      </c>
    </row>
    <row r="24294">
      <c r="H24294" s="8" t="s">
        <v>364</v>
      </c>
    </row>
    <row r="24295">
      <c r="H24295" s="8" t="s">
        <v>364</v>
      </c>
    </row>
    <row r="24296">
      <c r="H24296" s="8" t="s">
        <v>364</v>
      </c>
    </row>
    <row r="24297">
      <c r="H24297" s="8" t="s">
        <v>364</v>
      </c>
    </row>
    <row r="24298">
      <c r="H24298" s="8" t="s">
        <v>364</v>
      </c>
    </row>
    <row r="24299">
      <c r="H24299" s="8" t="s">
        <v>364</v>
      </c>
    </row>
    <row r="24300">
      <c r="H24300" s="8" t="s">
        <v>364</v>
      </c>
    </row>
    <row r="24301">
      <c r="H24301" s="8" t="s">
        <v>364</v>
      </c>
    </row>
    <row r="24302">
      <c r="H24302" s="8" t="s">
        <v>364</v>
      </c>
    </row>
    <row r="24303">
      <c r="H24303" s="8" t="s">
        <v>364</v>
      </c>
    </row>
    <row r="24304">
      <c r="H24304" s="8" t="s">
        <v>364</v>
      </c>
    </row>
    <row r="24305">
      <c r="H24305" s="8" t="s">
        <v>364</v>
      </c>
    </row>
    <row r="24306">
      <c r="H24306" s="8" t="s">
        <v>364</v>
      </c>
    </row>
    <row r="24307">
      <c r="H24307" s="8" t="s">
        <v>364</v>
      </c>
    </row>
    <row r="24308">
      <c r="H24308" s="8" t="s">
        <v>364</v>
      </c>
    </row>
    <row r="24309">
      <c r="H24309" s="8" t="s">
        <v>364</v>
      </c>
    </row>
    <row r="24310">
      <c r="H24310" s="8" t="s">
        <v>364</v>
      </c>
    </row>
    <row r="24311">
      <c r="H24311" s="8" t="s">
        <v>364</v>
      </c>
    </row>
    <row r="24312">
      <c r="H24312" s="8" t="s">
        <v>364</v>
      </c>
    </row>
    <row r="24313">
      <c r="H24313" s="8" t="s">
        <v>364</v>
      </c>
    </row>
    <row r="24314">
      <c r="H24314" s="8" t="s">
        <v>364</v>
      </c>
    </row>
    <row r="24315">
      <c r="H24315" s="8" t="s">
        <v>364</v>
      </c>
    </row>
    <row r="24316">
      <c r="H24316" s="8" t="s">
        <v>364</v>
      </c>
    </row>
    <row r="24317">
      <c r="H24317" s="8" t="s">
        <v>364</v>
      </c>
    </row>
    <row r="24318">
      <c r="H24318" s="8" t="s">
        <v>364</v>
      </c>
    </row>
    <row r="24319">
      <c r="H24319" s="8" t="s">
        <v>364</v>
      </c>
    </row>
    <row r="24320">
      <c r="H24320" s="8" t="s">
        <v>364</v>
      </c>
    </row>
    <row r="24321">
      <c r="H24321" s="8" t="s">
        <v>364</v>
      </c>
    </row>
    <row r="24322">
      <c r="H24322" s="8" t="s">
        <v>364</v>
      </c>
    </row>
    <row r="24323">
      <c r="H24323" s="8" t="s">
        <v>364</v>
      </c>
    </row>
    <row r="24324">
      <c r="H24324" s="8" t="s">
        <v>364</v>
      </c>
    </row>
    <row r="24325">
      <c r="H24325" s="8" t="s">
        <v>364</v>
      </c>
    </row>
    <row r="24326">
      <c r="H24326" s="8" t="s">
        <v>364</v>
      </c>
    </row>
    <row r="24327">
      <c r="H24327" s="8" t="s">
        <v>364</v>
      </c>
    </row>
    <row r="24328">
      <c r="H24328" s="8" t="s">
        <v>364</v>
      </c>
    </row>
    <row r="24329">
      <c r="H24329" s="8" t="s">
        <v>364</v>
      </c>
    </row>
    <row r="24330">
      <c r="H24330" s="8" t="s">
        <v>364</v>
      </c>
    </row>
    <row r="24331">
      <c r="H24331" s="8" t="s">
        <v>364</v>
      </c>
    </row>
    <row r="24332">
      <c r="H24332" s="8" t="s">
        <v>364</v>
      </c>
    </row>
    <row r="24333">
      <c r="H24333" s="8" t="s">
        <v>364</v>
      </c>
    </row>
    <row r="24334">
      <c r="H24334" s="8" t="s">
        <v>364</v>
      </c>
    </row>
    <row r="24335">
      <c r="H24335" s="8" t="s">
        <v>364</v>
      </c>
    </row>
    <row r="24336">
      <c r="H24336" s="8" t="s">
        <v>364</v>
      </c>
    </row>
    <row r="24337">
      <c r="H24337" s="8" t="s">
        <v>364</v>
      </c>
    </row>
    <row r="24338">
      <c r="H24338" s="8" t="s">
        <v>364</v>
      </c>
    </row>
    <row r="24339">
      <c r="H24339" s="8" t="s">
        <v>364</v>
      </c>
    </row>
    <row r="24340">
      <c r="H24340" s="8" t="s">
        <v>364</v>
      </c>
    </row>
    <row r="24341">
      <c r="H24341" s="8" t="s">
        <v>364</v>
      </c>
    </row>
    <row r="24342">
      <c r="H24342" s="8" t="s">
        <v>364</v>
      </c>
    </row>
    <row r="24343">
      <c r="H24343" s="8" t="s">
        <v>364</v>
      </c>
    </row>
    <row r="24344">
      <c r="H24344" s="8" t="s">
        <v>364</v>
      </c>
    </row>
    <row r="24345">
      <c r="H24345" s="8" t="s">
        <v>364</v>
      </c>
    </row>
    <row r="24346">
      <c r="H24346" s="8" t="s">
        <v>364</v>
      </c>
    </row>
    <row r="24347">
      <c r="H24347" s="8" t="s">
        <v>364</v>
      </c>
    </row>
    <row r="24348">
      <c r="H24348" s="8" t="s">
        <v>364</v>
      </c>
    </row>
    <row r="24349">
      <c r="H24349" s="8" t="s">
        <v>364</v>
      </c>
    </row>
    <row r="24350">
      <c r="H24350" s="8" t="s">
        <v>364</v>
      </c>
    </row>
    <row r="24351">
      <c r="H24351" s="8" t="s">
        <v>364</v>
      </c>
    </row>
    <row r="24352">
      <c r="H24352" s="8" t="s">
        <v>364</v>
      </c>
    </row>
    <row r="24353">
      <c r="H24353" s="8" t="s">
        <v>364</v>
      </c>
    </row>
    <row r="24354">
      <c r="H24354" s="8" t="s">
        <v>364</v>
      </c>
    </row>
    <row r="24355">
      <c r="H24355" s="8" t="s">
        <v>364</v>
      </c>
    </row>
    <row r="24356">
      <c r="H24356" s="8" t="s">
        <v>364</v>
      </c>
    </row>
    <row r="24357">
      <c r="H24357" s="8" t="s">
        <v>364</v>
      </c>
    </row>
    <row r="24358">
      <c r="H24358" s="8" t="s">
        <v>364</v>
      </c>
    </row>
    <row r="24359">
      <c r="H24359" s="8" t="s">
        <v>364</v>
      </c>
    </row>
    <row r="24360">
      <c r="H24360" s="8" t="s">
        <v>364</v>
      </c>
    </row>
    <row r="24361">
      <c r="H24361" s="8" t="s">
        <v>364</v>
      </c>
    </row>
    <row r="24362">
      <c r="H24362" s="8" t="s">
        <v>364</v>
      </c>
    </row>
    <row r="24363">
      <c r="H24363" s="8" t="s">
        <v>364</v>
      </c>
    </row>
    <row r="24364">
      <c r="H24364" s="8" t="s">
        <v>364</v>
      </c>
    </row>
    <row r="24365">
      <c r="H24365" s="8" t="s">
        <v>364</v>
      </c>
    </row>
    <row r="24366">
      <c r="H24366" s="8" t="s">
        <v>364</v>
      </c>
    </row>
    <row r="24367">
      <c r="H24367" s="8" t="s">
        <v>364</v>
      </c>
    </row>
    <row r="24368">
      <c r="H24368" s="8" t="s">
        <v>364</v>
      </c>
    </row>
    <row r="24369">
      <c r="H24369" s="8" t="s">
        <v>364</v>
      </c>
    </row>
    <row r="24370">
      <c r="H24370" s="8" t="s">
        <v>364</v>
      </c>
    </row>
    <row r="24371">
      <c r="H24371" s="8" t="s">
        <v>364</v>
      </c>
    </row>
    <row r="24372">
      <c r="H24372" s="8" t="s">
        <v>364</v>
      </c>
    </row>
    <row r="24373">
      <c r="H24373" s="8" t="s">
        <v>364</v>
      </c>
    </row>
    <row r="24374">
      <c r="H24374" s="8" t="s">
        <v>364</v>
      </c>
    </row>
    <row r="24375">
      <c r="H24375" s="8" t="s">
        <v>364</v>
      </c>
    </row>
    <row r="24376">
      <c r="H24376" s="8" t="s">
        <v>364</v>
      </c>
    </row>
    <row r="24377">
      <c r="H24377" s="8" t="s">
        <v>364</v>
      </c>
    </row>
    <row r="24378">
      <c r="H24378" s="8" t="s">
        <v>364</v>
      </c>
    </row>
    <row r="24379">
      <c r="H24379" s="8" t="s">
        <v>364</v>
      </c>
    </row>
    <row r="24380">
      <c r="H24380" s="8" t="s">
        <v>364</v>
      </c>
    </row>
    <row r="24381">
      <c r="H24381" s="8" t="s">
        <v>364</v>
      </c>
    </row>
    <row r="24382">
      <c r="H24382" s="8" t="s">
        <v>364</v>
      </c>
    </row>
    <row r="24383">
      <c r="H24383" s="8" t="s">
        <v>364</v>
      </c>
    </row>
    <row r="24384">
      <c r="H24384" s="8" t="s">
        <v>364</v>
      </c>
    </row>
    <row r="24385">
      <c r="H24385" s="8" t="s">
        <v>364</v>
      </c>
    </row>
    <row r="24386">
      <c r="H24386" s="8" t="s">
        <v>364</v>
      </c>
    </row>
    <row r="24387">
      <c r="H24387" s="8" t="s">
        <v>364</v>
      </c>
    </row>
    <row r="24388">
      <c r="H24388" s="8" t="s">
        <v>364</v>
      </c>
    </row>
    <row r="24389">
      <c r="H24389" s="8" t="s">
        <v>364</v>
      </c>
    </row>
    <row r="24390">
      <c r="H24390" s="8" t="s">
        <v>364</v>
      </c>
    </row>
    <row r="24391">
      <c r="H24391" s="8" t="s">
        <v>364</v>
      </c>
    </row>
    <row r="24392">
      <c r="H24392" s="8" t="s">
        <v>364</v>
      </c>
    </row>
    <row r="24393">
      <c r="H24393" s="8" t="s">
        <v>364</v>
      </c>
    </row>
    <row r="24394">
      <c r="H24394" s="8" t="s">
        <v>364</v>
      </c>
    </row>
    <row r="24395">
      <c r="H24395" s="8" t="s">
        <v>364</v>
      </c>
    </row>
    <row r="24396">
      <c r="H24396" s="8" t="s">
        <v>364</v>
      </c>
    </row>
    <row r="24397">
      <c r="H24397" s="8" t="s">
        <v>364</v>
      </c>
    </row>
    <row r="24398">
      <c r="H24398" s="8" t="s">
        <v>364</v>
      </c>
    </row>
    <row r="24399">
      <c r="H24399" s="8" t="s">
        <v>364</v>
      </c>
    </row>
    <row r="24400">
      <c r="H24400" s="8" t="s">
        <v>364</v>
      </c>
    </row>
    <row r="24401">
      <c r="H24401" s="8" t="s">
        <v>364</v>
      </c>
    </row>
    <row r="24402">
      <c r="H24402" s="8" t="s">
        <v>364</v>
      </c>
    </row>
    <row r="24403">
      <c r="H24403" s="8" t="s">
        <v>364</v>
      </c>
    </row>
    <row r="24404">
      <c r="H24404" s="8" t="s">
        <v>364</v>
      </c>
    </row>
    <row r="24405">
      <c r="H24405" s="8" t="s">
        <v>364</v>
      </c>
    </row>
    <row r="24406">
      <c r="H24406" s="8" t="s">
        <v>364</v>
      </c>
    </row>
    <row r="24407">
      <c r="H24407" s="8" t="s">
        <v>364</v>
      </c>
    </row>
    <row r="24408">
      <c r="H24408" s="8" t="s">
        <v>364</v>
      </c>
    </row>
    <row r="24409">
      <c r="H24409" s="8" t="s">
        <v>364</v>
      </c>
    </row>
    <row r="24410">
      <c r="H24410" s="8" t="s">
        <v>364</v>
      </c>
    </row>
    <row r="24411">
      <c r="H24411" s="8" t="s">
        <v>364</v>
      </c>
    </row>
    <row r="24412">
      <c r="H24412" s="8" t="s">
        <v>364</v>
      </c>
    </row>
    <row r="24413">
      <c r="H24413" s="8" t="s">
        <v>364</v>
      </c>
    </row>
    <row r="24414">
      <c r="H24414" s="8" t="s">
        <v>364</v>
      </c>
    </row>
    <row r="24415">
      <c r="H24415" s="8" t="s">
        <v>364</v>
      </c>
    </row>
    <row r="24416">
      <c r="H24416" s="8" t="s">
        <v>364</v>
      </c>
    </row>
    <row r="24417">
      <c r="H24417" s="8" t="s">
        <v>364</v>
      </c>
    </row>
    <row r="24418">
      <c r="H24418" s="8" t="s">
        <v>364</v>
      </c>
    </row>
    <row r="24419">
      <c r="H24419" s="8" t="s">
        <v>364</v>
      </c>
    </row>
    <row r="24420">
      <c r="H24420" s="8" t="s">
        <v>364</v>
      </c>
    </row>
    <row r="24421">
      <c r="H24421" s="8" t="s">
        <v>364</v>
      </c>
    </row>
    <row r="24422">
      <c r="H24422" s="8" t="s">
        <v>364</v>
      </c>
    </row>
    <row r="24423">
      <c r="H24423" s="8" t="s">
        <v>364</v>
      </c>
    </row>
    <row r="24424">
      <c r="H24424" s="8" t="s">
        <v>364</v>
      </c>
    </row>
    <row r="24425">
      <c r="H24425" s="8" t="s">
        <v>364</v>
      </c>
    </row>
    <row r="24426">
      <c r="H24426" s="8" t="s">
        <v>364</v>
      </c>
    </row>
    <row r="24427">
      <c r="H24427" s="8" t="s">
        <v>364</v>
      </c>
    </row>
    <row r="24428">
      <c r="H24428" s="8" t="s">
        <v>364</v>
      </c>
    </row>
    <row r="24429">
      <c r="H24429" s="8" t="s">
        <v>364</v>
      </c>
    </row>
    <row r="24430">
      <c r="H24430" s="8" t="s">
        <v>364</v>
      </c>
    </row>
    <row r="24431">
      <c r="H24431" s="8" t="s">
        <v>364</v>
      </c>
    </row>
    <row r="24432">
      <c r="H24432" s="8" t="s">
        <v>364</v>
      </c>
    </row>
    <row r="24433">
      <c r="H24433" s="8" t="s">
        <v>364</v>
      </c>
    </row>
    <row r="24434">
      <c r="H24434" s="8" t="s">
        <v>364</v>
      </c>
    </row>
    <row r="24435">
      <c r="H24435" s="8" t="s">
        <v>364</v>
      </c>
    </row>
    <row r="24436">
      <c r="H24436" s="8" t="s">
        <v>364</v>
      </c>
    </row>
    <row r="24437">
      <c r="H24437" s="8" t="s">
        <v>364</v>
      </c>
    </row>
    <row r="24438">
      <c r="H24438" s="8" t="s">
        <v>364</v>
      </c>
    </row>
    <row r="24439">
      <c r="H24439" s="8" t="s">
        <v>364</v>
      </c>
    </row>
    <row r="24440">
      <c r="H24440" s="8" t="s">
        <v>364</v>
      </c>
    </row>
    <row r="24441">
      <c r="H24441" s="8" t="s">
        <v>364</v>
      </c>
    </row>
    <row r="24442">
      <c r="H24442" s="8" t="s">
        <v>364</v>
      </c>
    </row>
    <row r="24443">
      <c r="H24443" s="8" t="s">
        <v>364</v>
      </c>
    </row>
    <row r="24444">
      <c r="H24444" s="8" t="s">
        <v>364</v>
      </c>
    </row>
    <row r="24445">
      <c r="H24445" s="8" t="s">
        <v>364</v>
      </c>
    </row>
    <row r="24446">
      <c r="H24446" s="8" t="s">
        <v>364</v>
      </c>
    </row>
    <row r="24447">
      <c r="H24447" s="8" t="s">
        <v>364</v>
      </c>
    </row>
    <row r="24448">
      <c r="H24448" s="8" t="s">
        <v>364</v>
      </c>
    </row>
    <row r="24449">
      <c r="H24449" s="8" t="s">
        <v>364</v>
      </c>
    </row>
    <row r="24450">
      <c r="H24450" s="8" t="s">
        <v>364</v>
      </c>
    </row>
    <row r="24451">
      <c r="H24451" s="8" t="s">
        <v>364</v>
      </c>
    </row>
    <row r="24452">
      <c r="H24452" s="8" t="s">
        <v>364</v>
      </c>
    </row>
    <row r="24453">
      <c r="H24453" s="8" t="s">
        <v>364</v>
      </c>
    </row>
    <row r="24454">
      <c r="H24454" s="8" t="s">
        <v>364</v>
      </c>
    </row>
    <row r="24455">
      <c r="H24455" s="8" t="s">
        <v>364</v>
      </c>
    </row>
    <row r="24456">
      <c r="H24456" s="8" t="s">
        <v>364</v>
      </c>
    </row>
    <row r="24457">
      <c r="H24457" s="8" t="s">
        <v>364</v>
      </c>
    </row>
    <row r="24458">
      <c r="H24458" s="8" t="s">
        <v>364</v>
      </c>
    </row>
    <row r="24459">
      <c r="H24459" s="8" t="s">
        <v>364</v>
      </c>
    </row>
    <row r="24460">
      <c r="H24460" s="8" t="s">
        <v>364</v>
      </c>
    </row>
    <row r="24461">
      <c r="H24461" s="8" t="s">
        <v>364</v>
      </c>
    </row>
    <row r="24462">
      <c r="H24462" s="8" t="s">
        <v>364</v>
      </c>
    </row>
    <row r="24463">
      <c r="H24463" s="8" t="s">
        <v>364</v>
      </c>
    </row>
    <row r="24464">
      <c r="H24464" s="8" t="s">
        <v>364</v>
      </c>
    </row>
    <row r="24465">
      <c r="H24465" s="8" t="s">
        <v>364</v>
      </c>
    </row>
    <row r="24466">
      <c r="H24466" s="8" t="s">
        <v>364</v>
      </c>
    </row>
    <row r="24467">
      <c r="H24467" s="8" t="s">
        <v>364</v>
      </c>
    </row>
    <row r="24468">
      <c r="H24468" s="8" t="s">
        <v>364</v>
      </c>
    </row>
    <row r="24469">
      <c r="H24469" s="8" t="s">
        <v>364</v>
      </c>
    </row>
    <row r="24470">
      <c r="H24470" s="8" t="s">
        <v>364</v>
      </c>
    </row>
    <row r="24471">
      <c r="H24471" s="8" t="s">
        <v>364</v>
      </c>
    </row>
    <row r="24472">
      <c r="H24472" s="8" t="s">
        <v>364</v>
      </c>
    </row>
    <row r="24473">
      <c r="H24473" s="8" t="s">
        <v>364</v>
      </c>
    </row>
    <row r="24474">
      <c r="H24474" s="8" t="s">
        <v>364</v>
      </c>
    </row>
    <row r="24475">
      <c r="H24475" s="8" t="s">
        <v>364</v>
      </c>
    </row>
    <row r="24476">
      <c r="H24476" s="8" t="s">
        <v>364</v>
      </c>
    </row>
    <row r="24477">
      <c r="H24477" s="8" t="s">
        <v>364</v>
      </c>
    </row>
    <row r="24478">
      <c r="H24478" s="8" t="s">
        <v>364</v>
      </c>
    </row>
    <row r="24479">
      <c r="H24479" s="8" t="s">
        <v>364</v>
      </c>
    </row>
    <row r="24480">
      <c r="H24480" s="8" t="s">
        <v>364</v>
      </c>
    </row>
    <row r="24481">
      <c r="H24481" s="8" t="s">
        <v>364</v>
      </c>
    </row>
    <row r="24482">
      <c r="H24482" s="8" t="s">
        <v>364</v>
      </c>
    </row>
    <row r="24483">
      <c r="H24483" s="8" t="s">
        <v>364</v>
      </c>
    </row>
    <row r="24484">
      <c r="H24484" s="8" t="s">
        <v>364</v>
      </c>
    </row>
    <row r="24485">
      <c r="H24485" s="8" t="s">
        <v>364</v>
      </c>
    </row>
    <row r="24486">
      <c r="H24486" s="8" t="s">
        <v>364</v>
      </c>
    </row>
    <row r="24487">
      <c r="H24487" s="8" t="s">
        <v>364</v>
      </c>
    </row>
    <row r="24488">
      <c r="H24488" s="8" t="s">
        <v>364</v>
      </c>
    </row>
    <row r="24489">
      <c r="H24489" s="8" t="s">
        <v>364</v>
      </c>
    </row>
    <row r="24490">
      <c r="H24490" s="8" t="s">
        <v>364</v>
      </c>
    </row>
    <row r="24491">
      <c r="H24491" s="8" t="s">
        <v>364</v>
      </c>
    </row>
    <row r="24492">
      <c r="H24492" s="8" t="s">
        <v>364</v>
      </c>
    </row>
    <row r="24493">
      <c r="H24493" s="8" t="s">
        <v>364</v>
      </c>
    </row>
    <row r="24494">
      <c r="H24494" s="8" t="s">
        <v>364</v>
      </c>
    </row>
    <row r="24495">
      <c r="H24495" s="8" t="s">
        <v>364</v>
      </c>
    </row>
    <row r="24496">
      <c r="H24496" s="8" t="s">
        <v>364</v>
      </c>
    </row>
    <row r="24497">
      <c r="H24497" s="8" t="s">
        <v>364</v>
      </c>
    </row>
    <row r="24498">
      <c r="H24498" s="8" t="s">
        <v>364</v>
      </c>
    </row>
    <row r="24499">
      <c r="H24499" s="8" t="s">
        <v>364</v>
      </c>
    </row>
    <row r="24500">
      <c r="H24500" s="8" t="s">
        <v>364</v>
      </c>
    </row>
    <row r="24501">
      <c r="H24501" s="8" t="s">
        <v>364</v>
      </c>
    </row>
    <row r="24502">
      <c r="H24502" s="8" t="s">
        <v>364</v>
      </c>
    </row>
    <row r="24503">
      <c r="H24503" s="8" t="s">
        <v>364</v>
      </c>
    </row>
    <row r="24504">
      <c r="H24504" s="8" t="s">
        <v>364</v>
      </c>
    </row>
    <row r="24505">
      <c r="H24505" s="8" t="s">
        <v>364</v>
      </c>
    </row>
    <row r="24506">
      <c r="H24506" s="8" t="s">
        <v>364</v>
      </c>
    </row>
    <row r="24507">
      <c r="H24507" s="8" t="s">
        <v>364</v>
      </c>
    </row>
    <row r="24508">
      <c r="H24508" s="8" t="s">
        <v>364</v>
      </c>
    </row>
    <row r="24509">
      <c r="H24509" s="8" t="s">
        <v>364</v>
      </c>
    </row>
    <row r="24510">
      <c r="H24510" s="8" t="s">
        <v>364</v>
      </c>
    </row>
    <row r="24511">
      <c r="H24511" s="8" t="s">
        <v>364</v>
      </c>
    </row>
    <row r="24512">
      <c r="H24512" s="8" t="s">
        <v>364</v>
      </c>
    </row>
    <row r="24513">
      <c r="H24513" s="8" t="s">
        <v>364</v>
      </c>
    </row>
    <row r="24514">
      <c r="H24514" s="8" t="s">
        <v>364</v>
      </c>
    </row>
    <row r="24515">
      <c r="H24515" s="8" t="s">
        <v>364</v>
      </c>
    </row>
    <row r="24516">
      <c r="H24516" s="8" t="s">
        <v>364</v>
      </c>
    </row>
    <row r="24517">
      <c r="H24517" s="8" t="s">
        <v>364</v>
      </c>
    </row>
    <row r="24518">
      <c r="H24518" s="8" t="s">
        <v>364</v>
      </c>
    </row>
    <row r="24519">
      <c r="H24519" s="8" t="s">
        <v>364</v>
      </c>
    </row>
    <row r="24520">
      <c r="H24520" s="8" t="s">
        <v>364</v>
      </c>
    </row>
    <row r="24521">
      <c r="H24521" s="8" t="s">
        <v>364</v>
      </c>
    </row>
    <row r="24522">
      <c r="H24522" s="8" t="s">
        <v>364</v>
      </c>
    </row>
    <row r="24523">
      <c r="H24523" s="8" t="s">
        <v>364</v>
      </c>
    </row>
    <row r="24524">
      <c r="H24524" s="8" t="s">
        <v>364</v>
      </c>
    </row>
    <row r="24525">
      <c r="H24525" s="8" t="s">
        <v>364</v>
      </c>
    </row>
    <row r="24526">
      <c r="H24526" s="8" t="s">
        <v>364</v>
      </c>
    </row>
    <row r="24527">
      <c r="H24527" s="8" t="s">
        <v>364</v>
      </c>
    </row>
    <row r="24528">
      <c r="H24528" s="8" t="s">
        <v>364</v>
      </c>
    </row>
    <row r="24529">
      <c r="H24529" s="8" t="s">
        <v>364</v>
      </c>
    </row>
    <row r="24530">
      <c r="H24530" s="8" t="s">
        <v>364</v>
      </c>
    </row>
    <row r="24531">
      <c r="H24531" s="8" t="s">
        <v>364</v>
      </c>
    </row>
    <row r="24532">
      <c r="H24532" s="8" t="s">
        <v>364</v>
      </c>
    </row>
    <row r="24533">
      <c r="H24533" s="8" t="s">
        <v>364</v>
      </c>
    </row>
    <row r="24534">
      <c r="H24534" s="8" t="s">
        <v>364</v>
      </c>
    </row>
    <row r="24535">
      <c r="H24535" s="8" t="s">
        <v>364</v>
      </c>
    </row>
    <row r="24536">
      <c r="H24536" s="8" t="s">
        <v>364</v>
      </c>
    </row>
    <row r="24537">
      <c r="H24537" s="8" t="s">
        <v>364</v>
      </c>
    </row>
    <row r="24538">
      <c r="H24538" s="8" t="s">
        <v>364</v>
      </c>
    </row>
    <row r="24539">
      <c r="H24539" s="8" t="s">
        <v>364</v>
      </c>
    </row>
    <row r="24540">
      <c r="H24540" s="8" t="s">
        <v>364</v>
      </c>
    </row>
    <row r="24541">
      <c r="H24541" s="8" t="s">
        <v>364</v>
      </c>
    </row>
    <row r="24542">
      <c r="H24542" s="8" t="s">
        <v>364</v>
      </c>
    </row>
    <row r="24543">
      <c r="H24543" s="8" t="s">
        <v>364</v>
      </c>
    </row>
    <row r="24544">
      <c r="H24544" s="8" t="s">
        <v>364</v>
      </c>
    </row>
    <row r="24545">
      <c r="H24545" s="8" t="s">
        <v>364</v>
      </c>
    </row>
    <row r="24546">
      <c r="H24546" s="8" t="s">
        <v>364</v>
      </c>
    </row>
    <row r="24547">
      <c r="H24547" s="8" t="s">
        <v>364</v>
      </c>
    </row>
    <row r="24548">
      <c r="H24548" s="8" t="s">
        <v>364</v>
      </c>
    </row>
    <row r="24549">
      <c r="H24549" s="8" t="s">
        <v>364</v>
      </c>
    </row>
    <row r="24550">
      <c r="H24550" s="8" t="s">
        <v>364</v>
      </c>
    </row>
    <row r="24551">
      <c r="H24551" s="8" t="s">
        <v>364</v>
      </c>
    </row>
    <row r="24552">
      <c r="H24552" s="8" t="s">
        <v>364</v>
      </c>
    </row>
    <row r="24553">
      <c r="H24553" s="8" t="s">
        <v>364</v>
      </c>
    </row>
    <row r="24554">
      <c r="H24554" s="8" t="s">
        <v>364</v>
      </c>
    </row>
    <row r="24555">
      <c r="H24555" s="8" t="s">
        <v>364</v>
      </c>
    </row>
    <row r="24556">
      <c r="H24556" s="8" t="s">
        <v>364</v>
      </c>
    </row>
    <row r="24557">
      <c r="H24557" s="8" t="s">
        <v>364</v>
      </c>
    </row>
    <row r="24558">
      <c r="H24558" s="8" t="s">
        <v>364</v>
      </c>
    </row>
    <row r="24559">
      <c r="H24559" s="8" t="s">
        <v>364</v>
      </c>
    </row>
    <row r="24560">
      <c r="H24560" s="8" t="s">
        <v>364</v>
      </c>
    </row>
    <row r="24561">
      <c r="H24561" s="8" t="s">
        <v>364</v>
      </c>
    </row>
    <row r="24562">
      <c r="H24562" s="8" t="s">
        <v>364</v>
      </c>
    </row>
    <row r="24563">
      <c r="H24563" s="8" t="s">
        <v>364</v>
      </c>
    </row>
    <row r="24564">
      <c r="H24564" s="8" t="s">
        <v>364</v>
      </c>
    </row>
    <row r="24565">
      <c r="H24565" s="8" t="s">
        <v>364</v>
      </c>
    </row>
    <row r="24566">
      <c r="H24566" s="8" t="s">
        <v>364</v>
      </c>
    </row>
    <row r="24567">
      <c r="H24567" s="8" t="s">
        <v>364</v>
      </c>
    </row>
    <row r="24568">
      <c r="H24568" s="8" t="s">
        <v>364</v>
      </c>
    </row>
    <row r="24569">
      <c r="H24569" s="8" t="s">
        <v>364</v>
      </c>
    </row>
    <row r="24570">
      <c r="H24570" s="8" t="s">
        <v>364</v>
      </c>
    </row>
    <row r="24571">
      <c r="H24571" s="8" t="s">
        <v>364</v>
      </c>
    </row>
    <row r="24572">
      <c r="H24572" s="8" t="s">
        <v>364</v>
      </c>
    </row>
    <row r="24573">
      <c r="H24573" s="8" t="s">
        <v>364</v>
      </c>
    </row>
    <row r="24574">
      <c r="H24574" s="8" t="s">
        <v>364</v>
      </c>
    </row>
    <row r="24575">
      <c r="H24575" s="8" t="s">
        <v>364</v>
      </c>
    </row>
    <row r="24576">
      <c r="H24576" s="8" t="s">
        <v>364</v>
      </c>
    </row>
    <row r="24577">
      <c r="H24577" s="8" t="s">
        <v>364</v>
      </c>
    </row>
    <row r="24578">
      <c r="H24578" s="8" t="s">
        <v>364</v>
      </c>
    </row>
    <row r="24579">
      <c r="H24579" s="8" t="s">
        <v>364</v>
      </c>
    </row>
    <row r="24580">
      <c r="H24580" s="8" t="s">
        <v>364</v>
      </c>
    </row>
    <row r="24581">
      <c r="H24581" s="8" t="s">
        <v>364</v>
      </c>
    </row>
    <row r="24582">
      <c r="H24582" s="8" t="s">
        <v>364</v>
      </c>
    </row>
    <row r="24583">
      <c r="H24583" s="8" t="s">
        <v>364</v>
      </c>
    </row>
    <row r="24584">
      <c r="H24584" s="8" t="s">
        <v>364</v>
      </c>
    </row>
    <row r="24585">
      <c r="H24585" s="8" t="s">
        <v>364</v>
      </c>
    </row>
    <row r="24586">
      <c r="H24586" s="8" t="s">
        <v>364</v>
      </c>
    </row>
    <row r="24587">
      <c r="H24587" s="8" t="s">
        <v>364</v>
      </c>
    </row>
    <row r="24588">
      <c r="H24588" s="8" t="s">
        <v>364</v>
      </c>
    </row>
    <row r="24589">
      <c r="H24589" s="8" t="s">
        <v>364</v>
      </c>
    </row>
    <row r="24590">
      <c r="H24590" s="8" t="s">
        <v>364</v>
      </c>
    </row>
    <row r="24591">
      <c r="H24591" s="8" t="s">
        <v>364</v>
      </c>
    </row>
    <row r="24592">
      <c r="H24592" s="8" t="s">
        <v>364</v>
      </c>
    </row>
    <row r="24593">
      <c r="H24593" s="8" t="s">
        <v>364</v>
      </c>
    </row>
    <row r="24594">
      <c r="H24594" s="8" t="s">
        <v>364</v>
      </c>
    </row>
    <row r="24595">
      <c r="H24595" s="8" t="s">
        <v>364</v>
      </c>
    </row>
    <row r="24596">
      <c r="H24596" s="8" t="s">
        <v>364</v>
      </c>
    </row>
    <row r="24597">
      <c r="H24597" s="8" t="s">
        <v>364</v>
      </c>
    </row>
    <row r="24598">
      <c r="H24598" s="8" t="s">
        <v>364</v>
      </c>
    </row>
    <row r="24599">
      <c r="H24599" s="8" t="s">
        <v>364</v>
      </c>
    </row>
    <row r="24600">
      <c r="H24600" s="8" t="s">
        <v>364</v>
      </c>
    </row>
    <row r="24601">
      <c r="H24601" s="8" t="s">
        <v>364</v>
      </c>
    </row>
    <row r="24602">
      <c r="H24602" s="8" t="s">
        <v>364</v>
      </c>
    </row>
    <row r="24603">
      <c r="H24603" s="8" t="s">
        <v>364</v>
      </c>
    </row>
    <row r="24604">
      <c r="H24604" s="8" t="s">
        <v>364</v>
      </c>
    </row>
    <row r="24605">
      <c r="H24605" s="8" t="s">
        <v>364</v>
      </c>
    </row>
    <row r="24606">
      <c r="H24606" s="8" t="s">
        <v>364</v>
      </c>
    </row>
    <row r="24607">
      <c r="H24607" s="8" t="s">
        <v>364</v>
      </c>
    </row>
    <row r="24608">
      <c r="H24608" s="8" t="s">
        <v>364</v>
      </c>
    </row>
    <row r="24609">
      <c r="H24609" s="8" t="s">
        <v>364</v>
      </c>
    </row>
    <row r="24610">
      <c r="H24610" s="8" t="s">
        <v>364</v>
      </c>
    </row>
    <row r="24611">
      <c r="H24611" s="8" t="s">
        <v>364</v>
      </c>
    </row>
    <row r="24612">
      <c r="H24612" s="8" t="s">
        <v>364</v>
      </c>
    </row>
    <row r="24613">
      <c r="H24613" s="8" t="s">
        <v>364</v>
      </c>
    </row>
    <row r="24614">
      <c r="H24614" s="8" t="s">
        <v>364</v>
      </c>
    </row>
    <row r="24615">
      <c r="H24615" s="8" t="s">
        <v>364</v>
      </c>
    </row>
    <row r="24616">
      <c r="H24616" s="8" t="s">
        <v>364</v>
      </c>
    </row>
    <row r="24617">
      <c r="H24617" s="8" t="s">
        <v>364</v>
      </c>
    </row>
    <row r="24618">
      <c r="H24618" s="8" t="s">
        <v>364</v>
      </c>
    </row>
    <row r="24619">
      <c r="H24619" s="8" t="s">
        <v>364</v>
      </c>
    </row>
    <row r="24620">
      <c r="H24620" s="8" t="s">
        <v>364</v>
      </c>
    </row>
    <row r="24621">
      <c r="H24621" s="8" t="s">
        <v>364</v>
      </c>
    </row>
    <row r="24622">
      <c r="H24622" s="8" t="s">
        <v>364</v>
      </c>
    </row>
    <row r="24623">
      <c r="H24623" s="8" t="s">
        <v>364</v>
      </c>
    </row>
    <row r="24624">
      <c r="H24624" s="8" t="s">
        <v>364</v>
      </c>
    </row>
    <row r="24625">
      <c r="H24625" s="8" t="s">
        <v>364</v>
      </c>
    </row>
    <row r="24626">
      <c r="H24626" s="8" t="s">
        <v>364</v>
      </c>
    </row>
    <row r="24627">
      <c r="H24627" s="8" t="s">
        <v>364</v>
      </c>
    </row>
    <row r="24628">
      <c r="H24628" s="8" t="s">
        <v>364</v>
      </c>
    </row>
    <row r="24629">
      <c r="H24629" s="8" t="s">
        <v>364</v>
      </c>
    </row>
    <row r="24630">
      <c r="H24630" s="8" t="s">
        <v>364</v>
      </c>
    </row>
    <row r="24631">
      <c r="H24631" s="8" t="s">
        <v>364</v>
      </c>
    </row>
    <row r="24632">
      <c r="H24632" s="8" t="s">
        <v>364</v>
      </c>
    </row>
    <row r="24633">
      <c r="H24633" s="8" t="s">
        <v>364</v>
      </c>
    </row>
    <row r="24634">
      <c r="H24634" s="8" t="s">
        <v>364</v>
      </c>
    </row>
    <row r="24635">
      <c r="H24635" s="8" t="s">
        <v>364</v>
      </c>
    </row>
    <row r="24636">
      <c r="H24636" s="8" t="s">
        <v>364</v>
      </c>
    </row>
    <row r="24637">
      <c r="H24637" s="8" t="s">
        <v>364</v>
      </c>
    </row>
    <row r="24638">
      <c r="H24638" s="8" t="s">
        <v>364</v>
      </c>
    </row>
    <row r="24639">
      <c r="H24639" s="8" t="s">
        <v>364</v>
      </c>
    </row>
    <row r="24640">
      <c r="H24640" s="8" t="s">
        <v>364</v>
      </c>
    </row>
    <row r="24641">
      <c r="H24641" s="8" t="s">
        <v>364</v>
      </c>
    </row>
    <row r="24642">
      <c r="H24642" s="8" t="s">
        <v>364</v>
      </c>
    </row>
    <row r="24643">
      <c r="H24643" s="8" t="s">
        <v>364</v>
      </c>
    </row>
    <row r="24644">
      <c r="H24644" s="8" t="s">
        <v>364</v>
      </c>
    </row>
    <row r="24645">
      <c r="H24645" s="8" t="s">
        <v>364</v>
      </c>
    </row>
    <row r="24646">
      <c r="H24646" s="8" t="s">
        <v>364</v>
      </c>
    </row>
    <row r="24647">
      <c r="H24647" s="8" t="s">
        <v>364</v>
      </c>
    </row>
    <row r="24648">
      <c r="H24648" s="8" t="s">
        <v>364</v>
      </c>
    </row>
    <row r="24649">
      <c r="H24649" s="8" t="s">
        <v>364</v>
      </c>
    </row>
    <row r="24650">
      <c r="H24650" s="8" t="s">
        <v>364</v>
      </c>
    </row>
    <row r="24651">
      <c r="H24651" s="8" t="s">
        <v>364</v>
      </c>
    </row>
    <row r="24652">
      <c r="H24652" s="8" t="s">
        <v>364</v>
      </c>
    </row>
    <row r="24653">
      <c r="H24653" s="8" t="s">
        <v>364</v>
      </c>
    </row>
    <row r="24654">
      <c r="H24654" s="8" t="s">
        <v>364</v>
      </c>
    </row>
    <row r="24655">
      <c r="H24655" s="8" t="s">
        <v>364</v>
      </c>
    </row>
    <row r="24656">
      <c r="H24656" s="8" t="s">
        <v>364</v>
      </c>
    </row>
    <row r="24657">
      <c r="H24657" s="8" t="s">
        <v>364</v>
      </c>
    </row>
    <row r="24658">
      <c r="H24658" s="8" t="s">
        <v>364</v>
      </c>
    </row>
    <row r="24659">
      <c r="H24659" s="8" t="s">
        <v>364</v>
      </c>
    </row>
    <row r="24660">
      <c r="H24660" s="8" t="s">
        <v>364</v>
      </c>
    </row>
    <row r="24661">
      <c r="H24661" s="8" t="s">
        <v>364</v>
      </c>
    </row>
    <row r="24662">
      <c r="H24662" s="8" t="s">
        <v>364</v>
      </c>
    </row>
    <row r="24663">
      <c r="H24663" s="8" t="s">
        <v>364</v>
      </c>
    </row>
    <row r="24664">
      <c r="H24664" s="8" t="s">
        <v>364</v>
      </c>
    </row>
    <row r="24665">
      <c r="H24665" s="8" t="s">
        <v>364</v>
      </c>
    </row>
    <row r="24666">
      <c r="H24666" s="8" t="s">
        <v>364</v>
      </c>
    </row>
    <row r="24667">
      <c r="H24667" s="8" t="s">
        <v>364</v>
      </c>
    </row>
    <row r="24668">
      <c r="H24668" s="8" t="s">
        <v>364</v>
      </c>
    </row>
    <row r="24669">
      <c r="H24669" s="8" t="s">
        <v>364</v>
      </c>
    </row>
    <row r="24670">
      <c r="H24670" s="8" t="s">
        <v>364</v>
      </c>
    </row>
    <row r="24671">
      <c r="H24671" s="8" t="s">
        <v>364</v>
      </c>
    </row>
    <row r="24672">
      <c r="H24672" s="8" t="s">
        <v>364</v>
      </c>
    </row>
    <row r="24673">
      <c r="H24673" s="8" t="s">
        <v>364</v>
      </c>
    </row>
    <row r="24674">
      <c r="H24674" s="8" t="s">
        <v>364</v>
      </c>
    </row>
    <row r="24675">
      <c r="H24675" s="8" t="s">
        <v>364</v>
      </c>
    </row>
    <row r="24676">
      <c r="H24676" s="8" t="s">
        <v>364</v>
      </c>
    </row>
    <row r="24677">
      <c r="H24677" s="8" t="s">
        <v>364</v>
      </c>
    </row>
    <row r="24678">
      <c r="H24678" s="8" t="s">
        <v>364</v>
      </c>
    </row>
    <row r="24679">
      <c r="H24679" s="8" t="s">
        <v>364</v>
      </c>
    </row>
    <row r="24680">
      <c r="H24680" s="8" t="s">
        <v>364</v>
      </c>
    </row>
    <row r="24681">
      <c r="H24681" s="8" t="s">
        <v>364</v>
      </c>
    </row>
    <row r="24682">
      <c r="H24682" s="8" t="s">
        <v>364</v>
      </c>
    </row>
    <row r="24683">
      <c r="H24683" s="8" t="s">
        <v>364</v>
      </c>
    </row>
    <row r="24684">
      <c r="H24684" s="8" t="s">
        <v>364</v>
      </c>
    </row>
    <row r="24685">
      <c r="H24685" s="8" t="s">
        <v>364</v>
      </c>
    </row>
    <row r="24686">
      <c r="H24686" s="8" t="s">
        <v>364</v>
      </c>
    </row>
    <row r="24687">
      <c r="H24687" s="8" t="s">
        <v>364</v>
      </c>
    </row>
    <row r="24688">
      <c r="H24688" s="8" t="s">
        <v>364</v>
      </c>
    </row>
    <row r="24689">
      <c r="H24689" s="8" t="s">
        <v>364</v>
      </c>
    </row>
    <row r="24690">
      <c r="H24690" s="8" t="s">
        <v>364</v>
      </c>
    </row>
    <row r="24691">
      <c r="H24691" s="8" t="s">
        <v>364</v>
      </c>
    </row>
    <row r="24692">
      <c r="H24692" s="8" t="s">
        <v>364</v>
      </c>
    </row>
    <row r="24693">
      <c r="H24693" s="8" t="s">
        <v>364</v>
      </c>
    </row>
    <row r="24694">
      <c r="H24694" s="8" t="s">
        <v>364</v>
      </c>
    </row>
    <row r="24695">
      <c r="H24695" s="8" t="s">
        <v>364</v>
      </c>
    </row>
    <row r="24696">
      <c r="H24696" s="8" t="s">
        <v>364</v>
      </c>
    </row>
    <row r="24697">
      <c r="H24697" s="8" t="s">
        <v>364</v>
      </c>
    </row>
    <row r="24698">
      <c r="H24698" s="8" t="s">
        <v>364</v>
      </c>
    </row>
    <row r="24699">
      <c r="H24699" s="8" t="s">
        <v>364</v>
      </c>
    </row>
    <row r="24700">
      <c r="H24700" s="8" t="s">
        <v>364</v>
      </c>
    </row>
    <row r="24701">
      <c r="H24701" s="8" t="s">
        <v>364</v>
      </c>
    </row>
    <row r="24702">
      <c r="H24702" s="8" t="s">
        <v>364</v>
      </c>
    </row>
    <row r="24703">
      <c r="H24703" s="8" t="s">
        <v>364</v>
      </c>
    </row>
    <row r="24704">
      <c r="H24704" s="8" t="s">
        <v>364</v>
      </c>
    </row>
    <row r="24705">
      <c r="H24705" s="8" t="s">
        <v>364</v>
      </c>
    </row>
    <row r="24706">
      <c r="H24706" s="8" t="s">
        <v>364</v>
      </c>
    </row>
    <row r="24707">
      <c r="H24707" s="8" t="s">
        <v>364</v>
      </c>
    </row>
    <row r="24708">
      <c r="H24708" s="8" t="s">
        <v>364</v>
      </c>
    </row>
    <row r="24709">
      <c r="H24709" s="8" t="s">
        <v>364</v>
      </c>
    </row>
    <row r="24710">
      <c r="H24710" s="8" t="s">
        <v>364</v>
      </c>
    </row>
    <row r="24711">
      <c r="H24711" s="8" t="s">
        <v>364</v>
      </c>
    </row>
    <row r="24712">
      <c r="H24712" s="8" t="s">
        <v>364</v>
      </c>
    </row>
    <row r="24713">
      <c r="H24713" s="8" t="s">
        <v>364</v>
      </c>
    </row>
    <row r="24714">
      <c r="H24714" s="8" t="s">
        <v>364</v>
      </c>
    </row>
    <row r="24715">
      <c r="H24715" s="8" t="s">
        <v>364</v>
      </c>
    </row>
    <row r="24716">
      <c r="H24716" s="8" t="s">
        <v>364</v>
      </c>
    </row>
    <row r="24717">
      <c r="H24717" s="8" t="s">
        <v>364</v>
      </c>
    </row>
    <row r="24718">
      <c r="H24718" s="8" t="s">
        <v>364</v>
      </c>
    </row>
    <row r="24719">
      <c r="H24719" s="8" t="s">
        <v>364</v>
      </c>
    </row>
    <row r="24720">
      <c r="H24720" s="8" t="s">
        <v>364</v>
      </c>
    </row>
    <row r="24721">
      <c r="H24721" s="8" t="s">
        <v>364</v>
      </c>
    </row>
    <row r="24722">
      <c r="H24722" s="8" t="s">
        <v>364</v>
      </c>
    </row>
    <row r="24723">
      <c r="H24723" s="8" t="s">
        <v>364</v>
      </c>
    </row>
    <row r="24724">
      <c r="H24724" s="8" t="s">
        <v>364</v>
      </c>
    </row>
    <row r="24725">
      <c r="H24725" s="8" t="s">
        <v>364</v>
      </c>
    </row>
    <row r="24726">
      <c r="H24726" s="8" t="s">
        <v>364</v>
      </c>
    </row>
    <row r="24727">
      <c r="H24727" s="8" t="s">
        <v>364</v>
      </c>
    </row>
    <row r="24728">
      <c r="H24728" s="8" t="s">
        <v>364</v>
      </c>
    </row>
    <row r="24729">
      <c r="H24729" s="8" t="s">
        <v>364</v>
      </c>
    </row>
    <row r="24730">
      <c r="H24730" s="8" t="s">
        <v>364</v>
      </c>
    </row>
    <row r="24731">
      <c r="H24731" s="8" t="s">
        <v>364</v>
      </c>
    </row>
    <row r="24732">
      <c r="H24732" s="8" t="s">
        <v>364</v>
      </c>
    </row>
    <row r="24733">
      <c r="H24733" s="8" t="s">
        <v>364</v>
      </c>
    </row>
    <row r="24734">
      <c r="H24734" s="8" t="s">
        <v>364</v>
      </c>
    </row>
    <row r="24735">
      <c r="H24735" s="8" t="s">
        <v>364</v>
      </c>
    </row>
    <row r="24736">
      <c r="H24736" s="8" t="s">
        <v>364</v>
      </c>
    </row>
    <row r="24737">
      <c r="H24737" s="8" t="s">
        <v>364</v>
      </c>
    </row>
    <row r="24738">
      <c r="H24738" s="8" t="s">
        <v>364</v>
      </c>
    </row>
    <row r="24739">
      <c r="H24739" s="8" t="s">
        <v>364</v>
      </c>
    </row>
    <row r="24740">
      <c r="H24740" s="8" t="s">
        <v>364</v>
      </c>
    </row>
    <row r="24741">
      <c r="H24741" s="8" t="s">
        <v>364</v>
      </c>
    </row>
    <row r="24742">
      <c r="H24742" s="8" t="s">
        <v>364</v>
      </c>
    </row>
    <row r="24743">
      <c r="H24743" s="8" t="s">
        <v>364</v>
      </c>
    </row>
    <row r="24744">
      <c r="H24744" s="8" t="s">
        <v>364</v>
      </c>
    </row>
    <row r="24745">
      <c r="H24745" s="8" t="s">
        <v>364</v>
      </c>
    </row>
    <row r="24746">
      <c r="H24746" s="8" t="s">
        <v>364</v>
      </c>
    </row>
    <row r="24747">
      <c r="H24747" s="8" t="s">
        <v>364</v>
      </c>
    </row>
    <row r="24748">
      <c r="H24748" s="8" t="s">
        <v>364</v>
      </c>
    </row>
    <row r="24749">
      <c r="H24749" s="8" t="s">
        <v>364</v>
      </c>
    </row>
    <row r="24750">
      <c r="H24750" s="8" t="s">
        <v>364</v>
      </c>
    </row>
    <row r="24751">
      <c r="H24751" s="8" t="s">
        <v>364</v>
      </c>
    </row>
    <row r="24752">
      <c r="H24752" s="8" t="s">
        <v>364</v>
      </c>
    </row>
    <row r="24753">
      <c r="H24753" s="8" t="s">
        <v>364</v>
      </c>
    </row>
    <row r="24754">
      <c r="H24754" s="8" t="s">
        <v>364</v>
      </c>
    </row>
    <row r="24755">
      <c r="H24755" s="8" t="s">
        <v>364</v>
      </c>
    </row>
    <row r="24756">
      <c r="H24756" s="8" t="s">
        <v>364</v>
      </c>
    </row>
    <row r="24757">
      <c r="H24757" s="8" t="s">
        <v>364</v>
      </c>
    </row>
    <row r="24758">
      <c r="H24758" s="8" t="s">
        <v>364</v>
      </c>
    </row>
    <row r="24759">
      <c r="H24759" s="8" t="s">
        <v>364</v>
      </c>
    </row>
    <row r="24760">
      <c r="H24760" s="8" t="s">
        <v>364</v>
      </c>
    </row>
    <row r="24761">
      <c r="H24761" s="8" t="s">
        <v>364</v>
      </c>
    </row>
    <row r="24762">
      <c r="H24762" s="8" t="s">
        <v>364</v>
      </c>
    </row>
    <row r="24763">
      <c r="H24763" s="8" t="s">
        <v>364</v>
      </c>
    </row>
    <row r="24764">
      <c r="H24764" s="8" t="s">
        <v>364</v>
      </c>
    </row>
    <row r="24765">
      <c r="H24765" s="8" t="s">
        <v>364</v>
      </c>
    </row>
    <row r="24766">
      <c r="H24766" s="8" t="s">
        <v>364</v>
      </c>
    </row>
    <row r="24767">
      <c r="H24767" s="8" t="s">
        <v>364</v>
      </c>
    </row>
    <row r="24768">
      <c r="H24768" s="8" t="s">
        <v>364</v>
      </c>
    </row>
    <row r="24769">
      <c r="H24769" s="8" t="s">
        <v>364</v>
      </c>
    </row>
    <row r="24770">
      <c r="H24770" s="8" t="s">
        <v>364</v>
      </c>
    </row>
    <row r="24771">
      <c r="H24771" s="8" t="s">
        <v>364</v>
      </c>
    </row>
    <row r="24772">
      <c r="H24772" s="8" t="s">
        <v>364</v>
      </c>
    </row>
    <row r="24773">
      <c r="H24773" s="8" t="s">
        <v>364</v>
      </c>
    </row>
    <row r="24774">
      <c r="H24774" s="8" t="s">
        <v>364</v>
      </c>
    </row>
    <row r="24775">
      <c r="H24775" s="8" t="s">
        <v>364</v>
      </c>
    </row>
    <row r="24776">
      <c r="H24776" s="8" t="s">
        <v>364</v>
      </c>
    </row>
    <row r="24777">
      <c r="H24777" s="8" t="s">
        <v>364</v>
      </c>
    </row>
    <row r="24778">
      <c r="H24778" s="8" t="s">
        <v>364</v>
      </c>
    </row>
    <row r="24779">
      <c r="H24779" s="8" t="s">
        <v>364</v>
      </c>
    </row>
    <row r="24780">
      <c r="H24780" s="8" t="s">
        <v>364</v>
      </c>
    </row>
    <row r="24781">
      <c r="H24781" s="8" t="s">
        <v>364</v>
      </c>
    </row>
    <row r="24782">
      <c r="H24782" s="8" t="s">
        <v>364</v>
      </c>
    </row>
    <row r="24783">
      <c r="H24783" s="8" t="s">
        <v>364</v>
      </c>
    </row>
    <row r="24784">
      <c r="H24784" s="8" t="s">
        <v>364</v>
      </c>
    </row>
    <row r="24785">
      <c r="H24785" s="8" t="s">
        <v>364</v>
      </c>
    </row>
    <row r="24786">
      <c r="H24786" s="8" t="s">
        <v>364</v>
      </c>
    </row>
    <row r="24787">
      <c r="H24787" s="8" t="s">
        <v>364</v>
      </c>
    </row>
    <row r="24788">
      <c r="H24788" s="8" t="s">
        <v>364</v>
      </c>
    </row>
    <row r="24789">
      <c r="H24789" s="8" t="s">
        <v>364</v>
      </c>
    </row>
    <row r="24790">
      <c r="H24790" s="8" t="s">
        <v>364</v>
      </c>
    </row>
    <row r="24791">
      <c r="H24791" s="8" t="s">
        <v>364</v>
      </c>
    </row>
    <row r="24792">
      <c r="H24792" s="8" t="s">
        <v>364</v>
      </c>
    </row>
    <row r="24793">
      <c r="H24793" s="8" t="s">
        <v>364</v>
      </c>
    </row>
    <row r="24794">
      <c r="H24794" s="8" t="s">
        <v>364</v>
      </c>
    </row>
    <row r="24795">
      <c r="H24795" s="8" t="s">
        <v>364</v>
      </c>
    </row>
    <row r="24796">
      <c r="H24796" s="8" t="s">
        <v>364</v>
      </c>
    </row>
    <row r="24797">
      <c r="H24797" s="8" t="s">
        <v>364</v>
      </c>
    </row>
    <row r="24798">
      <c r="H24798" s="8" t="s">
        <v>364</v>
      </c>
    </row>
    <row r="24799">
      <c r="H24799" s="8" t="s">
        <v>364</v>
      </c>
    </row>
    <row r="24800">
      <c r="H24800" s="8" t="s">
        <v>364</v>
      </c>
    </row>
    <row r="24801">
      <c r="H24801" s="8" t="s">
        <v>364</v>
      </c>
    </row>
    <row r="24802">
      <c r="H24802" s="8" t="s">
        <v>364</v>
      </c>
    </row>
    <row r="24803">
      <c r="H24803" s="8" t="s">
        <v>364</v>
      </c>
    </row>
    <row r="24804">
      <c r="H24804" s="8" t="s">
        <v>364</v>
      </c>
    </row>
    <row r="24805">
      <c r="H24805" s="8" t="s">
        <v>364</v>
      </c>
    </row>
    <row r="24806">
      <c r="H24806" s="8" t="s">
        <v>364</v>
      </c>
    </row>
    <row r="24807">
      <c r="H24807" s="8" t="s">
        <v>364</v>
      </c>
    </row>
    <row r="24808">
      <c r="H24808" s="8" t="s">
        <v>364</v>
      </c>
    </row>
    <row r="24809">
      <c r="H24809" s="8" t="s">
        <v>364</v>
      </c>
    </row>
    <row r="24810">
      <c r="H24810" s="8" t="s">
        <v>364</v>
      </c>
    </row>
    <row r="24811">
      <c r="H24811" s="8" t="s">
        <v>364</v>
      </c>
    </row>
    <row r="24812">
      <c r="H24812" s="8" t="s">
        <v>364</v>
      </c>
    </row>
    <row r="24813">
      <c r="H24813" s="8" t="s">
        <v>364</v>
      </c>
    </row>
    <row r="24814">
      <c r="H24814" s="8" t="s">
        <v>364</v>
      </c>
    </row>
    <row r="24815">
      <c r="H24815" s="8" t="s">
        <v>364</v>
      </c>
    </row>
    <row r="24816">
      <c r="H24816" s="8" t="s">
        <v>364</v>
      </c>
    </row>
    <row r="24817">
      <c r="H24817" s="8" t="s">
        <v>364</v>
      </c>
    </row>
    <row r="24818">
      <c r="H24818" s="8" t="s">
        <v>364</v>
      </c>
    </row>
    <row r="24819">
      <c r="H24819" s="8" t="s">
        <v>364</v>
      </c>
    </row>
    <row r="24820">
      <c r="H24820" s="8" t="s">
        <v>364</v>
      </c>
    </row>
    <row r="24821">
      <c r="H24821" s="8" t="s">
        <v>364</v>
      </c>
    </row>
    <row r="24822">
      <c r="H24822" s="8" t="s">
        <v>364</v>
      </c>
    </row>
    <row r="24823">
      <c r="H24823" s="8" t="s">
        <v>364</v>
      </c>
    </row>
    <row r="24824">
      <c r="H24824" s="8" t="s">
        <v>364</v>
      </c>
    </row>
    <row r="24825">
      <c r="H24825" s="8" t="s">
        <v>364</v>
      </c>
    </row>
    <row r="24826">
      <c r="H24826" s="8" t="s">
        <v>364</v>
      </c>
    </row>
    <row r="24827">
      <c r="H24827" s="8" t="s">
        <v>364</v>
      </c>
    </row>
    <row r="24828">
      <c r="H24828" s="8" t="s">
        <v>364</v>
      </c>
    </row>
    <row r="24829">
      <c r="H24829" s="8" t="s">
        <v>364</v>
      </c>
    </row>
    <row r="24830">
      <c r="H24830" s="8" t="s">
        <v>364</v>
      </c>
    </row>
    <row r="24831">
      <c r="H24831" s="8" t="s">
        <v>364</v>
      </c>
    </row>
    <row r="24832">
      <c r="H24832" s="8" t="s">
        <v>364</v>
      </c>
    </row>
    <row r="24833">
      <c r="H24833" s="8" t="s">
        <v>364</v>
      </c>
    </row>
    <row r="24834">
      <c r="H24834" s="8" t="s">
        <v>364</v>
      </c>
    </row>
    <row r="24835">
      <c r="H24835" s="8" t="s">
        <v>364</v>
      </c>
    </row>
    <row r="24836">
      <c r="H24836" s="8" t="s">
        <v>364</v>
      </c>
    </row>
    <row r="24837">
      <c r="H24837" s="8" t="s">
        <v>364</v>
      </c>
    </row>
    <row r="24838">
      <c r="H24838" s="8" t="s">
        <v>364</v>
      </c>
    </row>
    <row r="24839">
      <c r="H24839" s="8" t="s">
        <v>364</v>
      </c>
    </row>
    <row r="24840">
      <c r="H24840" s="8" t="s">
        <v>364</v>
      </c>
    </row>
    <row r="24841">
      <c r="H24841" s="8" t="s">
        <v>364</v>
      </c>
    </row>
    <row r="24842">
      <c r="H24842" s="8" t="s">
        <v>364</v>
      </c>
    </row>
    <row r="24843">
      <c r="H24843" s="8" t="s">
        <v>364</v>
      </c>
    </row>
    <row r="24844">
      <c r="H24844" s="8" t="s">
        <v>364</v>
      </c>
    </row>
    <row r="24845">
      <c r="H24845" s="8" t="s">
        <v>364</v>
      </c>
    </row>
    <row r="24846">
      <c r="H24846" s="8" t="s">
        <v>364</v>
      </c>
    </row>
    <row r="24847">
      <c r="H24847" s="8" t="s">
        <v>364</v>
      </c>
    </row>
    <row r="24848">
      <c r="H24848" s="8" t="s">
        <v>364</v>
      </c>
    </row>
    <row r="24849">
      <c r="H24849" s="8" t="s">
        <v>364</v>
      </c>
    </row>
    <row r="24850">
      <c r="H24850" s="8" t="s">
        <v>364</v>
      </c>
    </row>
    <row r="24851">
      <c r="H24851" s="8" t="s">
        <v>364</v>
      </c>
    </row>
    <row r="24852">
      <c r="H24852" s="8" t="s">
        <v>364</v>
      </c>
    </row>
    <row r="24853">
      <c r="H24853" s="8" t="s">
        <v>364</v>
      </c>
    </row>
    <row r="24854">
      <c r="H24854" s="8" t="s">
        <v>364</v>
      </c>
    </row>
    <row r="24855">
      <c r="H24855" s="8" t="s">
        <v>364</v>
      </c>
    </row>
    <row r="24856">
      <c r="H24856" s="8" t="s">
        <v>364</v>
      </c>
    </row>
    <row r="24857">
      <c r="H24857" s="8" t="s">
        <v>364</v>
      </c>
    </row>
    <row r="24858">
      <c r="H24858" s="8" t="s">
        <v>364</v>
      </c>
    </row>
    <row r="24859">
      <c r="H24859" s="8" t="s">
        <v>364</v>
      </c>
    </row>
    <row r="24860">
      <c r="H24860" s="8" t="s">
        <v>364</v>
      </c>
    </row>
    <row r="24861">
      <c r="H24861" s="8" t="s">
        <v>364</v>
      </c>
    </row>
    <row r="24862">
      <c r="H24862" s="8" t="s">
        <v>364</v>
      </c>
    </row>
    <row r="24863">
      <c r="H24863" s="8" t="s">
        <v>364</v>
      </c>
    </row>
    <row r="24864">
      <c r="H24864" s="8" t="s">
        <v>364</v>
      </c>
    </row>
    <row r="24865">
      <c r="H24865" s="8" t="s">
        <v>364</v>
      </c>
    </row>
    <row r="24866">
      <c r="H24866" s="8" t="s">
        <v>364</v>
      </c>
    </row>
    <row r="24867">
      <c r="H24867" s="8" t="s">
        <v>364</v>
      </c>
    </row>
    <row r="24868">
      <c r="H24868" s="8" t="s">
        <v>364</v>
      </c>
    </row>
    <row r="24869">
      <c r="H24869" s="8" t="s">
        <v>364</v>
      </c>
    </row>
    <row r="24870">
      <c r="H24870" s="8" t="s">
        <v>364</v>
      </c>
    </row>
    <row r="24871">
      <c r="H24871" s="8" t="s">
        <v>364</v>
      </c>
    </row>
    <row r="24872">
      <c r="H24872" s="8" t="s">
        <v>364</v>
      </c>
    </row>
    <row r="24873">
      <c r="H24873" s="8" t="s">
        <v>364</v>
      </c>
    </row>
    <row r="24874">
      <c r="H24874" s="8" t="s">
        <v>364</v>
      </c>
    </row>
    <row r="24875">
      <c r="H24875" s="8" t="s">
        <v>364</v>
      </c>
    </row>
    <row r="24876">
      <c r="H24876" s="8" t="s">
        <v>364</v>
      </c>
    </row>
    <row r="24877">
      <c r="H24877" s="8" t="s">
        <v>364</v>
      </c>
    </row>
    <row r="24878">
      <c r="H24878" s="8" t="s">
        <v>364</v>
      </c>
    </row>
    <row r="24879">
      <c r="H24879" s="8" t="s">
        <v>364</v>
      </c>
    </row>
    <row r="24880">
      <c r="H24880" s="8" t="s">
        <v>364</v>
      </c>
    </row>
    <row r="24881">
      <c r="H24881" s="8" t="s">
        <v>364</v>
      </c>
    </row>
    <row r="24882">
      <c r="H24882" s="8" t="s">
        <v>364</v>
      </c>
    </row>
    <row r="24883">
      <c r="H24883" s="8" t="s">
        <v>364</v>
      </c>
    </row>
    <row r="24884">
      <c r="H24884" s="8" t="s">
        <v>364</v>
      </c>
    </row>
    <row r="24885">
      <c r="H24885" s="8" t="s">
        <v>364</v>
      </c>
    </row>
    <row r="24886">
      <c r="H24886" s="8" t="s">
        <v>364</v>
      </c>
    </row>
    <row r="24887">
      <c r="H24887" s="8" t="s">
        <v>364</v>
      </c>
    </row>
    <row r="24888">
      <c r="H24888" s="8" t="s">
        <v>364</v>
      </c>
    </row>
    <row r="24889">
      <c r="H24889" s="8" t="s">
        <v>364</v>
      </c>
    </row>
    <row r="24890">
      <c r="H24890" s="8" t="s">
        <v>364</v>
      </c>
    </row>
    <row r="24891">
      <c r="H24891" s="8" t="s">
        <v>364</v>
      </c>
    </row>
    <row r="24892">
      <c r="H24892" s="8" t="s">
        <v>364</v>
      </c>
    </row>
    <row r="24893">
      <c r="H24893" s="8" t="s">
        <v>364</v>
      </c>
    </row>
    <row r="24894">
      <c r="H24894" s="8" t="s">
        <v>364</v>
      </c>
    </row>
    <row r="24895">
      <c r="H24895" s="8" t="s">
        <v>364</v>
      </c>
    </row>
    <row r="24896">
      <c r="H24896" s="8" t="s">
        <v>364</v>
      </c>
    </row>
    <row r="24897">
      <c r="H24897" s="8" t="s">
        <v>364</v>
      </c>
    </row>
    <row r="24898">
      <c r="H24898" s="8" t="s">
        <v>364</v>
      </c>
    </row>
    <row r="24899">
      <c r="H24899" s="8" t="s">
        <v>364</v>
      </c>
    </row>
    <row r="24900">
      <c r="H24900" s="8" t="s">
        <v>364</v>
      </c>
    </row>
    <row r="24901">
      <c r="H24901" s="8" t="s">
        <v>364</v>
      </c>
    </row>
    <row r="24902">
      <c r="H24902" s="8" t="s">
        <v>364</v>
      </c>
    </row>
    <row r="24903">
      <c r="H24903" s="8" t="s">
        <v>364</v>
      </c>
    </row>
    <row r="24904">
      <c r="H24904" s="8" t="s">
        <v>364</v>
      </c>
    </row>
    <row r="24905">
      <c r="H24905" s="8" t="s">
        <v>364</v>
      </c>
    </row>
    <row r="24906">
      <c r="H24906" s="8" t="s">
        <v>364</v>
      </c>
    </row>
    <row r="24907">
      <c r="H24907" s="8" t="s">
        <v>364</v>
      </c>
    </row>
    <row r="24908">
      <c r="H24908" s="8" t="s">
        <v>364</v>
      </c>
    </row>
    <row r="24909">
      <c r="H24909" s="8" t="s">
        <v>364</v>
      </c>
    </row>
    <row r="24910">
      <c r="H24910" s="8" t="s">
        <v>364</v>
      </c>
    </row>
    <row r="24911">
      <c r="H24911" s="8" t="s">
        <v>364</v>
      </c>
    </row>
    <row r="24912">
      <c r="H24912" s="8" t="s">
        <v>364</v>
      </c>
    </row>
    <row r="24913">
      <c r="H24913" s="8" t="s">
        <v>364</v>
      </c>
    </row>
    <row r="24914">
      <c r="H24914" s="8" t="s">
        <v>364</v>
      </c>
    </row>
    <row r="24915">
      <c r="H24915" s="8" t="s">
        <v>364</v>
      </c>
    </row>
    <row r="24916">
      <c r="H24916" s="8" t="s">
        <v>364</v>
      </c>
    </row>
    <row r="24917">
      <c r="H24917" s="8" t="s">
        <v>364</v>
      </c>
    </row>
    <row r="24918">
      <c r="H24918" s="8" t="s">
        <v>364</v>
      </c>
    </row>
    <row r="24919">
      <c r="H24919" s="8" t="s">
        <v>364</v>
      </c>
    </row>
    <row r="24920">
      <c r="H24920" s="8" t="s">
        <v>364</v>
      </c>
    </row>
    <row r="24921">
      <c r="H24921" s="8" t="s">
        <v>364</v>
      </c>
    </row>
    <row r="24922">
      <c r="H24922" s="8" t="s">
        <v>364</v>
      </c>
    </row>
    <row r="24923">
      <c r="H24923" s="8" t="s">
        <v>364</v>
      </c>
    </row>
    <row r="24924">
      <c r="H24924" s="8" t="s">
        <v>364</v>
      </c>
    </row>
    <row r="24925">
      <c r="H24925" s="8" t="s">
        <v>364</v>
      </c>
    </row>
    <row r="24926">
      <c r="H24926" s="8" t="s">
        <v>364</v>
      </c>
    </row>
    <row r="24927">
      <c r="H24927" s="8" t="s">
        <v>364</v>
      </c>
    </row>
    <row r="24928">
      <c r="H24928" s="8" t="s">
        <v>364</v>
      </c>
    </row>
    <row r="24929">
      <c r="H24929" s="8" t="s">
        <v>364</v>
      </c>
    </row>
    <row r="24930">
      <c r="H24930" s="8" t="s">
        <v>364</v>
      </c>
    </row>
    <row r="24931">
      <c r="H24931" s="8" t="s">
        <v>364</v>
      </c>
    </row>
    <row r="24932">
      <c r="H24932" s="8" t="s">
        <v>364</v>
      </c>
    </row>
    <row r="24933">
      <c r="H24933" s="8" t="s">
        <v>364</v>
      </c>
    </row>
    <row r="24934">
      <c r="H24934" s="8" t="s">
        <v>364</v>
      </c>
    </row>
    <row r="24935">
      <c r="H24935" s="8" t="s">
        <v>364</v>
      </c>
    </row>
    <row r="24936">
      <c r="H24936" s="8" t="s">
        <v>364</v>
      </c>
    </row>
    <row r="24937">
      <c r="H24937" s="8" t="s">
        <v>364</v>
      </c>
    </row>
    <row r="24938">
      <c r="H24938" s="8" t="s">
        <v>364</v>
      </c>
    </row>
    <row r="24939">
      <c r="H24939" s="8" t="s">
        <v>364</v>
      </c>
    </row>
    <row r="24940">
      <c r="H24940" s="8" t="s">
        <v>364</v>
      </c>
    </row>
    <row r="24941">
      <c r="H24941" s="8" t="s">
        <v>364</v>
      </c>
    </row>
    <row r="24942">
      <c r="H24942" s="8" t="s">
        <v>364</v>
      </c>
    </row>
    <row r="24943">
      <c r="H24943" s="8" t="s">
        <v>364</v>
      </c>
    </row>
    <row r="24944">
      <c r="H24944" s="8" t="s">
        <v>364</v>
      </c>
    </row>
    <row r="24945">
      <c r="H24945" s="8" t="s">
        <v>364</v>
      </c>
    </row>
    <row r="24946">
      <c r="H24946" s="8" t="s">
        <v>364</v>
      </c>
    </row>
    <row r="24947">
      <c r="H24947" s="8" t="s">
        <v>364</v>
      </c>
    </row>
    <row r="24948">
      <c r="H24948" s="8" t="s">
        <v>364</v>
      </c>
    </row>
    <row r="24949">
      <c r="H24949" s="8" t="s">
        <v>364</v>
      </c>
    </row>
    <row r="24950">
      <c r="H24950" s="8" t="s">
        <v>364</v>
      </c>
    </row>
    <row r="24951">
      <c r="H24951" s="8" t="s">
        <v>364</v>
      </c>
    </row>
    <row r="24952">
      <c r="H24952" s="8" t="s">
        <v>364</v>
      </c>
    </row>
    <row r="24953">
      <c r="H24953" s="8" t="s">
        <v>364</v>
      </c>
    </row>
    <row r="24954">
      <c r="H24954" s="8" t="s">
        <v>364</v>
      </c>
    </row>
    <row r="24955">
      <c r="H24955" s="8" t="s">
        <v>364</v>
      </c>
    </row>
    <row r="24956">
      <c r="H24956" s="8" t="s">
        <v>364</v>
      </c>
    </row>
    <row r="24957">
      <c r="H24957" s="8" t="s">
        <v>364</v>
      </c>
    </row>
    <row r="24958">
      <c r="H24958" s="8" t="s">
        <v>364</v>
      </c>
    </row>
    <row r="24959">
      <c r="H24959" s="8" t="s">
        <v>364</v>
      </c>
    </row>
    <row r="24960">
      <c r="H24960" s="8" t="s">
        <v>364</v>
      </c>
    </row>
    <row r="24961">
      <c r="H24961" s="8" t="s">
        <v>364</v>
      </c>
    </row>
    <row r="24962">
      <c r="H24962" s="8" t="s">
        <v>364</v>
      </c>
    </row>
    <row r="24963">
      <c r="H24963" s="8" t="s">
        <v>364</v>
      </c>
    </row>
    <row r="24964">
      <c r="H24964" s="8" t="s">
        <v>364</v>
      </c>
    </row>
    <row r="24965">
      <c r="H24965" s="8" t="s">
        <v>364</v>
      </c>
    </row>
    <row r="24966">
      <c r="H24966" s="8" t="s">
        <v>364</v>
      </c>
    </row>
    <row r="24967">
      <c r="H24967" s="8" t="s">
        <v>364</v>
      </c>
    </row>
    <row r="24968">
      <c r="H24968" s="8" t="s">
        <v>364</v>
      </c>
    </row>
    <row r="24969">
      <c r="H24969" s="8" t="s">
        <v>364</v>
      </c>
    </row>
    <row r="24970">
      <c r="H24970" s="8" t="s">
        <v>364</v>
      </c>
    </row>
    <row r="24971">
      <c r="H24971" s="8" t="s">
        <v>364</v>
      </c>
    </row>
    <row r="24972">
      <c r="H24972" s="8" t="s">
        <v>364</v>
      </c>
    </row>
    <row r="24973">
      <c r="H24973" s="8" t="s">
        <v>364</v>
      </c>
    </row>
    <row r="24974">
      <c r="H24974" s="8" t="s">
        <v>364</v>
      </c>
    </row>
    <row r="24975">
      <c r="H24975" s="8" t="s">
        <v>364</v>
      </c>
    </row>
    <row r="24976">
      <c r="H24976" s="8" t="s">
        <v>364</v>
      </c>
    </row>
    <row r="24977">
      <c r="H24977" s="8" t="s">
        <v>364</v>
      </c>
    </row>
    <row r="24978">
      <c r="H24978" s="8" t="s">
        <v>364</v>
      </c>
    </row>
    <row r="24979">
      <c r="H24979" s="8" t="s">
        <v>364</v>
      </c>
    </row>
    <row r="24980">
      <c r="H24980" s="8" t="s">
        <v>364</v>
      </c>
    </row>
    <row r="24981">
      <c r="H24981" s="8" t="s">
        <v>364</v>
      </c>
    </row>
    <row r="24982">
      <c r="H24982" s="8" t="s">
        <v>364</v>
      </c>
    </row>
    <row r="24983">
      <c r="H24983" s="8" t="s">
        <v>364</v>
      </c>
    </row>
    <row r="24984">
      <c r="H24984" s="8" t="s">
        <v>364</v>
      </c>
    </row>
    <row r="24985">
      <c r="H24985" s="8" t="s">
        <v>364</v>
      </c>
    </row>
    <row r="24986">
      <c r="H24986" s="8" t="s">
        <v>364</v>
      </c>
    </row>
    <row r="24987">
      <c r="H24987" s="8" t="s">
        <v>364</v>
      </c>
    </row>
    <row r="24988">
      <c r="H24988" s="8" t="s">
        <v>364</v>
      </c>
    </row>
    <row r="24989">
      <c r="H24989" s="8" t="s">
        <v>364</v>
      </c>
    </row>
    <row r="24990">
      <c r="H24990" s="8" t="s">
        <v>364</v>
      </c>
    </row>
    <row r="24991">
      <c r="H24991" s="8" t="s">
        <v>364</v>
      </c>
    </row>
    <row r="24992">
      <c r="H24992" s="8" t="s">
        <v>364</v>
      </c>
    </row>
    <row r="24993">
      <c r="H24993" s="8" t="s">
        <v>364</v>
      </c>
    </row>
    <row r="24994">
      <c r="H24994" s="8" t="s">
        <v>364</v>
      </c>
    </row>
    <row r="24995">
      <c r="H24995" s="8" t="s">
        <v>364</v>
      </c>
    </row>
    <row r="24996">
      <c r="H24996" s="8" t="s">
        <v>364</v>
      </c>
    </row>
    <row r="24997">
      <c r="H24997" s="8" t="s">
        <v>364</v>
      </c>
    </row>
    <row r="24998">
      <c r="H24998" s="8" t="s">
        <v>364</v>
      </c>
    </row>
    <row r="24999">
      <c r="H24999" s="8" t="s">
        <v>364</v>
      </c>
    </row>
    <row r="25000">
      <c r="H25000" s="8" t="s">
        <v>364</v>
      </c>
    </row>
    <row r="25001">
      <c r="H25001" s="8" t="s">
        <v>364</v>
      </c>
    </row>
    <row r="25002">
      <c r="H25002" s="8" t="s">
        <v>364</v>
      </c>
    </row>
    <row r="25003">
      <c r="H25003" s="8" t="s">
        <v>364</v>
      </c>
    </row>
    <row r="25004">
      <c r="H25004" s="8" t="s">
        <v>364</v>
      </c>
    </row>
    <row r="25005">
      <c r="H25005" s="8" t="s">
        <v>364</v>
      </c>
    </row>
    <row r="25006">
      <c r="H25006" s="8" t="s">
        <v>364</v>
      </c>
    </row>
    <row r="25007">
      <c r="H25007" s="8" t="s">
        <v>364</v>
      </c>
    </row>
    <row r="25008">
      <c r="H25008" s="8" t="s">
        <v>364</v>
      </c>
    </row>
    <row r="25009">
      <c r="H25009" s="8" t="s">
        <v>364</v>
      </c>
    </row>
    <row r="25010">
      <c r="H25010" s="8" t="s">
        <v>364</v>
      </c>
    </row>
    <row r="25011">
      <c r="H25011" s="8" t="s">
        <v>364</v>
      </c>
    </row>
    <row r="25012">
      <c r="H25012" s="8" t="s">
        <v>364</v>
      </c>
    </row>
    <row r="25013">
      <c r="H25013" s="8" t="s">
        <v>364</v>
      </c>
    </row>
    <row r="25014">
      <c r="H25014" s="8" t="s">
        <v>364</v>
      </c>
    </row>
    <row r="25015">
      <c r="H25015" s="8" t="s">
        <v>364</v>
      </c>
    </row>
    <row r="25016">
      <c r="H25016" s="8" t="s">
        <v>364</v>
      </c>
    </row>
    <row r="25017">
      <c r="H25017" s="8" t="s">
        <v>364</v>
      </c>
    </row>
    <row r="25018">
      <c r="H25018" s="8" t="s">
        <v>364</v>
      </c>
    </row>
    <row r="25019">
      <c r="H25019" s="8" t="s">
        <v>364</v>
      </c>
    </row>
    <row r="25020">
      <c r="H25020" s="8" t="s">
        <v>364</v>
      </c>
    </row>
    <row r="25021">
      <c r="H25021" s="8" t="s">
        <v>364</v>
      </c>
    </row>
    <row r="25022">
      <c r="H25022" s="8" t="s">
        <v>364</v>
      </c>
    </row>
    <row r="25023">
      <c r="H25023" s="8" t="s">
        <v>364</v>
      </c>
    </row>
    <row r="25024">
      <c r="H25024" s="8" t="s">
        <v>364</v>
      </c>
    </row>
    <row r="25025">
      <c r="H25025" s="8" t="s">
        <v>364</v>
      </c>
    </row>
    <row r="25026">
      <c r="H25026" s="8" t="s">
        <v>364</v>
      </c>
    </row>
    <row r="25027">
      <c r="H25027" s="8" t="s">
        <v>364</v>
      </c>
    </row>
    <row r="25028">
      <c r="H25028" s="8" t="s">
        <v>364</v>
      </c>
    </row>
    <row r="25029">
      <c r="H25029" s="8" t="s">
        <v>364</v>
      </c>
    </row>
    <row r="25030">
      <c r="H25030" s="8" t="s">
        <v>364</v>
      </c>
    </row>
    <row r="25031">
      <c r="H25031" s="8" t="s">
        <v>364</v>
      </c>
    </row>
    <row r="25032">
      <c r="H25032" s="8" t="s">
        <v>364</v>
      </c>
    </row>
    <row r="25033">
      <c r="H25033" s="8" t="s">
        <v>364</v>
      </c>
    </row>
    <row r="25034">
      <c r="H25034" s="8" t="s">
        <v>364</v>
      </c>
    </row>
    <row r="25035">
      <c r="H25035" s="8" t="s">
        <v>364</v>
      </c>
    </row>
    <row r="25036">
      <c r="H25036" s="8" t="s">
        <v>364</v>
      </c>
    </row>
    <row r="25037">
      <c r="H25037" s="8" t="s">
        <v>364</v>
      </c>
    </row>
    <row r="25038">
      <c r="H25038" s="8" t="s">
        <v>364</v>
      </c>
    </row>
    <row r="25039">
      <c r="H25039" s="8" t="s">
        <v>364</v>
      </c>
    </row>
    <row r="25040">
      <c r="H25040" s="8" t="s">
        <v>364</v>
      </c>
    </row>
    <row r="25041">
      <c r="H25041" s="8" t="s">
        <v>364</v>
      </c>
    </row>
    <row r="25042">
      <c r="H25042" s="8" t="s">
        <v>364</v>
      </c>
    </row>
    <row r="25043">
      <c r="H25043" s="8" t="s">
        <v>364</v>
      </c>
    </row>
    <row r="25044">
      <c r="H25044" s="8" t="s">
        <v>364</v>
      </c>
    </row>
    <row r="25045">
      <c r="H25045" s="8" t="s">
        <v>364</v>
      </c>
    </row>
    <row r="25046">
      <c r="H25046" s="8" t="s">
        <v>364</v>
      </c>
    </row>
    <row r="25047">
      <c r="H25047" s="8" t="s">
        <v>364</v>
      </c>
    </row>
    <row r="25048">
      <c r="H25048" s="8" t="s">
        <v>364</v>
      </c>
    </row>
    <row r="25049">
      <c r="H25049" s="8" t="s">
        <v>364</v>
      </c>
    </row>
    <row r="25050">
      <c r="H25050" s="8" t="s">
        <v>364</v>
      </c>
    </row>
    <row r="25051">
      <c r="H25051" s="8" t="s">
        <v>364</v>
      </c>
    </row>
    <row r="25052">
      <c r="H25052" s="8" t="s">
        <v>364</v>
      </c>
    </row>
    <row r="25053">
      <c r="H25053" s="8" t="s">
        <v>364</v>
      </c>
    </row>
    <row r="25054">
      <c r="H25054" s="8" t="s">
        <v>364</v>
      </c>
    </row>
    <row r="25055">
      <c r="H25055" s="8" t="s">
        <v>364</v>
      </c>
    </row>
    <row r="25056">
      <c r="H25056" s="8" t="s">
        <v>364</v>
      </c>
    </row>
    <row r="25057">
      <c r="H25057" s="8" t="s">
        <v>364</v>
      </c>
    </row>
    <row r="25058">
      <c r="H25058" s="8" t="s">
        <v>364</v>
      </c>
    </row>
    <row r="25059">
      <c r="H25059" s="8" t="s">
        <v>364</v>
      </c>
    </row>
    <row r="25060">
      <c r="H25060" s="8" t="s">
        <v>364</v>
      </c>
    </row>
    <row r="25061">
      <c r="H25061" s="8" t="s">
        <v>364</v>
      </c>
    </row>
    <row r="25062">
      <c r="H25062" s="8" t="s">
        <v>364</v>
      </c>
    </row>
    <row r="25063">
      <c r="H25063" s="8" t="s">
        <v>364</v>
      </c>
    </row>
    <row r="25064">
      <c r="H25064" s="8" t="s">
        <v>364</v>
      </c>
    </row>
    <row r="25065">
      <c r="H25065" s="8" t="s">
        <v>364</v>
      </c>
    </row>
    <row r="25066">
      <c r="H25066" s="8" t="s">
        <v>364</v>
      </c>
    </row>
    <row r="25067">
      <c r="H25067" s="8" t="s">
        <v>364</v>
      </c>
    </row>
    <row r="25068">
      <c r="H25068" s="8" t="s">
        <v>364</v>
      </c>
    </row>
    <row r="25069">
      <c r="H25069" s="8" t="s">
        <v>364</v>
      </c>
    </row>
    <row r="25070">
      <c r="H25070" s="8" t="s">
        <v>364</v>
      </c>
    </row>
    <row r="25071">
      <c r="H25071" s="8" t="s">
        <v>364</v>
      </c>
    </row>
    <row r="25072">
      <c r="H25072" s="8" t="s">
        <v>364</v>
      </c>
    </row>
    <row r="25073">
      <c r="H25073" s="8" t="s">
        <v>364</v>
      </c>
    </row>
    <row r="25074">
      <c r="H25074" s="8" t="s">
        <v>364</v>
      </c>
    </row>
    <row r="25075">
      <c r="H25075" s="8" t="s">
        <v>364</v>
      </c>
    </row>
    <row r="25076">
      <c r="H25076" s="8" t="s">
        <v>364</v>
      </c>
    </row>
    <row r="25077">
      <c r="H25077" s="8" t="s">
        <v>364</v>
      </c>
    </row>
    <row r="25078">
      <c r="H25078" s="8" t="s">
        <v>364</v>
      </c>
    </row>
    <row r="25079">
      <c r="H25079" s="8" t="s">
        <v>364</v>
      </c>
    </row>
    <row r="25080">
      <c r="H25080" s="8" t="s">
        <v>364</v>
      </c>
    </row>
    <row r="25081">
      <c r="H25081" s="8" t="s">
        <v>364</v>
      </c>
    </row>
    <row r="25082">
      <c r="H25082" s="8" t="s">
        <v>364</v>
      </c>
    </row>
    <row r="25083">
      <c r="H25083" s="8" t="s">
        <v>364</v>
      </c>
    </row>
    <row r="25084">
      <c r="H25084" s="8" t="s">
        <v>364</v>
      </c>
    </row>
    <row r="25085">
      <c r="H25085" s="8" t="s">
        <v>364</v>
      </c>
    </row>
    <row r="25086">
      <c r="H25086" s="8" t="s">
        <v>364</v>
      </c>
    </row>
    <row r="25087">
      <c r="H25087" s="8" t="s">
        <v>364</v>
      </c>
    </row>
    <row r="25088">
      <c r="H25088" s="8" t="s">
        <v>364</v>
      </c>
    </row>
    <row r="25089">
      <c r="H25089" s="8" t="s">
        <v>364</v>
      </c>
    </row>
    <row r="25090">
      <c r="H25090" s="8" t="s">
        <v>364</v>
      </c>
    </row>
    <row r="25091">
      <c r="H25091" s="8" t="s">
        <v>364</v>
      </c>
    </row>
    <row r="25092">
      <c r="H25092" s="8" t="s">
        <v>364</v>
      </c>
    </row>
    <row r="25093">
      <c r="H25093" s="8" t="s">
        <v>364</v>
      </c>
    </row>
    <row r="25094">
      <c r="H25094" s="8" t="s">
        <v>364</v>
      </c>
    </row>
    <row r="25095">
      <c r="H25095" s="8" t="s">
        <v>364</v>
      </c>
    </row>
    <row r="25096">
      <c r="H25096" s="8" t="s">
        <v>364</v>
      </c>
    </row>
    <row r="25097">
      <c r="H25097" s="8" t="s">
        <v>364</v>
      </c>
    </row>
    <row r="25098">
      <c r="H25098" s="8" t="s">
        <v>364</v>
      </c>
    </row>
    <row r="25099">
      <c r="H25099" s="8" t="s">
        <v>364</v>
      </c>
    </row>
    <row r="25100">
      <c r="H25100" s="8" t="s">
        <v>364</v>
      </c>
    </row>
    <row r="25101">
      <c r="H25101" s="8" t="s">
        <v>364</v>
      </c>
    </row>
    <row r="25102">
      <c r="H25102" s="8" t="s">
        <v>364</v>
      </c>
    </row>
    <row r="25103">
      <c r="H25103" s="8" t="s">
        <v>364</v>
      </c>
    </row>
    <row r="25104">
      <c r="H25104" s="8" t="s">
        <v>364</v>
      </c>
    </row>
    <row r="25105">
      <c r="H25105" s="8" t="s">
        <v>364</v>
      </c>
    </row>
    <row r="25106">
      <c r="H25106" s="8" t="s">
        <v>364</v>
      </c>
    </row>
    <row r="25107">
      <c r="H25107" s="8" t="s">
        <v>364</v>
      </c>
    </row>
    <row r="25108">
      <c r="H25108" s="8" t="s">
        <v>364</v>
      </c>
    </row>
    <row r="25109">
      <c r="H25109" s="8" t="s">
        <v>364</v>
      </c>
    </row>
    <row r="25110">
      <c r="H25110" s="8" t="s">
        <v>364</v>
      </c>
    </row>
    <row r="25111">
      <c r="H25111" s="8" t="s">
        <v>364</v>
      </c>
    </row>
    <row r="25112">
      <c r="H25112" s="8" t="s">
        <v>364</v>
      </c>
    </row>
    <row r="25113">
      <c r="H25113" s="8" t="s">
        <v>364</v>
      </c>
    </row>
    <row r="25114">
      <c r="H25114" s="8" t="s">
        <v>364</v>
      </c>
    </row>
    <row r="25115">
      <c r="H25115" s="8" t="s">
        <v>364</v>
      </c>
    </row>
    <row r="25116">
      <c r="H25116" s="8" t="s">
        <v>364</v>
      </c>
    </row>
    <row r="25117">
      <c r="H25117" s="8" t="s">
        <v>364</v>
      </c>
    </row>
    <row r="25118">
      <c r="H25118" s="8" t="s">
        <v>364</v>
      </c>
    </row>
    <row r="25119">
      <c r="H25119" s="8" t="s">
        <v>364</v>
      </c>
    </row>
    <row r="25120">
      <c r="H25120" s="8" t="s">
        <v>364</v>
      </c>
    </row>
    <row r="25121">
      <c r="H25121" s="8" t="s">
        <v>364</v>
      </c>
    </row>
    <row r="25122">
      <c r="H25122" s="8" t="s">
        <v>364</v>
      </c>
    </row>
    <row r="25123">
      <c r="H25123" s="8" t="s">
        <v>364</v>
      </c>
    </row>
    <row r="25124">
      <c r="H25124" s="8" t="s">
        <v>364</v>
      </c>
    </row>
    <row r="25125">
      <c r="H25125" s="8" t="s">
        <v>364</v>
      </c>
    </row>
    <row r="25126">
      <c r="H25126" s="8" t="s">
        <v>364</v>
      </c>
    </row>
    <row r="25127">
      <c r="H25127" s="8" t="s">
        <v>364</v>
      </c>
    </row>
    <row r="25128">
      <c r="H25128" s="8" t="s">
        <v>364</v>
      </c>
    </row>
    <row r="25129">
      <c r="H25129" s="8" t="s">
        <v>364</v>
      </c>
    </row>
    <row r="25130">
      <c r="H25130" s="8" t="s">
        <v>364</v>
      </c>
    </row>
    <row r="25131">
      <c r="H25131" s="8" t="s">
        <v>364</v>
      </c>
    </row>
    <row r="25132">
      <c r="H25132" s="8" t="s">
        <v>364</v>
      </c>
    </row>
    <row r="25133">
      <c r="H25133" s="8" t="s">
        <v>364</v>
      </c>
    </row>
    <row r="25134">
      <c r="H25134" s="8" t="s">
        <v>364</v>
      </c>
    </row>
    <row r="25135">
      <c r="H25135" s="8" t="s">
        <v>364</v>
      </c>
    </row>
    <row r="25136">
      <c r="H25136" s="8" t="s">
        <v>364</v>
      </c>
    </row>
    <row r="25137">
      <c r="H25137" s="8" t="s">
        <v>364</v>
      </c>
    </row>
    <row r="25138">
      <c r="H25138" s="8" t="s">
        <v>364</v>
      </c>
    </row>
    <row r="25139">
      <c r="H25139" s="8" t="s">
        <v>364</v>
      </c>
    </row>
    <row r="25140">
      <c r="H25140" s="8" t="s">
        <v>364</v>
      </c>
    </row>
    <row r="25141">
      <c r="H25141" s="8" t="s">
        <v>364</v>
      </c>
    </row>
    <row r="25142">
      <c r="H25142" s="8" t="s">
        <v>364</v>
      </c>
    </row>
    <row r="25143">
      <c r="H25143" s="8" t="s">
        <v>364</v>
      </c>
    </row>
    <row r="25144">
      <c r="H25144" s="8" t="s">
        <v>364</v>
      </c>
    </row>
    <row r="25145">
      <c r="H25145" s="8" t="s">
        <v>364</v>
      </c>
    </row>
    <row r="25146">
      <c r="H25146" s="8" t="s">
        <v>364</v>
      </c>
    </row>
    <row r="25147">
      <c r="H25147" s="8" t="s">
        <v>364</v>
      </c>
    </row>
    <row r="25148">
      <c r="H25148" s="8" t="s">
        <v>364</v>
      </c>
    </row>
    <row r="25149">
      <c r="H25149" s="8" t="s">
        <v>364</v>
      </c>
    </row>
    <row r="25150">
      <c r="H25150" s="8" t="s">
        <v>364</v>
      </c>
    </row>
    <row r="25151">
      <c r="H25151" s="8" t="s">
        <v>364</v>
      </c>
    </row>
    <row r="25152">
      <c r="H25152" s="8" t="s">
        <v>364</v>
      </c>
    </row>
    <row r="25153">
      <c r="H25153" s="8" t="s">
        <v>364</v>
      </c>
    </row>
    <row r="25154">
      <c r="H25154" s="8" t="s">
        <v>364</v>
      </c>
    </row>
    <row r="25155">
      <c r="H25155" s="8" t="s">
        <v>364</v>
      </c>
    </row>
    <row r="25156">
      <c r="H25156" s="8" t="s">
        <v>364</v>
      </c>
    </row>
    <row r="25157">
      <c r="H25157" s="8" t="s">
        <v>364</v>
      </c>
    </row>
    <row r="25158">
      <c r="H25158" s="8" t="s">
        <v>364</v>
      </c>
    </row>
    <row r="25159">
      <c r="H25159" s="8" t="s">
        <v>364</v>
      </c>
    </row>
    <row r="25160">
      <c r="H25160" s="8" t="s">
        <v>364</v>
      </c>
    </row>
    <row r="25161">
      <c r="H25161" s="8" t="s">
        <v>364</v>
      </c>
    </row>
    <row r="25162">
      <c r="H25162" s="8" t="s">
        <v>364</v>
      </c>
    </row>
    <row r="25163">
      <c r="H25163" s="8" t="s">
        <v>364</v>
      </c>
    </row>
    <row r="25164">
      <c r="H25164" s="8" t="s">
        <v>364</v>
      </c>
    </row>
    <row r="25165">
      <c r="H25165" s="8" t="s">
        <v>364</v>
      </c>
    </row>
    <row r="25166">
      <c r="H25166" s="8" t="s">
        <v>364</v>
      </c>
    </row>
    <row r="25167">
      <c r="H25167" s="8" t="s">
        <v>364</v>
      </c>
    </row>
    <row r="25168">
      <c r="H25168" s="8" t="s">
        <v>364</v>
      </c>
    </row>
    <row r="25169">
      <c r="H25169" s="8" t="s">
        <v>364</v>
      </c>
    </row>
    <row r="25170">
      <c r="H25170" s="8" t="s">
        <v>364</v>
      </c>
    </row>
    <row r="25171">
      <c r="H25171" s="8" t="s">
        <v>364</v>
      </c>
    </row>
    <row r="25172">
      <c r="H25172" s="8" t="s">
        <v>364</v>
      </c>
    </row>
    <row r="25173">
      <c r="H25173" s="8" t="s">
        <v>364</v>
      </c>
    </row>
    <row r="25174">
      <c r="H25174" s="8" t="s">
        <v>364</v>
      </c>
    </row>
    <row r="25175">
      <c r="H25175" s="8" t="s">
        <v>364</v>
      </c>
    </row>
    <row r="25176">
      <c r="H25176" s="8" t="s">
        <v>364</v>
      </c>
    </row>
    <row r="25177">
      <c r="H25177" s="8" t="s">
        <v>364</v>
      </c>
    </row>
    <row r="25178">
      <c r="H25178" s="8" t="s">
        <v>364</v>
      </c>
    </row>
    <row r="25179">
      <c r="H25179" s="8" t="s">
        <v>364</v>
      </c>
    </row>
    <row r="25180">
      <c r="H25180" s="8" t="s">
        <v>364</v>
      </c>
    </row>
    <row r="25181">
      <c r="H25181" s="8" t="s">
        <v>364</v>
      </c>
    </row>
    <row r="25182">
      <c r="H25182" s="8" t="s">
        <v>364</v>
      </c>
    </row>
    <row r="25183">
      <c r="H25183" s="8" t="s">
        <v>364</v>
      </c>
    </row>
    <row r="25184">
      <c r="H25184" s="8" t="s">
        <v>364</v>
      </c>
    </row>
    <row r="25185">
      <c r="H25185" s="8" t="s">
        <v>364</v>
      </c>
    </row>
    <row r="25186">
      <c r="H25186" s="8" t="s">
        <v>364</v>
      </c>
    </row>
    <row r="25187">
      <c r="H25187" s="8" t="s">
        <v>364</v>
      </c>
    </row>
    <row r="25188">
      <c r="H25188" s="8" t="s">
        <v>364</v>
      </c>
    </row>
    <row r="25189">
      <c r="H25189" s="8" t="s">
        <v>364</v>
      </c>
    </row>
    <row r="25190">
      <c r="H25190" s="8" t="s">
        <v>364</v>
      </c>
    </row>
    <row r="25191">
      <c r="H25191" s="8" t="s">
        <v>364</v>
      </c>
    </row>
    <row r="25192">
      <c r="H25192" s="8" t="s">
        <v>364</v>
      </c>
    </row>
    <row r="25193">
      <c r="H25193" s="8" t="s">
        <v>364</v>
      </c>
    </row>
    <row r="25194">
      <c r="H25194" s="8" t="s">
        <v>364</v>
      </c>
    </row>
    <row r="25195">
      <c r="H25195" s="8" t="s">
        <v>364</v>
      </c>
    </row>
    <row r="25196">
      <c r="H25196" s="8" t="s">
        <v>364</v>
      </c>
    </row>
    <row r="25197">
      <c r="H25197" s="8" t="s">
        <v>364</v>
      </c>
    </row>
    <row r="25198">
      <c r="H25198" s="8" t="s">
        <v>364</v>
      </c>
    </row>
    <row r="25199">
      <c r="H25199" s="8" t="s">
        <v>364</v>
      </c>
    </row>
    <row r="25200">
      <c r="H25200" s="8" t="s">
        <v>364</v>
      </c>
    </row>
    <row r="25201">
      <c r="H25201" s="8" t="s">
        <v>364</v>
      </c>
    </row>
    <row r="25202">
      <c r="H25202" s="8" t="s">
        <v>364</v>
      </c>
    </row>
    <row r="25203">
      <c r="H25203" s="8" t="s">
        <v>364</v>
      </c>
    </row>
    <row r="25204">
      <c r="H25204" s="8" t="s">
        <v>364</v>
      </c>
    </row>
    <row r="25205">
      <c r="H25205" s="8" t="s">
        <v>364</v>
      </c>
    </row>
    <row r="25206">
      <c r="H25206" s="8" t="s">
        <v>364</v>
      </c>
    </row>
    <row r="25207">
      <c r="H25207" s="8" t="s">
        <v>364</v>
      </c>
    </row>
    <row r="25208">
      <c r="H25208" s="8" t="s">
        <v>364</v>
      </c>
    </row>
    <row r="25209">
      <c r="H25209" s="8" t="s">
        <v>364</v>
      </c>
    </row>
    <row r="25210">
      <c r="H25210" s="8" t="s">
        <v>364</v>
      </c>
    </row>
    <row r="25211">
      <c r="H25211" s="8" t="s">
        <v>364</v>
      </c>
    </row>
    <row r="25212">
      <c r="H25212" s="8" t="s">
        <v>364</v>
      </c>
    </row>
    <row r="25213">
      <c r="H25213" s="8" t="s">
        <v>364</v>
      </c>
    </row>
    <row r="25214">
      <c r="H25214" s="8" t="s">
        <v>364</v>
      </c>
    </row>
    <row r="25215">
      <c r="H25215" s="8" t="s">
        <v>364</v>
      </c>
    </row>
    <row r="25216">
      <c r="H25216" s="8" t="s">
        <v>364</v>
      </c>
    </row>
    <row r="25217">
      <c r="H25217" s="8" t="s">
        <v>364</v>
      </c>
    </row>
    <row r="25218">
      <c r="H25218" s="8" t="s">
        <v>364</v>
      </c>
    </row>
    <row r="25219">
      <c r="H25219" s="8" t="s">
        <v>364</v>
      </c>
    </row>
    <row r="25220">
      <c r="H25220" s="8" t="s">
        <v>364</v>
      </c>
    </row>
    <row r="25221">
      <c r="H25221" s="8" t="s">
        <v>364</v>
      </c>
    </row>
    <row r="25222">
      <c r="H25222" s="8" t="s">
        <v>364</v>
      </c>
    </row>
    <row r="25223">
      <c r="H25223" s="8" t="s">
        <v>364</v>
      </c>
    </row>
    <row r="25224">
      <c r="H25224" s="8" t="s">
        <v>364</v>
      </c>
    </row>
    <row r="25225">
      <c r="H25225" s="8" t="s">
        <v>364</v>
      </c>
    </row>
    <row r="25226">
      <c r="H25226" s="8" t="s">
        <v>364</v>
      </c>
    </row>
    <row r="25227">
      <c r="H25227" s="8" t="s">
        <v>364</v>
      </c>
    </row>
    <row r="25228">
      <c r="H25228" s="8" t="s">
        <v>364</v>
      </c>
    </row>
    <row r="25229">
      <c r="H25229" s="8" t="s">
        <v>364</v>
      </c>
    </row>
    <row r="25230">
      <c r="H25230" s="8" t="s">
        <v>364</v>
      </c>
    </row>
    <row r="25231">
      <c r="H25231" s="8" t="s">
        <v>364</v>
      </c>
    </row>
    <row r="25232">
      <c r="H25232" s="8" t="s">
        <v>364</v>
      </c>
    </row>
    <row r="25233">
      <c r="H25233" s="8" t="s">
        <v>364</v>
      </c>
    </row>
    <row r="25234">
      <c r="H25234" s="8" t="s">
        <v>364</v>
      </c>
    </row>
    <row r="25235">
      <c r="H25235" s="8" t="s">
        <v>364</v>
      </c>
    </row>
    <row r="25236">
      <c r="H25236" s="8" t="s">
        <v>364</v>
      </c>
    </row>
    <row r="25237">
      <c r="H25237" s="8" t="s">
        <v>364</v>
      </c>
    </row>
    <row r="25238">
      <c r="H25238" s="8" t="s">
        <v>364</v>
      </c>
    </row>
    <row r="25239">
      <c r="H25239" s="8" t="s">
        <v>364</v>
      </c>
    </row>
    <row r="25240">
      <c r="H25240" s="8" t="s">
        <v>364</v>
      </c>
    </row>
    <row r="25241">
      <c r="H25241" s="8" t="s">
        <v>364</v>
      </c>
    </row>
    <row r="25242">
      <c r="H25242" s="8" t="s">
        <v>364</v>
      </c>
    </row>
    <row r="25243">
      <c r="H25243" s="8" t="s">
        <v>364</v>
      </c>
    </row>
    <row r="25244">
      <c r="H25244" s="8" t="s">
        <v>364</v>
      </c>
    </row>
    <row r="25245">
      <c r="H25245" s="8" t="s">
        <v>364</v>
      </c>
    </row>
    <row r="25246">
      <c r="H25246" s="8" t="s">
        <v>364</v>
      </c>
    </row>
    <row r="25247">
      <c r="H25247" s="8" t="s">
        <v>364</v>
      </c>
    </row>
    <row r="25248">
      <c r="H25248" s="8" t="s">
        <v>364</v>
      </c>
    </row>
    <row r="25249">
      <c r="H25249" s="8" t="s">
        <v>364</v>
      </c>
    </row>
    <row r="25250">
      <c r="H25250" s="8" t="s">
        <v>364</v>
      </c>
    </row>
    <row r="25251">
      <c r="H25251" s="8" t="s">
        <v>364</v>
      </c>
    </row>
    <row r="25252">
      <c r="H25252" s="8" t="s">
        <v>364</v>
      </c>
    </row>
    <row r="25253">
      <c r="H25253" s="8" t="s">
        <v>364</v>
      </c>
    </row>
    <row r="25254">
      <c r="H25254" s="8" t="s">
        <v>364</v>
      </c>
    </row>
    <row r="25255">
      <c r="H25255" s="8" t="s">
        <v>364</v>
      </c>
    </row>
    <row r="25256">
      <c r="H25256" s="8" t="s">
        <v>364</v>
      </c>
    </row>
    <row r="25257">
      <c r="H25257" s="8" t="s">
        <v>364</v>
      </c>
    </row>
    <row r="25258">
      <c r="H25258" s="8" t="s">
        <v>364</v>
      </c>
    </row>
    <row r="25259">
      <c r="H25259" s="8" t="s">
        <v>364</v>
      </c>
    </row>
    <row r="25260">
      <c r="H25260" s="8" t="s">
        <v>364</v>
      </c>
    </row>
    <row r="25261">
      <c r="H25261" s="8" t="s">
        <v>364</v>
      </c>
    </row>
    <row r="25262">
      <c r="H25262" s="8" t="s">
        <v>364</v>
      </c>
    </row>
    <row r="25263">
      <c r="H25263" s="8" t="s">
        <v>364</v>
      </c>
    </row>
    <row r="25264">
      <c r="H25264" s="8" t="s">
        <v>364</v>
      </c>
    </row>
    <row r="25265">
      <c r="H25265" s="8" t="s">
        <v>364</v>
      </c>
    </row>
    <row r="25266">
      <c r="H25266" s="8" t="s">
        <v>364</v>
      </c>
    </row>
    <row r="25267">
      <c r="H25267" s="8" t="s">
        <v>364</v>
      </c>
    </row>
    <row r="25268">
      <c r="H25268" s="8" t="s">
        <v>364</v>
      </c>
    </row>
    <row r="25269">
      <c r="H25269" s="8" t="s">
        <v>364</v>
      </c>
    </row>
    <row r="25270">
      <c r="H25270" s="8" t="s">
        <v>364</v>
      </c>
    </row>
    <row r="25271">
      <c r="H25271" s="8" t="s">
        <v>364</v>
      </c>
    </row>
    <row r="25272">
      <c r="H25272" s="8" t="s">
        <v>364</v>
      </c>
    </row>
    <row r="25273">
      <c r="H25273" s="8" t="s">
        <v>364</v>
      </c>
    </row>
    <row r="25274">
      <c r="H25274" s="8" t="s">
        <v>364</v>
      </c>
    </row>
    <row r="25275">
      <c r="H25275" s="8" t="s">
        <v>364</v>
      </c>
    </row>
    <row r="25276">
      <c r="H25276" s="8" t="s">
        <v>364</v>
      </c>
    </row>
    <row r="25277">
      <c r="H25277" s="8" t="s">
        <v>364</v>
      </c>
    </row>
    <row r="25278">
      <c r="H25278" s="8" t="s">
        <v>364</v>
      </c>
    </row>
    <row r="25279">
      <c r="H25279" s="8" t="s">
        <v>364</v>
      </c>
    </row>
    <row r="25280">
      <c r="H25280" s="8" t="s">
        <v>364</v>
      </c>
    </row>
    <row r="25281">
      <c r="H25281" s="8" t="s">
        <v>364</v>
      </c>
    </row>
    <row r="25282">
      <c r="H25282" s="8" t="s">
        <v>364</v>
      </c>
    </row>
    <row r="25283">
      <c r="H25283" s="8" t="s">
        <v>364</v>
      </c>
    </row>
    <row r="25284">
      <c r="H25284" s="8" t="s">
        <v>364</v>
      </c>
    </row>
    <row r="25285">
      <c r="H25285" s="8" t="s">
        <v>364</v>
      </c>
    </row>
    <row r="25286">
      <c r="H25286" s="8" t="s">
        <v>364</v>
      </c>
    </row>
    <row r="25287">
      <c r="H25287" s="8" t="s">
        <v>364</v>
      </c>
    </row>
    <row r="25288">
      <c r="H25288" s="8" t="s">
        <v>364</v>
      </c>
    </row>
    <row r="25289">
      <c r="H25289" s="8" t="s">
        <v>364</v>
      </c>
    </row>
    <row r="25290">
      <c r="H25290" s="8" t="s">
        <v>364</v>
      </c>
    </row>
    <row r="25291">
      <c r="H25291" s="8" t="s">
        <v>364</v>
      </c>
    </row>
    <row r="25292">
      <c r="H25292" s="8" t="s">
        <v>364</v>
      </c>
    </row>
    <row r="25293">
      <c r="H25293" s="8" t="s">
        <v>364</v>
      </c>
    </row>
    <row r="25294">
      <c r="H25294" s="8" t="s">
        <v>364</v>
      </c>
    </row>
    <row r="25295">
      <c r="H25295" s="8" t="s">
        <v>364</v>
      </c>
    </row>
    <row r="25296">
      <c r="H25296" s="8" t="s">
        <v>364</v>
      </c>
    </row>
    <row r="25297">
      <c r="H25297" s="8" t="s">
        <v>364</v>
      </c>
    </row>
    <row r="25298">
      <c r="H25298" s="8" t="s">
        <v>364</v>
      </c>
    </row>
    <row r="25299">
      <c r="H25299" s="8" t="s">
        <v>364</v>
      </c>
    </row>
    <row r="25300">
      <c r="H25300" s="8" t="s">
        <v>364</v>
      </c>
    </row>
    <row r="25301">
      <c r="H25301" s="8" t="s">
        <v>364</v>
      </c>
    </row>
    <row r="25302">
      <c r="H25302" s="8" t="s">
        <v>364</v>
      </c>
    </row>
    <row r="25303">
      <c r="H25303" s="8" t="s">
        <v>364</v>
      </c>
    </row>
    <row r="25304">
      <c r="H25304" s="8" t="s">
        <v>364</v>
      </c>
    </row>
    <row r="25305">
      <c r="H25305" s="8" t="s">
        <v>364</v>
      </c>
    </row>
    <row r="25306">
      <c r="H25306" s="8" t="s">
        <v>364</v>
      </c>
    </row>
    <row r="25307">
      <c r="H25307" s="8" t="s">
        <v>364</v>
      </c>
    </row>
    <row r="25308">
      <c r="H25308" s="8" t="s">
        <v>364</v>
      </c>
    </row>
    <row r="25309">
      <c r="H25309" s="8" t="s">
        <v>364</v>
      </c>
    </row>
    <row r="25310">
      <c r="H25310" s="8" t="s">
        <v>364</v>
      </c>
    </row>
    <row r="25311">
      <c r="H25311" s="8" t="s">
        <v>364</v>
      </c>
    </row>
    <row r="25312">
      <c r="H25312" s="8" t="s">
        <v>364</v>
      </c>
    </row>
    <row r="25313">
      <c r="H25313" s="8" t="s">
        <v>364</v>
      </c>
    </row>
    <row r="25314">
      <c r="H25314" s="8" t="s">
        <v>364</v>
      </c>
    </row>
    <row r="25315">
      <c r="H25315" s="8" t="s">
        <v>364</v>
      </c>
    </row>
    <row r="25316">
      <c r="H25316" s="8" t="s">
        <v>364</v>
      </c>
    </row>
    <row r="25317">
      <c r="H25317" s="8" t="s">
        <v>364</v>
      </c>
    </row>
    <row r="25318">
      <c r="H25318" s="8" t="s">
        <v>364</v>
      </c>
    </row>
    <row r="25319">
      <c r="H25319" s="8" t="s">
        <v>364</v>
      </c>
    </row>
    <row r="25320">
      <c r="H25320" s="8" t="s">
        <v>364</v>
      </c>
    </row>
    <row r="25321">
      <c r="H25321" s="8" t="s">
        <v>364</v>
      </c>
    </row>
    <row r="25322">
      <c r="H25322" s="8" t="s">
        <v>364</v>
      </c>
    </row>
    <row r="25323">
      <c r="H25323" s="8" t="s">
        <v>364</v>
      </c>
    </row>
    <row r="25324">
      <c r="H25324" s="8" t="s">
        <v>364</v>
      </c>
    </row>
    <row r="25325">
      <c r="H25325" s="8" t="s">
        <v>364</v>
      </c>
    </row>
    <row r="25326">
      <c r="H25326" s="8" t="s">
        <v>364</v>
      </c>
    </row>
    <row r="25327">
      <c r="H25327" s="8" t="s">
        <v>364</v>
      </c>
    </row>
    <row r="25328">
      <c r="H25328" s="8" t="s">
        <v>364</v>
      </c>
    </row>
    <row r="25329">
      <c r="H25329" s="8" t="s">
        <v>364</v>
      </c>
    </row>
    <row r="25330">
      <c r="H25330" s="8" t="s">
        <v>364</v>
      </c>
    </row>
    <row r="25331">
      <c r="H25331" s="8" t="s">
        <v>364</v>
      </c>
    </row>
    <row r="25332">
      <c r="H25332" s="8" t="s">
        <v>364</v>
      </c>
    </row>
    <row r="25333">
      <c r="H25333" s="8" t="s">
        <v>364</v>
      </c>
    </row>
    <row r="25334">
      <c r="H25334" s="8" t="s">
        <v>364</v>
      </c>
    </row>
    <row r="25335">
      <c r="H25335" s="8" t="s">
        <v>364</v>
      </c>
    </row>
    <row r="25336">
      <c r="H25336" s="8" t="s">
        <v>364</v>
      </c>
    </row>
    <row r="25337">
      <c r="H25337" s="8" t="s">
        <v>364</v>
      </c>
    </row>
    <row r="25338">
      <c r="H25338" s="8" t="s">
        <v>364</v>
      </c>
    </row>
    <row r="25339">
      <c r="H25339" s="8" t="s">
        <v>364</v>
      </c>
    </row>
    <row r="25340">
      <c r="H25340" s="8" t="s">
        <v>364</v>
      </c>
    </row>
    <row r="25341">
      <c r="H25341" s="8" t="s">
        <v>364</v>
      </c>
    </row>
    <row r="25342">
      <c r="H25342" s="8" t="s">
        <v>364</v>
      </c>
    </row>
    <row r="25343">
      <c r="H25343" s="8" t="s">
        <v>364</v>
      </c>
    </row>
    <row r="25344">
      <c r="H25344" s="8" t="s">
        <v>364</v>
      </c>
    </row>
    <row r="25345">
      <c r="H25345" s="8" t="s">
        <v>364</v>
      </c>
    </row>
    <row r="25346">
      <c r="H25346" s="8" t="s">
        <v>364</v>
      </c>
    </row>
    <row r="25347">
      <c r="H25347" s="8" t="s">
        <v>364</v>
      </c>
    </row>
    <row r="25348">
      <c r="H25348" s="8" t="s">
        <v>364</v>
      </c>
    </row>
    <row r="25349">
      <c r="H25349" s="8" t="s">
        <v>364</v>
      </c>
    </row>
    <row r="25350">
      <c r="H25350" s="8" t="s">
        <v>364</v>
      </c>
    </row>
    <row r="25351">
      <c r="H25351" s="8" t="s">
        <v>364</v>
      </c>
    </row>
    <row r="25352">
      <c r="H25352" s="8" t="s">
        <v>364</v>
      </c>
    </row>
    <row r="25353">
      <c r="H25353" s="8" t="s">
        <v>364</v>
      </c>
    </row>
    <row r="25354">
      <c r="H25354" s="8" t="s">
        <v>364</v>
      </c>
    </row>
    <row r="25355">
      <c r="H25355" s="8" t="s">
        <v>364</v>
      </c>
    </row>
    <row r="25356">
      <c r="H25356" s="8" t="s">
        <v>364</v>
      </c>
    </row>
    <row r="25357">
      <c r="H25357" s="8" t="s">
        <v>364</v>
      </c>
    </row>
    <row r="25358">
      <c r="H25358" s="8" t="s">
        <v>364</v>
      </c>
    </row>
    <row r="25359">
      <c r="H25359" s="8" t="s">
        <v>364</v>
      </c>
    </row>
    <row r="25360">
      <c r="H25360" s="8" t="s">
        <v>364</v>
      </c>
    </row>
    <row r="25361">
      <c r="H25361" s="8" t="s">
        <v>364</v>
      </c>
    </row>
    <row r="25362">
      <c r="H25362" s="8" t="s">
        <v>364</v>
      </c>
    </row>
    <row r="25363">
      <c r="H25363" s="8" t="s">
        <v>364</v>
      </c>
    </row>
    <row r="25364">
      <c r="H25364" s="8" t="s">
        <v>364</v>
      </c>
    </row>
    <row r="25365">
      <c r="H25365" s="8" t="s">
        <v>364</v>
      </c>
    </row>
    <row r="25366">
      <c r="H25366" s="8" t="s">
        <v>364</v>
      </c>
    </row>
    <row r="25367">
      <c r="H25367" s="8" t="s">
        <v>364</v>
      </c>
    </row>
    <row r="25368">
      <c r="H25368" s="8" t="s">
        <v>364</v>
      </c>
    </row>
    <row r="25369">
      <c r="H25369" s="8" t="s">
        <v>364</v>
      </c>
    </row>
    <row r="25370">
      <c r="H25370" s="8" t="s">
        <v>364</v>
      </c>
    </row>
    <row r="25371">
      <c r="H25371" s="8" t="s">
        <v>364</v>
      </c>
    </row>
    <row r="25372">
      <c r="H25372" s="8" t="s">
        <v>364</v>
      </c>
    </row>
    <row r="25373">
      <c r="H25373" s="8" t="s">
        <v>364</v>
      </c>
    </row>
    <row r="25374">
      <c r="H25374" s="8" t="s">
        <v>364</v>
      </c>
    </row>
    <row r="25375">
      <c r="H25375" s="8" t="s">
        <v>364</v>
      </c>
    </row>
    <row r="25376">
      <c r="H25376" s="8" t="s">
        <v>364</v>
      </c>
    </row>
    <row r="25377">
      <c r="H25377" s="8" t="s">
        <v>364</v>
      </c>
    </row>
    <row r="25378">
      <c r="H25378" s="8" t="s">
        <v>364</v>
      </c>
    </row>
    <row r="25379">
      <c r="H25379" s="8" t="s">
        <v>364</v>
      </c>
    </row>
    <row r="25380">
      <c r="H25380" s="8" t="s">
        <v>364</v>
      </c>
    </row>
    <row r="25381">
      <c r="H25381" s="8" t="s">
        <v>364</v>
      </c>
    </row>
    <row r="25382">
      <c r="H25382" s="8" t="s">
        <v>364</v>
      </c>
    </row>
    <row r="25383">
      <c r="H25383" s="8" t="s">
        <v>364</v>
      </c>
    </row>
    <row r="25384">
      <c r="H25384" s="8" t="s">
        <v>364</v>
      </c>
    </row>
    <row r="25385">
      <c r="H25385" s="8" t="s">
        <v>364</v>
      </c>
    </row>
    <row r="25386">
      <c r="H25386" s="8" t="s">
        <v>364</v>
      </c>
    </row>
    <row r="25387">
      <c r="H25387" s="8" t="s">
        <v>364</v>
      </c>
    </row>
    <row r="25388">
      <c r="H25388" s="8" t="s">
        <v>364</v>
      </c>
    </row>
    <row r="25389">
      <c r="H25389" s="8" t="s">
        <v>364</v>
      </c>
    </row>
    <row r="25390">
      <c r="H25390" s="8" t="s">
        <v>364</v>
      </c>
    </row>
    <row r="25391">
      <c r="H25391" s="8" t="s">
        <v>364</v>
      </c>
    </row>
    <row r="25392">
      <c r="H25392" s="8" t="s">
        <v>364</v>
      </c>
    </row>
    <row r="25393">
      <c r="H25393" s="8" t="s">
        <v>364</v>
      </c>
    </row>
    <row r="25394">
      <c r="H25394" s="8" t="s">
        <v>364</v>
      </c>
    </row>
    <row r="25395">
      <c r="H25395" s="8" t="s">
        <v>364</v>
      </c>
    </row>
    <row r="25396">
      <c r="H25396" s="8" t="s">
        <v>364</v>
      </c>
    </row>
    <row r="25397">
      <c r="H25397" s="8" t="s">
        <v>364</v>
      </c>
    </row>
    <row r="25398">
      <c r="H25398" s="8" t="s">
        <v>364</v>
      </c>
    </row>
    <row r="25399">
      <c r="H25399" s="8" t="s">
        <v>364</v>
      </c>
    </row>
    <row r="25400">
      <c r="H25400" s="8" t="s">
        <v>364</v>
      </c>
    </row>
    <row r="25401">
      <c r="H25401" s="8" t="s">
        <v>364</v>
      </c>
    </row>
    <row r="25402">
      <c r="H25402" s="8" t="s">
        <v>364</v>
      </c>
    </row>
    <row r="25403">
      <c r="H25403" s="8" t="s">
        <v>364</v>
      </c>
    </row>
    <row r="25404">
      <c r="H25404" s="8" t="s">
        <v>364</v>
      </c>
    </row>
    <row r="25405">
      <c r="H25405" s="8" t="s">
        <v>364</v>
      </c>
    </row>
    <row r="25406">
      <c r="H25406" s="8" t="s">
        <v>364</v>
      </c>
    </row>
    <row r="25407">
      <c r="H25407" s="8" t="s">
        <v>364</v>
      </c>
    </row>
    <row r="25408">
      <c r="H25408" s="8" t="s">
        <v>364</v>
      </c>
    </row>
    <row r="25409">
      <c r="H25409" s="8" t="s">
        <v>364</v>
      </c>
    </row>
    <row r="25410">
      <c r="H25410" s="8" t="s">
        <v>364</v>
      </c>
    </row>
    <row r="25411">
      <c r="H25411" s="8" t="s">
        <v>364</v>
      </c>
    </row>
    <row r="25412">
      <c r="H25412" s="8" t="s">
        <v>364</v>
      </c>
    </row>
    <row r="25413">
      <c r="H25413" s="8" t="s">
        <v>364</v>
      </c>
    </row>
    <row r="25414">
      <c r="H25414" s="8" t="s">
        <v>364</v>
      </c>
    </row>
    <row r="25415">
      <c r="H25415" s="8" t="s">
        <v>364</v>
      </c>
    </row>
    <row r="25416">
      <c r="H25416" s="8" t="s">
        <v>364</v>
      </c>
    </row>
    <row r="25417">
      <c r="H25417" s="8" t="s">
        <v>364</v>
      </c>
    </row>
    <row r="25418">
      <c r="H25418" s="8" t="s">
        <v>364</v>
      </c>
    </row>
    <row r="25419">
      <c r="H25419" s="8" t="s">
        <v>364</v>
      </c>
    </row>
    <row r="25420">
      <c r="H25420" s="8" t="s">
        <v>364</v>
      </c>
    </row>
    <row r="25421">
      <c r="H25421" s="8" t="s">
        <v>364</v>
      </c>
    </row>
    <row r="25422">
      <c r="H25422" s="8" t="s">
        <v>364</v>
      </c>
    </row>
    <row r="25423">
      <c r="H25423" s="8" t="s">
        <v>364</v>
      </c>
    </row>
    <row r="25424">
      <c r="H25424" s="8" t="s">
        <v>364</v>
      </c>
    </row>
    <row r="25425">
      <c r="H25425" s="8" t="s">
        <v>364</v>
      </c>
    </row>
    <row r="25426">
      <c r="H25426" s="8" t="s">
        <v>364</v>
      </c>
    </row>
    <row r="25427">
      <c r="H25427" s="8" t="s">
        <v>364</v>
      </c>
    </row>
    <row r="25428">
      <c r="H25428" s="8" t="s">
        <v>364</v>
      </c>
    </row>
    <row r="25429">
      <c r="H25429" s="8" t="s">
        <v>364</v>
      </c>
    </row>
    <row r="25430">
      <c r="H25430" s="8" t="s">
        <v>364</v>
      </c>
    </row>
    <row r="25431">
      <c r="H25431" s="8" t="s">
        <v>364</v>
      </c>
    </row>
    <row r="25432">
      <c r="H25432" s="8" t="s">
        <v>364</v>
      </c>
    </row>
    <row r="25433">
      <c r="H25433" s="8" t="s">
        <v>364</v>
      </c>
    </row>
    <row r="25434">
      <c r="H25434" s="8" t="s">
        <v>364</v>
      </c>
    </row>
    <row r="25435">
      <c r="H25435" s="8" t="s">
        <v>364</v>
      </c>
    </row>
    <row r="25436">
      <c r="H25436" s="8" t="s">
        <v>364</v>
      </c>
    </row>
    <row r="25437">
      <c r="H25437" s="8" t="s">
        <v>364</v>
      </c>
    </row>
    <row r="25438">
      <c r="H25438" s="8" t="s">
        <v>364</v>
      </c>
    </row>
    <row r="25439">
      <c r="H25439" s="8" t="s">
        <v>364</v>
      </c>
    </row>
    <row r="25440">
      <c r="H25440" s="8" t="s">
        <v>364</v>
      </c>
    </row>
    <row r="25441">
      <c r="H25441" s="8" t="s">
        <v>364</v>
      </c>
    </row>
    <row r="25442">
      <c r="H25442" s="8" t="s">
        <v>364</v>
      </c>
    </row>
    <row r="25443">
      <c r="H25443" s="8" t="s">
        <v>364</v>
      </c>
    </row>
    <row r="25444">
      <c r="H25444" s="8" t="s">
        <v>364</v>
      </c>
    </row>
    <row r="25445">
      <c r="H25445" s="8" t="s">
        <v>364</v>
      </c>
    </row>
    <row r="25446">
      <c r="H25446" s="8" t="s">
        <v>364</v>
      </c>
    </row>
    <row r="25447">
      <c r="H25447" s="8" t="s">
        <v>364</v>
      </c>
    </row>
    <row r="25448">
      <c r="H25448" s="8" t="s">
        <v>364</v>
      </c>
    </row>
    <row r="25449">
      <c r="H25449" s="8" t="s">
        <v>364</v>
      </c>
    </row>
    <row r="25450">
      <c r="H25450" s="8" t="s">
        <v>364</v>
      </c>
    </row>
    <row r="25451">
      <c r="H25451" s="8" t="s">
        <v>364</v>
      </c>
    </row>
    <row r="25452">
      <c r="H25452" s="8" t="s">
        <v>364</v>
      </c>
    </row>
    <row r="25453">
      <c r="H25453" s="8" t="s">
        <v>364</v>
      </c>
    </row>
    <row r="25454">
      <c r="H25454" s="8" t="s">
        <v>364</v>
      </c>
    </row>
    <row r="25455">
      <c r="H25455" s="8" t="s">
        <v>364</v>
      </c>
    </row>
    <row r="25456">
      <c r="H25456" s="8" t="s">
        <v>364</v>
      </c>
    </row>
    <row r="25457">
      <c r="H25457" s="8" t="s">
        <v>364</v>
      </c>
    </row>
    <row r="25458">
      <c r="H25458" s="8" t="s">
        <v>364</v>
      </c>
    </row>
    <row r="25459">
      <c r="H25459" s="8" t="s">
        <v>364</v>
      </c>
    </row>
    <row r="25460">
      <c r="H25460" s="8" t="s">
        <v>364</v>
      </c>
    </row>
    <row r="25461">
      <c r="H25461" s="8" t="s">
        <v>364</v>
      </c>
    </row>
    <row r="25462">
      <c r="H25462" s="8" t="s">
        <v>364</v>
      </c>
    </row>
    <row r="25463">
      <c r="H25463" s="8" t="s">
        <v>364</v>
      </c>
    </row>
    <row r="25464">
      <c r="H25464" s="8" t="s">
        <v>364</v>
      </c>
    </row>
    <row r="25465">
      <c r="H25465" s="8" t="s">
        <v>364</v>
      </c>
    </row>
    <row r="25466">
      <c r="H25466" s="8" t="s">
        <v>364</v>
      </c>
    </row>
    <row r="25467">
      <c r="H25467" s="8" t="s">
        <v>364</v>
      </c>
    </row>
    <row r="25468">
      <c r="H25468" s="8" t="s">
        <v>364</v>
      </c>
    </row>
    <row r="25469">
      <c r="H25469" s="8" t="s">
        <v>364</v>
      </c>
    </row>
    <row r="25470">
      <c r="H25470" s="8" t="s">
        <v>364</v>
      </c>
    </row>
    <row r="25471">
      <c r="H25471" s="8" t="s">
        <v>364</v>
      </c>
    </row>
    <row r="25472">
      <c r="H25472" s="8" t="s">
        <v>364</v>
      </c>
    </row>
    <row r="25473">
      <c r="H25473" s="8" t="s">
        <v>364</v>
      </c>
    </row>
    <row r="25474">
      <c r="H25474" s="8" t="s">
        <v>364</v>
      </c>
    </row>
    <row r="25475">
      <c r="H25475" s="8" t="s">
        <v>364</v>
      </c>
    </row>
    <row r="25476">
      <c r="H25476" s="8" t="s">
        <v>364</v>
      </c>
    </row>
    <row r="25477">
      <c r="H25477" s="8" t="s">
        <v>364</v>
      </c>
    </row>
    <row r="25478">
      <c r="H25478" s="8" t="s">
        <v>364</v>
      </c>
    </row>
    <row r="25479">
      <c r="H25479" s="8" t="s">
        <v>364</v>
      </c>
    </row>
    <row r="25480">
      <c r="H25480" s="8" t="s">
        <v>364</v>
      </c>
    </row>
    <row r="25481">
      <c r="H25481" s="8" t="s">
        <v>364</v>
      </c>
    </row>
    <row r="25482">
      <c r="H25482" s="8" t="s">
        <v>364</v>
      </c>
    </row>
    <row r="25483">
      <c r="H25483" s="8" t="s">
        <v>364</v>
      </c>
    </row>
    <row r="25484">
      <c r="H25484" s="8" t="s">
        <v>364</v>
      </c>
    </row>
    <row r="25485">
      <c r="H25485" s="8" t="s">
        <v>364</v>
      </c>
    </row>
    <row r="25486">
      <c r="H25486" s="8" t="s">
        <v>364</v>
      </c>
    </row>
    <row r="25487">
      <c r="H25487" s="8" t="s">
        <v>364</v>
      </c>
    </row>
    <row r="25488">
      <c r="H25488" s="8" t="s">
        <v>364</v>
      </c>
    </row>
    <row r="25489">
      <c r="H25489" s="8" t="s">
        <v>364</v>
      </c>
    </row>
    <row r="25490">
      <c r="H25490" s="8" t="s">
        <v>364</v>
      </c>
    </row>
    <row r="25491">
      <c r="H25491" s="8" t="s">
        <v>364</v>
      </c>
    </row>
    <row r="25492">
      <c r="H25492" s="8" t="s">
        <v>364</v>
      </c>
    </row>
    <row r="25493">
      <c r="H25493" s="8" t="s">
        <v>364</v>
      </c>
    </row>
    <row r="25494">
      <c r="H25494" s="8" t="s">
        <v>364</v>
      </c>
    </row>
    <row r="25495">
      <c r="H25495" s="8" t="s">
        <v>364</v>
      </c>
    </row>
    <row r="25496">
      <c r="H25496" s="8" t="s">
        <v>364</v>
      </c>
    </row>
    <row r="25497">
      <c r="H25497" s="8" t="s">
        <v>364</v>
      </c>
    </row>
    <row r="25498">
      <c r="H25498" s="8" t="s">
        <v>364</v>
      </c>
    </row>
    <row r="25499">
      <c r="H25499" s="8" t="s">
        <v>364</v>
      </c>
    </row>
    <row r="25500">
      <c r="H25500" s="8" t="s">
        <v>364</v>
      </c>
    </row>
    <row r="25501">
      <c r="H25501" s="8" t="s">
        <v>364</v>
      </c>
    </row>
    <row r="25502">
      <c r="H25502" s="8" t="s">
        <v>364</v>
      </c>
    </row>
    <row r="25503">
      <c r="H25503" s="8" t="s">
        <v>364</v>
      </c>
    </row>
    <row r="25504">
      <c r="H25504" s="8" t="s">
        <v>364</v>
      </c>
    </row>
    <row r="25505">
      <c r="H25505" s="8" t="s">
        <v>364</v>
      </c>
    </row>
    <row r="25506">
      <c r="H25506" s="8" t="s">
        <v>364</v>
      </c>
    </row>
    <row r="25507">
      <c r="H25507" s="8" t="s">
        <v>364</v>
      </c>
    </row>
    <row r="25508">
      <c r="H25508" s="8" t="s">
        <v>364</v>
      </c>
    </row>
    <row r="25509">
      <c r="H25509" s="8" t="s">
        <v>364</v>
      </c>
    </row>
    <row r="25510">
      <c r="H25510" s="8" t="s">
        <v>364</v>
      </c>
    </row>
    <row r="25511">
      <c r="H25511" s="8" t="s">
        <v>364</v>
      </c>
    </row>
    <row r="25512">
      <c r="H25512" s="8" t="s">
        <v>364</v>
      </c>
    </row>
    <row r="25513">
      <c r="H25513" s="8" t="s">
        <v>364</v>
      </c>
    </row>
    <row r="25514">
      <c r="H25514" s="8" t="s">
        <v>364</v>
      </c>
    </row>
    <row r="25515">
      <c r="H25515" s="8" t="s">
        <v>364</v>
      </c>
    </row>
    <row r="25516">
      <c r="H25516" s="8" t="s">
        <v>364</v>
      </c>
    </row>
    <row r="25517">
      <c r="H25517" s="8" t="s">
        <v>364</v>
      </c>
    </row>
    <row r="25518">
      <c r="H25518" s="8" t="s">
        <v>364</v>
      </c>
    </row>
    <row r="25519">
      <c r="H25519" s="8" t="s">
        <v>364</v>
      </c>
    </row>
    <row r="25520">
      <c r="H25520" s="8" t="s">
        <v>364</v>
      </c>
    </row>
    <row r="25521">
      <c r="H25521" s="8" t="s">
        <v>364</v>
      </c>
    </row>
    <row r="25522">
      <c r="H25522" s="8" t="s">
        <v>364</v>
      </c>
    </row>
    <row r="25523">
      <c r="H25523" s="8" t="s">
        <v>364</v>
      </c>
    </row>
    <row r="25524">
      <c r="H25524" s="8" t="s">
        <v>364</v>
      </c>
    </row>
    <row r="25525">
      <c r="H25525" s="8" t="s">
        <v>364</v>
      </c>
    </row>
    <row r="25526">
      <c r="H25526" s="8" t="s">
        <v>364</v>
      </c>
    </row>
    <row r="25527">
      <c r="H25527" s="8" t="s">
        <v>364</v>
      </c>
    </row>
    <row r="25528">
      <c r="H25528" s="8" t="s">
        <v>364</v>
      </c>
    </row>
    <row r="25529">
      <c r="H25529" s="8" t="s">
        <v>364</v>
      </c>
    </row>
    <row r="25530">
      <c r="H25530" s="8" t="s">
        <v>364</v>
      </c>
    </row>
    <row r="25531">
      <c r="H25531" s="8" t="s">
        <v>364</v>
      </c>
    </row>
    <row r="25532">
      <c r="H25532" s="8" t="s">
        <v>364</v>
      </c>
    </row>
    <row r="25533">
      <c r="H25533" s="8" t="s">
        <v>364</v>
      </c>
    </row>
    <row r="25534">
      <c r="H25534" s="8" t="s">
        <v>364</v>
      </c>
    </row>
    <row r="25535">
      <c r="H25535" s="8" t="s">
        <v>364</v>
      </c>
    </row>
    <row r="25536">
      <c r="H25536" s="8" t="s">
        <v>364</v>
      </c>
    </row>
    <row r="25537">
      <c r="H25537" s="8" t="s">
        <v>364</v>
      </c>
    </row>
    <row r="25538">
      <c r="H25538" s="8" t="s">
        <v>364</v>
      </c>
    </row>
    <row r="25539">
      <c r="H25539" s="8" t="s">
        <v>364</v>
      </c>
    </row>
    <row r="25540">
      <c r="H25540" s="8" t="s">
        <v>364</v>
      </c>
    </row>
    <row r="25541">
      <c r="H25541" s="8" t="s">
        <v>364</v>
      </c>
    </row>
    <row r="25542">
      <c r="H25542" s="8" t="s">
        <v>364</v>
      </c>
    </row>
    <row r="25543">
      <c r="H25543" s="8" t="s">
        <v>364</v>
      </c>
    </row>
    <row r="25544">
      <c r="H25544" s="8" t="s">
        <v>364</v>
      </c>
    </row>
    <row r="25545">
      <c r="H25545" s="8" t="s">
        <v>364</v>
      </c>
    </row>
    <row r="25546">
      <c r="H25546" s="8" t="s">
        <v>364</v>
      </c>
    </row>
    <row r="25547">
      <c r="H25547" s="8" t="s">
        <v>364</v>
      </c>
    </row>
    <row r="25548">
      <c r="H25548" s="8" t="s">
        <v>364</v>
      </c>
    </row>
    <row r="25549">
      <c r="H25549" s="8" t="s">
        <v>364</v>
      </c>
    </row>
    <row r="25550">
      <c r="H25550" s="8" t="s">
        <v>364</v>
      </c>
    </row>
    <row r="25551">
      <c r="H25551" s="8" t="s">
        <v>364</v>
      </c>
    </row>
    <row r="25552">
      <c r="H25552" s="8" t="s">
        <v>364</v>
      </c>
    </row>
    <row r="25553">
      <c r="H25553" s="8" t="s">
        <v>364</v>
      </c>
    </row>
    <row r="25554">
      <c r="H25554" s="8" t="s">
        <v>364</v>
      </c>
    </row>
    <row r="25555">
      <c r="H25555" s="8" t="s">
        <v>364</v>
      </c>
    </row>
    <row r="25556">
      <c r="H25556" s="8" t="s">
        <v>364</v>
      </c>
    </row>
    <row r="25557">
      <c r="H25557" s="8" t="s">
        <v>364</v>
      </c>
    </row>
    <row r="25558">
      <c r="H25558" s="8" t="s">
        <v>364</v>
      </c>
    </row>
    <row r="25559">
      <c r="H25559" s="8" t="s">
        <v>364</v>
      </c>
    </row>
    <row r="25560">
      <c r="H25560" s="8" t="s">
        <v>364</v>
      </c>
    </row>
    <row r="25561">
      <c r="H25561" s="8" t="s">
        <v>364</v>
      </c>
    </row>
    <row r="25562">
      <c r="H25562" s="8" t="s">
        <v>364</v>
      </c>
    </row>
    <row r="25563">
      <c r="H25563" s="8" t="s">
        <v>364</v>
      </c>
    </row>
    <row r="25564">
      <c r="H25564" s="8" t="s">
        <v>364</v>
      </c>
    </row>
    <row r="25565">
      <c r="H25565" s="8" t="s">
        <v>364</v>
      </c>
    </row>
    <row r="25566">
      <c r="H25566" s="8" t="s">
        <v>364</v>
      </c>
    </row>
    <row r="25567">
      <c r="H25567" s="8" t="s">
        <v>364</v>
      </c>
    </row>
    <row r="25568">
      <c r="H25568" s="8" t="s">
        <v>364</v>
      </c>
    </row>
    <row r="25569">
      <c r="H25569" s="8" t="s">
        <v>364</v>
      </c>
    </row>
    <row r="25570">
      <c r="H25570" s="8" t="s">
        <v>364</v>
      </c>
    </row>
    <row r="25571">
      <c r="H25571" s="8" t="s">
        <v>364</v>
      </c>
    </row>
    <row r="25572">
      <c r="H25572" s="8" t="s">
        <v>364</v>
      </c>
    </row>
    <row r="25573">
      <c r="H25573" s="8" t="s">
        <v>364</v>
      </c>
    </row>
    <row r="25574">
      <c r="H25574" s="8" t="s">
        <v>364</v>
      </c>
    </row>
    <row r="25575">
      <c r="H25575" s="8" t="s">
        <v>364</v>
      </c>
    </row>
    <row r="25576">
      <c r="H25576" s="8" t="s">
        <v>364</v>
      </c>
    </row>
    <row r="25577">
      <c r="H25577" s="8" t="s">
        <v>364</v>
      </c>
    </row>
    <row r="25578">
      <c r="H25578" s="8" t="s">
        <v>364</v>
      </c>
    </row>
    <row r="25579">
      <c r="H25579" s="8" t="s">
        <v>364</v>
      </c>
    </row>
    <row r="25580">
      <c r="H25580" s="8" t="s">
        <v>364</v>
      </c>
    </row>
    <row r="25581">
      <c r="H25581" s="8" t="s">
        <v>364</v>
      </c>
    </row>
    <row r="25582">
      <c r="H25582" s="8" t="s">
        <v>364</v>
      </c>
    </row>
    <row r="25583">
      <c r="H25583" s="8" t="s">
        <v>364</v>
      </c>
    </row>
    <row r="25584">
      <c r="H25584" s="8" t="s">
        <v>364</v>
      </c>
    </row>
    <row r="25585">
      <c r="H25585" s="8" t="s">
        <v>364</v>
      </c>
    </row>
    <row r="25586">
      <c r="H25586" s="8" t="s">
        <v>364</v>
      </c>
    </row>
    <row r="25587">
      <c r="H25587" s="8" t="s">
        <v>364</v>
      </c>
    </row>
    <row r="25588">
      <c r="H25588" s="8" t="s">
        <v>364</v>
      </c>
    </row>
    <row r="25589">
      <c r="H25589" s="8" t="s">
        <v>364</v>
      </c>
    </row>
    <row r="25590">
      <c r="H25590" s="8" t="s">
        <v>364</v>
      </c>
    </row>
    <row r="25591">
      <c r="H25591" s="8" t="s">
        <v>364</v>
      </c>
    </row>
    <row r="25592">
      <c r="H25592" s="8" t="s">
        <v>364</v>
      </c>
    </row>
    <row r="25593">
      <c r="H25593" s="8" t="s">
        <v>364</v>
      </c>
    </row>
    <row r="25594">
      <c r="H25594" s="8" t="s">
        <v>364</v>
      </c>
    </row>
    <row r="25595">
      <c r="H25595" s="8" t="s">
        <v>364</v>
      </c>
    </row>
    <row r="25596">
      <c r="H25596" s="8" t="s">
        <v>364</v>
      </c>
    </row>
    <row r="25597">
      <c r="H25597" s="8" t="s">
        <v>364</v>
      </c>
    </row>
    <row r="25598">
      <c r="H25598" s="8" t="s">
        <v>364</v>
      </c>
    </row>
    <row r="25599">
      <c r="H25599" s="8" t="s">
        <v>364</v>
      </c>
    </row>
    <row r="25600">
      <c r="H25600" s="8" t="s">
        <v>364</v>
      </c>
    </row>
    <row r="25601">
      <c r="H25601" s="8" t="s">
        <v>364</v>
      </c>
    </row>
    <row r="25602">
      <c r="H25602" s="8" t="s">
        <v>364</v>
      </c>
    </row>
    <row r="25603">
      <c r="H25603" s="8" t="s">
        <v>364</v>
      </c>
    </row>
    <row r="25604">
      <c r="H25604" s="8" t="s">
        <v>364</v>
      </c>
    </row>
    <row r="25605">
      <c r="H25605" s="8" t="s">
        <v>364</v>
      </c>
    </row>
    <row r="25606">
      <c r="H25606" s="8" t="s">
        <v>364</v>
      </c>
    </row>
    <row r="25607">
      <c r="H25607" s="8" t="s">
        <v>364</v>
      </c>
    </row>
    <row r="25608">
      <c r="H25608" s="8" t="s">
        <v>364</v>
      </c>
    </row>
    <row r="25609">
      <c r="H25609" s="8" t="s">
        <v>364</v>
      </c>
    </row>
    <row r="25610">
      <c r="H25610" s="8" t="s">
        <v>364</v>
      </c>
    </row>
    <row r="25611">
      <c r="H25611" s="8" t="s">
        <v>364</v>
      </c>
    </row>
    <row r="25612">
      <c r="H25612" s="8" t="s">
        <v>364</v>
      </c>
    </row>
    <row r="25613">
      <c r="H25613" s="8" t="s">
        <v>364</v>
      </c>
    </row>
    <row r="25614">
      <c r="H25614" s="8" t="s">
        <v>364</v>
      </c>
    </row>
    <row r="25615">
      <c r="H25615" s="8" t="s">
        <v>364</v>
      </c>
    </row>
    <row r="25616">
      <c r="H25616" s="8" t="s">
        <v>364</v>
      </c>
    </row>
    <row r="25617">
      <c r="H25617" s="8" t="s">
        <v>364</v>
      </c>
    </row>
    <row r="25618">
      <c r="H25618" s="8" t="s">
        <v>364</v>
      </c>
    </row>
    <row r="25619">
      <c r="H25619" s="8" t="s">
        <v>364</v>
      </c>
    </row>
    <row r="25620">
      <c r="H25620" s="8" t="s">
        <v>364</v>
      </c>
    </row>
    <row r="25621">
      <c r="H25621" s="8" t="s">
        <v>364</v>
      </c>
    </row>
    <row r="25622">
      <c r="H25622" s="8" t="s">
        <v>364</v>
      </c>
    </row>
    <row r="25623">
      <c r="H25623" s="8" t="s">
        <v>364</v>
      </c>
    </row>
    <row r="25624">
      <c r="H25624" s="8" t="s">
        <v>364</v>
      </c>
    </row>
    <row r="25625">
      <c r="H25625" s="8" t="s">
        <v>364</v>
      </c>
    </row>
    <row r="25626">
      <c r="H25626" s="8" t="s">
        <v>364</v>
      </c>
    </row>
    <row r="25627">
      <c r="H25627" s="8" t="s">
        <v>364</v>
      </c>
    </row>
    <row r="25628">
      <c r="H25628" s="8" t="s">
        <v>364</v>
      </c>
    </row>
    <row r="25629">
      <c r="H25629" s="8" t="s">
        <v>364</v>
      </c>
    </row>
    <row r="25630">
      <c r="H25630" s="8" t="s">
        <v>364</v>
      </c>
    </row>
    <row r="25631">
      <c r="H25631" s="8" t="s">
        <v>364</v>
      </c>
    </row>
    <row r="25632">
      <c r="H25632" s="8" t="s">
        <v>364</v>
      </c>
    </row>
    <row r="25633">
      <c r="H25633" s="8" t="s">
        <v>364</v>
      </c>
    </row>
    <row r="25634">
      <c r="H25634" s="8" t="s">
        <v>364</v>
      </c>
    </row>
    <row r="25635">
      <c r="H25635" s="8" t="s">
        <v>364</v>
      </c>
    </row>
    <row r="25636">
      <c r="H25636" s="8" t="s">
        <v>364</v>
      </c>
    </row>
    <row r="25637">
      <c r="H25637" s="8" t="s">
        <v>364</v>
      </c>
    </row>
    <row r="25638">
      <c r="H25638" s="8" t="s">
        <v>364</v>
      </c>
    </row>
    <row r="25639">
      <c r="H25639" s="8" t="s">
        <v>364</v>
      </c>
    </row>
    <row r="25640">
      <c r="H25640" s="8" t="s">
        <v>364</v>
      </c>
    </row>
    <row r="25641">
      <c r="H25641" s="8" t="s">
        <v>364</v>
      </c>
    </row>
    <row r="25642">
      <c r="H25642" s="8" t="s">
        <v>364</v>
      </c>
    </row>
    <row r="25643">
      <c r="H25643" s="8" t="s">
        <v>364</v>
      </c>
    </row>
    <row r="25644">
      <c r="H25644" s="8" t="s">
        <v>364</v>
      </c>
    </row>
    <row r="25645">
      <c r="H25645" s="8" t="s">
        <v>364</v>
      </c>
    </row>
    <row r="25646">
      <c r="H25646" s="8" t="s">
        <v>364</v>
      </c>
    </row>
    <row r="25647">
      <c r="H25647" s="8" t="s">
        <v>364</v>
      </c>
    </row>
    <row r="25648">
      <c r="H25648" s="8" t="s">
        <v>364</v>
      </c>
    </row>
    <row r="25649">
      <c r="H25649" s="8" t="s">
        <v>364</v>
      </c>
    </row>
    <row r="25650">
      <c r="H25650" s="8" t="s">
        <v>364</v>
      </c>
    </row>
    <row r="25651">
      <c r="H25651" s="8" t="s">
        <v>364</v>
      </c>
    </row>
    <row r="25652">
      <c r="H25652" s="8" t="s">
        <v>364</v>
      </c>
    </row>
    <row r="25653">
      <c r="H25653" s="8" t="s">
        <v>364</v>
      </c>
    </row>
    <row r="25654">
      <c r="H25654" s="8" t="s">
        <v>364</v>
      </c>
    </row>
    <row r="25655">
      <c r="H25655" s="8" t="s">
        <v>364</v>
      </c>
    </row>
    <row r="25656">
      <c r="H25656" s="8" t="s">
        <v>364</v>
      </c>
    </row>
    <row r="25657">
      <c r="H25657" s="8" t="s">
        <v>364</v>
      </c>
    </row>
    <row r="25658">
      <c r="H25658" s="8" t="s">
        <v>364</v>
      </c>
    </row>
    <row r="25659">
      <c r="H25659" s="8" t="s">
        <v>364</v>
      </c>
    </row>
    <row r="25660">
      <c r="H25660" s="8" t="s">
        <v>364</v>
      </c>
    </row>
    <row r="25661">
      <c r="H25661" s="8" t="s">
        <v>364</v>
      </c>
    </row>
    <row r="25662">
      <c r="H25662" s="8" t="s">
        <v>364</v>
      </c>
    </row>
    <row r="25663">
      <c r="H25663" s="8" t="s">
        <v>364</v>
      </c>
    </row>
    <row r="25664">
      <c r="H25664" s="8" t="s">
        <v>364</v>
      </c>
    </row>
    <row r="25665">
      <c r="H25665" s="8" t="s">
        <v>364</v>
      </c>
    </row>
    <row r="25666">
      <c r="H25666" s="8" t="s">
        <v>364</v>
      </c>
    </row>
    <row r="25667">
      <c r="H25667" s="8" t="s">
        <v>364</v>
      </c>
    </row>
    <row r="25668">
      <c r="H25668" s="8" t="s">
        <v>364</v>
      </c>
    </row>
    <row r="25669">
      <c r="H25669" s="8" t="s">
        <v>364</v>
      </c>
    </row>
    <row r="25670">
      <c r="H25670" s="8" t="s">
        <v>364</v>
      </c>
    </row>
    <row r="25671">
      <c r="H25671" s="8" t="s">
        <v>364</v>
      </c>
    </row>
    <row r="25672">
      <c r="H25672" s="8" t="s">
        <v>364</v>
      </c>
    </row>
    <row r="25673">
      <c r="H25673" s="8" t="s">
        <v>364</v>
      </c>
    </row>
    <row r="25674">
      <c r="H25674" s="8" t="s">
        <v>364</v>
      </c>
    </row>
    <row r="25675">
      <c r="H25675" s="8" t="s">
        <v>364</v>
      </c>
    </row>
    <row r="25676">
      <c r="H25676" s="8" t="s">
        <v>364</v>
      </c>
    </row>
    <row r="25677">
      <c r="H25677" s="8" t="s">
        <v>364</v>
      </c>
    </row>
    <row r="25678">
      <c r="H25678" s="8" t="s">
        <v>364</v>
      </c>
    </row>
    <row r="25679">
      <c r="H25679" s="8" t="s">
        <v>364</v>
      </c>
    </row>
    <row r="25680">
      <c r="H25680" s="8" t="s">
        <v>364</v>
      </c>
    </row>
    <row r="25681">
      <c r="H25681" s="8" t="s">
        <v>364</v>
      </c>
    </row>
    <row r="25682">
      <c r="H25682" s="8" t="s">
        <v>364</v>
      </c>
    </row>
    <row r="25683">
      <c r="H25683" s="8" t="s">
        <v>364</v>
      </c>
    </row>
    <row r="25684">
      <c r="H25684" s="8" t="s">
        <v>364</v>
      </c>
    </row>
    <row r="25685">
      <c r="H25685" s="8" t="s">
        <v>364</v>
      </c>
    </row>
    <row r="25686">
      <c r="H25686" s="8" t="s">
        <v>364</v>
      </c>
    </row>
    <row r="25687">
      <c r="H25687" s="8" t="s">
        <v>364</v>
      </c>
    </row>
    <row r="25688">
      <c r="H25688" s="8" t="s">
        <v>364</v>
      </c>
    </row>
    <row r="25689">
      <c r="H25689" s="8" t="s">
        <v>364</v>
      </c>
    </row>
    <row r="25690">
      <c r="H25690" s="8" t="s">
        <v>364</v>
      </c>
    </row>
    <row r="25691">
      <c r="H25691" s="8" t="s">
        <v>364</v>
      </c>
    </row>
    <row r="25692">
      <c r="H25692" s="8" t="s">
        <v>364</v>
      </c>
    </row>
    <row r="25693">
      <c r="H25693" s="8" t="s">
        <v>364</v>
      </c>
    </row>
    <row r="25694">
      <c r="H25694" s="8" t="s">
        <v>364</v>
      </c>
    </row>
    <row r="25695">
      <c r="H25695" s="8" t="s">
        <v>364</v>
      </c>
    </row>
    <row r="25696">
      <c r="H25696" s="8" t="s">
        <v>364</v>
      </c>
    </row>
    <row r="25697">
      <c r="H25697" s="8" t="s">
        <v>364</v>
      </c>
    </row>
    <row r="25698">
      <c r="H25698" s="8" t="s">
        <v>364</v>
      </c>
    </row>
    <row r="25699">
      <c r="H25699" s="8" t="s">
        <v>364</v>
      </c>
    </row>
    <row r="25700">
      <c r="H25700" s="8" t="s">
        <v>364</v>
      </c>
    </row>
    <row r="25701">
      <c r="H25701" s="8" t="s">
        <v>364</v>
      </c>
    </row>
    <row r="25702">
      <c r="H25702" s="8" t="s">
        <v>364</v>
      </c>
    </row>
    <row r="25703">
      <c r="H25703" s="8" t="s">
        <v>364</v>
      </c>
    </row>
    <row r="25704">
      <c r="H25704" s="8" t="s">
        <v>364</v>
      </c>
    </row>
    <row r="25705">
      <c r="H25705" s="8" t="s">
        <v>364</v>
      </c>
    </row>
    <row r="25706">
      <c r="H25706" s="8" t="s">
        <v>364</v>
      </c>
    </row>
    <row r="25707">
      <c r="H25707" s="8" t="s">
        <v>364</v>
      </c>
    </row>
    <row r="25708">
      <c r="H25708" s="8" t="s">
        <v>364</v>
      </c>
    </row>
    <row r="25709">
      <c r="H25709" s="8" t="s">
        <v>364</v>
      </c>
    </row>
    <row r="25710">
      <c r="H25710" s="8" t="s">
        <v>364</v>
      </c>
    </row>
    <row r="25711">
      <c r="H25711" s="8" t="s">
        <v>364</v>
      </c>
    </row>
    <row r="25712">
      <c r="H25712" s="8" t="s">
        <v>364</v>
      </c>
    </row>
    <row r="25713">
      <c r="H25713" s="8" t="s">
        <v>364</v>
      </c>
    </row>
    <row r="25714">
      <c r="H25714" s="8" t="s">
        <v>364</v>
      </c>
    </row>
    <row r="25715">
      <c r="H25715" s="8" t="s">
        <v>364</v>
      </c>
    </row>
    <row r="25716">
      <c r="H25716" s="8" t="s">
        <v>364</v>
      </c>
    </row>
    <row r="25717">
      <c r="H25717" s="8" t="s">
        <v>364</v>
      </c>
    </row>
    <row r="25718">
      <c r="H25718" s="8" t="s">
        <v>364</v>
      </c>
    </row>
    <row r="25719">
      <c r="H25719" s="8" t="s">
        <v>364</v>
      </c>
    </row>
    <row r="25720">
      <c r="H25720" s="8" t="s">
        <v>364</v>
      </c>
    </row>
    <row r="25721">
      <c r="H25721" s="8" t="s">
        <v>364</v>
      </c>
    </row>
    <row r="25722">
      <c r="H25722" s="8" t="s">
        <v>364</v>
      </c>
    </row>
    <row r="25723">
      <c r="H25723" s="8" t="s">
        <v>364</v>
      </c>
    </row>
    <row r="25724">
      <c r="H25724" s="8" t="s">
        <v>364</v>
      </c>
    </row>
    <row r="25725">
      <c r="H25725" s="8" t="s">
        <v>364</v>
      </c>
    </row>
    <row r="25726">
      <c r="H25726" s="8" t="s">
        <v>364</v>
      </c>
    </row>
    <row r="25727">
      <c r="H25727" s="8" t="s">
        <v>364</v>
      </c>
    </row>
    <row r="25728">
      <c r="H25728" s="8" t="s">
        <v>364</v>
      </c>
    </row>
    <row r="25729">
      <c r="H25729" s="8" t="s">
        <v>364</v>
      </c>
    </row>
    <row r="25730">
      <c r="H25730" s="8" t="s">
        <v>364</v>
      </c>
    </row>
    <row r="25731">
      <c r="H25731" s="8" t="s">
        <v>364</v>
      </c>
    </row>
    <row r="25732">
      <c r="H25732" s="8" t="s">
        <v>364</v>
      </c>
    </row>
    <row r="25733">
      <c r="H25733" s="8" t="s">
        <v>364</v>
      </c>
    </row>
    <row r="25734">
      <c r="H25734" s="8" t="s">
        <v>364</v>
      </c>
    </row>
    <row r="25735">
      <c r="H25735" s="8" t="s">
        <v>364</v>
      </c>
    </row>
    <row r="25736">
      <c r="H25736" s="8" t="s">
        <v>364</v>
      </c>
    </row>
    <row r="25737">
      <c r="H25737" s="8" t="s">
        <v>364</v>
      </c>
    </row>
    <row r="25738">
      <c r="H25738" s="8" t="s">
        <v>364</v>
      </c>
    </row>
    <row r="25739">
      <c r="H25739" s="8" t="s">
        <v>364</v>
      </c>
    </row>
    <row r="25740">
      <c r="H25740" s="8" t="s">
        <v>364</v>
      </c>
    </row>
    <row r="25741">
      <c r="H25741" s="8" t="s">
        <v>364</v>
      </c>
    </row>
    <row r="25742">
      <c r="H25742" s="8" t="s">
        <v>364</v>
      </c>
    </row>
    <row r="25743">
      <c r="H25743" s="8" t="s">
        <v>364</v>
      </c>
    </row>
    <row r="25744">
      <c r="H25744" s="8" t="s">
        <v>364</v>
      </c>
    </row>
    <row r="25745">
      <c r="H25745" s="8" t="s">
        <v>364</v>
      </c>
    </row>
    <row r="25746">
      <c r="H25746" s="8" t="s">
        <v>364</v>
      </c>
    </row>
    <row r="25747">
      <c r="H25747" s="8" t="s">
        <v>364</v>
      </c>
    </row>
    <row r="25748">
      <c r="H25748" s="8" t="s">
        <v>364</v>
      </c>
    </row>
    <row r="25749">
      <c r="H25749" s="8" t="s">
        <v>364</v>
      </c>
    </row>
    <row r="25750">
      <c r="H25750" s="8" t="s">
        <v>364</v>
      </c>
    </row>
    <row r="25751">
      <c r="H25751" s="8" t="s">
        <v>364</v>
      </c>
    </row>
    <row r="25752">
      <c r="H25752" s="8" t="s">
        <v>364</v>
      </c>
    </row>
    <row r="25753">
      <c r="H25753" s="8" t="s">
        <v>364</v>
      </c>
    </row>
    <row r="25754">
      <c r="H25754" s="8" t="s">
        <v>364</v>
      </c>
    </row>
    <row r="25755">
      <c r="H25755" s="8" t="s">
        <v>364</v>
      </c>
    </row>
    <row r="25756">
      <c r="H25756" s="8" t="s">
        <v>364</v>
      </c>
    </row>
    <row r="25757">
      <c r="H25757" s="8" t="s">
        <v>364</v>
      </c>
    </row>
    <row r="25758">
      <c r="H25758" s="8" t="s">
        <v>364</v>
      </c>
    </row>
    <row r="25759">
      <c r="H25759" s="8" t="s">
        <v>364</v>
      </c>
    </row>
    <row r="25760">
      <c r="H25760" s="8" t="s">
        <v>364</v>
      </c>
    </row>
    <row r="25761">
      <c r="H25761" s="8" t="s">
        <v>364</v>
      </c>
    </row>
    <row r="25762">
      <c r="H25762" s="8" t="s">
        <v>364</v>
      </c>
    </row>
    <row r="25763">
      <c r="H25763" s="8" t="s">
        <v>364</v>
      </c>
    </row>
    <row r="25764">
      <c r="H25764" s="8" t="s">
        <v>364</v>
      </c>
    </row>
    <row r="25765">
      <c r="H25765" s="8" t="s">
        <v>364</v>
      </c>
    </row>
    <row r="25766">
      <c r="H25766" s="8" t="s">
        <v>364</v>
      </c>
    </row>
    <row r="25767">
      <c r="H25767" s="8" t="s">
        <v>364</v>
      </c>
    </row>
    <row r="25768">
      <c r="H25768" s="8" t="s">
        <v>364</v>
      </c>
    </row>
    <row r="25769">
      <c r="H25769" s="8" t="s">
        <v>364</v>
      </c>
    </row>
    <row r="25770">
      <c r="H25770" s="8" t="s">
        <v>364</v>
      </c>
    </row>
    <row r="25771">
      <c r="H25771" s="8" t="s">
        <v>364</v>
      </c>
    </row>
    <row r="25772">
      <c r="H25772" s="8" t="s">
        <v>364</v>
      </c>
    </row>
    <row r="25773">
      <c r="H25773" s="8" t="s">
        <v>364</v>
      </c>
    </row>
    <row r="25774">
      <c r="H25774" s="8" t="s">
        <v>364</v>
      </c>
    </row>
    <row r="25775">
      <c r="H25775" s="8" t="s">
        <v>364</v>
      </c>
    </row>
    <row r="25776">
      <c r="H25776" s="8" t="s">
        <v>364</v>
      </c>
    </row>
    <row r="25777">
      <c r="H25777" s="8" t="s">
        <v>364</v>
      </c>
    </row>
    <row r="25778">
      <c r="H25778" s="8" t="s">
        <v>364</v>
      </c>
    </row>
    <row r="25779">
      <c r="H25779" s="8" t="s">
        <v>364</v>
      </c>
    </row>
    <row r="25780">
      <c r="H25780" s="8" t="s">
        <v>364</v>
      </c>
    </row>
    <row r="25781">
      <c r="H25781" s="8" t="s">
        <v>364</v>
      </c>
    </row>
    <row r="25782">
      <c r="H25782" s="8" t="s">
        <v>364</v>
      </c>
    </row>
    <row r="25783">
      <c r="H25783" s="8" t="s">
        <v>364</v>
      </c>
    </row>
    <row r="25784">
      <c r="H25784" s="8" t="s">
        <v>364</v>
      </c>
    </row>
    <row r="25785">
      <c r="H25785" s="8" t="s">
        <v>364</v>
      </c>
    </row>
    <row r="25786">
      <c r="H25786" s="8" t="s">
        <v>364</v>
      </c>
    </row>
    <row r="25787">
      <c r="H25787" s="8" t="s">
        <v>364</v>
      </c>
    </row>
    <row r="25788">
      <c r="H25788" s="8" t="s">
        <v>364</v>
      </c>
    </row>
    <row r="25789">
      <c r="H25789" s="8" t="s">
        <v>364</v>
      </c>
    </row>
    <row r="25790">
      <c r="H25790" s="8" t="s">
        <v>364</v>
      </c>
    </row>
    <row r="25791">
      <c r="H25791" s="8" t="s">
        <v>364</v>
      </c>
    </row>
    <row r="25792">
      <c r="H25792" s="8" t="s">
        <v>364</v>
      </c>
    </row>
    <row r="25793">
      <c r="H25793" s="8" t="s">
        <v>364</v>
      </c>
    </row>
    <row r="25794">
      <c r="H25794" s="8" t="s">
        <v>364</v>
      </c>
    </row>
    <row r="25795">
      <c r="H25795" s="8" t="s">
        <v>364</v>
      </c>
    </row>
    <row r="25796">
      <c r="H25796" s="8" t="s">
        <v>364</v>
      </c>
    </row>
    <row r="25797">
      <c r="H25797" s="8" t="s">
        <v>364</v>
      </c>
    </row>
    <row r="25798">
      <c r="H25798" s="8" t="s">
        <v>364</v>
      </c>
    </row>
    <row r="25799">
      <c r="H25799" s="8" t="s">
        <v>364</v>
      </c>
    </row>
    <row r="25800">
      <c r="H25800" s="8" t="s">
        <v>364</v>
      </c>
    </row>
    <row r="25801">
      <c r="H25801" s="8" t="s">
        <v>364</v>
      </c>
    </row>
    <row r="25802">
      <c r="H25802" s="8" t="s">
        <v>364</v>
      </c>
    </row>
    <row r="25803">
      <c r="H25803" s="8" t="s">
        <v>364</v>
      </c>
    </row>
    <row r="25804">
      <c r="H25804" s="8" t="s">
        <v>364</v>
      </c>
    </row>
    <row r="25805">
      <c r="H25805" s="8" t="s">
        <v>364</v>
      </c>
    </row>
    <row r="25806">
      <c r="H25806" s="8" t="s">
        <v>364</v>
      </c>
    </row>
    <row r="25807">
      <c r="H25807" s="8" t="s">
        <v>364</v>
      </c>
    </row>
    <row r="25808">
      <c r="H25808" s="8" t="s">
        <v>364</v>
      </c>
    </row>
    <row r="25809">
      <c r="H25809" s="8" t="s">
        <v>364</v>
      </c>
    </row>
    <row r="25810">
      <c r="H25810" s="8" t="s">
        <v>364</v>
      </c>
    </row>
    <row r="25811">
      <c r="H25811" s="8" t="s">
        <v>364</v>
      </c>
    </row>
    <row r="25812">
      <c r="H25812" s="8" t="s">
        <v>364</v>
      </c>
    </row>
    <row r="25813">
      <c r="H25813" s="8" t="s">
        <v>364</v>
      </c>
    </row>
    <row r="25814">
      <c r="H25814" s="8" t="s">
        <v>364</v>
      </c>
    </row>
    <row r="25815">
      <c r="H25815" s="8" t="s">
        <v>364</v>
      </c>
    </row>
    <row r="25816">
      <c r="H25816" s="8" t="s">
        <v>364</v>
      </c>
    </row>
    <row r="25817">
      <c r="H25817" s="8" t="s">
        <v>364</v>
      </c>
    </row>
    <row r="25818">
      <c r="H25818" s="8" t="s">
        <v>364</v>
      </c>
    </row>
    <row r="25819">
      <c r="H25819" s="8" t="s">
        <v>364</v>
      </c>
    </row>
    <row r="25820">
      <c r="H25820" s="8" t="s">
        <v>364</v>
      </c>
    </row>
    <row r="25821">
      <c r="H25821" s="8" t="s">
        <v>364</v>
      </c>
    </row>
    <row r="25822">
      <c r="H25822" s="8" t="s">
        <v>364</v>
      </c>
    </row>
    <row r="25823">
      <c r="H25823" s="8" t="s">
        <v>364</v>
      </c>
    </row>
    <row r="25824">
      <c r="H25824" s="8" t="s">
        <v>364</v>
      </c>
    </row>
    <row r="25825">
      <c r="H25825" s="8" t="s">
        <v>364</v>
      </c>
    </row>
    <row r="25826">
      <c r="H25826" s="8" t="s">
        <v>364</v>
      </c>
    </row>
    <row r="25827">
      <c r="H25827" s="8" t="s">
        <v>364</v>
      </c>
    </row>
    <row r="25828">
      <c r="H25828" s="8" t="s">
        <v>364</v>
      </c>
    </row>
    <row r="25829">
      <c r="H25829" s="8" t="s">
        <v>364</v>
      </c>
    </row>
    <row r="25830">
      <c r="H25830" s="8" t="s">
        <v>364</v>
      </c>
    </row>
    <row r="25831">
      <c r="H25831" s="8" t="s">
        <v>364</v>
      </c>
    </row>
    <row r="25832">
      <c r="H25832" s="8" t="s">
        <v>364</v>
      </c>
    </row>
    <row r="25833">
      <c r="H25833" s="8" t="s">
        <v>364</v>
      </c>
    </row>
    <row r="25834">
      <c r="H25834" s="8" t="s">
        <v>364</v>
      </c>
    </row>
    <row r="25835">
      <c r="H25835" s="8" t="s">
        <v>364</v>
      </c>
    </row>
    <row r="25836">
      <c r="H25836" s="8" t="s">
        <v>364</v>
      </c>
    </row>
    <row r="25837">
      <c r="H25837" s="8" t="s">
        <v>364</v>
      </c>
    </row>
    <row r="25838">
      <c r="H25838" s="8" t="s">
        <v>364</v>
      </c>
    </row>
    <row r="25839">
      <c r="H25839" s="8" t="s">
        <v>364</v>
      </c>
    </row>
    <row r="25840">
      <c r="H25840" s="8" t="s">
        <v>364</v>
      </c>
    </row>
    <row r="25841">
      <c r="H25841" s="8" t="s">
        <v>364</v>
      </c>
    </row>
    <row r="25842">
      <c r="H25842" s="8" t="s">
        <v>364</v>
      </c>
    </row>
    <row r="25843">
      <c r="H25843" s="8" t="s">
        <v>364</v>
      </c>
    </row>
    <row r="25844">
      <c r="H25844" s="8" t="s">
        <v>364</v>
      </c>
    </row>
    <row r="25845">
      <c r="H25845" s="8" t="s">
        <v>364</v>
      </c>
    </row>
    <row r="25846">
      <c r="H25846" s="8" t="s">
        <v>364</v>
      </c>
    </row>
    <row r="25847">
      <c r="H25847" s="8" t="s">
        <v>364</v>
      </c>
    </row>
    <row r="25848">
      <c r="H25848" s="8" t="s">
        <v>364</v>
      </c>
    </row>
    <row r="25849">
      <c r="H25849" s="8" t="s">
        <v>364</v>
      </c>
    </row>
    <row r="25850">
      <c r="H25850" s="8" t="s">
        <v>364</v>
      </c>
    </row>
    <row r="25851">
      <c r="H25851" s="8" t="s">
        <v>364</v>
      </c>
    </row>
    <row r="25852">
      <c r="H25852" s="8" t="s">
        <v>364</v>
      </c>
    </row>
    <row r="25853">
      <c r="H25853" s="8" t="s">
        <v>364</v>
      </c>
    </row>
    <row r="25854">
      <c r="H25854" s="8" t="s">
        <v>364</v>
      </c>
    </row>
    <row r="25855">
      <c r="H25855" s="8" t="s">
        <v>364</v>
      </c>
    </row>
    <row r="25856">
      <c r="H25856" s="8" t="s">
        <v>364</v>
      </c>
    </row>
    <row r="25857">
      <c r="H25857" s="8" t="s">
        <v>364</v>
      </c>
    </row>
    <row r="25858">
      <c r="H25858" s="8" t="s">
        <v>364</v>
      </c>
    </row>
    <row r="25859">
      <c r="H25859" s="8" t="s">
        <v>364</v>
      </c>
    </row>
    <row r="25860">
      <c r="H25860" s="8" t="s">
        <v>364</v>
      </c>
    </row>
    <row r="25861">
      <c r="H25861" s="8" t="s">
        <v>364</v>
      </c>
    </row>
    <row r="25862">
      <c r="H25862" s="8" t="s">
        <v>364</v>
      </c>
    </row>
    <row r="25863">
      <c r="H25863" s="8" t="s">
        <v>364</v>
      </c>
    </row>
    <row r="25864">
      <c r="H25864" s="8" t="s">
        <v>364</v>
      </c>
    </row>
    <row r="25865">
      <c r="H25865" s="8" t="s">
        <v>364</v>
      </c>
    </row>
    <row r="25866">
      <c r="H25866" s="8" t="s">
        <v>364</v>
      </c>
    </row>
    <row r="25867">
      <c r="H25867" s="8" t="s">
        <v>364</v>
      </c>
    </row>
    <row r="25868">
      <c r="H25868" s="8" t="s">
        <v>364</v>
      </c>
    </row>
    <row r="25869">
      <c r="H25869" s="8" t="s">
        <v>364</v>
      </c>
    </row>
    <row r="25870">
      <c r="H25870" s="8" t="s">
        <v>364</v>
      </c>
    </row>
    <row r="25871">
      <c r="H25871" s="8" t="s">
        <v>364</v>
      </c>
    </row>
    <row r="25872">
      <c r="H25872" s="8" t="s">
        <v>364</v>
      </c>
    </row>
    <row r="25873">
      <c r="H25873" s="8" t="s">
        <v>364</v>
      </c>
    </row>
    <row r="25874">
      <c r="H25874" s="8" t="s">
        <v>364</v>
      </c>
    </row>
    <row r="25875">
      <c r="H25875" s="8" t="s">
        <v>364</v>
      </c>
    </row>
    <row r="25876">
      <c r="H25876" s="8" t="s">
        <v>364</v>
      </c>
    </row>
    <row r="25877">
      <c r="H25877" s="8" t="s">
        <v>364</v>
      </c>
    </row>
    <row r="25878">
      <c r="H25878" s="8" t="s">
        <v>364</v>
      </c>
    </row>
    <row r="25879">
      <c r="H25879" s="8" t="s">
        <v>364</v>
      </c>
    </row>
    <row r="25880">
      <c r="H25880" s="8" t="s">
        <v>364</v>
      </c>
    </row>
    <row r="25881">
      <c r="H25881" s="8" t="s">
        <v>364</v>
      </c>
    </row>
    <row r="25882">
      <c r="H25882" s="8" t="s">
        <v>364</v>
      </c>
    </row>
    <row r="25883">
      <c r="H25883" s="8" t="s">
        <v>364</v>
      </c>
    </row>
    <row r="25884">
      <c r="H25884" s="8" t="s">
        <v>364</v>
      </c>
    </row>
    <row r="25885">
      <c r="H25885" s="8" t="s">
        <v>364</v>
      </c>
    </row>
    <row r="25886">
      <c r="H25886" s="8" t="s">
        <v>364</v>
      </c>
    </row>
    <row r="25887">
      <c r="H25887" s="8" t="s">
        <v>364</v>
      </c>
    </row>
    <row r="25888">
      <c r="H25888" s="8" t="s">
        <v>364</v>
      </c>
    </row>
    <row r="25889">
      <c r="H25889" s="8" t="s">
        <v>364</v>
      </c>
    </row>
    <row r="25890">
      <c r="H25890" s="8" t="s">
        <v>364</v>
      </c>
    </row>
    <row r="25891">
      <c r="H25891" s="8" t="s">
        <v>364</v>
      </c>
    </row>
    <row r="25892">
      <c r="H25892" s="8" t="s">
        <v>364</v>
      </c>
    </row>
    <row r="25893">
      <c r="H25893" s="8" t="s">
        <v>364</v>
      </c>
    </row>
    <row r="25894">
      <c r="H25894" s="8" t="s">
        <v>364</v>
      </c>
    </row>
    <row r="25895">
      <c r="H25895" s="8" t="s">
        <v>364</v>
      </c>
    </row>
    <row r="25896">
      <c r="H25896" s="8" t="s">
        <v>364</v>
      </c>
    </row>
    <row r="25897">
      <c r="H25897" s="8" t="s">
        <v>364</v>
      </c>
    </row>
    <row r="25898">
      <c r="H25898" s="8" t="s">
        <v>364</v>
      </c>
    </row>
    <row r="25899">
      <c r="H25899" s="8" t="s">
        <v>364</v>
      </c>
    </row>
    <row r="25900">
      <c r="H25900" s="8" t="s">
        <v>364</v>
      </c>
    </row>
    <row r="25901">
      <c r="H25901" s="8" t="s">
        <v>364</v>
      </c>
    </row>
    <row r="25902">
      <c r="H25902" s="8" t="s">
        <v>364</v>
      </c>
    </row>
    <row r="25903">
      <c r="H25903" s="8" t="s">
        <v>364</v>
      </c>
    </row>
    <row r="25904">
      <c r="H25904" s="8" t="s">
        <v>364</v>
      </c>
    </row>
    <row r="25905">
      <c r="H25905" s="8" t="s">
        <v>364</v>
      </c>
    </row>
    <row r="25906">
      <c r="H25906" s="8" t="s">
        <v>364</v>
      </c>
    </row>
    <row r="25907">
      <c r="H25907" s="8" t="s">
        <v>364</v>
      </c>
    </row>
    <row r="25908">
      <c r="H25908" s="8" t="s">
        <v>364</v>
      </c>
    </row>
    <row r="25909">
      <c r="H25909" s="8" t="s">
        <v>364</v>
      </c>
    </row>
    <row r="25910">
      <c r="H25910" s="8" t="s">
        <v>364</v>
      </c>
    </row>
    <row r="25911">
      <c r="H25911" s="8" t="s">
        <v>364</v>
      </c>
    </row>
    <row r="25912">
      <c r="H25912" s="8" t="s">
        <v>364</v>
      </c>
    </row>
    <row r="25913">
      <c r="H25913" s="8" t="s">
        <v>364</v>
      </c>
    </row>
    <row r="25914">
      <c r="H25914" s="8" t="s">
        <v>364</v>
      </c>
    </row>
    <row r="25915">
      <c r="H25915" s="8" t="s">
        <v>364</v>
      </c>
    </row>
    <row r="25916">
      <c r="H25916" s="8" t="s">
        <v>364</v>
      </c>
    </row>
    <row r="25917">
      <c r="H25917" s="8" t="s">
        <v>364</v>
      </c>
    </row>
    <row r="25918">
      <c r="H25918" s="8" t="s">
        <v>364</v>
      </c>
    </row>
    <row r="25919">
      <c r="H25919" s="8" t="s">
        <v>364</v>
      </c>
    </row>
    <row r="25920">
      <c r="H25920" s="8" t="s">
        <v>364</v>
      </c>
    </row>
    <row r="25921">
      <c r="H25921" s="8" t="s">
        <v>364</v>
      </c>
    </row>
    <row r="25922">
      <c r="H25922" s="8" t="s">
        <v>364</v>
      </c>
    </row>
    <row r="25923">
      <c r="H25923" s="8" t="s">
        <v>364</v>
      </c>
    </row>
    <row r="25924">
      <c r="H25924" s="8" t="s">
        <v>364</v>
      </c>
    </row>
    <row r="25925">
      <c r="H25925" s="8" t="s">
        <v>364</v>
      </c>
    </row>
    <row r="25926">
      <c r="H25926" s="8" t="s">
        <v>364</v>
      </c>
    </row>
    <row r="25927">
      <c r="H25927" s="8" t="s">
        <v>364</v>
      </c>
    </row>
    <row r="25928">
      <c r="H25928" s="8" t="s">
        <v>364</v>
      </c>
    </row>
    <row r="25929">
      <c r="H25929" s="8" t="s">
        <v>364</v>
      </c>
    </row>
    <row r="25930">
      <c r="H25930" s="8" t="s">
        <v>364</v>
      </c>
    </row>
    <row r="25931">
      <c r="H25931" s="8" t="s">
        <v>364</v>
      </c>
    </row>
    <row r="25932">
      <c r="H25932" s="8" t="s">
        <v>364</v>
      </c>
    </row>
    <row r="25933">
      <c r="H25933" s="8" t="s">
        <v>364</v>
      </c>
    </row>
    <row r="25934">
      <c r="H25934" s="8" t="s">
        <v>364</v>
      </c>
    </row>
    <row r="25935">
      <c r="H25935" s="8" t="s">
        <v>364</v>
      </c>
    </row>
    <row r="25936">
      <c r="H25936" s="8" t="s">
        <v>364</v>
      </c>
    </row>
    <row r="25937">
      <c r="H25937" s="8" t="s">
        <v>364</v>
      </c>
    </row>
    <row r="25938">
      <c r="H25938" s="8" t="s">
        <v>364</v>
      </c>
    </row>
    <row r="25939">
      <c r="H25939" s="8" t="s">
        <v>364</v>
      </c>
    </row>
    <row r="25940">
      <c r="H25940" s="8" t="s">
        <v>364</v>
      </c>
    </row>
    <row r="25941">
      <c r="H25941" s="8" t="s">
        <v>364</v>
      </c>
    </row>
    <row r="25942">
      <c r="H25942" s="8" t="s">
        <v>364</v>
      </c>
    </row>
    <row r="25943">
      <c r="H25943" s="8" t="s">
        <v>364</v>
      </c>
    </row>
    <row r="25944">
      <c r="H25944" s="8" t="s">
        <v>364</v>
      </c>
    </row>
    <row r="25945">
      <c r="H25945" s="8" t="s">
        <v>364</v>
      </c>
    </row>
    <row r="25946">
      <c r="H25946" s="8" t="s">
        <v>364</v>
      </c>
    </row>
    <row r="25947">
      <c r="H25947" s="8" t="s">
        <v>364</v>
      </c>
    </row>
    <row r="25948">
      <c r="H25948" s="8" t="s">
        <v>364</v>
      </c>
    </row>
    <row r="25949">
      <c r="H25949" s="8" t="s">
        <v>364</v>
      </c>
    </row>
    <row r="25950">
      <c r="H25950" s="8" t="s">
        <v>364</v>
      </c>
    </row>
    <row r="25951">
      <c r="H25951" s="8" t="s">
        <v>364</v>
      </c>
    </row>
    <row r="25952">
      <c r="H25952" s="8" t="s">
        <v>364</v>
      </c>
    </row>
    <row r="25953">
      <c r="H25953" s="8" t="s">
        <v>364</v>
      </c>
    </row>
    <row r="25954">
      <c r="H25954" s="8" t="s">
        <v>364</v>
      </c>
    </row>
    <row r="25955">
      <c r="H25955" s="8" t="s">
        <v>364</v>
      </c>
    </row>
    <row r="25956">
      <c r="H25956" s="8" t="s">
        <v>364</v>
      </c>
    </row>
    <row r="25957">
      <c r="H25957" s="8" t="s">
        <v>364</v>
      </c>
    </row>
    <row r="25958">
      <c r="H25958" s="8" t="s">
        <v>364</v>
      </c>
    </row>
    <row r="25959">
      <c r="H25959" s="8" t="s">
        <v>364</v>
      </c>
    </row>
    <row r="25960">
      <c r="H25960" s="8" t="s">
        <v>364</v>
      </c>
    </row>
    <row r="25961">
      <c r="H25961" s="8" t="s">
        <v>364</v>
      </c>
    </row>
    <row r="25962">
      <c r="H25962" s="8" t="s">
        <v>364</v>
      </c>
    </row>
    <row r="25963">
      <c r="H25963" s="8" t="s">
        <v>364</v>
      </c>
    </row>
    <row r="25964">
      <c r="H25964" s="8" t="s">
        <v>364</v>
      </c>
    </row>
    <row r="25965">
      <c r="H25965" s="8" t="s">
        <v>364</v>
      </c>
    </row>
    <row r="25966">
      <c r="H25966" s="8" t="s">
        <v>364</v>
      </c>
    </row>
    <row r="25967">
      <c r="H25967" s="8" t="s">
        <v>364</v>
      </c>
    </row>
    <row r="25968">
      <c r="H25968" s="8" t="s">
        <v>364</v>
      </c>
    </row>
    <row r="25969">
      <c r="H25969" s="8" t="s">
        <v>364</v>
      </c>
    </row>
    <row r="25970">
      <c r="H25970" s="8" t="s">
        <v>364</v>
      </c>
    </row>
    <row r="25971">
      <c r="H25971" s="8" t="s">
        <v>364</v>
      </c>
    </row>
    <row r="25972">
      <c r="H25972" s="8" t="s">
        <v>364</v>
      </c>
    </row>
    <row r="25973">
      <c r="H25973" s="8" t="s">
        <v>364</v>
      </c>
    </row>
    <row r="25974">
      <c r="H25974" s="8" t="s">
        <v>364</v>
      </c>
    </row>
    <row r="25975">
      <c r="H25975" s="8" t="s">
        <v>364</v>
      </c>
    </row>
    <row r="25976">
      <c r="H25976" s="8" t="s">
        <v>364</v>
      </c>
    </row>
    <row r="25977">
      <c r="H25977" s="8" t="s">
        <v>364</v>
      </c>
    </row>
    <row r="25978">
      <c r="H25978" s="8" t="s">
        <v>364</v>
      </c>
    </row>
    <row r="25979">
      <c r="H25979" s="8" t="s">
        <v>364</v>
      </c>
    </row>
    <row r="25980">
      <c r="H25980" s="8" t="s">
        <v>364</v>
      </c>
    </row>
    <row r="25981">
      <c r="H25981" s="8" t="s">
        <v>364</v>
      </c>
    </row>
    <row r="25982">
      <c r="H25982" s="8" t="s">
        <v>364</v>
      </c>
    </row>
    <row r="25983">
      <c r="H25983" s="8" t="s">
        <v>364</v>
      </c>
    </row>
    <row r="25984">
      <c r="H25984" s="8" t="s">
        <v>364</v>
      </c>
    </row>
    <row r="25985">
      <c r="H25985" s="8" t="s">
        <v>364</v>
      </c>
    </row>
    <row r="25986">
      <c r="H25986" s="8" t="s">
        <v>364</v>
      </c>
    </row>
    <row r="25987">
      <c r="H25987" s="8" t="s">
        <v>364</v>
      </c>
    </row>
    <row r="25988">
      <c r="H25988" s="8" t="s">
        <v>364</v>
      </c>
    </row>
    <row r="25989">
      <c r="H25989" s="8" t="s">
        <v>364</v>
      </c>
    </row>
    <row r="25990">
      <c r="H25990" s="8" t="s">
        <v>364</v>
      </c>
    </row>
    <row r="25991">
      <c r="H25991" s="8" t="s">
        <v>364</v>
      </c>
    </row>
    <row r="25992">
      <c r="H25992" s="8" t="s">
        <v>364</v>
      </c>
    </row>
    <row r="25993">
      <c r="H25993" s="8" t="s">
        <v>364</v>
      </c>
    </row>
    <row r="25994">
      <c r="H25994" s="8" t="s">
        <v>364</v>
      </c>
    </row>
    <row r="25995">
      <c r="H25995" s="8" t="s">
        <v>364</v>
      </c>
    </row>
    <row r="25996">
      <c r="H25996" s="8" t="s">
        <v>364</v>
      </c>
    </row>
    <row r="25997">
      <c r="H25997" s="8" t="s">
        <v>364</v>
      </c>
    </row>
    <row r="25998">
      <c r="H25998" s="8" t="s">
        <v>364</v>
      </c>
    </row>
    <row r="25999">
      <c r="H25999" s="8" t="s">
        <v>364</v>
      </c>
    </row>
    <row r="26000">
      <c r="H26000" s="8" t="s">
        <v>364</v>
      </c>
    </row>
    <row r="26001">
      <c r="H26001" s="8" t="s">
        <v>364</v>
      </c>
    </row>
    <row r="26002">
      <c r="H26002" s="8" t="s">
        <v>364</v>
      </c>
    </row>
    <row r="26003">
      <c r="H26003" s="8" t="s">
        <v>364</v>
      </c>
    </row>
    <row r="26004">
      <c r="H26004" s="8" t="s">
        <v>364</v>
      </c>
    </row>
    <row r="26005">
      <c r="H26005" s="8" t="s">
        <v>364</v>
      </c>
    </row>
    <row r="26006">
      <c r="H26006" s="8" t="s">
        <v>364</v>
      </c>
    </row>
    <row r="26007">
      <c r="H26007" s="8" t="s">
        <v>364</v>
      </c>
    </row>
    <row r="26008">
      <c r="H26008" s="8" t="s">
        <v>364</v>
      </c>
    </row>
    <row r="26009">
      <c r="H26009" s="8" t="s">
        <v>364</v>
      </c>
    </row>
    <row r="26010">
      <c r="H26010" s="8" t="s">
        <v>364</v>
      </c>
    </row>
    <row r="26011">
      <c r="H26011" s="8" t="s">
        <v>364</v>
      </c>
    </row>
    <row r="26012">
      <c r="H26012" s="8" t="s">
        <v>364</v>
      </c>
    </row>
    <row r="26013">
      <c r="H26013" s="8" t="s">
        <v>364</v>
      </c>
    </row>
    <row r="26014">
      <c r="H26014" s="8" t="s">
        <v>364</v>
      </c>
    </row>
    <row r="26015">
      <c r="H26015" s="8" t="s">
        <v>364</v>
      </c>
    </row>
    <row r="26016">
      <c r="H26016" s="8" t="s">
        <v>364</v>
      </c>
    </row>
    <row r="26017">
      <c r="H26017" s="8" t="s">
        <v>364</v>
      </c>
    </row>
    <row r="26018">
      <c r="H26018" s="8" t="s">
        <v>364</v>
      </c>
    </row>
    <row r="26019">
      <c r="H26019" s="8" t="s">
        <v>364</v>
      </c>
    </row>
    <row r="26020">
      <c r="H26020" s="8" t="s">
        <v>364</v>
      </c>
    </row>
    <row r="26021">
      <c r="H26021" s="8" t="s">
        <v>364</v>
      </c>
    </row>
    <row r="26022">
      <c r="H26022" s="8" t="s">
        <v>364</v>
      </c>
    </row>
    <row r="26023">
      <c r="H26023" s="8" t="s">
        <v>364</v>
      </c>
    </row>
    <row r="26024">
      <c r="H26024" s="8" t="s">
        <v>364</v>
      </c>
    </row>
    <row r="26025">
      <c r="H26025" s="8" t="s">
        <v>364</v>
      </c>
    </row>
    <row r="26026">
      <c r="H26026" s="8" t="s">
        <v>364</v>
      </c>
    </row>
    <row r="26027">
      <c r="H26027" s="8" t="s">
        <v>364</v>
      </c>
    </row>
    <row r="26028">
      <c r="H26028" s="8" t="s">
        <v>364</v>
      </c>
    </row>
    <row r="26029">
      <c r="H26029" s="8" t="s">
        <v>364</v>
      </c>
    </row>
    <row r="26030">
      <c r="H26030" s="8" t="s">
        <v>364</v>
      </c>
    </row>
    <row r="26031">
      <c r="H26031" s="8" t="s">
        <v>364</v>
      </c>
    </row>
    <row r="26032">
      <c r="H26032" s="8" t="s">
        <v>364</v>
      </c>
    </row>
    <row r="26033">
      <c r="H26033" s="8" t="s">
        <v>364</v>
      </c>
    </row>
    <row r="26034">
      <c r="H26034" s="8" t="s">
        <v>364</v>
      </c>
    </row>
    <row r="26035">
      <c r="H26035" s="8" t="s">
        <v>364</v>
      </c>
    </row>
    <row r="26036">
      <c r="H26036" s="8" t="s">
        <v>364</v>
      </c>
    </row>
    <row r="26037">
      <c r="H26037" s="8" t="s">
        <v>364</v>
      </c>
    </row>
    <row r="26038">
      <c r="H26038" s="8" t="s">
        <v>364</v>
      </c>
    </row>
    <row r="26039">
      <c r="H26039" s="8" t="s">
        <v>364</v>
      </c>
    </row>
    <row r="26040">
      <c r="H26040" s="8" t="s">
        <v>364</v>
      </c>
    </row>
    <row r="26041">
      <c r="H26041" s="8" t="s">
        <v>364</v>
      </c>
    </row>
    <row r="26042">
      <c r="H26042" s="8" t="s">
        <v>364</v>
      </c>
    </row>
    <row r="26043">
      <c r="H26043" s="8" t="s">
        <v>364</v>
      </c>
    </row>
    <row r="26044">
      <c r="H26044" s="8" t="s">
        <v>364</v>
      </c>
    </row>
    <row r="26045">
      <c r="H26045" s="8" t="s">
        <v>364</v>
      </c>
    </row>
    <row r="26046">
      <c r="H26046" s="8" t="s">
        <v>364</v>
      </c>
    </row>
    <row r="26047">
      <c r="H26047" s="8" t="s">
        <v>364</v>
      </c>
    </row>
    <row r="26048">
      <c r="H26048" s="8" t="s">
        <v>364</v>
      </c>
    </row>
    <row r="26049">
      <c r="H26049" s="8" t="s">
        <v>364</v>
      </c>
    </row>
    <row r="26050">
      <c r="H26050" s="8" t="s">
        <v>364</v>
      </c>
    </row>
    <row r="26051">
      <c r="H26051" s="8" t="s">
        <v>364</v>
      </c>
    </row>
    <row r="26052">
      <c r="H26052" s="8" t="s">
        <v>364</v>
      </c>
    </row>
    <row r="26053">
      <c r="H26053" s="8" t="s">
        <v>364</v>
      </c>
    </row>
    <row r="26054">
      <c r="H26054" s="8" t="s">
        <v>364</v>
      </c>
    </row>
    <row r="26055">
      <c r="H26055" s="8" t="s">
        <v>364</v>
      </c>
    </row>
    <row r="26056">
      <c r="H26056" s="8" t="s">
        <v>364</v>
      </c>
    </row>
    <row r="26057">
      <c r="H26057" s="8" t="s">
        <v>364</v>
      </c>
    </row>
    <row r="26058">
      <c r="H26058" s="8" t="s">
        <v>364</v>
      </c>
    </row>
    <row r="26059">
      <c r="H26059" s="8" t="s">
        <v>364</v>
      </c>
    </row>
    <row r="26060">
      <c r="H26060" s="8" t="s">
        <v>364</v>
      </c>
    </row>
    <row r="26061">
      <c r="H26061" s="8" t="s">
        <v>364</v>
      </c>
    </row>
    <row r="26062">
      <c r="H26062" s="8" t="s">
        <v>364</v>
      </c>
    </row>
    <row r="26063">
      <c r="H26063" s="8" t="s">
        <v>364</v>
      </c>
    </row>
    <row r="26064">
      <c r="H26064" s="8" t="s">
        <v>364</v>
      </c>
    </row>
    <row r="26065">
      <c r="H26065" s="8" t="s">
        <v>364</v>
      </c>
    </row>
    <row r="26066">
      <c r="H26066" s="8" t="s">
        <v>364</v>
      </c>
    </row>
    <row r="26067">
      <c r="H26067" s="8" t="s">
        <v>364</v>
      </c>
    </row>
    <row r="26068">
      <c r="H26068" s="8" t="s">
        <v>364</v>
      </c>
    </row>
    <row r="26069">
      <c r="H26069" s="8" t="s">
        <v>364</v>
      </c>
    </row>
    <row r="26070">
      <c r="H26070" s="8" t="s">
        <v>364</v>
      </c>
    </row>
    <row r="26071">
      <c r="H26071" s="8" t="s">
        <v>364</v>
      </c>
    </row>
    <row r="26072">
      <c r="H26072" s="8" t="s">
        <v>364</v>
      </c>
    </row>
    <row r="26073">
      <c r="H26073" s="8" t="s">
        <v>364</v>
      </c>
    </row>
    <row r="26074">
      <c r="H26074" s="8" t="s">
        <v>364</v>
      </c>
    </row>
    <row r="26075">
      <c r="H26075" s="8" t="s">
        <v>364</v>
      </c>
    </row>
    <row r="26076">
      <c r="H26076" s="8" t="s">
        <v>364</v>
      </c>
    </row>
    <row r="26077">
      <c r="H26077" s="8" t="s">
        <v>364</v>
      </c>
    </row>
    <row r="26078">
      <c r="H26078" s="8" t="s">
        <v>364</v>
      </c>
    </row>
    <row r="26079">
      <c r="H26079" s="8" t="s">
        <v>364</v>
      </c>
    </row>
    <row r="26080">
      <c r="H26080" s="8" t="s">
        <v>364</v>
      </c>
    </row>
    <row r="26081">
      <c r="H26081" s="8" t="s">
        <v>364</v>
      </c>
    </row>
    <row r="26082">
      <c r="H26082" s="8" t="s">
        <v>364</v>
      </c>
    </row>
    <row r="26083">
      <c r="H26083" s="8" t="s">
        <v>364</v>
      </c>
    </row>
    <row r="26084">
      <c r="H26084" s="8" t="s">
        <v>364</v>
      </c>
    </row>
    <row r="26085">
      <c r="H26085" s="8" t="s">
        <v>364</v>
      </c>
    </row>
    <row r="26086">
      <c r="H26086" s="8" t="s">
        <v>364</v>
      </c>
    </row>
    <row r="26087">
      <c r="H26087" s="8" t="s">
        <v>364</v>
      </c>
    </row>
    <row r="26088">
      <c r="H26088" s="8" t="s">
        <v>364</v>
      </c>
    </row>
    <row r="26089">
      <c r="H26089" s="8" t="s">
        <v>364</v>
      </c>
    </row>
    <row r="26090">
      <c r="H26090" s="8" t="s">
        <v>364</v>
      </c>
    </row>
    <row r="26091">
      <c r="H26091" s="8" t="s">
        <v>364</v>
      </c>
    </row>
    <row r="26092">
      <c r="H26092" s="8" t="s">
        <v>364</v>
      </c>
    </row>
    <row r="26093">
      <c r="H26093" s="8" t="s">
        <v>364</v>
      </c>
    </row>
    <row r="26094">
      <c r="H26094" s="8" t="s">
        <v>364</v>
      </c>
    </row>
    <row r="26095">
      <c r="H26095" s="8" t="s">
        <v>364</v>
      </c>
    </row>
    <row r="26096">
      <c r="H26096" s="8" t="s">
        <v>364</v>
      </c>
    </row>
    <row r="26097">
      <c r="H26097" s="8" t="s">
        <v>364</v>
      </c>
    </row>
    <row r="26098">
      <c r="H26098" s="8" t="s">
        <v>364</v>
      </c>
    </row>
    <row r="26099">
      <c r="H26099" s="8" t="s">
        <v>364</v>
      </c>
    </row>
    <row r="26100">
      <c r="H26100" s="8" t="s">
        <v>364</v>
      </c>
    </row>
    <row r="26101">
      <c r="H26101" s="8" t="s">
        <v>364</v>
      </c>
    </row>
    <row r="26102">
      <c r="H26102" s="8" t="s">
        <v>364</v>
      </c>
    </row>
    <row r="26103">
      <c r="H26103" s="8" t="s">
        <v>364</v>
      </c>
    </row>
    <row r="26104">
      <c r="H26104" s="8" t="s">
        <v>364</v>
      </c>
    </row>
    <row r="26105">
      <c r="H26105" s="8" t="s">
        <v>364</v>
      </c>
    </row>
    <row r="26106">
      <c r="H26106" s="8" t="s">
        <v>364</v>
      </c>
    </row>
    <row r="26107">
      <c r="H26107" s="8" t="s">
        <v>364</v>
      </c>
    </row>
    <row r="26108">
      <c r="H26108" s="8" t="s">
        <v>364</v>
      </c>
    </row>
    <row r="26109">
      <c r="H26109" s="8" t="s">
        <v>364</v>
      </c>
    </row>
    <row r="26110">
      <c r="H26110" s="8" t="s">
        <v>364</v>
      </c>
    </row>
    <row r="26111">
      <c r="H26111" s="8" t="s">
        <v>364</v>
      </c>
    </row>
    <row r="26112">
      <c r="H26112" s="8" t="s">
        <v>364</v>
      </c>
    </row>
    <row r="26113">
      <c r="H26113" s="8" t="s">
        <v>364</v>
      </c>
    </row>
    <row r="26114">
      <c r="H26114" s="8" t="s">
        <v>364</v>
      </c>
    </row>
    <row r="26115">
      <c r="H26115" s="8" t="s">
        <v>364</v>
      </c>
    </row>
    <row r="26116">
      <c r="H26116" s="8" t="s">
        <v>364</v>
      </c>
    </row>
    <row r="26117">
      <c r="H26117" s="8" t="s">
        <v>364</v>
      </c>
    </row>
    <row r="26118">
      <c r="H26118" s="8" t="s">
        <v>364</v>
      </c>
    </row>
    <row r="26119">
      <c r="H26119" s="8" t="s">
        <v>364</v>
      </c>
    </row>
    <row r="26120">
      <c r="H26120" s="8" t="s">
        <v>364</v>
      </c>
    </row>
    <row r="26121">
      <c r="H26121" s="8" t="s">
        <v>364</v>
      </c>
    </row>
    <row r="26122">
      <c r="H26122" s="8" t="s">
        <v>364</v>
      </c>
    </row>
    <row r="26123">
      <c r="H26123" s="8" t="s">
        <v>364</v>
      </c>
    </row>
    <row r="26124">
      <c r="H26124" s="8" t="s">
        <v>364</v>
      </c>
    </row>
    <row r="26125">
      <c r="H26125" s="8" t="s">
        <v>364</v>
      </c>
    </row>
    <row r="26126">
      <c r="H26126" s="8" t="s">
        <v>364</v>
      </c>
    </row>
    <row r="26127">
      <c r="H26127" s="8" t="s">
        <v>364</v>
      </c>
    </row>
    <row r="26128">
      <c r="H26128" s="8" t="s">
        <v>364</v>
      </c>
    </row>
    <row r="26129">
      <c r="H26129" s="8" t="s">
        <v>364</v>
      </c>
    </row>
    <row r="26130">
      <c r="H26130" s="8" t="s">
        <v>364</v>
      </c>
    </row>
    <row r="26131">
      <c r="H26131" s="8" t="s">
        <v>364</v>
      </c>
    </row>
    <row r="26132">
      <c r="H26132" s="8" t="s">
        <v>364</v>
      </c>
    </row>
    <row r="26133">
      <c r="H26133" s="8" t="s">
        <v>364</v>
      </c>
    </row>
    <row r="26134">
      <c r="H26134" s="8" t="s">
        <v>364</v>
      </c>
    </row>
    <row r="26135">
      <c r="H26135" s="8" t="s">
        <v>364</v>
      </c>
    </row>
    <row r="26136">
      <c r="H26136" s="8" t="s">
        <v>364</v>
      </c>
    </row>
    <row r="26137">
      <c r="H26137" s="8" t="s">
        <v>364</v>
      </c>
    </row>
    <row r="26138">
      <c r="H26138" s="8" t="s">
        <v>364</v>
      </c>
    </row>
    <row r="26139">
      <c r="H26139" s="8" t="s">
        <v>364</v>
      </c>
    </row>
    <row r="26140">
      <c r="H26140" s="8" t="s">
        <v>364</v>
      </c>
    </row>
    <row r="26141">
      <c r="H26141" s="8" t="s">
        <v>364</v>
      </c>
    </row>
    <row r="26142">
      <c r="H26142" s="8" t="s">
        <v>364</v>
      </c>
    </row>
    <row r="26143">
      <c r="H26143" s="8" t="s">
        <v>364</v>
      </c>
    </row>
    <row r="26144">
      <c r="H26144" s="8" t="s">
        <v>364</v>
      </c>
    </row>
    <row r="26145">
      <c r="H26145" s="8" t="s">
        <v>364</v>
      </c>
    </row>
    <row r="26146">
      <c r="H26146" s="8" t="s">
        <v>364</v>
      </c>
    </row>
    <row r="26147">
      <c r="H26147" s="8" t="s">
        <v>364</v>
      </c>
    </row>
    <row r="26148">
      <c r="H26148" s="8" t="s">
        <v>364</v>
      </c>
    </row>
    <row r="26149">
      <c r="H26149" s="8" t="s">
        <v>364</v>
      </c>
    </row>
    <row r="26150">
      <c r="H26150" s="8" t="s">
        <v>364</v>
      </c>
    </row>
    <row r="26151">
      <c r="H26151" s="8" t="s">
        <v>364</v>
      </c>
    </row>
    <row r="26152">
      <c r="H26152" s="8" t="s">
        <v>364</v>
      </c>
    </row>
    <row r="26153">
      <c r="H26153" s="8" t="s">
        <v>364</v>
      </c>
    </row>
    <row r="26154">
      <c r="H26154" s="8" t="s">
        <v>364</v>
      </c>
    </row>
    <row r="26155">
      <c r="H26155" s="8" t="s">
        <v>364</v>
      </c>
    </row>
    <row r="26156">
      <c r="H26156" s="8" t="s">
        <v>364</v>
      </c>
    </row>
    <row r="26157">
      <c r="H26157" s="8" t="s">
        <v>364</v>
      </c>
    </row>
    <row r="26158">
      <c r="H26158" s="8" t="s">
        <v>364</v>
      </c>
    </row>
    <row r="26159">
      <c r="H26159" s="8" t="s">
        <v>364</v>
      </c>
    </row>
    <row r="26160">
      <c r="H26160" s="8" t="s">
        <v>364</v>
      </c>
    </row>
    <row r="26161">
      <c r="H26161" s="8" t="s">
        <v>364</v>
      </c>
    </row>
    <row r="26162">
      <c r="H26162" s="8" t="s">
        <v>364</v>
      </c>
    </row>
    <row r="26163">
      <c r="H26163" s="8" t="s">
        <v>364</v>
      </c>
    </row>
    <row r="26164">
      <c r="H26164" s="8" t="s">
        <v>364</v>
      </c>
    </row>
    <row r="26165">
      <c r="H26165" s="8" t="s">
        <v>364</v>
      </c>
    </row>
    <row r="26166">
      <c r="H26166" s="8" t="s">
        <v>364</v>
      </c>
    </row>
    <row r="26167">
      <c r="H26167" s="8" t="s">
        <v>364</v>
      </c>
    </row>
    <row r="26168">
      <c r="H26168" s="8" t="s">
        <v>364</v>
      </c>
    </row>
    <row r="26169">
      <c r="H26169" s="8" t="s">
        <v>364</v>
      </c>
    </row>
    <row r="26170">
      <c r="H26170" s="8" t="s">
        <v>364</v>
      </c>
    </row>
    <row r="26171">
      <c r="H26171" s="8" t="s">
        <v>364</v>
      </c>
    </row>
    <row r="26172">
      <c r="H26172" s="8" t="s">
        <v>364</v>
      </c>
    </row>
    <row r="26173">
      <c r="H26173" s="8" t="s">
        <v>364</v>
      </c>
    </row>
    <row r="26174">
      <c r="H26174" s="8" t="s">
        <v>364</v>
      </c>
    </row>
    <row r="26175">
      <c r="H26175" s="8" t="s">
        <v>364</v>
      </c>
    </row>
    <row r="26176">
      <c r="H26176" s="8" t="s">
        <v>364</v>
      </c>
    </row>
    <row r="26177">
      <c r="H26177" s="8" t="s">
        <v>364</v>
      </c>
    </row>
    <row r="26178">
      <c r="H26178" s="8" t="s">
        <v>364</v>
      </c>
    </row>
    <row r="26179">
      <c r="H26179" s="8" t="s">
        <v>364</v>
      </c>
    </row>
    <row r="26180">
      <c r="H26180" s="8" t="s">
        <v>364</v>
      </c>
    </row>
    <row r="26181">
      <c r="H26181" s="8" t="s">
        <v>364</v>
      </c>
    </row>
    <row r="26182">
      <c r="H26182" s="8" t="s">
        <v>364</v>
      </c>
    </row>
    <row r="26183">
      <c r="H26183" s="8" t="s">
        <v>364</v>
      </c>
    </row>
    <row r="26184">
      <c r="H26184" s="8" t="s">
        <v>364</v>
      </c>
    </row>
    <row r="26185">
      <c r="H26185" s="8" t="s">
        <v>364</v>
      </c>
    </row>
    <row r="26186">
      <c r="H26186" s="8" t="s">
        <v>364</v>
      </c>
    </row>
    <row r="26187">
      <c r="H26187" s="8" t="s">
        <v>364</v>
      </c>
    </row>
    <row r="26188">
      <c r="H26188" s="8" t="s">
        <v>364</v>
      </c>
    </row>
    <row r="26189">
      <c r="H26189" s="8" t="s">
        <v>364</v>
      </c>
    </row>
    <row r="26190">
      <c r="H26190" s="8" t="s">
        <v>364</v>
      </c>
    </row>
    <row r="26191">
      <c r="H26191" s="8" t="s">
        <v>364</v>
      </c>
    </row>
    <row r="26192">
      <c r="H26192" s="8" t="s">
        <v>364</v>
      </c>
    </row>
    <row r="26193">
      <c r="H26193" s="8" t="s">
        <v>364</v>
      </c>
    </row>
    <row r="26194">
      <c r="H26194" s="8" t="s">
        <v>364</v>
      </c>
    </row>
    <row r="26195">
      <c r="H26195" s="8" t="s">
        <v>364</v>
      </c>
    </row>
    <row r="26196">
      <c r="H26196" s="8" t="s">
        <v>364</v>
      </c>
    </row>
    <row r="26197">
      <c r="H26197" s="8" t="s">
        <v>364</v>
      </c>
    </row>
    <row r="26198">
      <c r="H26198" s="8" t="s">
        <v>364</v>
      </c>
    </row>
    <row r="26199">
      <c r="H26199" s="8" t="s">
        <v>364</v>
      </c>
    </row>
    <row r="26200">
      <c r="H26200" s="8" t="s">
        <v>364</v>
      </c>
    </row>
    <row r="26201">
      <c r="H26201" s="8" t="s">
        <v>364</v>
      </c>
    </row>
    <row r="26202">
      <c r="H26202" s="8" t="s">
        <v>364</v>
      </c>
    </row>
    <row r="26203">
      <c r="H26203" s="8" t="s">
        <v>364</v>
      </c>
    </row>
    <row r="26204">
      <c r="H26204" s="8" t="s">
        <v>364</v>
      </c>
    </row>
    <row r="26205">
      <c r="H26205" s="8" t="s">
        <v>364</v>
      </c>
    </row>
    <row r="26206">
      <c r="H26206" s="8" t="s">
        <v>364</v>
      </c>
    </row>
    <row r="26207">
      <c r="H26207" s="8" t="s">
        <v>364</v>
      </c>
    </row>
    <row r="26208">
      <c r="H26208" s="8" t="s">
        <v>364</v>
      </c>
    </row>
    <row r="26209">
      <c r="H26209" s="8" t="s">
        <v>364</v>
      </c>
    </row>
    <row r="26210">
      <c r="H26210" s="8" t="s">
        <v>364</v>
      </c>
    </row>
    <row r="26211">
      <c r="H26211" s="8" t="s">
        <v>364</v>
      </c>
    </row>
    <row r="26212">
      <c r="H26212" s="8" t="s">
        <v>364</v>
      </c>
    </row>
    <row r="26213">
      <c r="H26213" s="8" t="s">
        <v>364</v>
      </c>
    </row>
    <row r="26214">
      <c r="H26214" s="8" t="s">
        <v>364</v>
      </c>
    </row>
    <row r="26215">
      <c r="H26215" s="8" t="s">
        <v>364</v>
      </c>
    </row>
    <row r="26216">
      <c r="H26216" s="8" t="s">
        <v>364</v>
      </c>
    </row>
    <row r="26217">
      <c r="H26217" s="8" t="s">
        <v>364</v>
      </c>
    </row>
    <row r="26218">
      <c r="H26218" s="8" t="s">
        <v>364</v>
      </c>
    </row>
    <row r="26219">
      <c r="H26219" s="8" t="s">
        <v>364</v>
      </c>
    </row>
    <row r="26220">
      <c r="H26220" s="8" t="s">
        <v>364</v>
      </c>
    </row>
    <row r="26221">
      <c r="H26221" s="8" t="s">
        <v>364</v>
      </c>
    </row>
    <row r="26222">
      <c r="H26222" s="8" t="s">
        <v>364</v>
      </c>
    </row>
    <row r="26223">
      <c r="H26223" s="8" t="s">
        <v>364</v>
      </c>
    </row>
    <row r="26224">
      <c r="H26224" s="8" t="s">
        <v>364</v>
      </c>
    </row>
    <row r="26225">
      <c r="H26225" s="8" t="s">
        <v>364</v>
      </c>
    </row>
    <row r="26226">
      <c r="H26226" s="8" t="s">
        <v>364</v>
      </c>
    </row>
    <row r="26227">
      <c r="H26227" s="8" t="s">
        <v>364</v>
      </c>
    </row>
    <row r="26228">
      <c r="H26228" s="8" t="s">
        <v>364</v>
      </c>
    </row>
    <row r="26229">
      <c r="H26229" s="8" t="s">
        <v>364</v>
      </c>
    </row>
    <row r="26230">
      <c r="H26230" s="8" t="s">
        <v>364</v>
      </c>
    </row>
    <row r="26231">
      <c r="H26231" s="8" t="s">
        <v>364</v>
      </c>
    </row>
    <row r="26232">
      <c r="H26232" s="8" t="s">
        <v>364</v>
      </c>
    </row>
    <row r="26233">
      <c r="H26233" s="8" t="s">
        <v>364</v>
      </c>
    </row>
    <row r="26234">
      <c r="H26234" s="8" t="s">
        <v>364</v>
      </c>
    </row>
    <row r="26235">
      <c r="H26235" s="8" t="s">
        <v>364</v>
      </c>
    </row>
    <row r="26236">
      <c r="H26236" s="8" t="s">
        <v>364</v>
      </c>
    </row>
    <row r="26237">
      <c r="H26237" s="8" t="s">
        <v>364</v>
      </c>
    </row>
    <row r="26238">
      <c r="H26238" s="8" t="s">
        <v>364</v>
      </c>
    </row>
    <row r="26239">
      <c r="H26239" s="8" t="s">
        <v>364</v>
      </c>
    </row>
    <row r="26240">
      <c r="H26240" s="8" t="s">
        <v>364</v>
      </c>
    </row>
    <row r="26241">
      <c r="H26241" s="8" t="s">
        <v>364</v>
      </c>
    </row>
    <row r="26242">
      <c r="H26242" s="8" t="s">
        <v>364</v>
      </c>
    </row>
    <row r="26243">
      <c r="H26243" s="8" t="s">
        <v>364</v>
      </c>
    </row>
    <row r="26244">
      <c r="H26244" s="8" t="s">
        <v>364</v>
      </c>
    </row>
    <row r="26245">
      <c r="H26245" s="8" t="s">
        <v>364</v>
      </c>
    </row>
    <row r="26246">
      <c r="H26246" s="8" t="s">
        <v>364</v>
      </c>
    </row>
    <row r="26247">
      <c r="H26247" s="8" t="s">
        <v>364</v>
      </c>
    </row>
    <row r="26248">
      <c r="H26248" s="8" t="s">
        <v>364</v>
      </c>
    </row>
    <row r="26249">
      <c r="H26249" s="8" t="s">
        <v>364</v>
      </c>
    </row>
    <row r="26250">
      <c r="H26250" s="8" t="s">
        <v>364</v>
      </c>
    </row>
    <row r="26251">
      <c r="H26251" s="8" t="s">
        <v>364</v>
      </c>
    </row>
    <row r="26252">
      <c r="H26252" s="8" t="s">
        <v>364</v>
      </c>
    </row>
    <row r="26253">
      <c r="H26253" s="8" t="s">
        <v>364</v>
      </c>
    </row>
    <row r="26254">
      <c r="H26254" s="8" t="s">
        <v>364</v>
      </c>
    </row>
    <row r="26255">
      <c r="H26255" s="8" t="s">
        <v>364</v>
      </c>
    </row>
    <row r="26256">
      <c r="H26256" s="8" t="s">
        <v>364</v>
      </c>
    </row>
    <row r="26257">
      <c r="H26257" s="8" t="s">
        <v>364</v>
      </c>
    </row>
    <row r="26258">
      <c r="H26258" s="8" t="s">
        <v>364</v>
      </c>
    </row>
    <row r="26259">
      <c r="H26259" s="8" t="s">
        <v>364</v>
      </c>
    </row>
    <row r="26260">
      <c r="H26260" s="8" t="s">
        <v>364</v>
      </c>
    </row>
    <row r="26261">
      <c r="H26261" s="8" t="s">
        <v>364</v>
      </c>
    </row>
    <row r="26262">
      <c r="H26262" s="8" t="s">
        <v>364</v>
      </c>
    </row>
    <row r="26263">
      <c r="H26263" s="8" t="s">
        <v>364</v>
      </c>
    </row>
    <row r="26264">
      <c r="H26264" s="8" t="s">
        <v>364</v>
      </c>
    </row>
    <row r="26265">
      <c r="H26265" s="8" t="s">
        <v>364</v>
      </c>
    </row>
    <row r="26266">
      <c r="H26266" s="8" t="s">
        <v>364</v>
      </c>
    </row>
    <row r="26267">
      <c r="H26267" s="8" t="s">
        <v>364</v>
      </c>
    </row>
    <row r="26268">
      <c r="H26268" s="8" t="s">
        <v>364</v>
      </c>
    </row>
    <row r="26269">
      <c r="H26269" s="8" t="s">
        <v>364</v>
      </c>
    </row>
    <row r="26270">
      <c r="H26270" s="8" t="s">
        <v>364</v>
      </c>
    </row>
    <row r="26271">
      <c r="H26271" s="8" t="s">
        <v>364</v>
      </c>
    </row>
    <row r="26272">
      <c r="H26272" s="8" t="s">
        <v>364</v>
      </c>
    </row>
    <row r="26273">
      <c r="H26273" s="8" t="s">
        <v>364</v>
      </c>
    </row>
    <row r="26274">
      <c r="H26274" s="8" t="s">
        <v>364</v>
      </c>
    </row>
    <row r="26275">
      <c r="H26275" s="8" t="s">
        <v>364</v>
      </c>
    </row>
    <row r="26276">
      <c r="H26276" s="8" t="s">
        <v>364</v>
      </c>
    </row>
    <row r="26277">
      <c r="H26277" s="8" t="s">
        <v>364</v>
      </c>
    </row>
    <row r="26278">
      <c r="H26278" s="8" t="s">
        <v>364</v>
      </c>
    </row>
    <row r="26279">
      <c r="H26279" s="8" t="s">
        <v>364</v>
      </c>
    </row>
    <row r="26280">
      <c r="H26280" s="8" t="s">
        <v>364</v>
      </c>
    </row>
    <row r="26281">
      <c r="H26281" s="8" t="s">
        <v>364</v>
      </c>
    </row>
    <row r="26282">
      <c r="H26282" s="8" t="s">
        <v>364</v>
      </c>
    </row>
    <row r="26283">
      <c r="H26283" s="8" t="s">
        <v>364</v>
      </c>
    </row>
    <row r="26284">
      <c r="H26284" s="8" t="s">
        <v>364</v>
      </c>
    </row>
    <row r="26285">
      <c r="H26285" s="8" t="s">
        <v>364</v>
      </c>
    </row>
    <row r="26286">
      <c r="H26286" s="8" t="s">
        <v>364</v>
      </c>
    </row>
    <row r="26287">
      <c r="H26287" s="8" t="s">
        <v>364</v>
      </c>
    </row>
    <row r="26288">
      <c r="H26288" s="8" t="s">
        <v>364</v>
      </c>
    </row>
    <row r="26289">
      <c r="H26289" s="8" t="s">
        <v>364</v>
      </c>
    </row>
    <row r="26290">
      <c r="H26290" s="8" t="s">
        <v>364</v>
      </c>
    </row>
    <row r="26291">
      <c r="H26291" s="8" t="s">
        <v>364</v>
      </c>
    </row>
    <row r="26292">
      <c r="H26292" s="8" t="s">
        <v>364</v>
      </c>
    </row>
    <row r="26293">
      <c r="H26293" s="8" t="s">
        <v>364</v>
      </c>
    </row>
    <row r="26294">
      <c r="H26294" s="8" t="s">
        <v>364</v>
      </c>
    </row>
    <row r="26295">
      <c r="H26295" s="8" t="s">
        <v>364</v>
      </c>
    </row>
    <row r="26296">
      <c r="H26296" s="8" t="s">
        <v>364</v>
      </c>
    </row>
    <row r="26297">
      <c r="H26297" s="8" t="s">
        <v>364</v>
      </c>
    </row>
    <row r="26298">
      <c r="H26298" s="8" t="s">
        <v>364</v>
      </c>
    </row>
    <row r="26299">
      <c r="H26299" s="8" t="s">
        <v>364</v>
      </c>
    </row>
    <row r="26300">
      <c r="H26300" s="8" t="s">
        <v>364</v>
      </c>
    </row>
    <row r="26301">
      <c r="H26301" s="8" t="s">
        <v>364</v>
      </c>
    </row>
    <row r="26302">
      <c r="H26302" s="8" t="s">
        <v>364</v>
      </c>
    </row>
    <row r="26303">
      <c r="H26303" s="8" t="s">
        <v>364</v>
      </c>
    </row>
    <row r="26304">
      <c r="H26304" s="8" t="s">
        <v>364</v>
      </c>
    </row>
    <row r="26305">
      <c r="H26305" s="8" t="s">
        <v>364</v>
      </c>
    </row>
    <row r="26306">
      <c r="H26306" s="8" t="s">
        <v>364</v>
      </c>
    </row>
    <row r="26307">
      <c r="H26307" s="8" t="s">
        <v>364</v>
      </c>
    </row>
    <row r="26308">
      <c r="H26308" s="8" t="s">
        <v>364</v>
      </c>
    </row>
    <row r="26309">
      <c r="H26309" s="8" t="s">
        <v>364</v>
      </c>
    </row>
    <row r="26310">
      <c r="H26310" s="8" t="s">
        <v>364</v>
      </c>
    </row>
    <row r="26311">
      <c r="H26311" s="8" t="s">
        <v>364</v>
      </c>
    </row>
    <row r="26312">
      <c r="H26312" s="8" t="s">
        <v>364</v>
      </c>
    </row>
    <row r="26313">
      <c r="H26313" s="8" t="s">
        <v>364</v>
      </c>
    </row>
    <row r="26314">
      <c r="H26314" s="8" t="s">
        <v>364</v>
      </c>
    </row>
    <row r="26315">
      <c r="H26315" s="8" t="s">
        <v>364</v>
      </c>
    </row>
    <row r="26316">
      <c r="H26316" s="8" t="s">
        <v>364</v>
      </c>
    </row>
    <row r="26317">
      <c r="H26317" s="8" t="s">
        <v>364</v>
      </c>
    </row>
    <row r="26318">
      <c r="H26318" s="8" t="s">
        <v>364</v>
      </c>
    </row>
    <row r="26319">
      <c r="H26319" s="8" t="s">
        <v>364</v>
      </c>
    </row>
    <row r="26320">
      <c r="H26320" s="8" t="s">
        <v>364</v>
      </c>
    </row>
    <row r="26321">
      <c r="H26321" s="8" t="s">
        <v>364</v>
      </c>
    </row>
    <row r="26322">
      <c r="H26322" s="8" t="s">
        <v>364</v>
      </c>
    </row>
    <row r="26323">
      <c r="H26323" s="8" t="s">
        <v>364</v>
      </c>
    </row>
    <row r="26324">
      <c r="H26324" s="8" t="s">
        <v>364</v>
      </c>
    </row>
    <row r="26325">
      <c r="H26325" s="8" t="s">
        <v>364</v>
      </c>
    </row>
    <row r="26326">
      <c r="H26326" s="8" t="s">
        <v>364</v>
      </c>
    </row>
    <row r="26327">
      <c r="H26327" s="8" t="s">
        <v>364</v>
      </c>
    </row>
    <row r="26328">
      <c r="H26328" s="8" t="s">
        <v>364</v>
      </c>
    </row>
    <row r="26329">
      <c r="H26329" s="8" t="s">
        <v>364</v>
      </c>
    </row>
    <row r="26330">
      <c r="H26330" s="8" t="s">
        <v>364</v>
      </c>
    </row>
    <row r="26331">
      <c r="H26331" s="8" t="s">
        <v>364</v>
      </c>
    </row>
    <row r="26332">
      <c r="H26332" s="8" t="s">
        <v>364</v>
      </c>
    </row>
    <row r="26333">
      <c r="H26333" s="8" t="s">
        <v>364</v>
      </c>
    </row>
    <row r="26334">
      <c r="H26334" s="8" t="s">
        <v>364</v>
      </c>
    </row>
    <row r="26335">
      <c r="H26335" s="8" t="s">
        <v>364</v>
      </c>
    </row>
    <row r="26336">
      <c r="H26336" s="8" t="s">
        <v>364</v>
      </c>
    </row>
    <row r="26337">
      <c r="H26337" s="8" t="s">
        <v>364</v>
      </c>
    </row>
    <row r="26338">
      <c r="H26338" s="8" t="s">
        <v>364</v>
      </c>
    </row>
    <row r="26339">
      <c r="H26339" s="8" t="s">
        <v>364</v>
      </c>
    </row>
    <row r="26340">
      <c r="H26340" s="8" t="s">
        <v>364</v>
      </c>
    </row>
    <row r="26341">
      <c r="H26341" s="8" t="s">
        <v>364</v>
      </c>
    </row>
    <row r="26342">
      <c r="H26342" s="8" t="s">
        <v>364</v>
      </c>
    </row>
    <row r="26343">
      <c r="H26343" s="8" t="s">
        <v>364</v>
      </c>
    </row>
    <row r="26344">
      <c r="H26344" s="8" t="s">
        <v>364</v>
      </c>
    </row>
    <row r="26345">
      <c r="H26345" s="8" t="s">
        <v>364</v>
      </c>
    </row>
    <row r="26346">
      <c r="H26346" s="8" t="s">
        <v>364</v>
      </c>
    </row>
    <row r="26347">
      <c r="H26347" s="8" t="s">
        <v>364</v>
      </c>
    </row>
    <row r="26348">
      <c r="H26348" s="8" t="s">
        <v>364</v>
      </c>
    </row>
    <row r="26349">
      <c r="H26349" s="8" t="s">
        <v>364</v>
      </c>
    </row>
    <row r="26350">
      <c r="H26350" s="8" t="s">
        <v>364</v>
      </c>
    </row>
    <row r="26351">
      <c r="H26351" s="8" t="s">
        <v>364</v>
      </c>
    </row>
    <row r="26352">
      <c r="H26352" s="8" t="s">
        <v>364</v>
      </c>
    </row>
    <row r="26353">
      <c r="H26353" s="8" t="s">
        <v>364</v>
      </c>
    </row>
    <row r="26354">
      <c r="H26354" s="8" t="s">
        <v>364</v>
      </c>
    </row>
    <row r="26355">
      <c r="H26355" s="8" t="s">
        <v>364</v>
      </c>
    </row>
    <row r="26356">
      <c r="H26356" s="8" t="s">
        <v>364</v>
      </c>
    </row>
    <row r="26357">
      <c r="H26357" s="8" t="s">
        <v>364</v>
      </c>
    </row>
    <row r="26358">
      <c r="H26358" s="8" t="s">
        <v>364</v>
      </c>
    </row>
    <row r="26359">
      <c r="H26359" s="8" t="s">
        <v>364</v>
      </c>
    </row>
    <row r="26360">
      <c r="H26360" s="8" t="s">
        <v>364</v>
      </c>
    </row>
    <row r="26361">
      <c r="H26361" s="8" t="s">
        <v>364</v>
      </c>
    </row>
    <row r="26362">
      <c r="H26362" s="8" t="s">
        <v>364</v>
      </c>
    </row>
    <row r="26363">
      <c r="H26363" s="8" t="s">
        <v>364</v>
      </c>
    </row>
    <row r="26364">
      <c r="H26364" s="8" t="s">
        <v>364</v>
      </c>
    </row>
    <row r="26365">
      <c r="H26365" s="8" t="s">
        <v>364</v>
      </c>
    </row>
    <row r="26366">
      <c r="H26366" s="8" t="s">
        <v>364</v>
      </c>
    </row>
    <row r="26367">
      <c r="H26367" s="8" t="s">
        <v>364</v>
      </c>
    </row>
    <row r="26368">
      <c r="H26368" s="8" t="s">
        <v>364</v>
      </c>
    </row>
    <row r="26369">
      <c r="H26369" s="8" t="s">
        <v>364</v>
      </c>
    </row>
    <row r="26370">
      <c r="H26370" s="8" t="s">
        <v>364</v>
      </c>
    </row>
    <row r="26371">
      <c r="H26371" s="8" t="s">
        <v>364</v>
      </c>
    </row>
    <row r="26372">
      <c r="H26372" s="8" t="s">
        <v>364</v>
      </c>
    </row>
    <row r="26373">
      <c r="H26373" s="8" t="s">
        <v>364</v>
      </c>
    </row>
    <row r="26374">
      <c r="H26374" s="8" t="s">
        <v>364</v>
      </c>
    </row>
    <row r="26375">
      <c r="H26375" s="8" t="s">
        <v>364</v>
      </c>
    </row>
    <row r="26376">
      <c r="H26376" s="8" t="s">
        <v>364</v>
      </c>
    </row>
    <row r="26377">
      <c r="H26377" s="8" t="s">
        <v>364</v>
      </c>
    </row>
    <row r="26378">
      <c r="H26378" s="8" t="s">
        <v>364</v>
      </c>
    </row>
    <row r="26379">
      <c r="H26379" s="8" t="s">
        <v>364</v>
      </c>
    </row>
    <row r="26380">
      <c r="H26380" s="8" t="s">
        <v>364</v>
      </c>
    </row>
    <row r="26381">
      <c r="H26381" s="8" t="s">
        <v>364</v>
      </c>
    </row>
    <row r="26382">
      <c r="H26382" s="8" t="s">
        <v>364</v>
      </c>
    </row>
    <row r="26383">
      <c r="H26383" s="8" t="s">
        <v>364</v>
      </c>
    </row>
    <row r="26384">
      <c r="H26384" s="8" t="s">
        <v>364</v>
      </c>
    </row>
    <row r="26385">
      <c r="H26385" s="8" t="s">
        <v>364</v>
      </c>
    </row>
    <row r="26386">
      <c r="H26386" s="8" t="s">
        <v>364</v>
      </c>
    </row>
    <row r="26387">
      <c r="H26387" s="8" t="s">
        <v>364</v>
      </c>
    </row>
    <row r="26388">
      <c r="H26388" s="8" t="s">
        <v>364</v>
      </c>
    </row>
    <row r="26389">
      <c r="H26389" s="8" t="s">
        <v>364</v>
      </c>
    </row>
    <row r="26390">
      <c r="H26390" s="8" t="s">
        <v>364</v>
      </c>
    </row>
    <row r="26391">
      <c r="H26391" s="8" t="s">
        <v>364</v>
      </c>
    </row>
    <row r="26392">
      <c r="H26392" s="8" t="s">
        <v>364</v>
      </c>
    </row>
    <row r="26393">
      <c r="H26393" s="8" t="s">
        <v>364</v>
      </c>
    </row>
    <row r="26394">
      <c r="H26394" s="8" t="s">
        <v>364</v>
      </c>
    </row>
    <row r="26395">
      <c r="H26395" s="8" t="s">
        <v>364</v>
      </c>
    </row>
    <row r="26396">
      <c r="H26396" s="8" t="s">
        <v>364</v>
      </c>
    </row>
    <row r="26397">
      <c r="H26397" s="8" t="s">
        <v>364</v>
      </c>
    </row>
    <row r="26398">
      <c r="H26398" s="8" t="s">
        <v>364</v>
      </c>
    </row>
    <row r="26399">
      <c r="H26399" s="8" t="s">
        <v>364</v>
      </c>
    </row>
    <row r="26400">
      <c r="H26400" s="8" t="s">
        <v>364</v>
      </c>
    </row>
    <row r="26401">
      <c r="H26401" s="8" t="s">
        <v>364</v>
      </c>
    </row>
    <row r="26402">
      <c r="H26402" s="8" t="s">
        <v>364</v>
      </c>
    </row>
    <row r="26403">
      <c r="H26403" s="8" t="s">
        <v>364</v>
      </c>
    </row>
    <row r="26404">
      <c r="H26404" s="8" t="s">
        <v>364</v>
      </c>
    </row>
    <row r="26405">
      <c r="H26405" s="8" t="s">
        <v>364</v>
      </c>
    </row>
    <row r="26406">
      <c r="H26406" s="8" t="s">
        <v>364</v>
      </c>
    </row>
    <row r="26407">
      <c r="H26407" s="8" t="s">
        <v>364</v>
      </c>
    </row>
    <row r="26408">
      <c r="H26408" s="8" t="s">
        <v>364</v>
      </c>
    </row>
    <row r="26409">
      <c r="H26409" s="8" t="s">
        <v>364</v>
      </c>
    </row>
    <row r="26410">
      <c r="H26410" s="8" t="s">
        <v>364</v>
      </c>
    </row>
    <row r="26411">
      <c r="H26411" s="8" t="s">
        <v>364</v>
      </c>
    </row>
    <row r="26412">
      <c r="H26412" s="8" t="s">
        <v>364</v>
      </c>
    </row>
    <row r="26413">
      <c r="H26413" s="8" t="s">
        <v>364</v>
      </c>
    </row>
    <row r="26414">
      <c r="H26414" s="8" t="s">
        <v>364</v>
      </c>
    </row>
    <row r="26415">
      <c r="H26415" s="8" t="s">
        <v>364</v>
      </c>
    </row>
    <row r="26416">
      <c r="H26416" s="8" t="s">
        <v>364</v>
      </c>
    </row>
    <row r="26417">
      <c r="H26417" s="8" t="s">
        <v>364</v>
      </c>
    </row>
    <row r="26418">
      <c r="H26418" s="8" t="s">
        <v>364</v>
      </c>
    </row>
    <row r="26419">
      <c r="H26419" s="8" t="s">
        <v>364</v>
      </c>
    </row>
    <row r="26420">
      <c r="H26420" s="8" t="s">
        <v>364</v>
      </c>
    </row>
    <row r="26421">
      <c r="H26421" s="8" t="s">
        <v>364</v>
      </c>
    </row>
    <row r="26422">
      <c r="H26422" s="8" t="s">
        <v>364</v>
      </c>
    </row>
    <row r="26423">
      <c r="H26423" s="8" t="s">
        <v>364</v>
      </c>
    </row>
    <row r="26424">
      <c r="H26424" s="8" t="s">
        <v>364</v>
      </c>
    </row>
    <row r="26425">
      <c r="H26425" s="8" t="s">
        <v>364</v>
      </c>
    </row>
    <row r="26426">
      <c r="H26426" s="8" t="s">
        <v>364</v>
      </c>
    </row>
    <row r="26427">
      <c r="H26427" s="8" t="s">
        <v>364</v>
      </c>
    </row>
    <row r="26428">
      <c r="H26428" s="8" t="s">
        <v>364</v>
      </c>
    </row>
    <row r="26429">
      <c r="H26429" s="8" t="s">
        <v>364</v>
      </c>
    </row>
    <row r="26430">
      <c r="H26430" s="8" t="s">
        <v>364</v>
      </c>
    </row>
    <row r="26431">
      <c r="H26431" s="8" t="s">
        <v>364</v>
      </c>
    </row>
    <row r="26432">
      <c r="H26432" s="8" t="s">
        <v>364</v>
      </c>
    </row>
    <row r="26433">
      <c r="H26433" s="8" t="s">
        <v>364</v>
      </c>
    </row>
    <row r="26434">
      <c r="H26434" s="8" t="s">
        <v>364</v>
      </c>
    </row>
    <row r="26435">
      <c r="H26435" s="8" t="s">
        <v>364</v>
      </c>
    </row>
    <row r="26436">
      <c r="H26436" s="8" t="s">
        <v>364</v>
      </c>
    </row>
    <row r="26437">
      <c r="H26437" s="8" t="s">
        <v>364</v>
      </c>
    </row>
    <row r="26438">
      <c r="H26438" s="8" t="s">
        <v>364</v>
      </c>
    </row>
    <row r="26439">
      <c r="H26439" s="8" t="s">
        <v>364</v>
      </c>
    </row>
    <row r="26440">
      <c r="H26440" s="8" t="s">
        <v>364</v>
      </c>
    </row>
    <row r="26441">
      <c r="H26441" s="8" t="s">
        <v>364</v>
      </c>
    </row>
    <row r="26442">
      <c r="H26442" s="8" t="s">
        <v>364</v>
      </c>
    </row>
    <row r="26443">
      <c r="H26443" s="8" t="s">
        <v>364</v>
      </c>
    </row>
    <row r="26444">
      <c r="H26444" s="8" t="s">
        <v>364</v>
      </c>
    </row>
    <row r="26445">
      <c r="H26445" s="8" t="s">
        <v>364</v>
      </c>
    </row>
    <row r="26446">
      <c r="H26446" s="8" t="s">
        <v>364</v>
      </c>
    </row>
    <row r="26447">
      <c r="H26447" s="8" t="s">
        <v>364</v>
      </c>
    </row>
    <row r="26448">
      <c r="H26448" s="8" t="s">
        <v>364</v>
      </c>
    </row>
    <row r="26449">
      <c r="H26449" s="8" t="s">
        <v>364</v>
      </c>
    </row>
    <row r="26450">
      <c r="H26450" s="8" t="s">
        <v>364</v>
      </c>
    </row>
    <row r="26451">
      <c r="H26451" s="8" t="s">
        <v>364</v>
      </c>
    </row>
    <row r="26452">
      <c r="H26452" s="8" t="s">
        <v>364</v>
      </c>
    </row>
    <row r="26453">
      <c r="H26453" s="8" t="s">
        <v>364</v>
      </c>
    </row>
    <row r="26454">
      <c r="H26454" s="8" t="s">
        <v>364</v>
      </c>
    </row>
    <row r="26455">
      <c r="H26455" s="8" t="s">
        <v>364</v>
      </c>
    </row>
    <row r="26456">
      <c r="H26456" s="8" t="s">
        <v>364</v>
      </c>
    </row>
    <row r="26457">
      <c r="H26457" s="8" t="s">
        <v>364</v>
      </c>
    </row>
    <row r="26458">
      <c r="H26458" s="8" t="s">
        <v>364</v>
      </c>
    </row>
    <row r="26459">
      <c r="H26459" s="8" t="s">
        <v>364</v>
      </c>
    </row>
    <row r="26460">
      <c r="H26460" s="8" t="s">
        <v>364</v>
      </c>
    </row>
    <row r="26461">
      <c r="H26461" s="8" t="s">
        <v>364</v>
      </c>
    </row>
    <row r="26462">
      <c r="H26462" s="8" t="s">
        <v>364</v>
      </c>
    </row>
    <row r="26463">
      <c r="H26463" s="8" t="s">
        <v>364</v>
      </c>
    </row>
    <row r="26464">
      <c r="H26464" s="8" t="s">
        <v>364</v>
      </c>
    </row>
    <row r="26465">
      <c r="H26465" s="8" t="s">
        <v>364</v>
      </c>
    </row>
    <row r="26466">
      <c r="H26466" s="8" t="s">
        <v>364</v>
      </c>
    </row>
    <row r="26467">
      <c r="H26467" s="8" t="s">
        <v>364</v>
      </c>
    </row>
    <row r="26468">
      <c r="H26468" s="8" t="s">
        <v>364</v>
      </c>
    </row>
    <row r="26469">
      <c r="H26469" s="8" t="s">
        <v>364</v>
      </c>
    </row>
    <row r="26470">
      <c r="H26470" s="8" t="s">
        <v>364</v>
      </c>
    </row>
    <row r="26471">
      <c r="H26471" s="8" t="s">
        <v>364</v>
      </c>
    </row>
    <row r="26472">
      <c r="H26472" s="8" t="s">
        <v>364</v>
      </c>
    </row>
    <row r="26473">
      <c r="H26473" s="8" t="s">
        <v>364</v>
      </c>
    </row>
    <row r="26474">
      <c r="H26474" s="8" t="s">
        <v>364</v>
      </c>
    </row>
    <row r="26475">
      <c r="H26475" s="8" t="s">
        <v>364</v>
      </c>
    </row>
    <row r="26476">
      <c r="H26476" s="8" t="s">
        <v>364</v>
      </c>
    </row>
    <row r="26477">
      <c r="H26477" s="8" t="s">
        <v>364</v>
      </c>
    </row>
    <row r="26478">
      <c r="H26478" s="8" t="s">
        <v>364</v>
      </c>
    </row>
    <row r="26479">
      <c r="H26479" s="8" t="s">
        <v>364</v>
      </c>
    </row>
    <row r="26480">
      <c r="H26480" s="8" t="s">
        <v>364</v>
      </c>
    </row>
    <row r="26481">
      <c r="H26481" s="8" t="s">
        <v>364</v>
      </c>
    </row>
    <row r="26482">
      <c r="H26482" s="8" t="s">
        <v>364</v>
      </c>
    </row>
    <row r="26483">
      <c r="H26483" s="8" t="s">
        <v>364</v>
      </c>
    </row>
    <row r="26484">
      <c r="H26484" s="8" t="s">
        <v>364</v>
      </c>
    </row>
    <row r="26485">
      <c r="H26485" s="8" t="s">
        <v>364</v>
      </c>
    </row>
    <row r="26486">
      <c r="H26486" s="8" t="s">
        <v>364</v>
      </c>
    </row>
    <row r="26487">
      <c r="H26487" s="8" t="s">
        <v>364</v>
      </c>
    </row>
    <row r="26488">
      <c r="H26488" s="8" t="s">
        <v>364</v>
      </c>
    </row>
    <row r="26489">
      <c r="H26489" s="8" t="s">
        <v>364</v>
      </c>
    </row>
    <row r="26490">
      <c r="H26490" s="8" t="s">
        <v>364</v>
      </c>
    </row>
    <row r="26491">
      <c r="H26491" s="8" t="s">
        <v>364</v>
      </c>
    </row>
    <row r="26492">
      <c r="H26492" s="8" t="s">
        <v>364</v>
      </c>
    </row>
    <row r="26493">
      <c r="H26493" s="8" t="s">
        <v>364</v>
      </c>
    </row>
    <row r="26494">
      <c r="H26494" s="8" t="s">
        <v>364</v>
      </c>
    </row>
    <row r="26495">
      <c r="H26495" s="8" t="s">
        <v>364</v>
      </c>
    </row>
    <row r="26496">
      <c r="H26496" s="8" t="s">
        <v>364</v>
      </c>
    </row>
    <row r="26497">
      <c r="H26497" s="8" t="s">
        <v>364</v>
      </c>
    </row>
    <row r="26498">
      <c r="H26498" s="8" t="s">
        <v>364</v>
      </c>
    </row>
    <row r="26499">
      <c r="H26499" s="8" t="s">
        <v>364</v>
      </c>
    </row>
    <row r="26500">
      <c r="H26500" s="8" t="s">
        <v>364</v>
      </c>
    </row>
    <row r="26501">
      <c r="H26501" s="8" t="s">
        <v>364</v>
      </c>
    </row>
    <row r="26502">
      <c r="H26502" s="8" t="s">
        <v>364</v>
      </c>
    </row>
    <row r="26503">
      <c r="H26503" s="8" t="s">
        <v>364</v>
      </c>
    </row>
    <row r="26504">
      <c r="H26504" s="8" t="s">
        <v>364</v>
      </c>
    </row>
    <row r="26505">
      <c r="H26505" s="8" t="s">
        <v>364</v>
      </c>
    </row>
    <row r="26506">
      <c r="H26506" s="8" t="s">
        <v>364</v>
      </c>
    </row>
    <row r="26507">
      <c r="H26507" s="8" t="s">
        <v>364</v>
      </c>
    </row>
    <row r="26508">
      <c r="H26508" s="8" t="s">
        <v>364</v>
      </c>
    </row>
    <row r="26509">
      <c r="H26509" s="8" t="s">
        <v>364</v>
      </c>
    </row>
    <row r="26510">
      <c r="H26510" s="8" t="s">
        <v>364</v>
      </c>
    </row>
    <row r="26511">
      <c r="H26511" s="8" t="s">
        <v>364</v>
      </c>
    </row>
    <row r="26512">
      <c r="H26512" s="8" t="s">
        <v>364</v>
      </c>
    </row>
    <row r="26513">
      <c r="H26513" s="8" t="s">
        <v>364</v>
      </c>
    </row>
    <row r="26514">
      <c r="H26514" s="8" t="s">
        <v>364</v>
      </c>
    </row>
    <row r="26515">
      <c r="H26515" s="8" t="s">
        <v>364</v>
      </c>
    </row>
    <row r="26516">
      <c r="H26516" s="8" t="s">
        <v>364</v>
      </c>
    </row>
    <row r="26517">
      <c r="H26517" s="8" t="s">
        <v>364</v>
      </c>
    </row>
    <row r="26518">
      <c r="H26518" s="8" t="s">
        <v>364</v>
      </c>
    </row>
    <row r="26519">
      <c r="H26519" s="8" t="s">
        <v>364</v>
      </c>
    </row>
    <row r="26520">
      <c r="H26520" s="8" t="s">
        <v>364</v>
      </c>
    </row>
    <row r="26521">
      <c r="H26521" s="8" t="s">
        <v>364</v>
      </c>
    </row>
    <row r="26522">
      <c r="H26522" s="8" t="s">
        <v>364</v>
      </c>
    </row>
    <row r="26523">
      <c r="H26523" s="8" t="s">
        <v>364</v>
      </c>
    </row>
    <row r="26524">
      <c r="H26524" s="8" t="s">
        <v>364</v>
      </c>
    </row>
    <row r="26525">
      <c r="H26525" s="8" t="s">
        <v>364</v>
      </c>
    </row>
    <row r="26526">
      <c r="H26526" s="8" t="s">
        <v>364</v>
      </c>
    </row>
    <row r="26527">
      <c r="H26527" s="8" t="s">
        <v>364</v>
      </c>
    </row>
    <row r="26528">
      <c r="H26528" s="8" t="s">
        <v>364</v>
      </c>
    </row>
    <row r="26529">
      <c r="H26529" s="8" t="s">
        <v>364</v>
      </c>
    </row>
    <row r="26530">
      <c r="H26530" s="8" t="s">
        <v>364</v>
      </c>
    </row>
    <row r="26531">
      <c r="H26531" s="8" t="s">
        <v>364</v>
      </c>
    </row>
    <row r="26532">
      <c r="H26532" s="8" t="s">
        <v>364</v>
      </c>
    </row>
    <row r="26533">
      <c r="H26533" s="8" t="s">
        <v>364</v>
      </c>
    </row>
    <row r="26534">
      <c r="H26534" s="8" t="s">
        <v>364</v>
      </c>
    </row>
    <row r="26535">
      <c r="H26535" s="8" t="s">
        <v>364</v>
      </c>
    </row>
    <row r="26536">
      <c r="H26536" s="8" t="s">
        <v>364</v>
      </c>
    </row>
    <row r="26537">
      <c r="H26537" s="8" t="s">
        <v>364</v>
      </c>
    </row>
    <row r="26538">
      <c r="H26538" s="8" t="s">
        <v>364</v>
      </c>
    </row>
    <row r="26539">
      <c r="H26539" s="8" t="s">
        <v>364</v>
      </c>
    </row>
    <row r="26540">
      <c r="H26540" s="8" t="s">
        <v>364</v>
      </c>
    </row>
    <row r="26541">
      <c r="H26541" s="8" t="s">
        <v>364</v>
      </c>
    </row>
    <row r="26542">
      <c r="H26542" s="8" t="s">
        <v>364</v>
      </c>
    </row>
    <row r="26543">
      <c r="H26543" s="8" t="s">
        <v>364</v>
      </c>
    </row>
    <row r="26544">
      <c r="H26544" s="8" t="s">
        <v>364</v>
      </c>
    </row>
    <row r="26545">
      <c r="H26545" s="8" t="s">
        <v>364</v>
      </c>
    </row>
    <row r="26546">
      <c r="H26546" s="8" t="s">
        <v>364</v>
      </c>
    </row>
    <row r="26547">
      <c r="H26547" s="8" t="s">
        <v>364</v>
      </c>
    </row>
    <row r="26548">
      <c r="H26548" s="8" t="s">
        <v>364</v>
      </c>
    </row>
    <row r="26549">
      <c r="H26549" s="8" t="s">
        <v>364</v>
      </c>
    </row>
    <row r="26550">
      <c r="H26550" s="8" t="s">
        <v>364</v>
      </c>
    </row>
    <row r="26551">
      <c r="H26551" s="8" t="s">
        <v>364</v>
      </c>
    </row>
    <row r="26552">
      <c r="H26552" s="8" t="s">
        <v>364</v>
      </c>
    </row>
    <row r="26553">
      <c r="H26553" s="8" t="s">
        <v>364</v>
      </c>
    </row>
    <row r="26554">
      <c r="H26554" s="8" t="s">
        <v>364</v>
      </c>
    </row>
    <row r="26555">
      <c r="H26555" s="8" t="s">
        <v>364</v>
      </c>
    </row>
    <row r="26556">
      <c r="H26556" s="8" t="s">
        <v>364</v>
      </c>
    </row>
    <row r="26557">
      <c r="H26557" s="8" t="s">
        <v>364</v>
      </c>
    </row>
    <row r="26558">
      <c r="H26558" s="8" t="s">
        <v>364</v>
      </c>
    </row>
    <row r="26559">
      <c r="H26559" s="8" t="s">
        <v>364</v>
      </c>
    </row>
    <row r="26560">
      <c r="H26560" s="8" t="s">
        <v>364</v>
      </c>
    </row>
    <row r="26561">
      <c r="H26561" s="8" t="s">
        <v>364</v>
      </c>
    </row>
    <row r="26562">
      <c r="H26562" s="8" t="s">
        <v>364</v>
      </c>
    </row>
    <row r="26563">
      <c r="H26563" s="8" t="s">
        <v>364</v>
      </c>
    </row>
    <row r="26564">
      <c r="H26564" s="8" t="s">
        <v>364</v>
      </c>
    </row>
    <row r="26565">
      <c r="H26565" s="8" t="s">
        <v>364</v>
      </c>
    </row>
    <row r="26566">
      <c r="H26566" s="8" t="s">
        <v>364</v>
      </c>
    </row>
    <row r="26567">
      <c r="H26567" s="8" t="s">
        <v>364</v>
      </c>
    </row>
    <row r="26568">
      <c r="H26568" s="8" t="s">
        <v>364</v>
      </c>
    </row>
    <row r="26569">
      <c r="H26569" s="8" t="s">
        <v>364</v>
      </c>
    </row>
    <row r="26570">
      <c r="H26570" s="8" t="s">
        <v>364</v>
      </c>
    </row>
    <row r="26571">
      <c r="H26571" s="8" t="s">
        <v>364</v>
      </c>
    </row>
    <row r="26572">
      <c r="H26572" s="8" t="s">
        <v>364</v>
      </c>
    </row>
    <row r="26573">
      <c r="H26573" s="8" t="s">
        <v>364</v>
      </c>
    </row>
    <row r="26574">
      <c r="H26574" s="8" t="s">
        <v>364</v>
      </c>
    </row>
    <row r="26575">
      <c r="H26575" s="8" t="s">
        <v>364</v>
      </c>
    </row>
    <row r="26576">
      <c r="H26576" s="8" t="s">
        <v>364</v>
      </c>
    </row>
    <row r="26577">
      <c r="H26577" s="8" t="s">
        <v>364</v>
      </c>
    </row>
    <row r="26578">
      <c r="H26578" s="8" t="s">
        <v>364</v>
      </c>
    </row>
    <row r="26579">
      <c r="H26579" s="8" t="s">
        <v>364</v>
      </c>
    </row>
    <row r="26580">
      <c r="H26580" s="8" t="s">
        <v>364</v>
      </c>
    </row>
    <row r="26581">
      <c r="H26581" s="8" t="s">
        <v>364</v>
      </c>
    </row>
    <row r="26582">
      <c r="H26582" s="8" t="s">
        <v>364</v>
      </c>
    </row>
    <row r="26583">
      <c r="H26583" s="8" t="s">
        <v>364</v>
      </c>
    </row>
    <row r="26584">
      <c r="H26584" s="8" t="s">
        <v>364</v>
      </c>
    </row>
    <row r="26585">
      <c r="H26585" s="8" t="s">
        <v>364</v>
      </c>
    </row>
    <row r="26586">
      <c r="H26586" s="8" t="s">
        <v>364</v>
      </c>
    </row>
    <row r="26587">
      <c r="H26587" s="8" t="s">
        <v>364</v>
      </c>
    </row>
    <row r="26588">
      <c r="H26588" s="8" t="s">
        <v>364</v>
      </c>
    </row>
    <row r="26589">
      <c r="H26589" s="8" t="s">
        <v>364</v>
      </c>
    </row>
    <row r="26590">
      <c r="H26590" s="8" t="s">
        <v>364</v>
      </c>
    </row>
    <row r="26591">
      <c r="H26591" s="8" t="s">
        <v>364</v>
      </c>
    </row>
    <row r="26592">
      <c r="H26592" s="8" t="s">
        <v>364</v>
      </c>
    </row>
    <row r="26593">
      <c r="H26593" s="8" t="s">
        <v>364</v>
      </c>
    </row>
    <row r="26594">
      <c r="H26594" s="8" t="s">
        <v>364</v>
      </c>
    </row>
    <row r="26595">
      <c r="H26595" s="8" t="s">
        <v>364</v>
      </c>
    </row>
    <row r="26596">
      <c r="H26596" s="8" t="s">
        <v>364</v>
      </c>
    </row>
    <row r="26597">
      <c r="H26597" s="8" t="s">
        <v>364</v>
      </c>
    </row>
    <row r="26598">
      <c r="H26598" s="8" t="s">
        <v>364</v>
      </c>
    </row>
    <row r="26599">
      <c r="H26599" s="8" t="s">
        <v>364</v>
      </c>
    </row>
    <row r="26600">
      <c r="H26600" s="8" t="s">
        <v>364</v>
      </c>
    </row>
    <row r="26601">
      <c r="H26601" s="8" t="s">
        <v>364</v>
      </c>
    </row>
    <row r="26602">
      <c r="H26602" s="8" t="s">
        <v>364</v>
      </c>
    </row>
    <row r="26603">
      <c r="H26603" s="8" t="s">
        <v>364</v>
      </c>
    </row>
    <row r="26604">
      <c r="H26604" s="8" t="s">
        <v>364</v>
      </c>
    </row>
    <row r="26605">
      <c r="H26605" s="8" t="s">
        <v>364</v>
      </c>
    </row>
    <row r="26606">
      <c r="H26606" s="8" t="s">
        <v>364</v>
      </c>
    </row>
    <row r="26607">
      <c r="H26607" s="8" t="s">
        <v>364</v>
      </c>
    </row>
    <row r="26608">
      <c r="H26608" s="8" t="s">
        <v>364</v>
      </c>
    </row>
    <row r="26609">
      <c r="H26609" s="8" t="s">
        <v>364</v>
      </c>
    </row>
    <row r="26610">
      <c r="H26610" s="8" t="s">
        <v>364</v>
      </c>
    </row>
    <row r="26611">
      <c r="H26611" s="8" t="s">
        <v>364</v>
      </c>
    </row>
    <row r="26612">
      <c r="H26612" s="8" t="s">
        <v>364</v>
      </c>
    </row>
    <row r="26613">
      <c r="H26613" s="8" t="s">
        <v>364</v>
      </c>
    </row>
    <row r="26614">
      <c r="H26614" s="8" t="s">
        <v>364</v>
      </c>
    </row>
    <row r="26615">
      <c r="H26615" s="8" t="s">
        <v>364</v>
      </c>
    </row>
    <row r="26616">
      <c r="H26616" s="8" t="s">
        <v>364</v>
      </c>
    </row>
    <row r="26617">
      <c r="H26617" s="8" t="s">
        <v>364</v>
      </c>
    </row>
    <row r="26618">
      <c r="H26618" s="8" t="s">
        <v>364</v>
      </c>
    </row>
    <row r="26619">
      <c r="H26619" s="8" t="s">
        <v>364</v>
      </c>
    </row>
    <row r="26620">
      <c r="H26620" s="8" t="s">
        <v>364</v>
      </c>
    </row>
    <row r="26621">
      <c r="H26621" s="8" t="s">
        <v>364</v>
      </c>
    </row>
    <row r="26622">
      <c r="H26622" s="8" t="s">
        <v>364</v>
      </c>
    </row>
    <row r="26623">
      <c r="H26623" s="8" t="s">
        <v>364</v>
      </c>
    </row>
    <row r="26624">
      <c r="H26624" s="8" t="s">
        <v>364</v>
      </c>
    </row>
    <row r="26625">
      <c r="H26625" s="8" t="s">
        <v>364</v>
      </c>
    </row>
    <row r="26626">
      <c r="H26626" s="8" t="s">
        <v>364</v>
      </c>
    </row>
    <row r="26627">
      <c r="H26627" s="8" t="s">
        <v>364</v>
      </c>
    </row>
    <row r="26628">
      <c r="H26628" s="8" t="s">
        <v>364</v>
      </c>
    </row>
    <row r="26629">
      <c r="H26629" s="8" t="s">
        <v>364</v>
      </c>
    </row>
    <row r="26630">
      <c r="H26630" s="8" t="s">
        <v>364</v>
      </c>
    </row>
    <row r="26631">
      <c r="H26631" s="8" t="s">
        <v>364</v>
      </c>
    </row>
    <row r="26632">
      <c r="H26632" s="8" t="s">
        <v>364</v>
      </c>
    </row>
    <row r="26633">
      <c r="H26633" s="8" t="s">
        <v>364</v>
      </c>
    </row>
    <row r="26634">
      <c r="H26634" s="8" t="s">
        <v>364</v>
      </c>
    </row>
    <row r="26635">
      <c r="H26635" s="8" t="s">
        <v>364</v>
      </c>
    </row>
    <row r="26636">
      <c r="H26636" s="8" t="s">
        <v>364</v>
      </c>
    </row>
    <row r="26637">
      <c r="H26637" s="8" t="s">
        <v>364</v>
      </c>
    </row>
    <row r="26638">
      <c r="H26638" s="8" t="s">
        <v>364</v>
      </c>
    </row>
    <row r="26639">
      <c r="H26639" s="8" t="s">
        <v>364</v>
      </c>
    </row>
    <row r="26640">
      <c r="H26640" s="8" t="s">
        <v>364</v>
      </c>
    </row>
    <row r="26641">
      <c r="H26641" s="8" t="s">
        <v>364</v>
      </c>
    </row>
    <row r="26642">
      <c r="H26642" s="8" t="s">
        <v>364</v>
      </c>
    </row>
    <row r="26643">
      <c r="H26643" s="8" t="s">
        <v>364</v>
      </c>
    </row>
    <row r="26644">
      <c r="H26644" s="8" t="s">
        <v>364</v>
      </c>
    </row>
    <row r="26645">
      <c r="H26645" s="8" t="s">
        <v>364</v>
      </c>
    </row>
    <row r="26646">
      <c r="H26646" s="8" t="s">
        <v>364</v>
      </c>
    </row>
    <row r="26647">
      <c r="H26647" s="8" t="s">
        <v>364</v>
      </c>
    </row>
    <row r="26648">
      <c r="H26648" s="8" t="s">
        <v>364</v>
      </c>
    </row>
    <row r="26649">
      <c r="H26649" s="8" t="s">
        <v>364</v>
      </c>
    </row>
    <row r="26650">
      <c r="H26650" s="8" t="s">
        <v>364</v>
      </c>
    </row>
    <row r="26651">
      <c r="H26651" s="8" t="s">
        <v>364</v>
      </c>
    </row>
    <row r="26652">
      <c r="H26652" s="8" t="s">
        <v>364</v>
      </c>
    </row>
    <row r="26653">
      <c r="H26653" s="8" t="s">
        <v>364</v>
      </c>
    </row>
    <row r="26654">
      <c r="H26654" s="8" t="s">
        <v>364</v>
      </c>
    </row>
    <row r="26655">
      <c r="H26655" s="8" t="s">
        <v>364</v>
      </c>
    </row>
    <row r="26656">
      <c r="H26656" s="8" t="s">
        <v>364</v>
      </c>
    </row>
    <row r="26657">
      <c r="H26657" s="8" t="s">
        <v>364</v>
      </c>
    </row>
    <row r="26658">
      <c r="H26658" s="8" t="s">
        <v>364</v>
      </c>
    </row>
    <row r="26659">
      <c r="H26659" s="8" t="s">
        <v>364</v>
      </c>
    </row>
    <row r="26660">
      <c r="H26660" s="8" t="s">
        <v>364</v>
      </c>
    </row>
    <row r="26661">
      <c r="H26661" s="8" t="s">
        <v>364</v>
      </c>
    </row>
    <row r="26662">
      <c r="H26662" s="8" t="s">
        <v>364</v>
      </c>
    </row>
    <row r="26663">
      <c r="H26663" s="8" t="s">
        <v>364</v>
      </c>
    </row>
    <row r="26664">
      <c r="H26664" s="8" t="s">
        <v>364</v>
      </c>
    </row>
    <row r="26665">
      <c r="H26665" s="8" t="s">
        <v>364</v>
      </c>
    </row>
    <row r="26666">
      <c r="H26666" s="8" t="s">
        <v>364</v>
      </c>
    </row>
    <row r="26667">
      <c r="H26667" s="8" t="s">
        <v>364</v>
      </c>
    </row>
    <row r="26668">
      <c r="H26668" s="8" t="s">
        <v>364</v>
      </c>
    </row>
    <row r="26669">
      <c r="H26669" s="8" t="s">
        <v>364</v>
      </c>
    </row>
    <row r="26670">
      <c r="H26670" s="8" t="s">
        <v>364</v>
      </c>
    </row>
    <row r="26671">
      <c r="H26671" s="8" t="s">
        <v>364</v>
      </c>
    </row>
    <row r="26672">
      <c r="H26672" s="8" t="s">
        <v>364</v>
      </c>
    </row>
    <row r="26673">
      <c r="H26673" s="8" t="s">
        <v>364</v>
      </c>
    </row>
    <row r="26674">
      <c r="H26674" s="8" t="s">
        <v>364</v>
      </c>
    </row>
    <row r="26675">
      <c r="H26675" s="8" t="s">
        <v>364</v>
      </c>
    </row>
    <row r="26676">
      <c r="H26676" s="8" t="s">
        <v>364</v>
      </c>
    </row>
    <row r="26677">
      <c r="H26677" s="8" t="s">
        <v>364</v>
      </c>
    </row>
    <row r="26678">
      <c r="H26678" s="8" t="s">
        <v>364</v>
      </c>
    </row>
    <row r="26679">
      <c r="H26679" s="8" t="s">
        <v>364</v>
      </c>
    </row>
    <row r="26680">
      <c r="H26680" s="8" t="s">
        <v>364</v>
      </c>
    </row>
    <row r="26681">
      <c r="H26681" s="8" t="s">
        <v>364</v>
      </c>
    </row>
    <row r="26682">
      <c r="H26682" s="8" t="s">
        <v>364</v>
      </c>
    </row>
    <row r="26683">
      <c r="H26683" s="8" t="s">
        <v>364</v>
      </c>
    </row>
    <row r="26684">
      <c r="H26684" s="8" t="s">
        <v>364</v>
      </c>
    </row>
    <row r="26685">
      <c r="H26685" s="8" t="s">
        <v>364</v>
      </c>
    </row>
    <row r="26686">
      <c r="H26686" s="8" t="s">
        <v>364</v>
      </c>
    </row>
    <row r="26687">
      <c r="H26687" s="8" t="s">
        <v>364</v>
      </c>
    </row>
    <row r="26688">
      <c r="H26688" s="8" t="s">
        <v>364</v>
      </c>
    </row>
    <row r="26689">
      <c r="H26689" s="8" t="s">
        <v>364</v>
      </c>
    </row>
    <row r="26690">
      <c r="H26690" s="8" t="s">
        <v>364</v>
      </c>
    </row>
    <row r="26691">
      <c r="H26691" s="8" t="s">
        <v>364</v>
      </c>
    </row>
    <row r="26692">
      <c r="H26692" s="8" t="s">
        <v>364</v>
      </c>
    </row>
    <row r="26693">
      <c r="H26693" s="8" t="s">
        <v>364</v>
      </c>
    </row>
    <row r="26694">
      <c r="H26694" s="8" t="s">
        <v>364</v>
      </c>
    </row>
    <row r="26695">
      <c r="H26695" s="8" t="s">
        <v>364</v>
      </c>
    </row>
    <row r="26696">
      <c r="H26696" s="8" t="s">
        <v>364</v>
      </c>
    </row>
    <row r="26697">
      <c r="H26697" s="8" t="s">
        <v>364</v>
      </c>
    </row>
    <row r="26698">
      <c r="H26698" s="8" t="s">
        <v>364</v>
      </c>
    </row>
    <row r="26699">
      <c r="H26699" s="8" t="s">
        <v>364</v>
      </c>
    </row>
    <row r="26700">
      <c r="H26700" s="8" t="s">
        <v>364</v>
      </c>
    </row>
    <row r="26701">
      <c r="H26701" s="8" t="s">
        <v>364</v>
      </c>
    </row>
    <row r="26702">
      <c r="H26702" s="8" t="s">
        <v>364</v>
      </c>
    </row>
    <row r="26703">
      <c r="H26703" s="8" t="s">
        <v>364</v>
      </c>
    </row>
    <row r="26704">
      <c r="H26704" s="8" t="s">
        <v>364</v>
      </c>
    </row>
    <row r="26705">
      <c r="H26705" s="8" t="s">
        <v>364</v>
      </c>
    </row>
    <row r="26706">
      <c r="H26706" s="8" t="s">
        <v>364</v>
      </c>
    </row>
    <row r="26707">
      <c r="H26707" s="8" t="s">
        <v>364</v>
      </c>
    </row>
    <row r="26708">
      <c r="H26708" s="8" t="s">
        <v>364</v>
      </c>
    </row>
    <row r="26709">
      <c r="H26709" s="8" t="s">
        <v>364</v>
      </c>
    </row>
    <row r="26710">
      <c r="H26710" s="8" t="s">
        <v>364</v>
      </c>
    </row>
    <row r="26711">
      <c r="H26711" s="8" t="s">
        <v>364</v>
      </c>
    </row>
    <row r="26712">
      <c r="H26712" s="8" t="s">
        <v>364</v>
      </c>
    </row>
    <row r="26713">
      <c r="H26713" s="8" t="s">
        <v>364</v>
      </c>
    </row>
    <row r="26714">
      <c r="H26714" s="8" t="s">
        <v>364</v>
      </c>
    </row>
    <row r="26715">
      <c r="H26715" s="8" t="s">
        <v>364</v>
      </c>
    </row>
    <row r="26716">
      <c r="H26716" s="8" t="s">
        <v>364</v>
      </c>
    </row>
    <row r="26717">
      <c r="H26717" s="8" t="s">
        <v>364</v>
      </c>
    </row>
    <row r="26718">
      <c r="H26718" s="8" t="s">
        <v>364</v>
      </c>
    </row>
    <row r="26719">
      <c r="H26719" s="8" t="s">
        <v>364</v>
      </c>
    </row>
    <row r="26720">
      <c r="H26720" s="8" t="s">
        <v>364</v>
      </c>
    </row>
    <row r="26721">
      <c r="H26721" s="8" t="s">
        <v>364</v>
      </c>
    </row>
    <row r="26722">
      <c r="H26722" s="8" t="s">
        <v>364</v>
      </c>
    </row>
    <row r="26723">
      <c r="H26723" s="8" t="s">
        <v>364</v>
      </c>
    </row>
    <row r="26724">
      <c r="H26724" s="8" t="s">
        <v>364</v>
      </c>
    </row>
    <row r="26725">
      <c r="H26725" s="8" t="s">
        <v>364</v>
      </c>
    </row>
    <row r="26726">
      <c r="H26726" s="8" t="s">
        <v>364</v>
      </c>
    </row>
    <row r="26727">
      <c r="H26727" s="8" t="s">
        <v>364</v>
      </c>
    </row>
    <row r="26728">
      <c r="H26728" s="8" t="s">
        <v>364</v>
      </c>
    </row>
    <row r="26729">
      <c r="H26729" s="8" t="s">
        <v>364</v>
      </c>
    </row>
    <row r="26730">
      <c r="H26730" s="8" t="s">
        <v>364</v>
      </c>
    </row>
    <row r="26731">
      <c r="H26731" s="8" t="s">
        <v>364</v>
      </c>
    </row>
    <row r="26732">
      <c r="H26732" s="8" t="s">
        <v>364</v>
      </c>
    </row>
    <row r="26733">
      <c r="H26733" s="8" t="s">
        <v>364</v>
      </c>
    </row>
    <row r="26734">
      <c r="H26734" s="8" t="s">
        <v>364</v>
      </c>
    </row>
    <row r="26735">
      <c r="H26735" s="8" t="s">
        <v>364</v>
      </c>
    </row>
    <row r="26736">
      <c r="H26736" s="8" t="s">
        <v>364</v>
      </c>
    </row>
    <row r="26737">
      <c r="H26737" s="8" t="s">
        <v>364</v>
      </c>
    </row>
    <row r="26738">
      <c r="H26738" s="8" t="s">
        <v>364</v>
      </c>
    </row>
    <row r="26739">
      <c r="H26739" s="8" t="s">
        <v>364</v>
      </c>
    </row>
    <row r="26740">
      <c r="H26740" s="8" t="s">
        <v>364</v>
      </c>
    </row>
    <row r="26741">
      <c r="H26741" s="8" t="s">
        <v>364</v>
      </c>
    </row>
    <row r="26742">
      <c r="H26742" s="8" t="s">
        <v>364</v>
      </c>
    </row>
    <row r="26743">
      <c r="H26743" s="8" t="s">
        <v>364</v>
      </c>
    </row>
    <row r="26744">
      <c r="H26744" s="8" t="s">
        <v>364</v>
      </c>
    </row>
    <row r="26745">
      <c r="H26745" s="8" t="s">
        <v>364</v>
      </c>
    </row>
    <row r="26746">
      <c r="H26746" s="8" t="s">
        <v>364</v>
      </c>
    </row>
    <row r="26747">
      <c r="H26747" s="8" t="s">
        <v>364</v>
      </c>
    </row>
    <row r="26748">
      <c r="H26748" s="8" t="s">
        <v>364</v>
      </c>
    </row>
    <row r="26749">
      <c r="H26749" s="8" t="s">
        <v>364</v>
      </c>
    </row>
    <row r="26750">
      <c r="H26750" s="8" t="s">
        <v>364</v>
      </c>
    </row>
    <row r="26751">
      <c r="H26751" s="8" t="s">
        <v>364</v>
      </c>
    </row>
    <row r="26752">
      <c r="H26752" s="8" t="s">
        <v>364</v>
      </c>
    </row>
    <row r="26753">
      <c r="H26753" s="8" t="s">
        <v>364</v>
      </c>
    </row>
    <row r="26754">
      <c r="H26754" s="8" t="s">
        <v>364</v>
      </c>
    </row>
    <row r="26755">
      <c r="H26755" s="8" t="s">
        <v>364</v>
      </c>
    </row>
    <row r="26756">
      <c r="H26756" s="8" t="s">
        <v>364</v>
      </c>
    </row>
    <row r="26757">
      <c r="H26757" s="8" t="s">
        <v>364</v>
      </c>
    </row>
    <row r="26758">
      <c r="H26758" s="8" t="s">
        <v>364</v>
      </c>
    </row>
    <row r="26759">
      <c r="H26759" s="8" t="s">
        <v>364</v>
      </c>
    </row>
    <row r="26760">
      <c r="H26760" s="8" t="s">
        <v>364</v>
      </c>
    </row>
    <row r="26761">
      <c r="H26761" s="8" t="s">
        <v>364</v>
      </c>
    </row>
    <row r="26762">
      <c r="H26762" s="8" t="s">
        <v>364</v>
      </c>
    </row>
    <row r="26763">
      <c r="H26763" s="8" t="s">
        <v>364</v>
      </c>
    </row>
    <row r="26764">
      <c r="H26764" s="8" t="s">
        <v>364</v>
      </c>
    </row>
    <row r="26765">
      <c r="H26765" s="8" t="s">
        <v>364</v>
      </c>
    </row>
    <row r="26766">
      <c r="H26766" s="8" t="s">
        <v>364</v>
      </c>
    </row>
    <row r="26767">
      <c r="H26767" s="8" t="s">
        <v>364</v>
      </c>
    </row>
    <row r="26768">
      <c r="H26768" s="8" t="s">
        <v>364</v>
      </c>
    </row>
    <row r="26769">
      <c r="H26769" s="8" t="s">
        <v>364</v>
      </c>
    </row>
    <row r="26770">
      <c r="H26770" s="8" t="s">
        <v>364</v>
      </c>
    </row>
    <row r="26771">
      <c r="H26771" s="8" t="s">
        <v>364</v>
      </c>
    </row>
    <row r="26772">
      <c r="H26772" s="8" t="s">
        <v>364</v>
      </c>
    </row>
    <row r="26773">
      <c r="H26773" s="8" t="s">
        <v>364</v>
      </c>
    </row>
    <row r="26774">
      <c r="H26774" s="8" t="s">
        <v>364</v>
      </c>
    </row>
    <row r="26775">
      <c r="H26775" s="8" t="s">
        <v>364</v>
      </c>
    </row>
    <row r="26776">
      <c r="H26776" s="8" t="s">
        <v>364</v>
      </c>
    </row>
    <row r="26777">
      <c r="H26777" s="8" t="s">
        <v>364</v>
      </c>
    </row>
    <row r="26778">
      <c r="H26778" s="8" t="s">
        <v>364</v>
      </c>
    </row>
    <row r="26779">
      <c r="H26779" s="8" t="s">
        <v>364</v>
      </c>
    </row>
    <row r="26780">
      <c r="H26780" s="8" t="s">
        <v>364</v>
      </c>
    </row>
    <row r="26781">
      <c r="H26781" s="8" t="s">
        <v>364</v>
      </c>
    </row>
    <row r="26782">
      <c r="H26782" s="8" t="s">
        <v>364</v>
      </c>
    </row>
    <row r="26783">
      <c r="H26783" s="8" t="s">
        <v>364</v>
      </c>
    </row>
    <row r="26784">
      <c r="H26784" s="8" t="s">
        <v>364</v>
      </c>
    </row>
    <row r="26785">
      <c r="H26785" s="8" t="s">
        <v>364</v>
      </c>
    </row>
    <row r="26786">
      <c r="H26786" s="8" t="s">
        <v>364</v>
      </c>
    </row>
    <row r="26787">
      <c r="H26787" s="8" t="s">
        <v>364</v>
      </c>
    </row>
    <row r="26788">
      <c r="H26788" s="8" t="s">
        <v>364</v>
      </c>
    </row>
    <row r="26789">
      <c r="H26789" s="8" t="s">
        <v>364</v>
      </c>
    </row>
    <row r="26790">
      <c r="H26790" s="8" t="s">
        <v>364</v>
      </c>
    </row>
    <row r="26791">
      <c r="H26791" s="8" t="s">
        <v>364</v>
      </c>
    </row>
    <row r="26792">
      <c r="H26792" s="8" t="s">
        <v>364</v>
      </c>
    </row>
    <row r="26793">
      <c r="H26793" s="8" t="s">
        <v>364</v>
      </c>
    </row>
    <row r="26794">
      <c r="H26794" s="8" t="s">
        <v>364</v>
      </c>
    </row>
    <row r="26795">
      <c r="H26795" s="8" t="s">
        <v>364</v>
      </c>
    </row>
    <row r="26796">
      <c r="H26796" s="8" t="s">
        <v>364</v>
      </c>
    </row>
    <row r="26797">
      <c r="H26797" s="8" t="s">
        <v>364</v>
      </c>
    </row>
    <row r="26798">
      <c r="H26798" s="8" t="s">
        <v>364</v>
      </c>
    </row>
    <row r="26799">
      <c r="H26799" s="8" t="s">
        <v>364</v>
      </c>
    </row>
    <row r="26800">
      <c r="H26800" s="8" t="s">
        <v>364</v>
      </c>
    </row>
    <row r="26801">
      <c r="H26801" s="8" t="s">
        <v>364</v>
      </c>
    </row>
    <row r="26802">
      <c r="H26802" s="8" t="s">
        <v>364</v>
      </c>
    </row>
    <row r="26803">
      <c r="H26803" s="8" t="s">
        <v>364</v>
      </c>
    </row>
    <row r="26804">
      <c r="H26804" s="8" t="s">
        <v>364</v>
      </c>
    </row>
    <row r="26805">
      <c r="H26805" s="8" t="s">
        <v>364</v>
      </c>
    </row>
    <row r="26806">
      <c r="H26806" s="8" t="s">
        <v>364</v>
      </c>
    </row>
    <row r="26807">
      <c r="H26807" s="8" t="s">
        <v>364</v>
      </c>
    </row>
    <row r="26808">
      <c r="H26808" s="8" t="s">
        <v>364</v>
      </c>
    </row>
    <row r="26809">
      <c r="H26809" s="8" t="s">
        <v>364</v>
      </c>
    </row>
    <row r="26810">
      <c r="H26810" s="8" t="s">
        <v>364</v>
      </c>
    </row>
    <row r="26811">
      <c r="H26811" s="8" t="s">
        <v>364</v>
      </c>
    </row>
    <row r="26812">
      <c r="H26812" s="8" t="s">
        <v>364</v>
      </c>
    </row>
    <row r="26813">
      <c r="H26813" s="8" t="s">
        <v>364</v>
      </c>
    </row>
    <row r="26814">
      <c r="H26814" s="8" t="s">
        <v>364</v>
      </c>
    </row>
    <row r="26815">
      <c r="H26815" s="8" t="s">
        <v>364</v>
      </c>
    </row>
    <row r="26816">
      <c r="H26816" s="8" t="s">
        <v>364</v>
      </c>
    </row>
    <row r="26817">
      <c r="H26817" s="8" t="s">
        <v>364</v>
      </c>
    </row>
    <row r="26818">
      <c r="H26818" s="8" t="s">
        <v>364</v>
      </c>
    </row>
    <row r="26819">
      <c r="H26819" s="8" t="s">
        <v>364</v>
      </c>
    </row>
    <row r="26820">
      <c r="H26820" s="8" t="s">
        <v>364</v>
      </c>
    </row>
    <row r="26821">
      <c r="H26821" s="8" t="s">
        <v>364</v>
      </c>
    </row>
    <row r="26822">
      <c r="H26822" s="8" t="s">
        <v>364</v>
      </c>
    </row>
    <row r="26823">
      <c r="H26823" s="8" t="s">
        <v>364</v>
      </c>
    </row>
    <row r="26824">
      <c r="H26824" s="8" t="s">
        <v>364</v>
      </c>
    </row>
    <row r="26825">
      <c r="H26825" s="8" t="s">
        <v>364</v>
      </c>
    </row>
    <row r="26826">
      <c r="H26826" s="8" t="s">
        <v>364</v>
      </c>
    </row>
    <row r="26827">
      <c r="H26827" s="8" t="s">
        <v>364</v>
      </c>
    </row>
    <row r="26828">
      <c r="H26828" s="8" t="s">
        <v>364</v>
      </c>
    </row>
    <row r="26829">
      <c r="H26829" s="8" t="s">
        <v>364</v>
      </c>
    </row>
    <row r="26830">
      <c r="H26830" s="8" t="s">
        <v>364</v>
      </c>
    </row>
    <row r="26831">
      <c r="H26831" s="8" t="s">
        <v>364</v>
      </c>
    </row>
    <row r="26832">
      <c r="H26832" s="8" t="s">
        <v>364</v>
      </c>
    </row>
    <row r="26833">
      <c r="H26833" s="8" t="s">
        <v>364</v>
      </c>
    </row>
    <row r="26834">
      <c r="H26834" s="8" t="s">
        <v>364</v>
      </c>
    </row>
    <row r="26835">
      <c r="H26835" s="8" t="s">
        <v>364</v>
      </c>
    </row>
    <row r="26836">
      <c r="H26836" s="8" t="s">
        <v>364</v>
      </c>
    </row>
    <row r="26837">
      <c r="H26837" s="8" t="s">
        <v>364</v>
      </c>
    </row>
    <row r="26838">
      <c r="H26838" s="8" t="s">
        <v>364</v>
      </c>
    </row>
    <row r="26839">
      <c r="H26839" s="8" t="s">
        <v>364</v>
      </c>
    </row>
    <row r="26840">
      <c r="H26840" s="8" t="s">
        <v>364</v>
      </c>
    </row>
    <row r="26841">
      <c r="H26841" s="8" t="s">
        <v>364</v>
      </c>
    </row>
    <row r="26842">
      <c r="H26842" s="8" t="s">
        <v>364</v>
      </c>
    </row>
    <row r="26843">
      <c r="H26843" s="8" t="s">
        <v>364</v>
      </c>
    </row>
    <row r="26844">
      <c r="H26844" s="8" t="s">
        <v>364</v>
      </c>
    </row>
    <row r="26845">
      <c r="H26845" s="8" t="s">
        <v>364</v>
      </c>
    </row>
    <row r="26846">
      <c r="H26846" s="8" t="s">
        <v>364</v>
      </c>
    </row>
    <row r="26847">
      <c r="H26847" s="8" t="s">
        <v>364</v>
      </c>
    </row>
    <row r="26848">
      <c r="H26848" s="8" t="s">
        <v>364</v>
      </c>
    </row>
    <row r="26849">
      <c r="H26849" s="8" t="s">
        <v>364</v>
      </c>
    </row>
    <row r="26850">
      <c r="H26850" s="8" t="s">
        <v>364</v>
      </c>
    </row>
    <row r="26851">
      <c r="H26851" s="8" t="s">
        <v>364</v>
      </c>
    </row>
    <row r="26852">
      <c r="H26852" s="8" t="s">
        <v>364</v>
      </c>
    </row>
    <row r="26853">
      <c r="H26853" s="8" t="s">
        <v>364</v>
      </c>
    </row>
    <row r="26854">
      <c r="H26854" s="8" t="s">
        <v>364</v>
      </c>
    </row>
    <row r="26855">
      <c r="H26855" s="8" t="s">
        <v>364</v>
      </c>
    </row>
    <row r="26856">
      <c r="H26856" s="8" t="s">
        <v>364</v>
      </c>
    </row>
    <row r="26857">
      <c r="H26857" s="8" t="s">
        <v>364</v>
      </c>
    </row>
    <row r="26858">
      <c r="H26858" s="8" t="s">
        <v>364</v>
      </c>
    </row>
    <row r="26859">
      <c r="H26859" s="8" t="s">
        <v>364</v>
      </c>
    </row>
    <row r="26860">
      <c r="H26860" s="8" t="s">
        <v>364</v>
      </c>
    </row>
    <row r="26861">
      <c r="H26861" s="8" t="s">
        <v>364</v>
      </c>
    </row>
    <row r="26862">
      <c r="H26862" s="8" t="s">
        <v>364</v>
      </c>
    </row>
    <row r="26863">
      <c r="H26863" s="8" t="s">
        <v>364</v>
      </c>
    </row>
    <row r="26864">
      <c r="H26864" s="8" t="s">
        <v>364</v>
      </c>
    </row>
    <row r="26865">
      <c r="H26865" s="8" t="s">
        <v>364</v>
      </c>
    </row>
    <row r="26866">
      <c r="H26866" s="8" t="s">
        <v>364</v>
      </c>
    </row>
    <row r="26867">
      <c r="H26867" s="8" t="s">
        <v>364</v>
      </c>
    </row>
    <row r="26868">
      <c r="H26868" s="8" t="s">
        <v>364</v>
      </c>
    </row>
    <row r="26869">
      <c r="H26869" s="8" t="s">
        <v>364</v>
      </c>
    </row>
    <row r="26870">
      <c r="H26870" s="8" t="s">
        <v>364</v>
      </c>
    </row>
    <row r="26871">
      <c r="H26871" s="8" t="s">
        <v>364</v>
      </c>
    </row>
    <row r="26872">
      <c r="H26872" s="8" t="s">
        <v>364</v>
      </c>
    </row>
    <row r="26873">
      <c r="H26873" s="8" t="s">
        <v>364</v>
      </c>
    </row>
    <row r="26874">
      <c r="H26874" s="8" t="s">
        <v>364</v>
      </c>
    </row>
    <row r="26875">
      <c r="H26875" s="8" t="s">
        <v>364</v>
      </c>
    </row>
    <row r="26876">
      <c r="H26876" s="8" t="s">
        <v>364</v>
      </c>
    </row>
    <row r="26877">
      <c r="H26877" s="8" t="s">
        <v>364</v>
      </c>
    </row>
    <row r="26878">
      <c r="H26878" s="8" t="s">
        <v>364</v>
      </c>
    </row>
    <row r="26879">
      <c r="H26879" s="8" t="s">
        <v>364</v>
      </c>
    </row>
    <row r="26880">
      <c r="H26880" s="8" t="s">
        <v>364</v>
      </c>
    </row>
    <row r="26881">
      <c r="H26881" s="8" t="s">
        <v>364</v>
      </c>
    </row>
    <row r="26882">
      <c r="H26882" s="8" t="s">
        <v>364</v>
      </c>
    </row>
    <row r="26883">
      <c r="H26883" s="8" t="s">
        <v>364</v>
      </c>
    </row>
    <row r="26884">
      <c r="H26884" s="8" t="s">
        <v>364</v>
      </c>
    </row>
    <row r="26885">
      <c r="H26885" s="8" t="s">
        <v>364</v>
      </c>
    </row>
    <row r="26886">
      <c r="H26886" s="8" t="s">
        <v>364</v>
      </c>
    </row>
    <row r="26887">
      <c r="H26887" s="8" t="s">
        <v>364</v>
      </c>
    </row>
    <row r="26888">
      <c r="H26888" s="8" t="s">
        <v>364</v>
      </c>
    </row>
    <row r="26889">
      <c r="H26889" s="8" t="s">
        <v>364</v>
      </c>
    </row>
    <row r="26890">
      <c r="H26890" s="8" t="s">
        <v>364</v>
      </c>
    </row>
    <row r="26891">
      <c r="H26891" s="8" t="s">
        <v>364</v>
      </c>
    </row>
    <row r="26892">
      <c r="H26892" s="8" t="s">
        <v>364</v>
      </c>
    </row>
    <row r="26893">
      <c r="H26893" s="8" t="s">
        <v>364</v>
      </c>
    </row>
    <row r="26894">
      <c r="H26894" s="8" t="s">
        <v>364</v>
      </c>
    </row>
    <row r="26895">
      <c r="H26895" s="8" t="s">
        <v>364</v>
      </c>
    </row>
    <row r="26896">
      <c r="H26896" s="8" t="s">
        <v>364</v>
      </c>
    </row>
    <row r="26897">
      <c r="H26897" s="8" t="s">
        <v>364</v>
      </c>
    </row>
    <row r="26898">
      <c r="H26898" s="8" t="s">
        <v>364</v>
      </c>
    </row>
    <row r="26899">
      <c r="H26899" s="8" t="s">
        <v>364</v>
      </c>
    </row>
    <row r="26900">
      <c r="H26900" s="8" t="s">
        <v>364</v>
      </c>
    </row>
    <row r="26901">
      <c r="H26901" s="8" t="s">
        <v>364</v>
      </c>
    </row>
    <row r="26902">
      <c r="H26902" s="8" t="s">
        <v>364</v>
      </c>
    </row>
    <row r="26903">
      <c r="H26903" s="8" t="s">
        <v>364</v>
      </c>
    </row>
    <row r="26904">
      <c r="H26904" s="8" t="s">
        <v>364</v>
      </c>
    </row>
    <row r="26905">
      <c r="H26905" s="8" t="s">
        <v>364</v>
      </c>
    </row>
    <row r="26906">
      <c r="H26906" s="8" t="s">
        <v>364</v>
      </c>
    </row>
    <row r="26907">
      <c r="H26907" s="8" t="s">
        <v>364</v>
      </c>
    </row>
    <row r="26908">
      <c r="H26908" s="8" t="s">
        <v>364</v>
      </c>
    </row>
    <row r="26909">
      <c r="H26909" s="8" t="s">
        <v>364</v>
      </c>
    </row>
    <row r="26910">
      <c r="H26910" s="8" t="s">
        <v>364</v>
      </c>
    </row>
    <row r="26911">
      <c r="H26911" s="8" t="s">
        <v>364</v>
      </c>
    </row>
    <row r="26912">
      <c r="H26912" s="8" t="s">
        <v>364</v>
      </c>
    </row>
    <row r="26913">
      <c r="H26913" s="8" t="s">
        <v>364</v>
      </c>
    </row>
    <row r="26914">
      <c r="H26914" s="8" t="s">
        <v>364</v>
      </c>
    </row>
    <row r="26915">
      <c r="H26915" s="8" t="s">
        <v>364</v>
      </c>
    </row>
    <row r="26916">
      <c r="H26916" s="8" t="s">
        <v>364</v>
      </c>
    </row>
    <row r="26917">
      <c r="H26917" s="8" t="s">
        <v>364</v>
      </c>
    </row>
    <row r="26918">
      <c r="H26918" s="8" t="s">
        <v>364</v>
      </c>
    </row>
    <row r="26919">
      <c r="H26919" s="8" t="s">
        <v>364</v>
      </c>
    </row>
    <row r="26920">
      <c r="H26920" s="8" t="s">
        <v>364</v>
      </c>
    </row>
    <row r="26921">
      <c r="H26921" s="8" t="s">
        <v>364</v>
      </c>
    </row>
    <row r="26922">
      <c r="H26922" s="8" t="s">
        <v>364</v>
      </c>
    </row>
    <row r="26923">
      <c r="H26923" s="8" t="s">
        <v>364</v>
      </c>
    </row>
    <row r="26924">
      <c r="H26924" s="8" t="s">
        <v>364</v>
      </c>
    </row>
    <row r="26925">
      <c r="H26925" s="8" t="s">
        <v>364</v>
      </c>
    </row>
    <row r="26926">
      <c r="H26926" s="8" t="s">
        <v>364</v>
      </c>
    </row>
    <row r="26927">
      <c r="H26927" s="8" t="s">
        <v>364</v>
      </c>
    </row>
    <row r="26928">
      <c r="H26928" s="8" t="s">
        <v>364</v>
      </c>
    </row>
    <row r="26929">
      <c r="H26929" s="8" t="s">
        <v>364</v>
      </c>
    </row>
    <row r="26930">
      <c r="H26930" s="8" t="s">
        <v>364</v>
      </c>
    </row>
    <row r="26931">
      <c r="H26931" s="8" t="s">
        <v>364</v>
      </c>
    </row>
    <row r="26932">
      <c r="H26932" s="8" t="s">
        <v>364</v>
      </c>
    </row>
    <row r="26933">
      <c r="H26933" s="8" t="s">
        <v>364</v>
      </c>
    </row>
    <row r="26934">
      <c r="H26934" s="8" t="s">
        <v>364</v>
      </c>
    </row>
    <row r="26935">
      <c r="H26935" s="8" t="s">
        <v>364</v>
      </c>
    </row>
    <row r="26936">
      <c r="H26936" s="8" t="s">
        <v>364</v>
      </c>
    </row>
    <row r="26937">
      <c r="H26937" s="8" t="s">
        <v>364</v>
      </c>
    </row>
    <row r="26938">
      <c r="H26938" s="8" t="s">
        <v>364</v>
      </c>
    </row>
    <row r="26939">
      <c r="H26939" s="8" t="s">
        <v>364</v>
      </c>
    </row>
    <row r="26940">
      <c r="H26940" s="8" t="s">
        <v>364</v>
      </c>
    </row>
    <row r="26941">
      <c r="H26941" s="8" t="s">
        <v>364</v>
      </c>
    </row>
    <row r="26942">
      <c r="H26942" s="8" t="s">
        <v>364</v>
      </c>
    </row>
    <row r="26943">
      <c r="H26943" s="8" t="s">
        <v>364</v>
      </c>
    </row>
    <row r="26944">
      <c r="H26944" s="8" t="s">
        <v>364</v>
      </c>
    </row>
    <row r="26945">
      <c r="H26945" s="8" t="s">
        <v>364</v>
      </c>
    </row>
    <row r="26946">
      <c r="H26946" s="8" t="s">
        <v>364</v>
      </c>
    </row>
    <row r="26947">
      <c r="H26947" s="8" t="s">
        <v>364</v>
      </c>
    </row>
    <row r="26948">
      <c r="H26948" s="8" t="s">
        <v>364</v>
      </c>
    </row>
    <row r="26949">
      <c r="H26949" s="8" t="s">
        <v>364</v>
      </c>
    </row>
    <row r="26950">
      <c r="H26950" s="8" t="s">
        <v>364</v>
      </c>
    </row>
    <row r="26951">
      <c r="H26951" s="8" t="s">
        <v>364</v>
      </c>
    </row>
    <row r="26952">
      <c r="H26952" s="8" t="s">
        <v>364</v>
      </c>
    </row>
    <row r="26953">
      <c r="H26953" s="8" t="s">
        <v>364</v>
      </c>
    </row>
    <row r="26954">
      <c r="H26954" s="8" t="s">
        <v>364</v>
      </c>
    </row>
    <row r="26955">
      <c r="H26955" s="8" t="s">
        <v>364</v>
      </c>
    </row>
    <row r="26956">
      <c r="H26956" s="8" t="s">
        <v>364</v>
      </c>
    </row>
    <row r="26957">
      <c r="H26957" s="8" t="s">
        <v>364</v>
      </c>
    </row>
    <row r="26958">
      <c r="H26958" s="8" t="s">
        <v>364</v>
      </c>
    </row>
    <row r="26959">
      <c r="H26959" s="8" t="s">
        <v>364</v>
      </c>
    </row>
    <row r="26960">
      <c r="H26960" s="8" t="s">
        <v>364</v>
      </c>
    </row>
    <row r="26961">
      <c r="H26961" s="8" t="s">
        <v>364</v>
      </c>
    </row>
    <row r="26962">
      <c r="H26962" s="8" t="s">
        <v>364</v>
      </c>
    </row>
    <row r="26963">
      <c r="H26963" s="8" t="s">
        <v>364</v>
      </c>
    </row>
    <row r="26964">
      <c r="H26964" s="8" t="s">
        <v>364</v>
      </c>
    </row>
    <row r="26965">
      <c r="H26965" s="8" t="s">
        <v>364</v>
      </c>
    </row>
    <row r="26966">
      <c r="H26966" s="8" t="s">
        <v>364</v>
      </c>
    </row>
    <row r="26967">
      <c r="H26967" s="8" t="s">
        <v>364</v>
      </c>
    </row>
    <row r="26968">
      <c r="H26968" s="8" t="s">
        <v>364</v>
      </c>
    </row>
    <row r="26969">
      <c r="H26969" s="8" t="s">
        <v>364</v>
      </c>
    </row>
    <row r="26970">
      <c r="H26970" s="8" t="s">
        <v>364</v>
      </c>
    </row>
    <row r="26971">
      <c r="H26971" s="8" t="s">
        <v>364</v>
      </c>
    </row>
    <row r="26972">
      <c r="H26972" s="8" t="s">
        <v>364</v>
      </c>
    </row>
    <row r="26973">
      <c r="H26973" s="8" t="s">
        <v>364</v>
      </c>
    </row>
    <row r="26974">
      <c r="H26974" s="8" t="s">
        <v>364</v>
      </c>
    </row>
    <row r="26975">
      <c r="H26975" s="8" t="s">
        <v>364</v>
      </c>
    </row>
    <row r="26976">
      <c r="H26976" s="8" t="s">
        <v>364</v>
      </c>
    </row>
    <row r="26977">
      <c r="H26977" s="8" t="s">
        <v>364</v>
      </c>
    </row>
    <row r="26978">
      <c r="H26978" s="8" t="s">
        <v>364</v>
      </c>
    </row>
    <row r="26979">
      <c r="H26979" s="8" t="s">
        <v>364</v>
      </c>
    </row>
    <row r="26980">
      <c r="H26980" s="8" t="s">
        <v>364</v>
      </c>
    </row>
    <row r="26981">
      <c r="H26981" s="8" t="s">
        <v>364</v>
      </c>
    </row>
    <row r="26982">
      <c r="H26982" s="8" t="s">
        <v>364</v>
      </c>
    </row>
    <row r="26983">
      <c r="H26983" s="8" t="s">
        <v>364</v>
      </c>
    </row>
    <row r="26984">
      <c r="H26984" s="8" t="s">
        <v>364</v>
      </c>
    </row>
    <row r="26985">
      <c r="H26985" s="8" t="s">
        <v>364</v>
      </c>
    </row>
    <row r="26986">
      <c r="H26986" s="8" t="s">
        <v>364</v>
      </c>
    </row>
    <row r="26987">
      <c r="H26987" s="8" t="s">
        <v>364</v>
      </c>
    </row>
    <row r="26988">
      <c r="H26988" s="8" t="s">
        <v>364</v>
      </c>
    </row>
    <row r="26989">
      <c r="H26989" s="8" t="s">
        <v>364</v>
      </c>
    </row>
    <row r="26990">
      <c r="H26990" s="8" t="s">
        <v>364</v>
      </c>
    </row>
    <row r="26991">
      <c r="H26991" s="8" t="s">
        <v>364</v>
      </c>
    </row>
    <row r="26992">
      <c r="H26992" s="8" t="s">
        <v>364</v>
      </c>
    </row>
    <row r="26993">
      <c r="H26993" s="8" t="s">
        <v>364</v>
      </c>
    </row>
    <row r="26994">
      <c r="H26994" s="8" t="s">
        <v>364</v>
      </c>
    </row>
    <row r="26995">
      <c r="H26995" s="8" t="s">
        <v>364</v>
      </c>
    </row>
    <row r="26996">
      <c r="H26996" s="8" t="s">
        <v>364</v>
      </c>
    </row>
    <row r="26997">
      <c r="H26997" s="8" t="s">
        <v>364</v>
      </c>
    </row>
    <row r="26998">
      <c r="H26998" s="8" t="s">
        <v>364</v>
      </c>
    </row>
    <row r="26999">
      <c r="H26999" s="8" t="s">
        <v>364</v>
      </c>
    </row>
    <row r="27000">
      <c r="H27000" s="8" t="s">
        <v>364</v>
      </c>
    </row>
    <row r="27001">
      <c r="H27001" s="8" t="s">
        <v>364</v>
      </c>
    </row>
    <row r="27002">
      <c r="H27002" s="8" t="s">
        <v>364</v>
      </c>
    </row>
    <row r="27003">
      <c r="H27003" s="8" t="s">
        <v>364</v>
      </c>
    </row>
    <row r="27004">
      <c r="H27004" s="8" t="s">
        <v>364</v>
      </c>
    </row>
    <row r="27005">
      <c r="H27005" s="8" t="s">
        <v>364</v>
      </c>
    </row>
    <row r="27006">
      <c r="H27006" s="8" t="s">
        <v>364</v>
      </c>
    </row>
    <row r="27007">
      <c r="H27007" s="8" t="s">
        <v>364</v>
      </c>
    </row>
    <row r="27008">
      <c r="H27008" s="8" t="s">
        <v>364</v>
      </c>
    </row>
    <row r="27009">
      <c r="H27009" s="8" t="s">
        <v>364</v>
      </c>
    </row>
    <row r="27010">
      <c r="H27010" s="8" t="s">
        <v>364</v>
      </c>
    </row>
    <row r="27011">
      <c r="H27011" s="8" t="s">
        <v>364</v>
      </c>
    </row>
    <row r="27012">
      <c r="H27012" s="8" t="s">
        <v>364</v>
      </c>
    </row>
    <row r="27013">
      <c r="H27013" s="8" t="s">
        <v>364</v>
      </c>
    </row>
    <row r="27014">
      <c r="H27014" s="8" t="s">
        <v>364</v>
      </c>
    </row>
    <row r="27015">
      <c r="H27015" s="8" t="s">
        <v>364</v>
      </c>
    </row>
    <row r="27016">
      <c r="H27016" s="8" t="s">
        <v>364</v>
      </c>
    </row>
    <row r="27017">
      <c r="H27017" s="8" t="s">
        <v>364</v>
      </c>
    </row>
    <row r="27018">
      <c r="H27018" s="8" t="s">
        <v>364</v>
      </c>
    </row>
    <row r="27019">
      <c r="H27019" s="8" t="s">
        <v>364</v>
      </c>
    </row>
    <row r="27020">
      <c r="H27020" s="8" t="s">
        <v>364</v>
      </c>
    </row>
    <row r="27021">
      <c r="H27021" s="8" t="s">
        <v>364</v>
      </c>
    </row>
    <row r="27022">
      <c r="H27022" s="8" t="s">
        <v>364</v>
      </c>
    </row>
    <row r="27023">
      <c r="H27023" s="8" t="s">
        <v>364</v>
      </c>
    </row>
    <row r="27024">
      <c r="H27024" s="8" t="s">
        <v>364</v>
      </c>
    </row>
    <row r="27025">
      <c r="H27025" s="8" t="s">
        <v>364</v>
      </c>
    </row>
    <row r="27026">
      <c r="H27026" s="8" t="s">
        <v>364</v>
      </c>
    </row>
    <row r="27027">
      <c r="H27027" s="8" t="s">
        <v>364</v>
      </c>
    </row>
    <row r="27028">
      <c r="H27028" s="8" t="s">
        <v>364</v>
      </c>
    </row>
    <row r="27029">
      <c r="H27029" s="8" t="s">
        <v>364</v>
      </c>
    </row>
    <row r="27030">
      <c r="H27030" s="8" t="s">
        <v>364</v>
      </c>
    </row>
    <row r="27031">
      <c r="H27031" s="8" t="s">
        <v>364</v>
      </c>
    </row>
    <row r="27032">
      <c r="H27032" s="8" t="s">
        <v>364</v>
      </c>
    </row>
    <row r="27033">
      <c r="H27033" s="8" t="s">
        <v>364</v>
      </c>
    </row>
    <row r="27034">
      <c r="H27034" s="8" t="s">
        <v>364</v>
      </c>
    </row>
    <row r="27035">
      <c r="H27035" s="8" t="s">
        <v>364</v>
      </c>
    </row>
    <row r="27036">
      <c r="H27036" s="8" t="s">
        <v>364</v>
      </c>
    </row>
    <row r="27037">
      <c r="H27037" s="8" t="s">
        <v>364</v>
      </c>
    </row>
    <row r="27038">
      <c r="H27038" s="8" t="s">
        <v>364</v>
      </c>
    </row>
    <row r="27039">
      <c r="H27039" s="8" t="s">
        <v>364</v>
      </c>
    </row>
    <row r="27040">
      <c r="H27040" s="8" t="s">
        <v>364</v>
      </c>
    </row>
    <row r="27041">
      <c r="H27041" s="8" t="s">
        <v>364</v>
      </c>
    </row>
    <row r="27042">
      <c r="H27042" s="8" t="s">
        <v>364</v>
      </c>
    </row>
    <row r="27043">
      <c r="H27043" s="8" t="s">
        <v>364</v>
      </c>
    </row>
    <row r="27044">
      <c r="H27044" s="8" t="s">
        <v>364</v>
      </c>
    </row>
    <row r="27045">
      <c r="H27045" s="8" t="s">
        <v>364</v>
      </c>
    </row>
    <row r="27046">
      <c r="H27046" s="8" t="s">
        <v>364</v>
      </c>
    </row>
    <row r="27047">
      <c r="H27047" s="8" t="s">
        <v>364</v>
      </c>
    </row>
    <row r="27048">
      <c r="H27048" s="8" t="s">
        <v>364</v>
      </c>
    </row>
    <row r="27049">
      <c r="H27049" s="8" t="s">
        <v>364</v>
      </c>
    </row>
    <row r="27050">
      <c r="H27050" s="8" t="s">
        <v>364</v>
      </c>
    </row>
    <row r="27051">
      <c r="H27051" s="8" t="s">
        <v>364</v>
      </c>
    </row>
    <row r="27052">
      <c r="H27052" s="8" t="s">
        <v>364</v>
      </c>
    </row>
    <row r="27053">
      <c r="H27053" s="8" t="s">
        <v>364</v>
      </c>
    </row>
    <row r="27054">
      <c r="H27054" s="8" t="s">
        <v>364</v>
      </c>
    </row>
    <row r="27055">
      <c r="H27055" s="8" t="s">
        <v>364</v>
      </c>
    </row>
    <row r="27056">
      <c r="H27056" s="8" t="s">
        <v>364</v>
      </c>
    </row>
    <row r="27057">
      <c r="H27057" s="8" t="s">
        <v>364</v>
      </c>
    </row>
    <row r="27058">
      <c r="H27058" s="8" t="s">
        <v>364</v>
      </c>
    </row>
    <row r="27059">
      <c r="H27059" s="8" t="s">
        <v>364</v>
      </c>
    </row>
    <row r="27060">
      <c r="H27060" s="8" t="s">
        <v>364</v>
      </c>
    </row>
    <row r="27061">
      <c r="H27061" s="8" t="s">
        <v>364</v>
      </c>
    </row>
    <row r="27062">
      <c r="H27062" s="8" t="s">
        <v>364</v>
      </c>
    </row>
    <row r="27063">
      <c r="H27063" s="8" t="s">
        <v>364</v>
      </c>
    </row>
    <row r="27064">
      <c r="H27064" s="8" t="s">
        <v>364</v>
      </c>
    </row>
    <row r="27065">
      <c r="H27065" s="8" t="s">
        <v>364</v>
      </c>
    </row>
    <row r="27066">
      <c r="H27066" s="8" t="s">
        <v>364</v>
      </c>
    </row>
    <row r="27067">
      <c r="H27067" s="8" t="s">
        <v>364</v>
      </c>
    </row>
    <row r="27068">
      <c r="H27068" s="8" t="s">
        <v>364</v>
      </c>
    </row>
    <row r="27069">
      <c r="H27069" s="8" t="s">
        <v>364</v>
      </c>
    </row>
    <row r="27070">
      <c r="H27070" s="8" t="s">
        <v>364</v>
      </c>
    </row>
    <row r="27071">
      <c r="H27071" s="8" t="s">
        <v>364</v>
      </c>
    </row>
    <row r="27072">
      <c r="H27072" s="8" t="s">
        <v>364</v>
      </c>
    </row>
    <row r="27073">
      <c r="H27073" s="8" t="s">
        <v>364</v>
      </c>
    </row>
    <row r="27074">
      <c r="H27074" s="8" t="s">
        <v>364</v>
      </c>
    </row>
    <row r="27075">
      <c r="H27075" s="8" t="s">
        <v>364</v>
      </c>
    </row>
    <row r="27076">
      <c r="H27076" s="8" t="s">
        <v>364</v>
      </c>
    </row>
    <row r="27077">
      <c r="H27077" s="8" t="s">
        <v>364</v>
      </c>
    </row>
    <row r="27078">
      <c r="H27078" s="8" t="s">
        <v>364</v>
      </c>
    </row>
    <row r="27079">
      <c r="H27079" s="8" t="s">
        <v>364</v>
      </c>
    </row>
    <row r="27080">
      <c r="H27080" s="8" t="s">
        <v>364</v>
      </c>
    </row>
    <row r="27081">
      <c r="H27081" s="8" t="s">
        <v>364</v>
      </c>
    </row>
    <row r="27082">
      <c r="H27082" s="8" t="s">
        <v>364</v>
      </c>
    </row>
    <row r="27083">
      <c r="H27083" s="8" t="s">
        <v>364</v>
      </c>
    </row>
    <row r="27084">
      <c r="H27084" s="8" t="s">
        <v>364</v>
      </c>
    </row>
    <row r="27085">
      <c r="H27085" s="8" t="s">
        <v>364</v>
      </c>
    </row>
    <row r="27086">
      <c r="H27086" s="8" t="s">
        <v>364</v>
      </c>
    </row>
    <row r="27087">
      <c r="H27087" s="8" t="s">
        <v>364</v>
      </c>
    </row>
    <row r="27088">
      <c r="H27088" s="8" t="s">
        <v>364</v>
      </c>
    </row>
    <row r="27089">
      <c r="H27089" s="8" t="s">
        <v>364</v>
      </c>
    </row>
    <row r="27090">
      <c r="H27090" s="8" t="s">
        <v>364</v>
      </c>
    </row>
    <row r="27091">
      <c r="H27091" s="8" t="s">
        <v>364</v>
      </c>
    </row>
    <row r="27092">
      <c r="H27092" s="8" t="s">
        <v>364</v>
      </c>
    </row>
    <row r="27093">
      <c r="H27093" s="8" t="s">
        <v>364</v>
      </c>
    </row>
    <row r="27094">
      <c r="H27094" s="8" t="s">
        <v>364</v>
      </c>
    </row>
    <row r="27095">
      <c r="H27095" s="8" t="s">
        <v>364</v>
      </c>
    </row>
    <row r="27096">
      <c r="H27096" s="8" t="s">
        <v>364</v>
      </c>
    </row>
    <row r="27097">
      <c r="H27097" s="8" t="s">
        <v>364</v>
      </c>
    </row>
    <row r="27098">
      <c r="H27098" s="8" t="s">
        <v>364</v>
      </c>
    </row>
    <row r="27099">
      <c r="H27099" s="8" t="s">
        <v>364</v>
      </c>
    </row>
    <row r="27100">
      <c r="H27100" s="8" t="s">
        <v>364</v>
      </c>
    </row>
    <row r="27101">
      <c r="H27101" s="8" t="s">
        <v>364</v>
      </c>
    </row>
    <row r="27102">
      <c r="H27102" s="8" t="s">
        <v>364</v>
      </c>
    </row>
    <row r="27103">
      <c r="H27103" s="8" t="s">
        <v>364</v>
      </c>
    </row>
    <row r="27104">
      <c r="H27104" s="8" t="s">
        <v>364</v>
      </c>
    </row>
    <row r="27105">
      <c r="H27105" s="8" t="s">
        <v>364</v>
      </c>
    </row>
    <row r="27106">
      <c r="H27106" s="8" t="s">
        <v>364</v>
      </c>
    </row>
    <row r="27107">
      <c r="H27107" s="8" t="s">
        <v>364</v>
      </c>
    </row>
    <row r="27108">
      <c r="H27108" s="8" t="s">
        <v>364</v>
      </c>
    </row>
    <row r="27109">
      <c r="H27109" s="8" t="s">
        <v>364</v>
      </c>
    </row>
    <row r="27110">
      <c r="H27110" s="8" t="s">
        <v>364</v>
      </c>
    </row>
    <row r="27111">
      <c r="H27111" s="8" t="s">
        <v>364</v>
      </c>
    </row>
    <row r="27112">
      <c r="H27112" s="8" t="s">
        <v>364</v>
      </c>
    </row>
    <row r="27113">
      <c r="H27113" s="8" t="s">
        <v>364</v>
      </c>
    </row>
    <row r="27114">
      <c r="H27114" s="8" t="s">
        <v>364</v>
      </c>
    </row>
    <row r="27115">
      <c r="H27115" s="8" t="s">
        <v>364</v>
      </c>
    </row>
    <row r="27116">
      <c r="H27116" s="8" t="s">
        <v>364</v>
      </c>
    </row>
    <row r="27117">
      <c r="H27117" s="8" t="s">
        <v>364</v>
      </c>
    </row>
    <row r="27118">
      <c r="H27118" s="8" t="s">
        <v>364</v>
      </c>
    </row>
    <row r="27119">
      <c r="H27119" s="8" t="s">
        <v>364</v>
      </c>
    </row>
    <row r="27120">
      <c r="H27120" s="8" t="s">
        <v>364</v>
      </c>
    </row>
    <row r="27121">
      <c r="H27121" s="8" t="s">
        <v>364</v>
      </c>
    </row>
    <row r="27122">
      <c r="H27122" s="8" t="s">
        <v>364</v>
      </c>
    </row>
    <row r="27123">
      <c r="H27123" s="8" t="s">
        <v>364</v>
      </c>
    </row>
    <row r="27124">
      <c r="H27124" s="8" t="s">
        <v>364</v>
      </c>
    </row>
    <row r="27125">
      <c r="H27125" s="8" t="s">
        <v>364</v>
      </c>
    </row>
    <row r="27126">
      <c r="H27126" s="8" t="s">
        <v>364</v>
      </c>
    </row>
    <row r="27127">
      <c r="H27127" s="8" t="s">
        <v>364</v>
      </c>
    </row>
    <row r="27128">
      <c r="H27128" s="8" t="s">
        <v>364</v>
      </c>
    </row>
    <row r="27129">
      <c r="H27129" s="8" t="s">
        <v>364</v>
      </c>
    </row>
    <row r="27130">
      <c r="H27130" s="8" t="s">
        <v>364</v>
      </c>
    </row>
    <row r="27131">
      <c r="H27131" s="8" t="s">
        <v>364</v>
      </c>
    </row>
    <row r="27132">
      <c r="H27132" s="8" t="s">
        <v>364</v>
      </c>
    </row>
    <row r="27133">
      <c r="H27133" s="8" t="s">
        <v>364</v>
      </c>
    </row>
    <row r="27134">
      <c r="H27134" s="8" t="s">
        <v>364</v>
      </c>
    </row>
    <row r="27135">
      <c r="H27135" s="8" t="s">
        <v>364</v>
      </c>
    </row>
    <row r="27136">
      <c r="H27136" s="8" t="s">
        <v>364</v>
      </c>
    </row>
    <row r="27137">
      <c r="H27137" s="8" t="s">
        <v>364</v>
      </c>
    </row>
    <row r="27138">
      <c r="H27138" s="8" t="s">
        <v>364</v>
      </c>
    </row>
    <row r="27139">
      <c r="H27139" s="8" t="s">
        <v>364</v>
      </c>
    </row>
    <row r="27140">
      <c r="H27140" s="8" t="s">
        <v>364</v>
      </c>
    </row>
    <row r="27141">
      <c r="H27141" s="8" t="s">
        <v>364</v>
      </c>
    </row>
    <row r="27142">
      <c r="H27142" s="8" t="s">
        <v>364</v>
      </c>
    </row>
    <row r="27143">
      <c r="H27143" s="8" t="s">
        <v>364</v>
      </c>
    </row>
    <row r="27144">
      <c r="H27144" s="8" t="s">
        <v>364</v>
      </c>
    </row>
    <row r="27145">
      <c r="H27145" s="8" t="s">
        <v>364</v>
      </c>
    </row>
    <row r="27146">
      <c r="H27146" s="8" t="s">
        <v>364</v>
      </c>
    </row>
    <row r="27147">
      <c r="H27147" s="8" t="s">
        <v>364</v>
      </c>
    </row>
    <row r="27148">
      <c r="H27148" s="8" t="s">
        <v>364</v>
      </c>
    </row>
    <row r="27149">
      <c r="H27149" s="8" t="s">
        <v>364</v>
      </c>
    </row>
    <row r="27150">
      <c r="H27150" s="8" t="s">
        <v>364</v>
      </c>
    </row>
    <row r="27151">
      <c r="H27151" s="8" t="s">
        <v>364</v>
      </c>
    </row>
    <row r="27152">
      <c r="H27152" s="8" t="s">
        <v>364</v>
      </c>
    </row>
    <row r="27153">
      <c r="H27153" s="8" t="s">
        <v>364</v>
      </c>
    </row>
    <row r="27154">
      <c r="H27154" s="8" t="s">
        <v>364</v>
      </c>
    </row>
    <row r="27155">
      <c r="H27155" s="8" t="s">
        <v>364</v>
      </c>
    </row>
    <row r="27156">
      <c r="H27156" s="8" t="s">
        <v>364</v>
      </c>
    </row>
    <row r="27157">
      <c r="H27157" s="8" t="s">
        <v>364</v>
      </c>
    </row>
    <row r="27158">
      <c r="H27158" s="8" t="s">
        <v>364</v>
      </c>
    </row>
    <row r="27159">
      <c r="H27159" s="8" t="s">
        <v>364</v>
      </c>
    </row>
    <row r="27160">
      <c r="H27160" s="8" t="s">
        <v>364</v>
      </c>
    </row>
    <row r="27161">
      <c r="H27161" s="8" t="s">
        <v>364</v>
      </c>
    </row>
    <row r="27162">
      <c r="H27162" s="8" t="s">
        <v>364</v>
      </c>
    </row>
    <row r="27163">
      <c r="H27163" s="8" t="s">
        <v>364</v>
      </c>
    </row>
    <row r="27164">
      <c r="H27164" s="8" t="s">
        <v>364</v>
      </c>
    </row>
    <row r="27165">
      <c r="H27165" s="8" t="s">
        <v>364</v>
      </c>
    </row>
    <row r="27166">
      <c r="H27166" s="8" t="s">
        <v>364</v>
      </c>
    </row>
    <row r="27167">
      <c r="H27167" s="8" t="s">
        <v>364</v>
      </c>
    </row>
    <row r="27168">
      <c r="H27168" s="8" t="s">
        <v>364</v>
      </c>
    </row>
    <row r="27169">
      <c r="H27169" s="8" t="s">
        <v>364</v>
      </c>
    </row>
    <row r="27170">
      <c r="H27170" s="8" t="s">
        <v>364</v>
      </c>
    </row>
    <row r="27171">
      <c r="H27171" s="8" t="s">
        <v>364</v>
      </c>
    </row>
    <row r="27172">
      <c r="H27172" s="8" t="s">
        <v>364</v>
      </c>
    </row>
    <row r="27173">
      <c r="H27173" s="8" t="s">
        <v>364</v>
      </c>
    </row>
    <row r="27174">
      <c r="H27174" s="8" t="s">
        <v>364</v>
      </c>
    </row>
    <row r="27175">
      <c r="H27175" s="8" t="s">
        <v>364</v>
      </c>
    </row>
    <row r="27176">
      <c r="H27176" s="8" t="s">
        <v>364</v>
      </c>
    </row>
    <row r="27177">
      <c r="H27177" s="8" t="s">
        <v>364</v>
      </c>
    </row>
    <row r="27178">
      <c r="H27178" s="8" t="s">
        <v>364</v>
      </c>
    </row>
    <row r="27179">
      <c r="H27179" s="8" t="s">
        <v>364</v>
      </c>
    </row>
    <row r="27180">
      <c r="H27180" s="8" t="s">
        <v>364</v>
      </c>
    </row>
    <row r="27181">
      <c r="H27181" s="8" t="s">
        <v>364</v>
      </c>
    </row>
    <row r="27182">
      <c r="H27182" s="8" t="s">
        <v>364</v>
      </c>
    </row>
    <row r="27183">
      <c r="H27183" s="8" t="s">
        <v>364</v>
      </c>
    </row>
    <row r="27184">
      <c r="H27184" s="8" t="s">
        <v>364</v>
      </c>
    </row>
    <row r="27185">
      <c r="H27185" s="8" t="s">
        <v>364</v>
      </c>
    </row>
    <row r="27186">
      <c r="H27186" s="8" t="s">
        <v>364</v>
      </c>
    </row>
    <row r="27187">
      <c r="H27187" s="8" t="s">
        <v>364</v>
      </c>
    </row>
    <row r="27188">
      <c r="H27188" s="8" t="s">
        <v>364</v>
      </c>
    </row>
    <row r="27189">
      <c r="H27189" s="8" t="s">
        <v>364</v>
      </c>
    </row>
    <row r="27190">
      <c r="H27190" s="8" t="s">
        <v>364</v>
      </c>
    </row>
    <row r="27191">
      <c r="H27191" s="8" t="s">
        <v>364</v>
      </c>
    </row>
    <row r="27192">
      <c r="H27192" s="8" t="s">
        <v>364</v>
      </c>
    </row>
    <row r="27193">
      <c r="H27193" s="8" t="s">
        <v>364</v>
      </c>
    </row>
    <row r="27194">
      <c r="H27194" s="8" t="s">
        <v>364</v>
      </c>
    </row>
    <row r="27195">
      <c r="H27195" s="8" t="s">
        <v>364</v>
      </c>
    </row>
    <row r="27196">
      <c r="H27196" s="8" t="s">
        <v>364</v>
      </c>
    </row>
    <row r="27197">
      <c r="H27197" s="8" t="s">
        <v>364</v>
      </c>
    </row>
    <row r="27198">
      <c r="H27198" s="8" t="s">
        <v>364</v>
      </c>
    </row>
    <row r="27199">
      <c r="H27199" s="8" t="s">
        <v>364</v>
      </c>
    </row>
    <row r="27200">
      <c r="H27200" s="8" t="s">
        <v>364</v>
      </c>
    </row>
    <row r="27201">
      <c r="H27201" s="8" t="s">
        <v>364</v>
      </c>
    </row>
    <row r="27202">
      <c r="H27202" s="8" t="s">
        <v>364</v>
      </c>
    </row>
    <row r="27203">
      <c r="H27203" s="8" t="s">
        <v>364</v>
      </c>
    </row>
    <row r="27204">
      <c r="H27204" s="8" t="s">
        <v>364</v>
      </c>
    </row>
    <row r="27205">
      <c r="H27205" s="8" t="s">
        <v>364</v>
      </c>
    </row>
    <row r="27206">
      <c r="H27206" s="8" t="s">
        <v>364</v>
      </c>
    </row>
    <row r="27207">
      <c r="H27207" s="8" t="s">
        <v>364</v>
      </c>
    </row>
    <row r="27208">
      <c r="H27208" s="8" t="s">
        <v>364</v>
      </c>
    </row>
    <row r="27209">
      <c r="H27209" s="8" t="s">
        <v>364</v>
      </c>
    </row>
    <row r="27210">
      <c r="H27210" s="8" t="s">
        <v>364</v>
      </c>
    </row>
    <row r="27211">
      <c r="H27211" s="8" t="s">
        <v>364</v>
      </c>
    </row>
    <row r="27212">
      <c r="H27212" s="8" t="s">
        <v>364</v>
      </c>
    </row>
    <row r="27213">
      <c r="H27213" s="8" t="s">
        <v>364</v>
      </c>
    </row>
    <row r="27214">
      <c r="H27214" s="8" t="s">
        <v>364</v>
      </c>
    </row>
    <row r="27215">
      <c r="H27215" s="8" t="s">
        <v>364</v>
      </c>
    </row>
    <row r="27216">
      <c r="H27216" s="8" t="s">
        <v>364</v>
      </c>
    </row>
    <row r="27217">
      <c r="H27217" s="8" t="s">
        <v>364</v>
      </c>
    </row>
    <row r="27218">
      <c r="H27218" s="8" t="s">
        <v>364</v>
      </c>
    </row>
    <row r="27219">
      <c r="H27219" s="8" t="s">
        <v>364</v>
      </c>
    </row>
    <row r="27220">
      <c r="H27220" s="8" t="s">
        <v>364</v>
      </c>
    </row>
    <row r="27221">
      <c r="H27221" s="8" t="s">
        <v>364</v>
      </c>
    </row>
    <row r="27222">
      <c r="H27222" s="8" t="s">
        <v>364</v>
      </c>
    </row>
    <row r="27223">
      <c r="H27223" s="8" t="s">
        <v>364</v>
      </c>
    </row>
    <row r="27224">
      <c r="H27224" s="8" t="s">
        <v>364</v>
      </c>
    </row>
    <row r="27225">
      <c r="H27225" s="8" t="s">
        <v>364</v>
      </c>
    </row>
    <row r="27226">
      <c r="H27226" s="8" t="s">
        <v>364</v>
      </c>
    </row>
    <row r="27227">
      <c r="H27227" s="8" t="s">
        <v>364</v>
      </c>
    </row>
    <row r="27228">
      <c r="H27228" s="8" t="s">
        <v>364</v>
      </c>
    </row>
    <row r="27229">
      <c r="H27229" s="8" t="s">
        <v>364</v>
      </c>
    </row>
    <row r="27230">
      <c r="H27230" s="8" t="s">
        <v>364</v>
      </c>
    </row>
    <row r="27231">
      <c r="H27231" s="8" t="s">
        <v>364</v>
      </c>
    </row>
    <row r="27232">
      <c r="H27232" s="8" t="s">
        <v>364</v>
      </c>
    </row>
    <row r="27233">
      <c r="H27233" s="8" t="s">
        <v>364</v>
      </c>
    </row>
    <row r="27234">
      <c r="H27234" s="8" t="s">
        <v>364</v>
      </c>
    </row>
    <row r="27235">
      <c r="H27235" s="8" t="s">
        <v>364</v>
      </c>
    </row>
    <row r="27236">
      <c r="H27236" s="8" t="s">
        <v>364</v>
      </c>
    </row>
    <row r="27237">
      <c r="H27237" s="8" t="s">
        <v>364</v>
      </c>
    </row>
    <row r="27238">
      <c r="H27238" s="8" t="s">
        <v>364</v>
      </c>
    </row>
    <row r="27239">
      <c r="H27239" s="8" t="s">
        <v>364</v>
      </c>
    </row>
    <row r="27240">
      <c r="H27240" s="8" t="s">
        <v>364</v>
      </c>
    </row>
    <row r="27241">
      <c r="H27241" s="8" t="s">
        <v>364</v>
      </c>
    </row>
    <row r="27242">
      <c r="H27242" s="8" t="s">
        <v>364</v>
      </c>
    </row>
    <row r="27243">
      <c r="H27243" s="8" t="s">
        <v>364</v>
      </c>
    </row>
    <row r="27244">
      <c r="H27244" s="8" t="s">
        <v>364</v>
      </c>
    </row>
    <row r="27245">
      <c r="H27245" s="8" t="s">
        <v>364</v>
      </c>
    </row>
    <row r="27246">
      <c r="H27246" s="8" t="s">
        <v>364</v>
      </c>
    </row>
    <row r="27247">
      <c r="H27247" s="8" t="s">
        <v>364</v>
      </c>
    </row>
    <row r="27248">
      <c r="H27248" s="8" t="s">
        <v>364</v>
      </c>
    </row>
    <row r="27249">
      <c r="H27249" s="8" t="s">
        <v>364</v>
      </c>
    </row>
    <row r="27250">
      <c r="H27250" s="8" t="s">
        <v>364</v>
      </c>
    </row>
    <row r="27251">
      <c r="H27251" s="8" t="s">
        <v>364</v>
      </c>
    </row>
    <row r="27252">
      <c r="H27252" s="8" t="s">
        <v>364</v>
      </c>
    </row>
    <row r="27253">
      <c r="H27253" s="8" t="s">
        <v>364</v>
      </c>
    </row>
    <row r="27254">
      <c r="H27254" s="8" t="s">
        <v>364</v>
      </c>
    </row>
    <row r="27255">
      <c r="H27255" s="8" t="s">
        <v>364</v>
      </c>
    </row>
    <row r="27256">
      <c r="H27256" s="8" t="s">
        <v>364</v>
      </c>
    </row>
    <row r="27257">
      <c r="H27257" s="8" t="s">
        <v>364</v>
      </c>
    </row>
    <row r="27258">
      <c r="H27258" s="8" t="s">
        <v>364</v>
      </c>
    </row>
    <row r="27259">
      <c r="H27259" s="8" t="s">
        <v>364</v>
      </c>
    </row>
    <row r="27260">
      <c r="H27260" s="8" t="s">
        <v>364</v>
      </c>
    </row>
    <row r="27261">
      <c r="H27261" s="8" t="s">
        <v>364</v>
      </c>
    </row>
    <row r="27262">
      <c r="H27262" s="8" t="s">
        <v>364</v>
      </c>
    </row>
    <row r="27263">
      <c r="H27263" s="8" t="s">
        <v>364</v>
      </c>
    </row>
    <row r="27264">
      <c r="H27264" s="8" t="s">
        <v>364</v>
      </c>
    </row>
    <row r="27265">
      <c r="H27265" s="8" t="s">
        <v>364</v>
      </c>
    </row>
    <row r="27266">
      <c r="H27266" s="8" t="s">
        <v>364</v>
      </c>
    </row>
    <row r="27267">
      <c r="H27267" s="8" t="s">
        <v>364</v>
      </c>
    </row>
    <row r="27268">
      <c r="H27268" s="8" t="s">
        <v>364</v>
      </c>
    </row>
    <row r="27269">
      <c r="H27269" s="8" t="s">
        <v>364</v>
      </c>
    </row>
    <row r="27270">
      <c r="H27270" s="8" t="s">
        <v>364</v>
      </c>
    </row>
    <row r="27271">
      <c r="H27271" s="8" t="s">
        <v>364</v>
      </c>
    </row>
    <row r="27272">
      <c r="H27272" s="8" t="s">
        <v>364</v>
      </c>
    </row>
    <row r="27273">
      <c r="H27273" s="8" t="s">
        <v>364</v>
      </c>
    </row>
    <row r="27274">
      <c r="H27274" s="8" t="s">
        <v>364</v>
      </c>
    </row>
    <row r="27275">
      <c r="H27275" s="8" t="s">
        <v>364</v>
      </c>
    </row>
    <row r="27276">
      <c r="H27276" s="8" t="s">
        <v>364</v>
      </c>
    </row>
    <row r="27277">
      <c r="H27277" s="8" t="s">
        <v>364</v>
      </c>
    </row>
    <row r="27278">
      <c r="H27278" s="8" t="s">
        <v>364</v>
      </c>
    </row>
    <row r="27279">
      <c r="H27279" s="8" t="s">
        <v>364</v>
      </c>
    </row>
    <row r="27280">
      <c r="H27280" s="8" t="s">
        <v>364</v>
      </c>
    </row>
    <row r="27281">
      <c r="H27281" s="8" t="s">
        <v>364</v>
      </c>
    </row>
    <row r="27282">
      <c r="H27282" s="8" t="s">
        <v>364</v>
      </c>
    </row>
    <row r="27283">
      <c r="H27283" s="8" t="s">
        <v>364</v>
      </c>
    </row>
    <row r="27284">
      <c r="H27284" s="8" t="s">
        <v>364</v>
      </c>
    </row>
    <row r="27285">
      <c r="H27285" s="8" t="s">
        <v>364</v>
      </c>
    </row>
    <row r="27286">
      <c r="H27286" s="8" t="s">
        <v>364</v>
      </c>
    </row>
    <row r="27287">
      <c r="H27287" s="8" t="s">
        <v>364</v>
      </c>
    </row>
    <row r="27288">
      <c r="H27288" s="8" t="s">
        <v>364</v>
      </c>
    </row>
    <row r="27289">
      <c r="H27289" s="8" t="s">
        <v>364</v>
      </c>
    </row>
    <row r="27290">
      <c r="H27290" s="8" t="s">
        <v>364</v>
      </c>
    </row>
    <row r="27291">
      <c r="H27291" s="8" t="s">
        <v>364</v>
      </c>
    </row>
    <row r="27292">
      <c r="H27292" s="8" t="s">
        <v>364</v>
      </c>
    </row>
    <row r="27293">
      <c r="H27293" s="8" t="s">
        <v>364</v>
      </c>
    </row>
    <row r="27294">
      <c r="H27294" s="8" t="s">
        <v>364</v>
      </c>
    </row>
    <row r="27295">
      <c r="H27295" s="8" t="s">
        <v>364</v>
      </c>
    </row>
    <row r="27296">
      <c r="H27296" s="8" t="s">
        <v>364</v>
      </c>
    </row>
    <row r="27297">
      <c r="H27297" s="8" t="s">
        <v>364</v>
      </c>
    </row>
    <row r="27298">
      <c r="H27298" s="8" t="s">
        <v>364</v>
      </c>
    </row>
    <row r="27299">
      <c r="H27299" s="8" t="s">
        <v>364</v>
      </c>
    </row>
    <row r="27300">
      <c r="H27300" s="8" t="s">
        <v>364</v>
      </c>
    </row>
    <row r="27301">
      <c r="H27301" s="8" t="s">
        <v>364</v>
      </c>
    </row>
    <row r="27302">
      <c r="H27302" s="8" t="s">
        <v>364</v>
      </c>
    </row>
    <row r="27303">
      <c r="H27303" s="8" t="s">
        <v>364</v>
      </c>
    </row>
    <row r="27304">
      <c r="H27304" s="8" t="s">
        <v>364</v>
      </c>
    </row>
    <row r="27305">
      <c r="H27305" s="8" t="s">
        <v>364</v>
      </c>
    </row>
    <row r="27306">
      <c r="H27306" s="8" t="s">
        <v>364</v>
      </c>
    </row>
    <row r="27307">
      <c r="H27307" s="8" t="s">
        <v>364</v>
      </c>
    </row>
    <row r="27308">
      <c r="H27308" s="8" t="s">
        <v>364</v>
      </c>
    </row>
    <row r="27309">
      <c r="H27309" s="8" t="s">
        <v>364</v>
      </c>
    </row>
    <row r="27310">
      <c r="H27310" s="8" t="s">
        <v>364</v>
      </c>
    </row>
    <row r="27311">
      <c r="H27311" s="8" t="s">
        <v>364</v>
      </c>
    </row>
    <row r="27312">
      <c r="H27312" s="8" t="s">
        <v>364</v>
      </c>
    </row>
    <row r="27313">
      <c r="H27313" s="8" t="s">
        <v>364</v>
      </c>
    </row>
    <row r="27314">
      <c r="H27314" s="8" t="s">
        <v>364</v>
      </c>
    </row>
    <row r="27315">
      <c r="H27315" s="8" t="s">
        <v>364</v>
      </c>
    </row>
    <row r="27316">
      <c r="H27316" s="8" t="s">
        <v>364</v>
      </c>
    </row>
    <row r="27317">
      <c r="H27317" s="8" t="s">
        <v>364</v>
      </c>
    </row>
    <row r="27318">
      <c r="H27318" s="8" t="s">
        <v>364</v>
      </c>
    </row>
    <row r="27319">
      <c r="H27319" s="8" t="s">
        <v>364</v>
      </c>
    </row>
    <row r="27320">
      <c r="H27320" s="8" t="s">
        <v>364</v>
      </c>
    </row>
    <row r="27321">
      <c r="H27321" s="8" t="s">
        <v>364</v>
      </c>
    </row>
    <row r="27322">
      <c r="H27322" s="8" t="s">
        <v>364</v>
      </c>
    </row>
    <row r="27323">
      <c r="H27323" s="8" t="s">
        <v>364</v>
      </c>
    </row>
    <row r="27324">
      <c r="H27324" s="8" t="s">
        <v>364</v>
      </c>
    </row>
    <row r="27325">
      <c r="H27325" s="8" t="s">
        <v>364</v>
      </c>
    </row>
    <row r="27326">
      <c r="H27326" s="8" t="s">
        <v>364</v>
      </c>
    </row>
    <row r="27327">
      <c r="H27327" s="8" t="s">
        <v>364</v>
      </c>
    </row>
    <row r="27328">
      <c r="H27328" s="8" t="s">
        <v>364</v>
      </c>
    </row>
    <row r="27329">
      <c r="H27329" s="8" t="s">
        <v>364</v>
      </c>
    </row>
    <row r="27330">
      <c r="H27330" s="8" t="s">
        <v>364</v>
      </c>
    </row>
    <row r="27331">
      <c r="H27331" s="8" t="s">
        <v>364</v>
      </c>
    </row>
    <row r="27332">
      <c r="H27332" s="8" t="s">
        <v>364</v>
      </c>
    </row>
    <row r="27333">
      <c r="H27333" s="8" t="s">
        <v>364</v>
      </c>
    </row>
    <row r="27334">
      <c r="H27334" s="8" t="s">
        <v>364</v>
      </c>
    </row>
    <row r="27335">
      <c r="H27335" s="8" t="s">
        <v>364</v>
      </c>
    </row>
    <row r="27336">
      <c r="H27336" s="8" t="s">
        <v>364</v>
      </c>
    </row>
    <row r="27337">
      <c r="H27337" s="8" t="s">
        <v>364</v>
      </c>
    </row>
    <row r="27338">
      <c r="H27338" s="8" t="s">
        <v>364</v>
      </c>
    </row>
    <row r="27339">
      <c r="H27339" s="8" t="s">
        <v>364</v>
      </c>
    </row>
    <row r="27340">
      <c r="H27340" s="8" t="s">
        <v>364</v>
      </c>
    </row>
    <row r="27341">
      <c r="H27341" s="8" t="s">
        <v>364</v>
      </c>
    </row>
    <row r="27342">
      <c r="H27342" s="8" t="s">
        <v>364</v>
      </c>
    </row>
    <row r="27343">
      <c r="H27343" s="8" t="s">
        <v>364</v>
      </c>
    </row>
    <row r="27344">
      <c r="H27344" s="8" t="s">
        <v>364</v>
      </c>
    </row>
    <row r="27345">
      <c r="H27345" s="8" t="s">
        <v>364</v>
      </c>
    </row>
    <row r="27346">
      <c r="H27346" s="8" t="s">
        <v>364</v>
      </c>
    </row>
    <row r="27347">
      <c r="H27347" s="8" t="s">
        <v>364</v>
      </c>
    </row>
    <row r="27348">
      <c r="H27348" s="8" t="s">
        <v>364</v>
      </c>
    </row>
    <row r="27349">
      <c r="H27349" s="8" t="s">
        <v>364</v>
      </c>
    </row>
    <row r="27350">
      <c r="H27350" s="8" t="s">
        <v>364</v>
      </c>
    </row>
    <row r="27351">
      <c r="H27351" s="8" t="s">
        <v>364</v>
      </c>
    </row>
    <row r="27352">
      <c r="H27352" s="8" t="s">
        <v>364</v>
      </c>
    </row>
    <row r="27353">
      <c r="H27353" s="8" t="s">
        <v>364</v>
      </c>
    </row>
    <row r="27354">
      <c r="H27354" s="8" t="s">
        <v>364</v>
      </c>
    </row>
    <row r="27355">
      <c r="H27355" s="8" t="s">
        <v>364</v>
      </c>
    </row>
    <row r="27356">
      <c r="H27356" s="8" t="s">
        <v>364</v>
      </c>
    </row>
    <row r="27357">
      <c r="H27357" s="8" t="s">
        <v>364</v>
      </c>
    </row>
    <row r="27358">
      <c r="H27358" s="8" t="s">
        <v>364</v>
      </c>
    </row>
    <row r="27359">
      <c r="H27359" s="8" t="s">
        <v>364</v>
      </c>
    </row>
    <row r="27360">
      <c r="H27360" s="8" t="s">
        <v>364</v>
      </c>
    </row>
    <row r="27361">
      <c r="H27361" s="8" t="s">
        <v>364</v>
      </c>
    </row>
    <row r="27362">
      <c r="H27362" s="8" t="s">
        <v>364</v>
      </c>
    </row>
    <row r="27363">
      <c r="H27363" s="8" t="s">
        <v>364</v>
      </c>
    </row>
    <row r="27364">
      <c r="H27364" s="8" t="s">
        <v>364</v>
      </c>
    </row>
    <row r="27365">
      <c r="H27365" s="8" t="s">
        <v>364</v>
      </c>
    </row>
    <row r="27366">
      <c r="H27366" s="8" t="s">
        <v>364</v>
      </c>
    </row>
    <row r="27367">
      <c r="H27367" s="8" t="s">
        <v>364</v>
      </c>
    </row>
    <row r="27368">
      <c r="H27368" s="8" t="s">
        <v>364</v>
      </c>
    </row>
    <row r="27369">
      <c r="H27369" s="8" t="s">
        <v>364</v>
      </c>
    </row>
    <row r="27370">
      <c r="H27370" s="8" t="s">
        <v>364</v>
      </c>
    </row>
    <row r="27371">
      <c r="H27371" s="8" t="s">
        <v>364</v>
      </c>
    </row>
    <row r="27372">
      <c r="H27372" s="8" t="s">
        <v>364</v>
      </c>
    </row>
    <row r="27373">
      <c r="H27373" s="8" t="s">
        <v>364</v>
      </c>
    </row>
    <row r="27374">
      <c r="H27374" s="8" t="s">
        <v>364</v>
      </c>
    </row>
    <row r="27375">
      <c r="H27375" s="8" t="s">
        <v>364</v>
      </c>
    </row>
    <row r="27376">
      <c r="H27376" s="8" t="s">
        <v>364</v>
      </c>
    </row>
    <row r="27377">
      <c r="H27377" s="8" t="s">
        <v>364</v>
      </c>
    </row>
    <row r="27378">
      <c r="H27378" s="8" t="s">
        <v>364</v>
      </c>
    </row>
    <row r="27379">
      <c r="H27379" s="8" t="s">
        <v>364</v>
      </c>
    </row>
    <row r="27380">
      <c r="H27380" s="8" t="s">
        <v>364</v>
      </c>
    </row>
    <row r="27381">
      <c r="H27381" s="8" t="s">
        <v>364</v>
      </c>
    </row>
    <row r="27382">
      <c r="H27382" s="8" t="s">
        <v>364</v>
      </c>
    </row>
    <row r="27383">
      <c r="H27383" s="8" t="s">
        <v>364</v>
      </c>
    </row>
    <row r="27384">
      <c r="H27384" s="8" t="s">
        <v>364</v>
      </c>
    </row>
    <row r="27385">
      <c r="H27385" s="8" t="s">
        <v>364</v>
      </c>
    </row>
    <row r="27386">
      <c r="H27386" s="8" t="s">
        <v>364</v>
      </c>
    </row>
    <row r="27387">
      <c r="H27387" s="8" t="s">
        <v>364</v>
      </c>
    </row>
    <row r="27388">
      <c r="H27388" s="8" t="s">
        <v>364</v>
      </c>
    </row>
    <row r="27389">
      <c r="H27389" s="8" t="s">
        <v>364</v>
      </c>
    </row>
    <row r="27390">
      <c r="H27390" s="8" t="s">
        <v>364</v>
      </c>
    </row>
    <row r="27391">
      <c r="H27391" s="8" t="s">
        <v>364</v>
      </c>
    </row>
    <row r="27392">
      <c r="H27392" s="8" t="s">
        <v>364</v>
      </c>
    </row>
    <row r="27393">
      <c r="H27393" s="8" t="s">
        <v>364</v>
      </c>
    </row>
    <row r="27394">
      <c r="H27394" s="8" t="s">
        <v>364</v>
      </c>
    </row>
    <row r="27395">
      <c r="H27395" s="8" t="s">
        <v>364</v>
      </c>
    </row>
    <row r="27396">
      <c r="H27396" s="8" t="s">
        <v>364</v>
      </c>
    </row>
    <row r="27397">
      <c r="H27397" s="8" t="s">
        <v>364</v>
      </c>
    </row>
    <row r="27398">
      <c r="H27398" s="8" t="s">
        <v>364</v>
      </c>
    </row>
    <row r="27399">
      <c r="H27399" s="8" t="s">
        <v>364</v>
      </c>
    </row>
    <row r="27400">
      <c r="H27400" s="8" t="s">
        <v>364</v>
      </c>
    </row>
    <row r="27401">
      <c r="H27401" s="8" t="s">
        <v>364</v>
      </c>
    </row>
    <row r="27402">
      <c r="H27402" s="8" t="s">
        <v>364</v>
      </c>
    </row>
    <row r="27403">
      <c r="H27403" s="8" t="s">
        <v>364</v>
      </c>
    </row>
    <row r="27404">
      <c r="H27404" s="8" t="s">
        <v>364</v>
      </c>
    </row>
    <row r="27405">
      <c r="H27405" s="8" t="s">
        <v>364</v>
      </c>
    </row>
    <row r="27406">
      <c r="H27406" s="8" t="s">
        <v>364</v>
      </c>
    </row>
    <row r="27407">
      <c r="H27407" s="8" t="s">
        <v>364</v>
      </c>
    </row>
    <row r="27408">
      <c r="H27408" s="8" t="s">
        <v>364</v>
      </c>
    </row>
    <row r="27409">
      <c r="H27409" s="8" t="s">
        <v>364</v>
      </c>
    </row>
    <row r="27410">
      <c r="H27410" s="8" t="s">
        <v>364</v>
      </c>
    </row>
    <row r="27411">
      <c r="H27411" s="8" t="s">
        <v>364</v>
      </c>
    </row>
    <row r="27412">
      <c r="H27412" s="8" t="s">
        <v>364</v>
      </c>
    </row>
    <row r="27413">
      <c r="H27413" s="8" t="s">
        <v>364</v>
      </c>
    </row>
    <row r="27414">
      <c r="H27414" s="8" t="s">
        <v>364</v>
      </c>
    </row>
    <row r="27415">
      <c r="H27415" s="8" t="s">
        <v>364</v>
      </c>
    </row>
    <row r="27416">
      <c r="H27416" s="8" t="s">
        <v>364</v>
      </c>
    </row>
    <row r="27417">
      <c r="H27417" s="8" t="s">
        <v>364</v>
      </c>
    </row>
    <row r="27418">
      <c r="H27418" s="8" t="s">
        <v>364</v>
      </c>
    </row>
    <row r="27419">
      <c r="H27419" s="8" t="s">
        <v>364</v>
      </c>
    </row>
    <row r="27420">
      <c r="H27420" s="8" t="s">
        <v>364</v>
      </c>
    </row>
    <row r="27421">
      <c r="H27421" s="8" t="s">
        <v>364</v>
      </c>
    </row>
    <row r="27422">
      <c r="H27422" s="8" t="s">
        <v>364</v>
      </c>
    </row>
    <row r="27423">
      <c r="H27423" s="8" t="s">
        <v>364</v>
      </c>
    </row>
    <row r="27424">
      <c r="H27424" s="8" t="s">
        <v>364</v>
      </c>
    </row>
    <row r="27425">
      <c r="H27425" s="8" t="s">
        <v>364</v>
      </c>
    </row>
    <row r="27426">
      <c r="H27426" s="8" t="s">
        <v>364</v>
      </c>
    </row>
    <row r="27427">
      <c r="H27427" s="8" t="s">
        <v>364</v>
      </c>
    </row>
    <row r="27428">
      <c r="H27428" s="8" t="s">
        <v>364</v>
      </c>
    </row>
    <row r="27429">
      <c r="H27429" s="8" t="s">
        <v>364</v>
      </c>
    </row>
    <row r="27430">
      <c r="H27430" s="8" t="s">
        <v>364</v>
      </c>
    </row>
    <row r="27431">
      <c r="H27431" s="8" t="s">
        <v>364</v>
      </c>
    </row>
    <row r="27432">
      <c r="H27432" s="8" t="s">
        <v>364</v>
      </c>
    </row>
    <row r="27433">
      <c r="H27433" s="8" t="s">
        <v>364</v>
      </c>
    </row>
    <row r="27434">
      <c r="H27434" s="8" t="s">
        <v>364</v>
      </c>
    </row>
    <row r="27435">
      <c r="H27435" s="8" t="s">
        <v>364</v>
      </c>
    </row>
    <row r="27436">
      <c r="H27436" s="8" t="s">
        <v>364</v>
      </c>
    </row>
    <row r="27437">
      <c r="H27437" s="8" t="s">
        <v>364</v>
      </c>
    </row>
    <row r="27438">
      <c r="H27438" s="8" t="s">
        <v>364</v>
      </c>
    </row>
    <row r="27439">
      <c r="H27439" s="8" t="s">
        <v>364</v>
      </c>
    </row>
    <row r="27440">
      <c r="H27440" s="8" t="s">
        <v>364</v>
      </c>
    </row>
    <row r="27441">
      <c r="H27441" s="8" t="s">
        <v>364</v>
      </c>
    </row>
    <row r="27442">
      <c r="H27442" s="8" t="s">
        <v>364</v>
      </c>
    </row>
    <row r="27443">
      <c r="H27443" s="8" t="s">
        <v>364</v>
      </c>
    </row>
    <row r="27444">
      <c r="H27444" s="8" t="s">
        <v>364</v>
      </c>
    </row>
    <row r="27445">
      <c r="H27445" s="8" t="s">
        <v>364</v>
      </c>
    </row>
    <row r="27446">
      <c r="H27446" s="8" t="s">
        <v>364</v>
      </c>
    </row>
    <row r="27447">
      <c r="H27447" s="8" t="s">
        <v>364</v>
      </c>
    </row>
    <row r="27448">
      <c r="H27448" s="8" t="s">
        <v>364</v>
      </c>
    </row>
    <row r="27449">
      <c r="H27449" s="8" t="s">
        <v>364</v>
      </c>
    </row>
    <row r="27450">
      <c r="H27450" s="8" t="s">
        <v>364</v>
      </c>
    </row>
    <row r="27451">
      <c r="H27451" s="8" t="s">
        <v>364</v>
      </c>
    </row>
    <row r="27452">
      <c r="H27452" s="8" t="s">
        <v>364</v>
      </c>
    </row>
    <row r="27453">
      <c r="H27453" s="8" t="s">
        <v>364</v>
      </c>
    </row>
    <row r="27454">
      <c r="H27454" s="8" t="s">
        <v>364</v>
      </c>
    </row>
    <row r="27455">
      <c r="H27455" s="8" t="s">
        <v>364</v>
      </c>
    </row>
    <row r="27456">
      <c r="H27456" s="8" t="s">
        <v>364</v>
      </c>
    </row>
    <row r="27457">
      <c r="H27457" s="8" t="s">
        <v>364</v>
      </c>
    </row>
    <row r="27458">
      <c r="H27458" s="8" t="s">
        <v>364</v>
      </c>
    </row>
    <row r="27459">
      <c r="H27459" s="8" t="s">
        <v>364</v>
      </c>
    </row>
    <row r="27460">
      <c r="H27460" s="8" t="s">
        <v>364</v>
      </c>
    </row>
    <row r="27461">
      <c r="H27461" s="8" t="s">
        <v>364</v>
      </c>
    </row>
    <row r="27462">
      <c r="H27462" s="8" t="s">
        <v>364</v>
      </c>
    </row>
    <row r="27463">
      <c r="H27463" s="8" t="s">
        <v>364</v>
      </c>
    </row>
    <row r="27464">
      <c r="H27464" s="8" t="s">
        <v>364</v>
      </c>
    </row>
    <row r="27465">
      <c r="H27465" s="8" t="s">
        <v>364</v>
      </c>
    </row>
    <row r="27466">
      <c r="H27466" s="8" t="s">
        <v>364</v>
      </c>
    </row>
    <row r="27467">
      <c r="H27467" s="8" t="s">
        <v>364</v>
      </c>
    </row>
    <row r="27468">
      <c r="H27468" s="8" t="s">
        <v>364</v>
      </c>
    </row>
    <row r="27469">
      <c r="H27469" s="8" t="s">
        <v>364</v>
      </c>
    </row>
    <row r="27470">
      <c r="H27470" s="8" t="s">
        <v>364</v>
      </c>
    </row>
    <row r="27471">
      <c r="H27471" s="8" t="s">
        <v>364</v>
      </c>
    </row>
    <row r="27472">
      <c r="H27472" s="8" t="s">
        <v>364</v>
      </c>
    </row>
    <row r="27473">
      <c r="H27473" s="8" t="s">
        <v>364</v>
      </c>
    </row>
    <row r="27474">
      <c r="H27474" s="8" t="s">
        <v>364</v>
      </c>
    </row>
    <row r="27475">
      <c r="H27475" s="8" t="s">
        <v>364</v>
      </c>
    </row>
    <row r="27476">
      <c r="H27476" s="8" t="s">
        <v>364</v>
      </c>
    </row>
    <row r="27477">
      <c r="H27477" s="8" t="s">
        <v>364</v>
      </c>
    </row>
    <row r="27478">
      <c r="H27478" s="8" t="s">
        <v>364</v>
      </c>
    </row>
    <row r="27479">
      <c r="H27479" s="8" t="s">
        <v>364</v>
      </c>
    </row>
    <row r="27480">
      <c r="H27480" s="8" t="s">
        <v>364</v>
      </c>
    </row>
    <row r="27481">
      <c r="H27481" s="8" t="s">
        <v>364</v>
      </c>
    </row>
    <row r="27482">
      <c r="H27482" s="8" t="s">
        <v>364</v>
      </c>
    </row>
    <row r="27483">
      <c r="H27483" s="8" t="s">
        <v>364</v>
      </c>
    </row>
    <row r="27484">
      <c r="H27484" s="8" t="s">
        <v>364</v>
      </c>
    </row>
    <row r="27485">
      <c r="H27485" s="8" t="s">
        <v>364</v>
      </c>
    </row>
    <row r="27486">
      <c r="H27486" s="8" t="s">
        <v>364</v>
      </c>
    </row>
    <row r="27487">
      <c r="H27487" s="8" t="s">
        <v>364</v>
      </c>
    </row>
    <row r="27488">
      <c r="H27488" s="8" t="s">
        <v>364</v>
      </c>
    </row>
    <row r="27489">
      <c r="H27489" s="8" t="s">
        <v>364</v>
      </c>
    </row>
    <row r="27490">
      <c r="H27490" s="8" t="s">
        <v>364</v>
      </c>
    </row>
    <row r="27491">
      <c r="H27491" s="8" t="s">
        <v>364</v>
      </c>
    </row>
    <row r="27492">
      <c r="H27492" s="8" t="s">
        <v>364</v>
      </c>
    </row>
    <row r="27493">
      <c r="H27493" s="8" t="s">
        <v>364</v>
      </c>
    </row>
    <row r="27494">
      <c r="H27494" s="8" t="s">
        <v>364</v>
      </c>
    </row>
    <row r="27495">
      <c r="H27495" s="8" t="s">
        <v>364</v>
      </c>
    </row>
    <row r="27496">
      <c r="H27496" s="8" t="s">
        <v>364</v>
      </c>
    </row>
    <row r="27497">
      <c r="H27497" s="8" t="s">
        <v>364</v>
      </c>
    </row>
    <row r="27498">
      <c r="H27498" s="8" t="s">
        <v>364</v>
      </c>
    </row>
    <row r="27499">
      <c r="H27499" s="8" t="s">
        <v>364</v>
      </c>
    </row>
    <row r="27500">
      <c r="H27500" s="8" t="s">
        <v>364</v>
      </c>
    </row>
    <row r="27501">
      <c r="H27501" s="8" t="s">
        <v>364</v>
      </c>
    </row>
    <row r="27502">
      <c r="H27502" s="8" t="s">
        <v>364</v>
      </c>
    </row>
    <row r="27503">
      <c r="H27503" s="8" t="s">
        <v>364</v>
      </c>
    </row>
    <row r="27504">
      <c r="H27504" s="8" t="s">
        <v>364</v>
      </c>
    </row>
    <row r="27505">
      <c r="H27505" s="8" t="s">
        <v>364</v>
      </c>
    </row>
    <row r="27506">
      <c r="H27506" s="8" t="s">
        <v>364</v>
      </c>
    </row>
    <row r="27507">
      <c r="H27507" s="8" t="s">
        <v>364</v>
      </c>
    </row>
    <row r="27508">
      <c r="H27508" s="8" t="s">
        <v>364</v>
      </c>
    </row>
    <row r="27509">
      <c r="H27509" s="8" t="s">
        <v>364</v>
      </c>
    </row>
    <row r="27510">
      <c r="H27510" s="8" t="s">
        <v>364</v>
      </c>
    </row>
    <row r="27511">
      <c r="H27511" s="8" t="s">
        <v>364</v>
      </c>
    </row>
    <row r="27512">
      <c r="H27512" s="8" t="s">
        <v>364</v>
      </c>
    </row>
    <row r="27513">
      <c r="H27513" s="8" t="s">
        <v>364</v>
      </c>
    </row>
    <row r="27514">
      <c r="H27514" s="8" t="s">
        <v>364</v>
      </c>
    </row>
    <row r="27515">
      <c r="H27515" s="8" t="s">
        <v>364</v>
      </c>
    </row>
    <row r="27516">
      <c r="H27516" s="8" t="s">
        <v>364</v>
      </c>
    </row>
    <row r="27517">
      <c r="H27517" s="8" t="s">
        <v>364</v>
      </c>
    </row>
    <row r="27518">
      <c r="H27518" s="8" t="s">
        <v>364</v>
      </c>
    </row>
    <row r="27519">
      <c r="H27519" s="8" t="s">
        <v>364</v>
      </c>
    </row>
    <row r="27520">
      <c r="H27520" s="8" t="s">
        <v>364</v>
      </c>
    </row>
    <row r="27521">
      <c r="H27521" s="8" t="s">
        <v>364</v>
      </c>
    </row>
    <row r="27522">
      <c r="H27522" s="8" t="s">
        <v>364</v>
      </c>
    </row>
    <row r="27523">
      <c r="H27523" s="8" t="s">
        <v>364</v>
      </c>
    </row>
    <row r="27524">
      <c r="H27524" s="8" t="s">
        <v>364</v>
      </c>
    </row>
    <row r="27525">
      <c r="H27525" s="8" t="s">
        <v>364</v>
      </c>
    </row>
    <row r="27526">
      <c r="H27526" s="8" t="s">
        <v>364</v>
      </c>
    </row>
    <row r="27527">
      <c r="H27527" s="8" t="s">
        <v>364</v>
      </c>
    </row>
    <row r="27528">
      <c r="H27528" s="8" t="s">
        <v>364</v>
      </c>
    </row>
    <row r="27529">
      <c r="H27529" s="8" t="s">
        <v>364</v>
      </c>
    </row>
    <row r="27530">
      <c r="H27530" s="8" t="s">
        <v>364</v>
      </c>
    </row>
    <row r="27531">
      <c r="H27531" s="8" t="s">
        <v>364</v>
      </c>
    </row>
    <row r="27532">
      <c r="H27532" s="8" t="s">
        <v>364</v>
      </c>
    </row>
    <row r="27533">
      <c r="H27533" s="8" t="s">
        <v>364</v>
      </c>
    </row>
    <row r="27534">
      <c r="H27534" s="8" t="s">
        <v>364</v>
      </c>
    </row>
    <row r="27535">
      <c r="H27535" s="8" t="s">
        <v>364</v>
      </c>
    </row>
    <row r="27536">
      <c r="H27536" s="8" t="s">
        <v>364</v>
      </c>
    </row>
    <row r="27537">
      <c r="H27537" s="8" t="s">
        <v>364</v>
      </c>
    </row>
    <row r="27538">
      <c r="H27538" s="8" t="s">
        <v>364</v>
      </c>
    </row>
    <row r="27539">
      <c r="H27539" s="8" t="s">
        <v>364</v>
      </c>
    </row>
    <row r="27540">
      <c r="H27540" s="8" t="s">
        <v>364</v>
      </c>
    </row>
    <row r="27541">
      <c r="H27541" s="8" t="s">
        <v>364</v>
      </c>
    </row>
    <row r="27542">
      <c r="H27542" s="8" t="s">
        <v>364</v>
      </c>
    </row>
    <row r="27543">
      <c r="H27543" s="8" t="s">
        <v>364</v>
      </c>
    </row>
    <row r="27544">
      <c r="H27544" s="8" t="s">
        <v>364</v>
      </c>
    </row>
    <row r="27545">
      <c r="H27545" s="8" t="s">
        <v>364</v>
      </c>
    </row>
    <row r="27546">
      <c r="H27546" s="8" t="s">
        <v>364</v>
      </c>
    </row>
    <row r="27547">
      <c r="H27547" s="8" t="s">
        <v>364</v>
      </c>
    </row>
    <row r="27548">
      <c r="H27548" s="8" t="s">
        <v>364</v>
      </c>
    </row>
    <row r="27549">
      <c r="H27549" s="8" t="s">
        <v>364</v>
      </c>
    </row>
    <row r="27550">
      <c r="H27550" s="8" t="s">
        <v>364</v>
      </c>
    </row>
    <row r="27551">
      <c r="H27551" s="8" t="s">
        <v>364</v>
      </c>
    </row>
    <row r="27552">
      <c r="H27552" s="8" t="s">
        <v>364</v>
      </c>
    </row>
    <row r="27553">
      <c r="H27553" s="8" t="s">
        <v>364</v>
      </c>
    </row>
    <row r="27554">
      <c r="H27554" s="8" t="s">
        <v>364</v>
      </c>
    </row>
    <row r="27555">
      <c r="H27555" s="8" t="s">
        <v>364</v>
      </c>
    </row>
    <row r="27556">
      <c r="H27556" s="8" t="s">
        <v>364</v>
      </c>
    </row>
    <row r="27557">
      <c r="H27557" s="8" t="s">
        <v>364</v>
      </c>
    </row>
    <row r="27558">
      <c r="H27558" s="8" t="s">
        <v>364</v>
      </c>
    </row>
    <row r="27559">
      <c r="H27559" s="8" t="s">
        <v>364</v>
      </c>
    </row>
    <row r="27560">
      <c r="H27560" s="8" t="s">
        <v>364</v>
      </c>
    </row>
    <row r="27561">
      <c r="H27561" s="8" t="s">
        <v>364</v>
      </c>
    </row>
    <row r="27562">
      <c r="H27562" s="8" t="s">
        <v>364</v>
      </c>
    </row>
    <row r="27563">
      <c r="H27563" s="8" t="s">
        <v>364</v>
      </c>
    </row>
    <row r="27564">
      <c r="H27564" s="8" t="s">
        <v>364</v>
      </c>
    </row>
    <row r="27565">
      <c r="H27565" s="8" t="s">
        <v>364</v>
      </c>
    </row>
    <row r="27566">
      <c r="H27566" s="8" t="s">
        <v>364</v>
      </c>
    </row>
    <row r="27567">
      <c r="H27567" s="8" t="s">
        <v>364</v>
      </c>
    </row>
    <row r="27568">
      <c r="H27568" s="8" t="s">
        <v>364</v>
      </c>
    </row>
    <row r="27569">
      <c r="H27569" s="8" t="s">
        <v>364</v>
      </c>
    </row>
    <row r="27570">
      <c r="H27570" s="8" t="s">
        <v>364</v>
      </c>
    </row>
    <row r="27571">
      <c r="H27571" s="8" t="s">
        <v>364</v>
      </c>
    </row>
    <row r="27572">
      <c r="H27572" s="8" t="s">
        <v>364</v>
      </c>
    </row>
    <row r="27573">
      <c r="H27573" s="8" t="s">
        <v>364</v>
      </c>
    </row>
    <row r="27574">
      <c r="H27574" s="8" t="s">
        <v>364</v>
      </c>
    </row>
    <row r="27575">
      <c r="H27575" s="8" t="s">
        <v>364</v>
      </c>
    </row>
    <row r="27576">
      <c r="H27576" s="8" t="s">
        <v>364</v>
      </c>
    </row>
    <row r="27577">
      <c r="H27577" s="8" t="s">
        <v>364</v>
      </c>
    </row>
    <row r="27578">
      <c r="H27578" s="8" t="s">
        <v>364</v>
      </c>
    </row>
    <row r="27579">
      <c r="H27579" s="8" t="s">
        <v>364</v>
      </c>
    </row>
    <row r="27580">
      <c r="H27580" s="8" t="s">
        <v>364</v>
      </c>
    </row>
    <row r="27581">
      <c r="H27581" s="8" t="s">
        <v>364</v>
      </c>
    </row>
    <row r="27582">
      <c r="H27582" s="8" t="s">
        <v>364</v>
      </c>
    </row>
    <row r="27583">
      <c r="H27583" s="8" t="s">
        <v>364</v>
      </c>
    </row>
    <row r="27584">
      <c r="H27584" s="8" t="s">
        <v>364</v>
      </c>
    </row>
    <row r="27585">
      <c r="H27585" s="8" t="s">
        <v>364</v>
      </c>
    </row>
    <row r="27586">
      <c r="H27586" s="8" t="s">
        <v>364</v>
      </c>
    </row>
    <row r="27587">
      <c r="H27587" s="8" t="s">
        <v>364</v>
      </c>
    </row>
    <row r="27588">
      <c r="H27588" s="8" t="s">
        <v>364</v>
      </c>
    </row>
    <row r="27589">
      <c r="H27589" s="8" t="s">
        <v>364</v>
      </c>
    </row>
    <row r="27590">
      <c r="H27590" s="8" t="s">
        <v>364</v>
      </c>
    </row>
    <row r="27591">
      <c r="H27591" s="8" t="s">
        <v>364</v>
      </c>
    </row>
    <row r="27592">
      <c r="H27592" s="8" t="s">
        <v>364</v>
      </c>
    </row>
    <row r="27593">
      <c r="H27593" s="8" t="s">
        <v>364</v>
      </c>
    </row>
    <row r="27594">
      <c r="H27594" s="8" t="s">
        <v>364</v>
      </c>
    </row>
    <row r="27595">
      <c r="H27595" s="8" t="s">
        <v>364</v>
      </c>
    </row>
    <row r="27596">
      <c r="H27596" s="8" t="s">
        <v>364</v>
      </c>
    </row>
    <row r="27597">
      <c r="H27597" s="8" t="s">
        <v>364</v>
      </c>
    </row>
    <row r="27598">
      <c r="H27598" s="8" t="s">
        <v>364</v>
      </c>
    </row>
    <row r="27599">
      <c r="H27599" s="8" t="s">
        <v>364</v>
      </c>
    </row>
    <row r="27600">
      <c r="H27600" s="8" t="s">
        <v>364</v>
      </c>
    </row>
    <row r="27601">
      <c r="H27601" s="8" t="s">
        <v>364</v>
      </c>
    </row>
    <row r="27602">
      <c r="H27602" s="8" t="s">
        <v>364</v>
      </c>
    </row>
    <row r="27603">
      <c r="H27603" s="8" t="s">
        <v>364</v>
      </c>
    </row>
    <row r="27604">
      <c r="H27604" s="8" t="s">
        <v>364</v>
      </c>
    </row>
    <row r="27605">
      <c r="H27605" s="8" t="s">
        <v>364</v>
      </c>
    </row>
    <row r="27606">
      <c r="H27606" s="8" t="s">
        <v>364</v>
      </c>
    </row>
    <row r="27607">
      <c r="H27607" s="8" t="s">
        <v>364</v>
      </c>
    </row>
    <row r="27608">
      <c r="H27608" s="8" t="s">
        <v>364</v>
      </c>
    </row>
    <row r="27609">
      <c r="H27609" s="8" t="s">
        <v>364</v>
      </c>
    </row>
    <row r="27610">
      <c r="H27610" s="8" t="s">
        <v>364</v>
      </c>
    </row>
    <row r="27611">
      <c r="H27611" s="8" t="s">
        <v>364</v>
      </c>
    </row>
    <row r="27612">
      <c r="H27612" s="8" t="s">
        <v>364</v>
      </c>
    </row>
    <row r="27613">
      <c r="H27613" s="8" t="s">
        <v>364</v>
      </c>
    </row>
    <row r="27614">
      <c r="H27614" s="8" t="s">
        <v>364</v>
      </c>
    </row>
    <row r="27615">
      <c r="H27615" s="8" t="s">
        <v>364</v>
      </c>
    </row>
    <row r="27616">
      <c r="H27616" s="8" t="s">
        <v>364</v>
      </c>
    </row>
    <row r="27617">
      <c r="H27617" s="8" t="s">
        <v>364</v>
      </c>
    </row>
    <row r="27618">
      <c r="H27618" s="8" t="s">
        <v>364</v>
      </c>
    </row>
    <row r="27619">
      <c r="H27619" s="8" t="s">
        <v>364</v>
      </c>
    </row>
    <row r="27620">
      <c r="H27620" s="8" t="s">
        <v>364</v>
      </c>
    </row>
    <row r="27621">
      <c r="H27621" s="8" t="s">
        <v>364</v>
      </c>
    </row>
    <row r="27622">
      <c r="H27622" s="8" t="s">
        <v>364</v>
      </c>
    </row>
    <row r="27623">
      <c r="H27623" s="8" t="s">
        <v>364</v>
      </c>
    </row>
    <row r="27624">
      <c r="H27624" s="8" t="s">
        <v>364</v>
      </c>
    </row>
    <row r="27625">
      <c r="H27625" s="8" t="s">
        <v>364</v>
      </c>
    </row>
    <row r="27626">
      <c r="H27626" s="8" t="s">
        <v>364</v>
      </c>
    </row>
    <row r="27627">
      <c r="H27627" s="8" t="s">
        <v>364</v>
      </c>
    </row>
    <row r="27628">
      <c r="H27628" s="8" t="s">
        <v>364</v>
      </c>
    </row>
    <row r="27629">
      <c r="H27629" s="8" t="s">
        <v>364</v>
      </c>
    </row>
    <row r="27630">
      <c r="H27630" s="8" t="s">
        <v>364</v>
      </c>
    </row>
    <row r="27631">
      <c r="H27631" s="8" t="s">
        <v>364</v>
      </c>
    </row>
    <row r="27632">
      <c r="H27632" s="8" t="s">
        <v>364</v>
      </c>
    </row>
    <row r="27633">
      <c r="H27633" s="8" t="s">
        <v>364</v>
      </c>
    </row>
    <row r="27634">
      <c r="H27634" s="8" t="s">
        <v>364</v>
      </c>
    </row>
    <row r="27635">
      <c r="H27635" s="8" t="s">
        <v>364</v>
      </c>
    </row>
    <row r="27636">
      <c r="H27636" s="8" t="s">
        <v>364</v>
      </c>
    </row>
    <row r="27637">
      <c r="H27637" s="8" t="s">
        <v>364</v>
      </c>
    </row>
    <row r="27638">
      <c r="H27638" s="8" t="s">
        <v>364</v>
      </c>
    </row>
    <row r="27639">
      <c r="H27639" s="8" t="s">
        <v>364</v>
      </c>
    </row>
    <row r="27640">
      <c r="H27640" s="8" t="s">
        <v>364</v>
      </c>
    </row>
    <row r="27641">
      <c r="H27641" s="8" t="s">
        <v>364</v>
      </c>
    </row>
    <row r="27642">
      <c r="H27642" s="8" t="s">
        <v>364</v>
      </c>
    </row>
    <row r="27643">
      <c r="H27643" s="8" t="s">
        <v>364</v>
      </c>
    </row>
    <row r="27644">
      <c r="H27644" s="8" t="s">
        <v>364</v>
      </c>
    </row>
    <row r="27645">
      <c r="H27645" s="8" t="s">
        <v>364</v>
      </c>
    </row>
    <row r="27646">
      <c r="H27646" s="8" t="s">
        <v>364</v>
      </c>
    </row>
    <row r="27647">
      <c r="H27647" s="8" t="s">
        <v>364</v>
      </c>
    </row>
    <row r="27648">
      <c r="H27648" s="8" t="s">
        <v>364</v>
      </c>
    </row>
    <row r="27649">
      <c r="H27649" s="8" t="s">
        <v>364</v>
      </c>
    </row>
    <row r="27650">
      <c r="H27650" s="8" t="s">
        <v>364</v>
      </c>
    </row>
    <row r="27651">
      <c r="H27651" s="8" t="s">
        <v>364</v>
      </c>
    </row>
    <row r="27652">
      <c r="H27652" s="8" t="s">
        <v>364</v>
      </c>
    </row>
    <row r="27653">
      <c r="H27653" s="8" t="s">
        <v>364</v>
      </c>
    </row>
    <row r="27654">
      <c r="H27654" s="8" t="s">
        <v>364</v>
      </c>
    </row>
    <row r="27655">
      <c r="H27655" s="8" t="s">
        <v>364</v>
      </c>
    </row>
    <row r="27656">
      <c r="H27656" s="8" t="s">
        <v>364</v>
      </c>
    </row>
    <row r="27657">
      <c r="H27657" s="8" t="s">
        <v>364</v>
      </c>
    </row>
    <row r="27658">
      <c r="H27658" s="8" t="s">
        <v>364</v>
      </c>
    </row>
    <row r="27659">
      <c r="H27659" s="8" t="s">
        <v>364</v>
      </c>
    </row>
    <row r="27660">
      <c r="H27660" s="8" t="s">
        <v>364</v>
      </c>
    </row>
    <row r="27661">
      <c r="H27661" s="8" t="s">
        <v>364</v>
      </c>
    </row>
    <row r="27662">
      <c r="H27662" s="8" t="s">
        <v>364</v>
      </c>
    </row>
    <row r="27663">
      <c r="H27663" s="8" t="s">
        <v>364</v>
      </c>
    </row>
    <row r="27664">
      <c r="H27664" s="8" t="s">
        <v>364</v>
      </c>
    </row>
    <row r="27665">
      <c r="H27665" s="8" t="s">
        <v>364</v>
      </c>
    </row>
    <row r="27666">
      <c r="H27666" s="8" t="s">
        <v>364</v>
      </c>
    </row>
    <row r="27667">
      <c r="H27667" s="8" t="s">
        <v>364</v>
      </c>
    </row>
    <row r="27668">
      <c r="H27668" s="8" t="s">
        <v>364</v>
      </c>
    </row>
    <row r="27669">
      <c r="H27669" s="8" t="s">
        <v>364</v>
      </c>
    </row>
    <row r="27670">
      <c r="H27670" s="8" t="s">
        <v>364</v>
      </c>
    </row>
    <row r="27671">
      <c r="H27671" s="8" t="s">
        <v>364</v>
      </c>
    </row>
    <row r="27672">
      <c r="H27672" s="8" t="s">
        <v>364</v>
      </c>
    </row>
    <row r="27673">
      <c r="H27673" s="8" t="s">
        <v>364</v>
      </c>
    </row>
    <row r="27674">
      <c r="H27674" s="8" t="s">
        <v>364</v>
      </c>
    </row>
    <row r="27675">
      <c r="H27675" s="8" t="s">
        <v>364</v>
      </c>
    </row>
    <row r="27676">
      <c r="H27676" s="8" t="s">
        <v>364</v>
      </c>
    </row>
    <row r="27677">
      <c r="H27677" s="8" t="s">
        <v>364</v>
      </c>
    </row>
    <row r="27678">
      <c r="H27678" s="8" t="s">
        <v>364</v>
      </c>
    </row>
    <row r="27679">
      <c r="H27679" s="8" t="s">
        <v>364</v>
      </c>
    </row>
    <row r="27680">
      <c r="H27680" s="8" t="s">
        <v>364</v>
      </c>
    </row>
    <row r="27681">
      <c r="H27681" s="8" t="s">
        <v>364</v>
      </c>
    </row>
    <row r="27682">
      <c r="H27682" s="8" t="s">
        <v>364</v>
      </c>
    </row>
    <row r="27683">
      <c r="H27683" s="8" t="s">
        <v>364</v>
      </c>
    </row>
    <row r="27684">
      <c r="H27684" s="8" t="s">
        <v>364</v>
      </c>
    </row>
    <row r="27685">
      <c r="H27685" s="8" t="s">
        <v>364</v>
      </c>
    </row>
    <row r="27686">
      <c r="H27686" s="8" t="s">
        <v>364</v>
      </c>
    </row>
    <row r="27687">
      <c r="H27687" s="8" t="s">
        <v>364</v>
      </c>
    </row>
    <row r="27688">
      <c r="H27688" s="8" t="s">
        <v>364</v>
      </c>
    </row>
    <row r="27689">
      <c r="H27689" s="8" t="s">
        <v>364</v>
      </c>
    </row>
    <row r="27690">
      <c r="H27690" s="8" t="s">
        <v>364</v>
      </c>
    </row>
    <row r="27691">
      <c r="H27691" s="8" t="s">
        <v>364</v>
      </c>
    </row>
    <row r="27692">
      <c r="H27692" s="8" t="s">
        <v>364</v>
      </c>
    </row>
    <row r="27693">
      <c r="H27693" s="8" t="s">
        <v>364</v>
      </c>
    </row>
    <row r="27694">
      <c r="H27694" s="8" t="s">
        <v>364</v>
      </c>
    </row>
    <row r="27695">
      <c r="H27695" s="8" t="s">
        <v>364</v>
      </c>
    </row>
    <row r="27696">
      <c r="H27696" s="8" t="s">
        <v>364</v>
      </c>
    </row>
    <row r="27697">
      <c r="H27697" s="8" t="s">
        <v>364</v>
      </c>
    </row>
    <row r="27698">
      <c r="H27698" s="8" t="s">
        <v>364</v>
      </c>
    </row>
    <row r="27699">
      <c r="H27699" s="8" t="s">
        <v>364</v>
      </c>
    </row>
    <row r="27700">
      <c r="H27700" s="8" t="s">
        <v>364</v>
      </c>
    </row>
    <row r="27701">
      <c r="H27701" s="8" t="s">
        <v>364</v>
      </c>
    </row>
    <row r="27702">
      <c r="H27702" s="8" t="s">
        <v>364</v>
      </c>
    </row>
    <row r="27703">
      <c r="H27703" s="8" t="s">
        <v>364</v>
      </c>
    </row>
    <row r="27704">
      <c r="H27704" s="8" t="s">
        <v>364</v>
      </c>
    </row>
    <row r="27705">
      <c r="H27705" s="8" t="s">
        <v>364</v>
      </c>
    </row>
    <row r="27706">
      <c r="H27706" s="8" t="s">
        <v>364</v>
      </c>
    </row>
    <row r="27707">
      <c r="H27707" s="8" t="s">
        <v>364</v>
      </c>
    </row>
    <row r="27708">
      <c r="H27708" s="8" t="s">
        <v>364</v>
      </c>
    </row>
    <row r="27709">
      <c r="H27709" s="8" t="s">
        <v>364</v>
      </c>
    </row>
    <row r="27710">
      <c r="H27710" s="8" t="s">
        <v>364</v>
      </c>
    </row>
    <row r="27711">
      <c r="H27711" s="8" t="s">
        <v>364</v>
      </c>
    </row>
    <row r="27712">
      <c r="H27712" s="8" t="s">
        <v>364</v>
      </c>
    </row>
    <row r="27713">
      <c r="H27713" s="8" t="s">
        <v>364</v>
      </c>
    </row>
    <row r="27714">
      <c r="H27714" s="8" t="s">
        <v>364</v>
      </c>
    </row>
    <row r="27715">
      <c r="H27715" s="8" t="s">
        <v>364</v>
      </c>
    </row>
    <row r="27716">
      <c r="H27716" s="8" t="s">
        <v>364</v>
      </c>
    </row>
    <row r="27717">
      <c r="H27717" s="8" t="s">
        <v>364</v>
      </c>
    </row>
    <row r="27718">
      <c r="H27718" s="8" t="s">
        <v>364</v>
      </c>
    </row>
    <row r="27719">
      <c r="H27719" s="8" t="s">
        <v>364</v>
      </c>
    </row>
    <row r="27720">
      <c r="H27720" s="8" t="s">
        <v>364</v>
      </c>
    </row>
    <row r="27721">
      <c r="H27721" s="8" t="s">
        <v>364</v>
      </c>
    </row>
    <row r="27722">
      <c r="H27722" s="8" t="s">
        <v>364</v>
      </c>
    </row>
    <row r="27723">
      <c r="H27723" s="8" t="s">
        <v>364</v>
      </c>
    </row>
    <row r="27724">
      <c r="H27724" s="8" t="s">
        <v>364</v>
      </c>
    </row>
    <row r="27725">
      <c r="H27725" s="8" t="s">
        <v>364</v>
      </c>
    </row>
    <row r="27726">
      <c r="H27726" s="8" t="s">
        <v>364</v>
      </c>
    </row>
    <row r="27727">
      <c r="H27727" s="8" t="s">
        <v>364</v>
      </c>
    </row>
    <row r="27728">
      <c r="H27728" s="8" t="s">
        <v>364</v>
      </c>
    </row>
    <row r="27729">
      <c r="H27729" s="8" t="s">
        <v>364</v>
      </c>
    </row>
    <row r="27730">
      <c r="H27730" s="8" t="s">
        <v>364</v>
      </c>
    </row>
    <row r="27731">
      <c r="H27731" s="8" t="s">
        <v>364</v>
      </c>
    </row>
    <row r="27732">
      <c r="H27732" s="8" t="s">
        <v>364</v>
      </c>
    </row>
    <row r="27733">
      <c r="H27733" s="8" t="s">
        <v>364</v>
      </c>
    </row>
    <row r="27734">
      <c r="H27734" s="8" t="s">
        <v>364</v>
      </c>
    </row>
    <row r="27735">
      <c r="H27735" s="8" t="s">
        <v>364</v>
      </c>
    </row>
    <row r="27736">
      <c r="H27736" s="8" t="s">
        <v>364</v>
      </c>
    </row>
    <row r="27737">
      <c r="H27737" s="8" t="s">
        <v>364</v>
      </c>
    </row>
    <row r="27738">
      <c r="H27738" s="8" t="s">
        <v>364</v>
      </c>
    </row>
    <row r="27739">
      <c r="H27739" s="8" t="s">
        <v>364</v>
      </c>
    </row>
    <row r="27740">
      <c r="H27740" s="8" t="s">
        <v>364</v>
      </c>
    </row>
    <row r="27741">
      <c r="H27741" s="8" t="s">
        <v>364</v>
      </c>
    </row>
    <row r="27742">
      <c r="H27742" s="8" t="s">
        <v>364</v>
      </c>
    </row>
    <row r="27743">
      <c r="H27743" s="8" t="s">
        <v>364</v>
      </c>
    </row>
    <row r="27744">
      <c r="H27744" s="8" t="s">
        <v>364</v>
      </c>
    </row>
    <row r="27745">
      <c r="H27745" s="8" t="s">
        <v>364</v>
      </c>
    </row>
    <row r="27746">
      <c r="H27746" s="8" t="s">
        <v>364</v>
      </c>
    </row>
    <row r="27747">
      <c r="H27747" s="8" t="s">
        <v>364</v>
      </c>
    </row>
    <row r="27748">
      <c r="H27748" s="8" t="s">
        <v>364</v>
      </c>
    </row>
    <row r="27749">
      <c r="H27749" s="8" t="s">
        <v>364</v>
      </c>
    </row>
    <row r="27750">
      <c r="H27750" s="8" t="s">
        <v>364</v>
      </c>
    </row>
    <row r="27751">
      <c r="H27751" s="8" t="s">
        <v>364</v>
      </c>
    </row>
    <row r="27752">
      <c r="H27752" s="8" t="s">
        <v>364</v>
      </c>
    </row>
    <row r="27753">
      <c r="H27753" s="8" t="s">
        <v>364</v>
      </c>
    </row>
    <row r="27754">
      <c r="H27754" s="8" t="s">
        <v>364</v>
      </c>
    </row>
    <row r="27755">
      <c r="H27755" s="8" t="s">
        <v>364</v>
      </c>
    </row>
    <row r="27756">
      <c r="H27756" s="8" t="s">
        <v>364</v>
      </c>
    </row>
    <row r="27757">
      <c r="H27757" s="8" t="s">
        <v>364</v>
      </c>
    </row>
    <row r="27758">
      <c r="H27758" s="8" t="s">
        <v>364</v>
      </c>
    </row>
    <row r="27759">
      <c r="H27759" s="8" t="s">
        <v>364</v>
      </c>
    </row>
    <row r="27760">
      <c r="H27760" s="8" t="s">
        <v>364</v>
      </c>
    </row>
    <row r="27761">
      <c r="H27761" s="8" t="s">
        <v>364</v>
      </c>
    </row>
    <row r="27762">
      <c r="H27762" s="8" t="s">
        <v>364</v>
      </c>
    </row>
    <row r="27763">
      <c r="H27763" s="8" t="s">
        <v>364</v>
      </c>
    </row>
    <row r="27764">
      <c r="H27764" s="8" t="s">
        <v>364</v>
      </c>
    </row>
    <row r="27765">
      <c r="H27765" s="8" t="s">
        <v>364</v>
      </c>
    </row>
    <row r="27766">
      <c r="H27766" s="8" t="s">
        <v>364</v>
      </c>
    </row>
    <row r="27767">
      <c r="H27767" s="8" t="s">
        <v>364</v>
      </c>
    </row>
    <row r="27768">
      <c r="H27768" s="8" t="s">
        <v>364</v>
      </c>
    </row>
    <row r="27769">
      <c r="H27769" s="8" t="s">
        <v>364</v>
      </c>
    </row>
    <row r="27770">
      <c r="H27770" s="8" t="s">
        <v>364</v>
      </c>
    </row>
    <row r="27771">
      <c r="H27771" s="8" t="s">
        <v>364</v>
      </c>
    </row>
    <row r="27772">
      <c r="H27772" s="8" t="s">
        <v>364</v>
      </c>
    </row>
    <row r="27773">
      <c r="H27773" s="8" t="s">
        <v>364</v>
      </c>
    </row>
    <row r="27774">
      <c r="H27774" s="8" t="s">
        <v>364</v>
      </c>
    </row>
    <row r="27775">
      <c r="H27775" s="8" t="s">
        <v>364</v>
      </c>
    </row>
    <row r="27776">
      <c r="H27776" s="8" t="s">
        <v>364</v>
      </c>
    </row>
    <row r="27777">
      <c r="H27777" s="8" t="s">
        <v>364</v>
      </c>
    </row>
    <row r="27778">
      <c r="H27778" s="8" t="s">
        <v>364</v>
      </c>
    </row>
    <row r="27779">
      <c r="H27779" s="8" t="s">
        <v>364</v>
      </c>
    </row>
    <row r="27780">
      <c r="H27780" s="8" t="s">
        <v>364</v>
      </c>
    </row>
    <row r="27781">
      <c r="H27781" s="8" t="s">
        <v>364</v>
      </c>
    </row>
    <row r="27782">
      <c r="H27782" s="8" t="s">
        <v>364</v>
      </c>
    </row>
    <row r="27783">
      <c r="H27783" s="8" t="s">
        <v>364</v>
      </c>
    </row>
    <row r="27784">
      <c r="H27784" s="8" t="s">
        <v>364</v>
      </c>
    </row>
    <row r="27785">
      <c r="H27785" s="8" t="s">
        <v>364</v>
      </c>
    </row>
    <row r="27786">
      <c r="H27786" s="8" t="s">
        <v>364</v>
      </c>
    </row>
    <row r="27787">
      <c r="H27787" s="8" t="s">
        <v>364</v>
      </c>
    </row>
    <row r="27788">
      <c r="H27788" s="8" t="s">
        <v>364</v>
      </c>
    </row>
    <row r="27789">
      <c r="H27789" s="8" t="s">
        <v>364</v>
      </c>
    </row>
    <row r="27790">
      <c r="H27790" s="8" t="s">
        <v>364</v>
      </c>
    </row>
    <row r="27791">
      <c r="H27791" s="8" t="s">
        <v>364</v>
      </c>
    </row>
    <row r="27792">
      <c r="H27792" s="8" t="s">
        <v>364</v>
      </c>
    </row>
    <row r="27793">
      <c r="H27793" s="8" t="s">
        <v>364</v>
      </c>
    </row>
    <row r="27794">
      <c r="H27794" s="8" t="s">
        <v>364</v>
      </c>
    </row>
    <row r="27795">
      <c r="H27795" s="8" t="s">
        <v>364</v>
      </c>
    </row>
    <row r="27796">
      <c r="H27796" s="8" t="s">
        <v>364</v>
      </c>
    </row>
    <row r="27797">
      <c r="H27797" s="8" t="s">
        <v>364</v>
      </c>
    </row>
    <row r="27798">
      <c r="H27798" s="8" t="s">
        <v>364</v>
      </c>
    </row>
    <row r="27799">
      <c r="H27799" s="8" t="s">
        <v>364</v>
      </c>
    </row>
    <row r="27800">
      <c r="H27800" s="8" t="s">
        <v>364</v>
      </c>
    </row>
    <row r="27801">
      <c r="H27801" s="8" t="s">
        <v>364</v>
      </c>
    </row>
    <row r="27802">
      <c r="H27802" s="8" t="s">
        <v>364</v>
      </c>
    </row>
    <row r="27803">
      <c r="H27803" s="8" t="s">
        <v>364</v>
      </c>
    </row>
    <row r="27804">
      <c r="H27804" s="8" t="s">
        <v>364</v>
      </c>
    </row>
    <row r="27805">
      <c r="H27805" s="8" t="s">
        <v>364</v>
      </c>
    </row>
    <row r="27806">
      <c r="H27806" s="8" t="s">
        <v>364</v>
      </c>
    </row>
    <row r="27807">
      <c r="H27807" s="8" t="s">
        <v>364</v>
      </c>
    </row>
    <row r="27808">
      <c r="H27808" s="8" t="s">
        <v>364</v>
      </c>
    </row>
    <row r="27809">
      <c r="H27809" s="8" t="s">
        <v>364</v>
      </c>
    </row>
    <row r="27810">
      <c r="H27810" s="8" t="s">
        <v>364</v>
      </c>
    </row>
    <row r="27811">
      <c r="H27811" s="8" t="s">
        <v>364</v>
      </c>
    </row>
    <row r="27812">
      <c r="H27812" s="8" t="s">
        <v>364</v>
      </c>
    </row>
    <row r="27813">
      <c r="H27813" s="8" t="s">
        <v>364</v>
      </c>
    </row>
    <row r="27814">
      <c r="H27814" s="8" t="s">
        <v>364</v>
      </c>
    </row>
    <row r="27815">
      <c r="H27815" s="8" t="s">
        <v>364</v>
      </c>
    </row>
    <row r="27816">
      <c r="H27816" s="8" t="s">
        <v>364</v>
      </c>
    </row>
    <row r="27817">
      <c r="H27817" s="8" t="s">
        <v>364</v>
      </c>
    </row>
    <row r="27818">
      <c r="H27818" s="8" t="s">
        <v>364</v>
      </c>
    </row>
    <row r="27819">
      <c r="H27819" s="8" t="s">
        <v>364</v>
      </c>
    </row>
    <row r="27820">
      <c r="H27820" s="8" t="s">
        <v>364</v>
      </c>
    </row>
    <row r="27821">
      <c r="H27821" s="8" t="s">
        <v>364</v>
      </c>
    </row>
    <row r="27822">
      <c r="H27822" s="8" t="s">
        <v>364</v>
      </c>
    </row>
    <row r="27823">
      <c r="H27823" s="8" t="s">
        <v>364</v>
      </c>
    </row>
    <row r="27824">
      <c r="H27824" s="8" t="s">
        <v>364</v>
      </c>
    </row>
    <row r="27825">
      <c r="H27825" s="8" t="s">
        <v>364</v>
      </c>
    </row>
    <row r="27826">
      <c r="H27826" s="8" t="s">
        <v>364</v>
      </c>
    </row>
    <row r="27827">
      <c r="H27827" s="8" t="s">
        <v>364</v>
      </c>
    </row>
    <row r="27828">
      <c r="H27828" s="8" t="s">
        <v>364</v>
      </c>
    </row>
    <row r="27829">
      <c r="H27829" s="8" t="s">
        <v>364</v>
      </c>
    </row>
    <row r="27830">
      <c r="H27830" s="8" t="s">
        <v>364</v>
      </c>
    </row>
    <row r="27831">
      <c r="H27831" s="8" t="s">
        <v>364</v>
      </c>
    </row>
    <row r="27832">
      <c r="H27832" s="8" t="s">
        <v>364</v>
      </c>
    </row>
    <row r="27833">
      <c r="H27833" s="8" t="s">
        <v>364</v>
      </c>
    </row>
    <row r="27834">
      <c r="H27834" s="8" t="s">
        <v>364</v>
      </c>
    </row>
    <row r="27835">
      <c r="H27835" s="8" t="s">
        <v>364</v>
      </c>
    </row>
    <row r="27836">
      <c r="H27836" s="8" t="s">
        <v>364</v>
      </c>
    </row>
    <row r="27837">
      <c r="H27837" s="8" t="s">
        <v>364</v>
      </c>
    </row>
    <row r="27838">
      <c r="H27838" s="8" t="s">
        <v>364</v>
      </c>
    </row>
    <row r="27839">
      <c r="H27839" s="8" t="s">
        <v>364</v>
      </c>
    </row>
    <row r="27840">
      <c r="H27840" s="8" t="s">
        <v>364</v>
      </c>
    </row>
    <row r="27841">
      <c r="H27841" s="8" t="s">
        <v>364</v>
      </c>
    </row>
    <row r="27842">
      <c r="H27842" s="8" t="s">
        <v>364</v>
      </c>
    </row>
    <row r="27843">
      <c r="H27843" s="8" t="s">
        <v>364</v>
      </c>
    </row>
    <row r="27844">
      <c r="H27844" s="8" t="s">
        <v>364</v>
      </c>
    </row>
    <row r="27845">
      <c r="H27845" s="8" t="s">
        <v>364</v>
      </c>
    </row>
    <row r="27846">
      <c r="H27846" s="8" t="s">
        <v>364</v>
      </c>
    </row>
    <row r="27847">
      <c r="H27847" s="8" t="s">
        <v>364</v>
      </c>
    </row>
    <row r="27848">
      <c r="H27848" s="8" t="s">
        <v>364</v>
      </c>
    </row>
    <row r="27849">
      <c r="H27849" s="8" t="s">
        <v>364</v>
      </c>
    </row>
    <row r="27850">
      <c r="H27850" s="8" t="s">
        <v>364</v>
      </c>
    </row>
    <row r="27851">
      <c r="H27851" s="8" t="s">
        <v>364</v>
      </c>
    </row>
    <row r="27852">
      <c r="H27852" s="8" t="s">
        <v>364</v>
      </c>
    </row>
    <row r="27853">
      <c r="H27853" s="8" t="s">
        <v>364</v>
      </c>
    </row>
    <row r="27854">
      <c r="H27854" s="8" t="s">
        <v>364</v>
      </c>
    </row>
    <row r="27855">
      <c r="H27855" s="8" t="s">
        <v>364</v>
      </c>
    </row>
    <row r="27856">
      <c r="H27856" s="8" t="s">
        <v>364</v>
      </c>
    </row>
    <row r="27857">
      <c r="H27857" s="8" t="s">
        <v>364</v>
      </c>
    </row>
    <row r="27858">
      <c r="H27858" s="8" t="s">
        <v>364</v>
      </c>
    </row>
    <row r="27859">
      <c r="H27859" s="8" t="s">
        <v>364</v>
      </c>
    </row>
    <row r="27860">
      <c r="H27860" s="8" t="s">
        <v>364</v>
      </c>
    </row>
    <row r="27861">
      <c r="H27861" s="8" t="s">
        <v>364</v>
      </c>
    </row>
    <row r="27862">
      <c r="H27862" s="8" t="s">
        <v>364</v>
      </c>
    </row>
    <row r="27863">
      <c r="H27863" s="8" t="s">
        <v>364</v>
      </c>
    </row>
    <row r="27864">
      <c r="H27864" s="8" t="s">
        <v>364</v>
      </c>
    </row>
    <row r="27865">
      <c r="H27865" s="8" t="s">
        <v>364</v>
      </c>
    </row>
    <row r="27866">
      <c r="H27866" s="8" t="s">
        <v>364</v>
      </c>
    </row>
    <row r="27867">
      <c r="H27867" s="8" t="s">
        <v>364</v>
      </c>
    </row>
    <row r="27868">
      <c r="H27868" s="8" t="s">
        <v>364</v>
      </c>
    </row>
    <row r="27869">
      <c r="H27869" s="8" t="s">
        <v>364</v>
      </c>
    </row>
    <row r="27870">
      <c r="H27870" s="8" t="s">
        <v>364</v>
      </c>
    </row>
    <row r="27871">
      <c r="H27871" s="8" t="s">
        <v>364</v>
      </c>
    </row>
    <row r="27872">
      <c r="H27872" s="8" t="s">
        <v>364</v>
      </c>
    </row>
    <row r="27873">
      <c r="H27873" s="8" t="s">
        <v>364</v>
      </c>
    </row>
    <row r="27874">
      <c r="H27874" s="8" t="s">
        <v>364</v>
      </c>
    </row>
    <row r="27875">
      <c r="H27875" s="8" t="s">
        <v>364</v>
      </c>
    </row>
    <row r="27876">
      <c r="H27876" s="8" t="s">
        <v>364</v>
      </c>
    </row>
    <row r="27877">
      <c r="H27877" s="8" t="s">
        <v>364</v>
      </c>
    </row>
    <row r="27878">
      <c r="H27878" s="8" t="s">
        <v>364</v>
      </c>
    </row>
    <row r="27879">
      <c r="H27879" s="8" t="s">
        <v>364</v>
      </c>
    </row>
    <row r="27880">
      <c r="H27880" s="8" t="s">
        <v>364</v>
      </c>
    </row>
    <row r="27881">
      <c r="H27881" s="8" t="s">
        <v>364</v>
      </c>
    </row>
    <row r="27882">
      <c r="H27882" s="8" t="s">
        <v>364</v>
      </c>
    </row>
    <row r="27883">
      <c r="H27883" s="8" t="s">
        <v>364</v>
      </c>
    </row>
    <row r="27884">
      <c r="H27884" s="8" t="s">
        <v>364</v>
      </c>
    </row>
    <row r="27885">
      <c r="H27885" s="8" t="s">
        <v>364</v>
      </c>
    </row>
    <row r="27886">
      <c r="H27886" s="8" t="s">
        <v>364</v>
      </c>
    </row>
    <row r="27887">
      <c r="H27887" s="8" t="s">
        <v>364</v>
      </c>
    </row>
    <row r="27888">
      <c r="H27888" s="8" t="s">
        <v>364</v>
      </c>
    </row>
    <row r="27889">
      <c r="H27889" s="8" t="s">
        <v>364</v>
      </c>
    </row>
    <row r="27890">
      <c r="H27890" s="8" t="s">
        <v>364</v>
      </c>
    </row>
    <row r="27891">
      <c r="H27891" s="8" t="s">
        <v>364</v>
      </c>
    </row>
    <row r="27892">
      <c r="H27892" s="8" t="s">
        <v>364</v>
      </c>
    </row>
    <row r="27893">
      <c r="H27893" s="8" t="s">
        <v>364</v>
      </c>
    </row>
    <row r="27894">
      <c r="H27894" s="8" t="s">
        <v>364</v>
      </c>
    </row>
    <row r="27895">
      <c r="H27895" s="8" t="s">
        <v>364</v>
      </c>
    </row>
    <row r="27896">
      <c r="H27896" s="8" t="s">
        <v>364</v>
      </c>
    </row>
    <row r="27897">
      <c r="H27897" s="8" t="s">
        <v>364</v>
      </c>
    </row>
    <row r="27898">
      <c r="H27898" s="8" t="s">
        <v>364</v>
      </c>
    </row>
    <row r="27899">
      <c r="H27899" s="8" t="s">
        <v>364</v>
      </c>
    </row>
    <row r="27900">
      <c r="H27900" s="8" t="s">
        <v>364</v>
      </c>
    </row>
    <row r="27901">
      <c r="H27901" s="8" t="s">
        <v>364</v>
      </c>
    </row>
    <row r="27902">
      <c r="H27902" s="8" t="s">
        <v>364</v>
      </c>
    </row>
    <row r="27903">
      <c r="H27903" s="8" t="s">
        <v>364</v>
      </c>
    </row>
    <row r="27904">
      <c r="H27904" s="8" t="s">
        <v>364</v>
      </c>
    </row>
    <row r="27905">
      <c r="H27905" s="8" t="s">
        <v>364</v>
      </c>
    </row>
    <row r="27906">
      <c r="H27906" s="8" t="s">
        <v>364</v>
      </c>
    </row>
    <row r="27907">
      <c r="H27907" s="8" t="s">
        <v>364</v>
      </c>
    </row>
    <row r="27908">
      <c r="H27908" s="8" t="s">
        <v>364</v>
      </c>
    </row>
    <row r="27909">
      <c r="H27909" s="8" t="s">
        <v>364</v>
      </c>
    </row>
    <row r="27910">
      <c r="H27910" s="8" t="s">
        <v>364</v>
      </c>
    </row>
    <row r="27911">
      <c r="H27911" s="8" t="s">
        <v>364</v>
      </c>
    </row>
    <row r="27912">
      <c r="H27912" s="8" t="s">
        <v>364</v>
      </c>
    </row>
    <row r="27913">
      <c r="H27913" s="8" t="s">
        <v>364</v>
      </c>
    </row>
    <row r="27914">
      <c r="H27914" s="8" t="s">
        <v>364</v>
      </c>
    </row>
    <row r="27915">
      <c r="H27915" s="8" t="s">
        <v>364</v>
      </c>
    </row>
    <row r="27916">
      <c r="H27916" s="8" t="s">
        <v>364</v>
      </c>
    </row>
    <row r="27917">
      <c r="H27917" s="8" t="s">
        <v>364</v>
      </c>
    </row>
    <row r="27918">
      <c r="H27918" s="8" t="s">
        <v>364</v>
      </c>
    </row>
    <row r="27919">
      <c r="H27919" s="8" t="s">
        <v>364</v>
      </c>
    </row>
    <row r="27920">
      <c r="H27920" s="8" t="s">
        <v>364</v>
      </c>
    </row>
    <row r="27921">
      <c r="H27921" s="8" t="s">
        <v>364</v>
      </c>
    </row>
    <row r="27922">
      <c r="H27922" s="8" t="s">
        <v>364</v>
      </c>
    </row>
    <row r="27923">
      <c r="H27923" s="8" t="s">
        <v>364</v>
      </c>
    </row>
    <row r="27924">
      <c r="H27924" s="8" t="s">
        <v>364</v>
      </c>
    </row>
    <row r="27925">
      <c r="H27925" s="8" t="s">
        <v>364</v>
      </c>
    </row>
    <row r="27926">
      <c r="H27926" s="8" t="s">
        <v>364</v>
      </c>
    </row>
    <row r="27927">
      <c r="H27927" s="8" t="s">
        <v>364</v>
      </c>
    </row>
    <row r="27928">
      <c r="H27928" s="8" t="s">
        <v>364</v>
      </c>
    </row>
    <row r="27929">
      <c r="H27929" s="8" t="s">
        <v>364</v>
      </c>
    </row>
    <row r="27930">
      <c r="H27930" s="8" t="s">
        <v>364</v>
      </c>
    </row>
    <row r="27931">
      <c r="H27931" s="8" t="s">
        <v>364</v>
      </c>
    </row>
    <row r="27932">
      <c r="H27932" s="8" t="s">
        <v>364</v>
      </c>
    </row>
    <row r="27933">
      <c r="H27933" s="8" t="s">
        <v>364</v>
      </c>
    </row>
    <row r="27934">
      <c r="H27934" s="8" t="s">
        <v>364</v>
      </c>
    </row>
    <row r="27935">
      <c r="H27935" s="8" t="s">
        <v>364</v>
      </c>
    </row>
    <row r="27936">
      <c r="H27936" s="8" t="s">
        <v>364</v>
      </c>
    </row>
    <row r="27937">
      <c r="H27937" s="8" t="s">
        <v>364</v>
      </c>
    </row>
    <row r="27938">
      <c r="H27938" s="8" t="s">
        <v>364</v>
      </c>
    </row>
    <row r="27939">
      <c r="H27939" s="8" t="s">
        <v>364</v>
      </c>
    </row>
    <row r="27940">
      <c r="H27940" s="8" t="s">
        <v>364</v>
      </c>
    </row>
    <row r="27941">
      <c r="H27941" s="8" t="s">
        <v>364</v>
      </c>
    </row>
    <row r="27942">
      <c r="H27942" s="8" t="s">
        <v>364</v>
      </c>
    </row>
    <row r="27943">
      <c r="H27943" s="8" t="s">
        <v>364</v>
      </c>
    </row>
    <row r="27944">
      <c r="H27944" s="8" t="s">
        <v>364</v>
      </c>
    </row>
    <row r="27945">
      <c r="H27945" s="8" t="s">
        <v>364</v>
      </c>
    </row>
    <row r="27946">
      <c r="H27946" s="8" t="s">
        <v>364</v>
      </c>
    </row>
    <row r="27947">
      <c r="H27947" s="8" t="s">
        <v>364</v>
      </c>
    </row>
    <row r="27948">
      <c r="H27948" s="8" t="s">
        <v>364</v>
      </c>
    </row>
    <row r="27949">
      <c r="H27949" s="8" t="s">
        <v>364</v>
      </c>
    </row>
    <row r="27950">
      <c r="H27950" s="8" t="s">
        <v>364</v>
      </c>
    </row>
    <row r="27951">
      <c r="H27951" s="8" t="s">
        <v>364</v>
      </c>
    </row>
    <row r="27952">
      <c r="H27952" s="8" t="s">
        <v>364</v>
      </c>
    </row>
    <row r="27953">
      <c r="H27953" s="8" t="s">
        <v>364</v>
      </c>
    </row>
    <row r="27954">
      <c r="H27954" s="8" t="s">
        <v>364</v>
      </c>
    </row>
    <row r="27955">
      <c r="H27955" s="8" t="s">
        <v>364</v>
      </c>
    </row>
    <row r="27956">
      <c r="H27956" s="8" t="s">
        <v>364</v>
      </c>
    </row>
    <row r="27957">
      <c r="H27957" s="8" t="s">
        <v>364</v>
      </c>
    </row>
    <row r="27958">
      <c r="H27958" s="8" t="s">
        <v>364</v>
      </c>
    </row>
    <row r="27959">
      <c r="H27959" s="8" t="s">
        <v>364</v>
      </c>
    </row>
    <row r="27960">
      <c r="H27960" s="8" t="s">
        <v>364</v>
      </c>
    </row>
    <row r="27961">
      <c r="H27961" s="8" t="s">
        <v>364</v>
      </c>
    </row>
    <row r="27962">
      <c r="H27962" s="8" t="s">
        <v>364</v>
      </c>
    </row>
    <row r="27963">
      <c r="H27963" s="8" t="s">
        <v>364</v>
      </c>
    </row>
    <row r="27964">
      <c r="H27964" s="8" t="s">
        <v>364</v>
      </c>
    </row>
    <row r="27965">
      <c r="H27965" s="8" t="s">
        <v>364</v>
      </c>
    </row>
    <row r="27966">
      <c r="H27966" s="8" t="s">
        <v>364</v>
      </c>
    </row>
    <row r="27967">
      <c r="H27967" s="8" t="s">
        <v>364</v>
      </c>
    </row>
    <row r="27968">
      <c r="H27968" s="8" t="s">
        <v>364</v>
      </c>
    </row>
    <row r="27969">
      <c r="H27969" s="8" t="s">
        <v>364</v>
      </c>
    </row>
    <row r="27970">
      <c r="H27970" s="8" t="s">
        <v>364</v>
      </c>
    </row>
    <row r="27971">
      <c r="H27971" s="8" t="s">
        <v>364</v>
      </c>
    </row>
    <row r="27972">
      <c r="H27972" s="8" t="s">
        <v>364</v>
      </c>
    </row>
    <row r="27973">
      <c r="H27973" s="8" t="s">
        <v>364</v>
      </c>
    </row>
    <row r="27974">
      <c r="H27974" s="8" t="s">
        <v>364</v>
      </c>
    </row>
    <row r="27975">
      <c r="H27975" s="8" t="s">
        <v>364</v>
      </c>
    </row>
    <row r="27976">
      <c r="H27976" s="8" t="s">
        <v>364</v>
      </c>
    </row>
    <row r="27977">
      <c r="H27977" s="8" t="s">
        <v>364</v>
      </c>
    </row>
    <row r="27978">
      <c r="H27978" s="8" t="s">
        <v>364</v>
      </c>
    </row>
    <row r="27979">
      <c r="H27979" s="8" t="s">
        <v>364</v>
      </c>
    </row>
    <row r="27980">
      <c r="H27980" s="8" t="s">
        <v>364</v>
      </c>
    </row>
    <row r="27981">
      <c r="H27981" s="8" t="s">
        <v>364</v>
      </c>
    </row>
    <row r="27982">
      <c r="H27982" s="8" t="s">
        <v>364</v>
      </c>
    </row>
    <row r="27983">
      <c r="H27983" s="8" t="s">
        <v>364</v>
      </c>
    </row>
    <row r="27984">
      <c r="H27984" s="8" t="s">
        <v>364</v>
      </c>
    </row>
    <row r="27985">
      <c r="H27985" s="8" t="s">
        <v>364</v>
      </c>
    </row>
    <row r="27986">
      <c r="H27986" s="8" t="s">
        <v>364</v>
      </c>
    </row>
    <row r="27987">
      <c r="H27987" s="8" t="s">
        <v>364</v>
      </c>
    </row>
    <row r="27988">
      <c r="H27988" s="8" t="s">
        <v>364</v>
      </c>
    </row>
    <row r="27989">
      <c r="H27989" s="8" t="s">
        <v>364</v>
      </c>
    </row>
    <row r="27990">
      <c r="H27990" s="8" t="s">
        <v>364</v>
      </c>
    </row>
    <row r="27991">
      <c r="H27991" s="8" t="s">
        <v>364</v>
      </c>
    </row>
    <row r="27992">
      <c r="H27992" s="8" t="s">
        <v>364</v>
      </c>
    </row>
    <row r="27993">
      <c r="H27993" s="8" t="s">
        <v>364</v>
      </c>
    </row>
    <row r="27994">
      <c r="H27994" s="8" t="s">
        <v>364</v>
      </c>
    </row>
    <row r="27995">
      <c r="H27995" s="8" t="s">
        <v>364</v>
      </c>
    </row>
    <row r="27996">
      <c r="H27996" s="8" t="s">
        <v>364</v>
      </c>
    </row>
    <row r="27997">
      <c r="H27997" s="8" t="s">
        <v>364</v>
      </c>
    </row>
    <row r="27998">
      <c r="H27998" s="8" t="s">
        <v>364</v>
      </c>
    </row>
    <row r="27999">
      <c r="H27999" s="8" t="s">
        <v>364</v>
      </c>
    </row>
    <row r="28000">
      <c r="H28000" s="8" t="s">
        <v>364</v>
      </c>
    </row>
    <row r="28001">
      <c r="H28001" s="8" t="s">
        <v>364</v>
      </c>
    </row>
    <row r="28002">
      <c r="H28002" s="8" t="s">
        <v>364</v>
      </c>
    </row>
    <row r="28003">
      <c r="H28003" s="8" t="s">
        <v>364</v>
      </c>
    </row>
    <row r="28004">
      <c r="H28004" s="8" t="s">
        <v>364</v>
      </c>
    </row>
    <row r="28005">
      <c r="H28005" s="8" t="s">
        <v>364</v>
      </c>
    </row>
    <row r="28006">
      <c r="H28006" s="8" t="s">
        <v>364</v>
      </c>
    </row>
    <row r="28007">
      <c r="H28007" s="8" t="s">
        <v>364</v>
      </c>
    </row>
    <row r="28008">
      <c r="H28008" s="8" t="s">
        <v>364</v>
      </c>
    </row>
    <row r="28009">
      <c r="H28009" s="8" t="s">
        <v>364</v>
      </c>
    </row>
    <row r="28010">
      <c r="H28010" s="8" t="s">
        <v>364</v>
      </c>
    </row>
    <row r="28011">
      <c r="H28011" s="8" t="s">
        <v>364</v>
      </c>
    </row>
    <row r="28012">
      <c r="H28012" s="8" t="s">
        <v>364</v>
      </c>
    </row>
    <row r="28013">
      <c r="H28013" s="8" t="s">
        <v>364</v>
      </c>
    </row>
    <row r="28014">
      <c r="H28014" s="8" t="s">
        <v>364</v>
      </c>
    </row>
    <row r="28015">
      <c r="H28015" s="8" t="s">
        <v>364</v>
      </c>
    </row>
    <row r="28016">
      <c r="H28016" s="8" t="s">
        <v>364</v>
      </c>
    </row>
    <row r="28017">
      <c r="H28017" s="8" t="s">
        <v>364</v>
      </c>
    </row>
    <row r="28018">
      <c r="H28018" s="8" t="s">
        <v>364</v>
      </c>
    </row>
    <row r="28019">
      <c r="H28019" s="8" t="s">
        <v>364</v>
      </c>
    </row>
    <row r="28020">
      <c r="H28020" s="8" t="s">
        <v>364</v>
      </c>
    </row>
    <row r="28021">
      <c r="H28021" s="8" t="s">
        <v>364</v>
      </c>
    </row>
    <row r="28022">
      <c r="H28022" s="8" t="s">
        <v>364</v>
      </c>
    </row>
    <row r="28023">
      <c r="H28023" s="8" t="s">
        <v>364</v>
      </c>
    </row>
    <row r="28024">
      <c r="H28024" s="8" t="s">
        <v>364</v>
      </c>
    </row>
    <row r="28025">
      <c r="H28025" s="8" t="s">
        <v>364</v>
      </c>
    </row>
    <row r="28026">
      <c r="H28026" s="8" t="s">
        <v>364</v>
      </c>
    </row>
    <row r="28027">
      <c r="H28027" s="8" t="s">
        <v>364</v>
      </c>
    </row>
    <row r="28028">
      <c r="H28028" s="8" t="s">
        <v>364</v>
      </c>
    </row>
    <row r="28029">
      <c r="H28029" s="8" t="s">
        <v>364</v>
      </c>
    </row>
    <row r="28030">
      <c r="H28030" s="8" t="s">
        <v>364</v>
      </c>
    </row>
    <row r="28031">
      <c r="H28031" s="8" t="s">
        <v>364</v>
      </c>
    </row>
    <row r="28032">
      <c r="H28032" s="8" t="s">
        <v>364</v>
      </c>
    </row>
    <row r="28033">
      <c r="H28033" s="8" t="s">
        <v>364</v>
      </c>
    </row>
    <row r="28034">
      <c r="H28034" s="8" t="s">
        <v>364</v>
      </c>
    </row>
    <row r="28035">
      <c r="H28035" s="8" t="s">
        <v>364</v>
      </c>
    </row>
    <row r="28036">
      <c r="H28036" s="8" t="s">
        <v>364</v>
      </c>
    </row>
    <row r="28037">
      <c r="H28037" s="8" t="s">
        <v>364</v>
      </c>
    </row>
    <row r="28038">
      <c r="H28038" s="8" t="s">
        <v>364</v>
      </c>
    </row>
    <row r="28039">
      <c r="H28039" s="8" t="s">
        <v>364</v>
      </c>
    </row>
    <row r="28040">
      <c r="H28040" s="8" t="s">
        <v>364</v>
      </c>
    </row>
    <row r="28041">
      <c r="H28041" s="8" t="s">
        <v>364</v>
      </c>
    </row>
    <row r="28042">
      <c r="H28042" s="8" t="s">
        <v>364</v>
      </c>
    </row>
    <row r="28043">
      <c r="H28043" s="8" t="s">
        <v>364</v>
      </c>
    </row>
    <row r="28044">
      <c r="H28044" s="8" t="s">
        <v>364</v>
      </c>
    </row>
    <row r="28045">
      <c r="H28045" s="8" t="s">
        <v>364</v>
      </c>
    </row>
    <row r="28046">
      <c r="H28046" s="8" t="s">
        <v>364</v>
      </c>
    </row>
    <row r="28047">
      <c r="H28047" s="8" t="s">
        <v>364</v>
      </c>
    </row>
    <row r="28048">
      <c r="H28048" s="8" t="s">
        <v>364</v>
      </c>
    </row>
    <row r="28049">
      <c r="H28049" s="8" t="s">
        <v>364</v>
      </c>
    </row>
    <row r="28050">
      <c r="H28050" s="8" t="s">
        <v>364</v>
      </c>
    </row>
    <row r="28051">
      <c r="H28051" s="8" t="s">
        <v>364</v>
      </c>
    </row>
    <row r="28052">
      <c r="H28052" s="8" t="s">
        <v>364</v>
      </c>
    </row>
    <row r="28053">
      <c r="H28053" s="8" t="s">
        <v>364</v>
      </c>
    </row>
    <row r="28054">
      <c r="H28054" s="8" t="s">
        <v>364</v>
      </c>
    </row>
    <row r="28055">
      <c r="H28055" s="8" t="s">
        <v>364</v>
      </c>
    </row>
    <row r="28056">
      <c r="H28056" s="8" t="s">
        <v>364</v>
      </c>
    </row>
    <row r="28057">
      <c r="H28057" s="8" t="s">
        <v>364</v>
      </c>
    </row>
    <row r="28058">
      <c r="H28058" s="8" t="s">
        <v>364</v>
      </c>
    </row>
    <row r="28059">
      <c r="H28059" s="8" t="s">
        <v>364</v>
      </c>
    </row>
    <row r="28060">
      <c r="H28060" s="8" t="s">
        <v>364</v>
      </c>
    </row>
    <row r="28061">
      <c r="H28061" s="8" t="s">
        <v>364</v>
      </c>
    </row>
    <row r="28062">
      <c r="H28062" s="8" t="s">
        <v>364</v>
      </c>
    </row>
    <row r="28063">
      <c r="H28063" s="8" t="s">
        <v>364</v>
      </c>
    </row>
    <row r="28064">
      <c r="H28064" s="8" t="s">
        <v>364</v>
      </c>
    </row>
    <row r="28065">
      <c r="H28065" s="8" t="s">
        <v>364</v>
      </c>
    </row>
    <row r="28066">
      <c r="H28066" s="8" t="s">
        <v>364</v>
      </c>
    </row>
    <row r="28067">
      <c r="H28067" s="8" t="s">
        <v>364</v>
      </c>
    </row>
    <row r="28068">
      <c r="H28068" s="8" t="s">
        <v>364</v>
      </c>
    </row>
    <row r="28069">
      <c r="H28069" s="8" t="s">
        <v>364</v>
      </c>
    </row>
    <row r="28070">
      <c r="H28070" s="8" t="s">
        <v>364</v>
      </c>
    </row>
    <row r="28071">
      <c r="H28071" s="8" t="s">
        <v>364</v>
      </c>
    </row>
    <row r="28072">
      <c r="H28072" s="8" t="s">
        <v>364</v>
      </c>
    </row>
    <row r="28073">
      <c r="H28073" s="8" t="s">
        <v>364</v>
      </c>
    </row>
    <row r="28074">
      <c r="H28074" s="8" t="s">
        <v>364</v>
      </c>
    </row>
    <row r="28075">
      <c r="H28075" s="8" t="s">
        <v>364</v>
      </c>
    </row>
    <row r="28076">
      <c r="H28076" s="8" t="s">
        <v>364</v>
      </c>
    </row>
    <row r="28077">
      <c r="H28077" s="8" t="s">
        <v>364</v>
      </c>
    </row>
    <row r="28078">
      <c r="H28078" s="8" t="s">
        <v>364</v>
      </c>
    </row>
    <row r="28079">
      <c r="H28079" s="8" t="s">
        <v>364</v>
      </c>
    </row>
    <row r="28080">
      <c r="H28080" s="8" t="s">
        <v>364</v>
      </c>
    </row>
    <row r="28081">
      <c r="H28081" s="8" t="s">
        <v>364</v>
      </c>
    </row>
    <row r="28082">
      <c r="H28082" s="8" t="s">
        <v>364</v>
      </c>
    </row>
    <row r="28083">
      <c r="H28083" s="8" t="s">
        <v>364</v>
      </c>
    </row>
    <row r="28084">
      <c r="H28084" s="8" t="s">
        <v>364</v>
      </c>
    </row>
    <row r="28085">
      <c r="H28085" s="8" t="s">
        <v>364</v>
      </c>
    </row>
    <row r="28086">
      <c r="H28086" s="8" t="s">
        <v>364</v>
      </c>
    </row>
    <row r="28087">
      <c r="H28087" s="8" t="s">
        <v>364</v>
      </c>
    </row>
    <row r="28088">
      <c r="H28088" s="8" t="s">
        <v>364</v>
      </c>
    </row>
    <row r="28089">
      <c r="H28089" s="8" t="s">
        <v>364</v>
      </c>
    </row>
    <row r="28090">
      <c r="H28090" s="8" t="s">
        <v>364</v>
      </c>
    </row>
    <row r="28091">
      <c r="H28091" s="8" t="s">
        <v>364</v>
      </c>
    </row>
    <row r="28092">
      <c r="H28092" s="8" t="s">
        <v>364</v>
      </c>
    </row>
    <row r="28093">
      <c r="H28093" s="8" t="s">
        <v>364</v>
      </c>
    </row>
    <row r="28094">
      <c r="H28094" s="8" t="s">
        <v>364</v>
      </c>
    </row>
    <row r="28095">
      <c r="H28095" s="8" t="s">
        <v>364</v>
      </c>
    </row>
    <row r="28096">
      <c r="H28096" s="8" t="s">
        <v>364</v>
      </c>
    </row>
    <row r="28097">
      <c r="H28097" s="8" t="s">
        <v>364</v>
      </c>
    </row>
    <row r="28098">
      <c r="H28098" s="8" t="s">
        <v>364</v>
      </c>
    </row>
    <row r="28099">
      <c r="H28099" s="8" t="s">
        <v>364</v>
      </c>
    </row>
    <row r="28100">
      <c r="H28100" s="8" t="s">
        <v>364</v>
      </c>
    </row>
    <row r="28101">
      <c r="H28101" s="8" t="s">
        <v>364</v>
      </c>
    </row>
    <row r="28102">
      <c r="H28102" s="8" t="s">
        <v>364</v>
      </c>
    </row>
    <row r="28103">
      <c r="H28103" s="8" t="s">
        <v>364</v>
      </c>
    </row>
    <row r="28104">
      <c r="H28104" s="8" t="s">
        <v>364</v>
      </c>
    </row>
    <row r="28105">
      <c r="H28105" s="8" t="s">
        <v>364</v>
      </c>
    </row>
    <row r="28106">
      <c r="H28106" s="8" t="s">
        <v>364</v>
      </c>
    </row>
    <row r="28107">
      <c r="H28107" s="8" t="s">
        <v>364</v>
      </c>
    </row>
    <row r="28108">
      <c r="H28108" s="8" t="s">
        <v>364</v>
      </c>
    </row>
    <row r="28109">
      <c r="H28109" s="8" t="s">
        <v>364</v>
      </c>
    </row>
    <row r="28110">
      <c r="H28110" s="8" t="s">
        <v>364</v>
      </c>
    </row>
    <row r="28111">
      <c r="H28111" s="8" t="s">
        <v>364</v>
      </c>
    </row>
    <row r="28112">
      <c r="H28112" s="8" t="s">
        <v>364</v>
      </c>
    </row>
    <row r="28113">
      <c r="H28113" s="8" t="s">
        <v>364</v>
      </c>
    </row>
    <row r="28114">
      <c r="H28114" s="8" t="s">
        <v>364</v>
      </c>
    </row>
    <row r="28115">
      <c r="H28115" s="8" t="s">
        <v>364</v>
      </c>
    </row>
    <row r="28116">
      <c r="H28116" s="8" t="s">
        <v>364</v>
      </c>
    </row>
    <row r="28117">
      <c r="H28117" s="8" t="s">
        <v>364</v>
      </c>
    </row>
    <row r="28118">
      <c r="H28118" s="8" t="s">
        <v>364</v>
      </c>
    </row>
    <row r="28119">
      <c r="H28119" s="8" t="s">
        <v>364</v>
      </c>
    </row>
    <row r="28120">
      <c r="H28120" s="8" t="s">
        <v>364</v>
      </c>
    </row>
    <row r="28121">
      <c r="H28121" s="8" t="s">
        <v>364</v>
      </c>
    </row>
    <row r="28122">
      <c r="H28122" s="8" t="s">
        <v>364</v>
      </c>
    </row>
    <row r="28123">
      <c r="H28123" s="8" t="s">
        <v>364</v>
      </c>
    </row>
    <row r="28124">
      <c r="H28124" s="8" t="s">
        <v>364</v>
      </c>
    </row>
    <row r="28125">
      <c r="H28125" s="8" t="s">
        <v>364</v>
      </c>
    </row>
    <row r="28126">
      <c r="H28126" s="8" t="s">
        <v>364</v>
      </c>
    </row>
    <row r="28127">
      <c r="H28127" s="8" t="s">
        <v>364</v>
      </c>
    </row>
    <row r="28128">
      <c r="H28128" s="8" t="s">
        <v>364</v>
      </c>
    </row>
    <row r="28129">
      <c r="H28129" s="8" t="s">
        <v>364</v>
      </c>
    </row>
    <row r="28130">
      <c r="H28130" s="8" t="s">
        <v>364</v>
      </c>
    </row>
    <row r="28131">
      <c r="H28131" s="8" t="s">
        <v>364</v>
      </c>
    </row>
    <row r="28132">
      <c r="H28132" s="8" t="s">
        <v>364</v>
      </c>
    </row>
    <row r="28133">
      <c r="H28133" s="8" t="s">
        <v>364</v>
      </c>
    </row>
    <row r="28134">
      <c r="H28134" s="8" t="s">
        <v>364</v>
      </c>
    </row>
    <row r="28135">
      <c r="H28135" s="8" t="s">
        <v>364</v>
      </c>
    </row>
    <row r="28136">
      <c r="H28136" s="8" t="s">
        <v>364</v>
      </c>
    </row>
    <row r="28137">
      <c r="H28137" s="8" t="s">
        <v>364</v>
      </c>
    </row>
    <row r="28138">
      <c r="H28138" s="8" t="s">
        <v>364</v>
      </c>
    </row>
    <row r="28139">
      <c r="H28139" s="8" t="s">
        <v>364</v>
      </c>
    </row>
    <row r="28140">
      <c r="H28140" s="8" t="s">
        <v>364</v>
      </c>
    </row>
    <row r="28141">
      <c r="H28141" s="8" t="s">
        <v>364</v>
      </c>
    </row>
    <row r="28142">
      <c r="H28142" s="8" t="s">
        <v>364</v>
      </c>
    </row>
    <row r="28143">
      <c r="H28143" s="8" t="s">
        <v>364</v>
      </c>
    </row>
    <row r="28144">
      <c r="H28144" s="8" t="s">
        <v>364</v>
      </c>
    </row>
    <row r="28145">
      <c r="H28145" s="8" t="s">
        <v>364</v>
      </c>
    </row>
    <row r="28146">
      <c r="H28146" s="8" t="s">
        <v>364</v>
      </c>
    </row>
    <row r="28147">
      <c r="H28147" s="8" t="s">
        <v>364</v>
      </c>
    </row>
    <row r="28148">
      <c r="H28148" s="8" t="s">
        <v>364</v>
      </c>
    </row>
    <row r="28149">
      <c r="H28149" s="8" t="s">
        <v>364</v>
      </c>
    </row>
    <row r="28150">
      <c r="H28150" s="8" t="s">
        <v>364</v>
      </c>
    </row>
    <row r="28151">
      <c r="H28151" s="8" t="s">
        <v>364</v>
      </c>
    </row>
    <row r="28152">
      <c r="H28152" s="8" t="s">
        <v>364</v>
      </c>
    </row>
    <row r="28153">
      <c r="H28153" s="8" t="s">
        <v>364</v>
      </c>
    </row>
    <row r="28154">
      <c r="H28154" s="8" t="s">
        <v>364</v>
      </c>
    </row>
    <row r="28155">
      <c r="H28155" s="8" t="s">
        <v>364</v>
      </c>
    </row>
    <row r="28156">
      <c r="H28156" s="8" t="s">
        <v>364</v>
      </c>
    </row>
    <row r="28157">
      <c r="H28157" s="8" t="s">
        <v>364</v>
      </c>
    </row>
    <row r="28158">
      <c r="H28158" s="8" t="s">
        <v>364</v>
      </c>
    </row>
    <row r="28159">
      <c r="H28159" s="8" t="s">
        <v>364</v>
      </c>
    </row>
    <row r="28160">
      <c r="H28160" s="8" t="s">
        <v>364</v>
      </c>
    </row>
    <row r="28161">
      <c r="H28161" s="8" t="s">
        <v>364</v>
      </c>
    </row>
    <row r="28162">
      <c r="H28162" s="8" t="s">
        <v>364</v>
      </c>
    </row>
    <row r="28163">
      <c r="H28163" s="8" t="s">
        <v>364</v>
      </c>
    </row>
    <row r="28164">
      <c r="H28164" s="8" t="s">
        <v>364</v>
      </c>
    </row>
    <row r="28165">
      <c r="H28165" s="8" t="s">
        <v>364</v>
      </c>
    </row>
    <row r="28166">
      <c r="H28166" s="8" t="s">
        <v>364</v>
      </c>
    </row>
    <row r="28167">
      <c r="H28167" s="8" t="s">
        <v>364</v>
      </c>
    </row>
    <row r="28168">
      <c r="H28168" s="8" t="s">
        <v>364</v>
      </c>
    </row>
    <row r="28169">
      <c r="H28169" s="8" t="s">
        <v>364</v>
      </c>
    </row>
    <row r="28170">
      <c r="H28170" s="8" t="s">
        <v>364</v>
      </c>
    </row>
    <row r="28171">
      <c r="H28171" s="8" t="s">
        <v>364</v>
      </c>
    </row>
    <row r="28172">
      <c r="H28172" s="8" t="s">
        <v>364</v>
      </c>
    </row>
    <row r="28173">
      <c r="H28173" s="8" t="s">
        <v>364</v>
      </c>
    </row>
    <row r="28174">
      <c r="H28174" s="8" t="s">
        <v>364</v>
      </c>
    </row>
    <row r="28175">
      <c r="H28175" s="8" t="s">
        <v>364</v>
      </c>
    </row>
    <row r="28176">
      <c r="H28176" s="8" t="s">
        <v>364</v>
      </c>
    </row>
    <row r="28177">
      <c r="H28177" s="8" t="s">
        <v>364</v>
      </c>
    </row>
    <row r="28178">
      <c r="H28178" s="8" t="s">
        <v>364</v>
      </c>
    </row>
    <row r="28179">
      <c r="H28179" s="8" t="s">
        <v>364</v>
      </c>
    </row>
    <row r="28180">
      <c r="H28180" s="8" t="s">
        <v>364</v>
      </c>
    </row>
    <row r="28181">
      <c r="H28181" s="8" t="s">
        <v>364</v>
      </c>
    </row>
    <row r="28182">
      <c r="H28182" s="8" t="s">
        <v>364</v>
      </c>
    </row>
    <row r="28183">
      <c r="H28183" s="8" t="s">
        <v>364</v>
      </c>
    </row>
    <row r="28184">
      <c r="H28184" s="8" t="s">
        <v>364</v>
      </c>
    </row>
    <row r="28185">
      <c r="H28185" s="8" t="s">
        <v>364</v>
      </c>
    </row>
    <row r="28186">
      <c r="H28186" s="8" t="s">
        <v>364</v>
      </c>
    </row>
    <row r="28187">
      <c r="H28187" s="8" t="s">
        <v>364</v>
      </c>
    </row>
    <row r="28188">
      <c r="H28188" s="8" t="s">
        <v>364</v>
      </c>
    </row>
    <row r="28189">
      <c r="H28189" s="8" t="s">
        <v>364</v>
      </c>
    </row>
    <row r="28190">
      <c r="H28190" s="8" t="s">
        <v>364</v>
      </c>
    </row>
    <row r="28191">
      <c r="H28191" s="8" t="s">
        <v>364</v>
      </c>
    </row>
    <row r="28192">
      <c r="H28192" s="8" t="s">
        <v>364</v>
      </c>
    </row>
    <row r="28193">
      <c r="H28193" s="8" t="s">
        <v>364</v>
      </c>
    </row>
    <row r="28194">
      <c r="H28194" s="8" t="s">
        <v>364</v>
      </c>
    </row>
    <row r="28195">
      <c r="H28195" s="8" t="s">
        <v>364</v>
      </c>
    </row>
    <row r="28196">
      <c r="H28196" s="8" t="s">
        <v>364</v>
      </c>
    </row>
    <row r="28197">
      <c r="H28197" s="8" t="s">
        <v>364</v>
      </c>
    </row>
    <row r="28198">
      <c r="H28198" s="8" t="s">
        <v>364</v>
      </c>
    </row>
    <row r="28199">
      <c r="H28199" s="8" t="s">
        <v>364</v>
      </c>
    </row>
    <row r="28200">
      <c r="H28200" s="8" t="s">
        <v>364</v>
      </c>
    </row>
    <row r="28201">
      <c r="H28201" s="8" t="s">
        <v>364</v>
      </c>
    </row>
    <row r="28202">
      <c r="H28202" s="8" t="s">
        <v>364</v>
      </c>
    </row>
    <row r="28203">
      <c r="H28203" s="8" t="s">
        <v>364</v>
      </c>
    </row>
    <row r="28204">
      <c r="H28204" s="8" t="s">
        <v>364</v>
      </c>
    </row>
    <row r="28205">
      <c r="H28205" s="8" t="s">
        <v>364</v>
      </c>
    </row>
    <row r="28206">
      <c r="H28206" s="8" t="s">
        <v>364</v>
      </c>
    </row>
    <row r="28207">
      <c r="H28207" s="8" t="s">
        <v>364</v>
      </c>
    </row>
    <row r="28208">
      <c r="H28208" s="8" t="s">
        <v>364</v>
      </c>
    </row>
    <row r="28209">
      <c r="H28209" s="8" t="s">
        <v>364</v>
      </c>
    </row>
    <row r="28210">
      <c r="H28210" s="8" t="s">
        <v>364</v>
      </c>
    </row>
    <row r="28211">
      <c r="H28211" s="8" t="s">
        <v>364</v>
      </c>
    </row>
    <row r="28212">
      <c r="H28212" s="8" t="s">
        <v>364</v>
      </c>
    </row>
    <row r="28213">
      <c r="H28213" s="8" t="s">
        <v>364</v>
      </c>
    </row>
    <row r="28214">
      <c r="H28214" s="8" t="s">
        <v>364</v>
      </c>
    </row>
    <row r="28215">
      <c r="H28215" s="8" t="s">
        <v>364</v>
      </c>
    </row>
    <row r="28216">
      <c r="H28216" s="8" t="s">
        <v>364</v>
      </c>
    </row>
    <row r="28217">
      <c r="H28217" s="8" t="s">
        <v>364</v>
      </c>
    </row>
    <row r="28218">
      <c r="H28218" s="8" t="s">
        <v>364</v>
      </c>
    </row>
    <row r="28219">
      <c r="H28219" s="8" t="s">
        <v>364</v>
      </c>
    </row>
    <row r="28220">
      <c r="H28220" s="8" t="s">
        <v>364</v>
      </c>
    </row>
    <row r="28221">
      <c r="H28221" s="8" t="s">
        <v>364</v>
      </c>
    </row>
    <row r="28222">
      <c r="H28222" s="8" t="s">
        <v>364</v>
      </c>
    </row>
    <row r="28223">
      <c r="H28223" s="8" t="s">
        <v>364</v>
      </c>
    </row>
    <row r="28224">
      <c r="H28224" s="8" t="s">
        <v>364</v>
      </c>
    </row>
    <row r="28225">
      <c r="H28225" s="8" t="s">
        <v>364</v>
      </c>
    </row>
    <row r="28226">
      <c r="H28226" s="8" t="s">
        <v>364</v>
      </c>
    </row>
    <row r="28227">
      <c r="H28227" s="8" t="s">
        <v>364</v>
      </c>
    </row>
    <row r="28228">
      <c r="H28228" s="8" t="s">
        <v>364</v>
      </c>
    </row>
    <row r="28229">
      <c r="H28229" s="8" t="s">
        <v>364</v>
      </c>
    </row>
    <row r="28230">
      <c r="H28230" s="8" t="s">
        <v>364</v>
      </c>
    </row>
    <row r="28231">
      <c r="H28231" s="8" t="s">
        <v>364</v>
      </c>
    </row>
    <row r="28232">
      <c r="H28232" s="8" t="s">
        <v>364</v>
      </c>
    </row>
    <row r="28233">
      <c r="H28233" s="8" t="s">
        <v>364</v>
      </c>
    </row>
    <row r="28234">
      <c r="H28234" s="8" t="s">
        <v>364</v>
      </c>
    </row>
    <row r="28235">
      <c r="H28235" s="8" t="s">
        <v>364</v>
      </c>
    </row>
    <row r="28236">
      <c r="H28236" s="8" t="s">
        <v>364</v>
      </c>
    </row>
    <row r="28237">
      <c r="H28237" s="8" t="s">
        <v>364</v>
      </c>
    </row>
    <row r="28238">
      <c r="H28238" s="8" t="s">
        <v>364</v>
      </c>
    </row>
    <row r="28239">
      <c r="H28239" s="8" t="s">
        <v>364</v>
      </c>
    </row>
    <row r="28240">
      <c r="H28240" s="8" t="s">
        <v>364</v>
      </c>
    </row>
    <row r="28241">
      <c r="H28241" s="8" t="s">
        <v>364</v>
      </c>
    </row>
    <row r="28242">
      <c r="H28242" s="8" t="s">
        <v>364</v>
      </c>
    </row>
    <row r="28243">
      <c r="H28243" s="8" t="s">
        <v>364</v>
      </c>
    </row>
    <row r="28244">
      <c r="H28244" s="8" t="s">
        <v>364</v>
      </c>
    </row>
    <row r="28245">
      <c r="H28245" s="8" t="s">
        <v>364</v>
      </c>
    </row>
    <row r="28246">
      <c r="H28246" s="8" t="s">
        <v>364</v>
      </c>
    </row>
    <row r="28247">
      <c r="H28247" s="8" t="s">
        <v>364</v>
      </c>
    </row>
    <row r="28248">
      <c r="H28248" s="8" t="s">
        <v>364</v>
      </c>
    </row>
    <row r="28249">
      <c r="H28249" s="8" t="s">
        <v>364</v>
      </c>
    </row>
    <row r="28250">
      <c r="H28250" s="8" t="s">
        <v>364</v>
      </c>
    </row>
    <row r="28251">
      <c r="H28251" s="8" t="s">
        <v>364</v>
      </c>
    </row>
    <row r="28252">
      <c r="H28252" s="8" t="s">
        <v>364</v>
      </c>
    </row>
    <row r="28253">
      <c r="H28253" s="8" t="s">
        <v>364</v>
      </c>
    </row>
    <row r="28254">
      <c r="H28254" s="8" t="s">
        <v>364</v>
      </c>
    </row>
    <row r="28255">
      <c r="H28255" s="8" t="s">
        <v>364</v>
      </c>
    </row>
    <row r="28256">
      <c r="H28256" s="8" t="s">
        <v>364</v>
      </c>
    </row>
    <row r="28257">
      <c r="H28257" s="8" t="s">
        <v>364</v>
      </c>
    </row>
    <row r="28258">
      <c r="H28258" s="8" t="s">
        <v>364</v>
      </c>
    </row>
    <row r="28259">
      <c r="H28259" s="8" t="s">
        <v>364</v>
      </c>
    </row>
    <row r="28260">
      <c r="H28260" s="8" t="s">
        <v>364</v>
      </c>
    </row>
    <row r="28261">
      <c r="H28261" s="8" t="s">
        <v>364</v>
      </c>
    </row>
    <row r="28262">
      <c r="H28262" s="8" t="s">
        <v>364</v>
      </c>
    </row>
    <row r="28263">
      <c r="H28263" s="8" t="s">
        <v>364</v>
      </c>
    </row>
    <row r="28264">
      <c r="H28264" s="8" t="s">
        <v>364</v>
      </c>
    </row>
    <row r="28265">
      <c r="H28265" s="8" t="s">
        <v>364</v>
      </c>
    </row>
    <row r="28266">
      <c r="H28266" s="8" t="s">
        <v>364</v>
      </c>
    </row>
    <row r="28267">
      <c r="H28267" s="8" t="s">
        <v>364</v>
      </c>
    </row>
    <row r="28268">
      <c r="H28268" s="8" t="s">
        <v>364</v>
      </c>
    </row>
    <row r="28269">
      <c r="H28269" s="8" t="s">
        <v>364</v>
      </c>
    </row>
    <row r="28270">
      <c r="H28270" s="8" t="s">
        <v>364</v>
      </c>
    </row>
    <row r="28271">
      <c r="H28271" s="8" t="s">
        <v>364</v>
      </c>
    </row>
    <row r="28272">
      <c r="H28272" s="8" t="s">
        <v>364</v>
      </c>
    </row>
    <row r="28273">
      <c r="H28273" s="8" t="s">
        <v>364</v>
      </c>
    </row>
    <row r="28274">
      <c r="H28274" s="8" t="s">
        <v>364</v>
      </c>
    </row>
    <row r="28275">
      <c r="H28275" s="8" t="s">
        <v>364</v>
      </c>
    </row>
    <row r="28276">
      <c r="H28276" s="8" t="s">
        <v>364</v>
      </c>
    </row>
    <row r="28277">
      <c r="H28277" s="8" t="s">
        <v>364</v>
      </c>
    </row>
    <row r="28278">
      <c r="H28278" s="8" t="s">
        <v>364</v>
      </c>
    </row>
    <row r="28279">
      <c r="H28279" s="8" t="s">
        <v>364</v>
      </c>
    </row>
    <row r="28280">
      <c r="H28280" s="8" t="s">
        <v>364</v>
      </c>
    </row>
    <row r="28281">
      <c r="H28281" s="8" t="s">
        <v>364</v>
      </c>
    </row>
    <row r="28282">
      <c r="H28282" s="8" t="s">
        <v>364</v>
      </c>
    </row>
    <row r="28283">
      <c r="H28283" s="8" t="s">
        <v>364</v>
      </c>
    </row>
    <row r="28284">
      <c r="H28284" s="8" t="s">
        <v>364</v>
      </c>
    </row>
    <row r="28285">
      <c r="H28285" s="8" t="s">
        <v>364</v>
      </c>
    </row>
    <row r="28286">
      <c r="H28286" s="8" t="s">
        <v>364</v>
      </c>
    </row>
    <row r="28287">
      <c r="H28287" s="8" t="s">
        <v>364</v>
      </c>
    </row>
    <row r="28288">
      <c r="H28288" s="8" t="s">
        <v>364</v>
      </c>
    </row>
    <row r="28289">
      <c r="H28289" s="8" t="s">
        <v>364</v>
      </c>
    </row>
    <row r="28290">
      <c r="H28290" s="8" t="s">
        <v>364</v>
      </c>
    </row>
    <row r="28291">
      <c r="H28291" s="8" t="s">
        <v>364</v>
      </c>
    </row>
    <row r="28292">
      <c r="H28292" s="8" t="s">
        <v>364</v>
      </c>
    </row>
    <row r="28293">
      <c r="H28293" s="8" t="s">
        <v>364</v>
      </c>
    </row>
    <row r="28294">
      <c r="H28294" s="8" t="s">
        <v>364</v>
      </c>
    </row>
    <row r="28295">
      <c r="H28295" s="8" t="s">
        <v>364</v>
      </c>
    </row>
    <row r="28296">
      <c r="H28296" s="8" t="s">
        <v>364</v>
      </c>
    </row>
    <row r="28297">
      <c r="H28297" s="8" t="s">
        <v>364</v>
      </c>
    </row>
    <row r="28298">
      <c r="H28298" s="8" t="s">
        <v>364</v>
      </c>
    </row>
    <row r="28299">
      <c r="H28299" s="8" t="s">
        <v>364</v>
      </c>
    </row>
    <row r="28300">
      <c r="H28300" s="8" t="s">
        <v>364</v>
      </c>
    </row>
    <row r="28301">
      <c r="H28301" s="8" t="s">
        <v>364</v>
      </c>
    </row>
    <row r="28302">
      <c r="H28302" s="8" t="s">
        <v>364</v>
      </c>
    </row>
    <row r="28303">
      <c r="H28303" s="8" t="s">
        <v>364</v>
      </c>
    </row>
    <row r="28304">
      <c r="H28304" s="8" t="s">
        <v>364</v>
      </c>
    </row>
    <row r="28305">
      <c r="H28305" s="8" t="s">
        <v>364</v>
      </c>
    </row>
    <row r="28306">
      <c r="H28306" s="8" t="s">
        <v>364</v>
      </c>
    </row>
    <row r="28307">
      <c r="H28307" s="8" t="s">
        <v>364</v>
      </c>
    </row>
    <row r="28308">
      <c r="H28308" s="8" t="s">
        <v>364</v>
      </c>
    </row>
    <row r="28309">
      <c r="H28309" s="8" t="s">
        <v>364</v>
      </c>
    </row>
    <row r="28310">
      <c r="H28310" s="8" t="s">
        <v>364</v>
      </c>
    </row>
    <row r="28311">
      <c r="H28311" s="8" t="s">
        <v>364</v>
      </c>
    </row>
    <row r="28312">
      <c r="H28312" s="8" t="s">
        <v>364</v>
      </c>
    </row>
    <row r="28313">
      <c r="H28313" s="8" t="s">
        <v>364</v>
      </c>
    </row>
    <row r="28314">
      <c r="H28314" s="8" t="s">
        <v>364</v>
      </c>
    </row>
    <row r="28315">
      <c r="H28315" s="8" t="s">
        <v>364</v>
      </c>
    </row>
    <row r="28316">
      <c r="H28316" s="8" t="s">
        <v>364</v>
      </c>
    </row>
    <row r="28317">
      <c r="H28317" s="8" t="s">
        <v>364</v>
      </c>
    </row>
    <row r="28318">
      <c r="H28318" s="8" t="s">
        <v>364</v>
      </c>
    </row>
    <row r="28319">
      <c r="H28319" s="8" t="s">
        <v>364</v>
      </c>
    </row>
    <row r="28320">
      <c r="H28320" s="8" t="s">
        <v>364</v>
      </c>
    </row>
    <row r="28321">
      <c r="H28321" s="8" t="s">
        <v>364</v>
      </c>
    </row>
    <row r="28322">
      <c r="H28322" s="8" t="s">
        <v>364</v>
      </c>
    </row>
    <row r="28323">
      <c r="H28323" s="8" t="s">
        <v>364</v>
      </c>
    </row>
    <row r="28324">
      <c r="H28324" s="8" t="s">
        <v>364</v>
      </c>
    </row>
    <row r="28325">
      <c r="H28325" s="8" t="s">
        <v>364</v>
      </c>
    </row>
    <row r="28326">
      <c r="H28326" s="8" t="s">
        <v>364</v>
      </c>
    </row>
    <row r="28327">
      <c r="H28327" s="8" t="s">
        <v>364</v>
      </c>
    </row>
    <row r="28328">
      <c r="H28328" s="8" t="s">
        <v>364</v>
      </c>
    </row>
    <row r="28329">
      <c r="H28329" s="8" t="s">
        <v>364</v>
      </c>
    </row>
    <row r="28330">
      <c r="H28330" s="8" t="s">
        <v>364</v>
      </c>
    </row>
    <row r="28331">
      <c r="H28331" s="8" t="s">
        <v>364</v>
      </c>
    </row>
    <row r="28332">
      <c r="H28332" s="8" t="s">
        <v>364</v>
      </c>
    </row>
    <row r="28333">
      <c r="H28333" s="8" t="s">
        <v>364</v>
      </c>
    </row>
    <row r="28334">
      <c r="H28334" s="8" t="s">
        <v>364</v>
      </c>
    </row>
    <row r="28335">
      <c r="H28335" s="8" t="s">
        <v>364</v>
      </c>
    </row>
    <row r="28336">
      <c r="H28336" s="8" t="s">
        <v>364</v>
      </c>
    </row>
    <row r="28337">
      <c r="H28337" s="8" t="s">
        <v>364</v>
      </c>
    </row>
    <row r="28338">
      <c r="H28338" s="8" t="s">
        <v>364</v>
      </c>
    </row>
    <row r="28339">
      <c r="H28339" s="8" t="s">
        <v>364</v>
      </c>
    </row>
    <row r="28340">
      <c r="H28340" s="8" t="s">
        <v>364</v>
      </c>
    </row>
    <row r="28341">
      <c r="H28341" s="8" t="s">
        <v>364</v>
      </c>
    </row>
    <row r="28342">
      <c r="H28342" s="8" t="s">
        <v>364</v>
      </c>
    </row>
    <row r="28343">
      <c r="H28343" s="8" t="s">
        <v>364</v>
      </c>
    </row>
    <row r="28344">
      <c r="H28344" s="8" t="s">
        <v>364</v>
      </c>
    </row>
    <row r="28345">
      <c r="H28345" s="8" t="s">
        <v>364</v>
      </c>
    </row>
    <row r="28346">
      <c r="H28346" s="8" t="s">
        <v>364</v>
      </c>
    </row>
    <row r="28347">
      <c r="H28347" s="8" t="s">
        <v>364</v>
      </c>
    </row>
    <row r="28348">
      <c r="H28348" s="8" t="s">
        <v>364</v>
      </c>
    </row>
    <row r="28349">
      <c r="H28349" s="8" t="s">
        <v>364</v>
      </c>
    </row>
    <row r="28350">
      <c r="H28350" s="8" t="s">
        <v>364</v>
      </c>
    </row>
    <row r="28351">
      <c r="H28351" s="8" t="s">
        <v>364</v>
      </c>
    </row>
    <row r="28352">
      <c r="H28352" s="8" t="s">
        <v>364</v>
      </c>
    </row>
    <row r="28353">
      <c r="H28353" s="8" t="s">
        <v>364</v>
      </c>
    </row>
    <row r="28354">
      <c r="H28354" s="8" t="s">
        <v>364</v>
      </c>
    </row>
    <row r="28355">
      <c r="H28355" s="8" t="s">
        <v>364</v>
      </c>
    </row>
    <row r="28356">
      <c r="H28356" s="8" t="s">
        <v>364</v>
      </c>
    </row>
    <row r="28357">
      <c r="H28357" s="8" t="s">
        <v>364</v>
      </c>
    </row>
    <row r="28358">
      <c r="H28358" s="8" t="s">
        <v>364</v>
      </c>
    </row>
    <row r="28359">
      <c r="H28359" s="8" t="s">
        <v>364</v>
      </c>
    </row>
    <row r="28360">
      <c r="H28360" s="8" t="s">
        <v>364</v>
      </c>
    </row>
    <row r="28361">
      <c r="H28361" s="8" t="s">
        <v>364</v>
      </c>
    </row>
    <row r="28362">
      <c r="H28362" s="8" t="s">
        <v>364</v>
      </c>
    </row>
    <row r="28363">
      <c r="H28363" s="8" t="s">
        <v>364</v>
      </c>
    </row>
    <row r="28364">
      <c r="H28364" s="8" t="s">
        <v>364</v>
      </c>
    </row>
    <row r="28365">
      <c r="H28365" s="8" t="s">
        <v>364</v>
      </c>
    </row>
    <row r="28366">
      <c r="H28366" s="8" t="s">
        <v>364</v>
      </c>
    </row>
    <row r="28367">
      <c r="H28367" s="8" t="s">
        <v>364</v>
      </c>
    </row>
    <row r="28368">
      <c r="H28368" s="8" t="s">
        <v>364</v>
      </c>
    </row>
    <row r="28369">
      <c r="H28369" s="8" t="s">
        <v>364</v>
      </c>
    </row>
    <row r="28370">
      <c r="H28370" s="8" t="s">
        <v>364</v>
      </c>
    </row>
    <row r="28371">
      <c r="H28371" s="8" t="s">
        <v>364</v>
      </c>
    </row>
    <row r="28372">
      <c r="H28372" s="8" t="s">
        <v>364</v>
      </c>
    </row>
    <row r="28373">
      <c r="H28373" s="8" t="s">
        <v>364</v>
      </c>
    </row>
    <row r="28374">
      <c r="H28374" s="8" t="s">
        <v>364</v>
      </c>
    </row>
    <row r="28375">
      <c r="H28375" s="8" t="s">
        <v>364</v>
      </c>
    </row>
    <row r="28376">
      <c r="H28376" s="8" t="s">
        <v>364</v>
      </c>
    </row>
    <row r="28377">
      <c r="H28377" s="8" t="s">
        <v>364</v>
      </c>
    </row>
    <row r="28378">
      <c r="H28378" s="8" t="s">
        <v>364</v>
      </c>
    </row>
    <row r="28379">
      <c r="H28379" s="8" t="s">
        <v>364</v>
      </c>
    </row>
    <row r="28380">
      <c r="H28380" s="8" t="s">
        <v>364</v>
      </c>
    </row>
    <row r="28381">
      <c r="H28381" s="8" t="s">
        <v>364</v>
      </c>
    </row>
    <row r="28382">
      <c r="H28382" s="8" t="s">
        <v>364</v>
      </c>
    </row>
    <row r="28383">
      <c r="H28383" s="8" t="s">
        <v>364</v>
      </c>
    </row>
    <row r="28384">
      <c r="H28384" s="8" t="s">
        <v>364</v>
      </c>
    </row>
    <row r="28385">
      <c r="H28385" s="8" t="s">
        <v>364</v>
      </c>
    </row>
    <row r="28386">
      <c r="H28386" s="8" t="s">
        <v>364</v>
      </c>
    </row>
    <row r="28387">
      <c r="H28387" s="8" t="s">
        <v>364</v>
      </c>
    </row>
    <row r="28388">
      <c r="H28388" s="8" t="s">
        <v>364</v>
      </c>
    </row>
    <row r="28389">
      <c r="H28389" s="8" t="s">
        <v>364</v>
      </c>
    </row>
    <row r="28390">
      <c r="H28390" s="8" t="s">
        <v>364</v>
      </c>
    </row>
    <row r="28391">
      <c r="H28391" s="8" t="s">
        <v>364</v>
      </c>
    </row>
    <row r="28392">
      <c r="H28392" s="8" t="s">
        <v>364</v>
      </c>
    </row>
    <row r="28393">
      <c r="H28393" s="8" t="s">
        <v>364</v>
      </c>
    </row>
    <row r="28394">
      <c r="H28394" s="8" t="s">
        <v>364</v>
      </c>
    </row>
    <row r="28395">
      <c r="H28395" s="8" t="s">
        <v>364</v>
      </c>
    </row>
    <row r="28396">
      <c r="H28396" s="8" t="s">
        <v>364</v>
      </c>
    </row>
    <row r="28397">
      <c r="H28397" s="8" t="s">
        <v>364</v>
      </c>
    </row>
    <row r="28398">
      <c r="H28398" s="8" t="s">
        <v>364</v>
      </c>
    </row>
    <row r="28399">
      <c r="H28399" s="8" t="s">
        <v>364</v>
      </c>
    </row>
    <row r="28400">
      <c r="H28400" s="8" t="s">
        <v>364</v>
      </c>
    </row>
    <row r="28401">
      <c r="H28401" s="8" t="s">
        <v>364</v>
      </c>
    </row>
    <row r="28402">
      <c r="H28402" s="8" t="s">
        <v>364</v>
      </c>
    </row>
    <row r="28403">
      <c r="H28403" s="8" t="s">
        <v>364</v>
      </c>
    </row>
    <row r="28404">
      <c r="H28404" s="8" t="s">
        <v>364</v>
      </c>
    </row>
    <row r="28405">
      <c r="H28405" s="8" t="s">
        <v>364</v>
      </c>
    </row>
    <row r="28406">
      <c r="H28406" s="8" t="s">
        <v>364</v>
      </c>
    </row>
    <row r="28407">
      <c r="H28407" s="8" t="s">
        <v>364</v>
      </c>
    </row>
    <row r="28408">
      <c r="H28408" s="8" t="s">
        <v>364</v>
      </c>
    </row>
    <row r="28409">
      <c r="H28409" s="8" t="s">
        <v>364</v>
      </c>
    </row>
    <row r="28410">
      <c r="H28410" s="8" t="s">
        <v>364</v>
      </c>
    </row>
    <row r="28411">
      <c r="H28411" s="8" t="s">
        <v>364</v>
      </c>
    </row>
    <row r="28412">
      <c r="H28412" s="8" t="s">
        <v>364</v>
      </c>
    </row>
    <row r="28413">
      <c r="H28413" s="8" t="s">
        <v>364</v>
      </c>
    </row>
    <row r="28414">
      <c r="H28414" s="8" t="s">
        <v>364</v>
      </c>
    </row>
    <row r="28415">
      <c r="H28415" s="8" t="s">
        <v>364</v>
      </c>
    </row>
    <row r="28416">
      <c r="H28416" s="8" t="s">
        <v>364</v>
      </c>
    </row>
    <row r="28417">
      <c r="H28417" s="8" t="s">
        <v>364</v>
      </c>
    </row>
    <row r="28418">
      <c r="H28418" s="8" t="s">
        <v>364</v>
      </c>
    </row>
    <row r="28419">
      <c r="H28419" s="8" t="s">
        <v>364</v>
      </c>
    </row>
    <row r="28420">
      <c r="H28420" s="8" t="s">
        <v>364</v>
      </c>
    </row>
    <row r="28421">
      <c r="H28421" s="8" t="s">
        <v>364</v>
      </c>
    </row>
    <row r="28422">
      <c r="H28422" s="8" t="s">
        <v>364</v>
      </c>
    </row>
    <row r="28423">
      <c r="H28423" s="8" t="s">
        <v>364</v>
      </c>
    </row>
    <row r="28424">
      <c r="H28424" s="8" t="s">
        <v>364</v>
      </c>
    </row>
    <row r="28425">
      <c r="H28425" s="8" t="s">
        <v>364</v>
      </c>
    </row>
    <row r="28426">
      <c r="H28426" s="8" t="s">
        <v>364</v>
      </c>
    </row>
    <row r="28427">
      <c r="H28427" s="8" t="s">
        <v>364</v>
      </c>
    </row>
    <row r="28428">
      <c r="H28428" s="8" t="s">
        <v>364</v>
      </c>
    </row>
    <row r="28429">
      <c r="H28429" s="8" t="s">
        <v>364</v>
      </c>
    </row>
    <row r="28430">
      <c r="H28430" s="8" t="s">
        <v>364</v>
      </c>
    </row>
    <row r="28431">
      <c r="H28431" s="8" t="s">
        <v>364</v>
      </c>
    </row>
    <row r="28432">
      <c r="H28432" s="8" t="s">
        <v>364</v>
      </c>
    </row>
    <row r="28433">
      <c r="H28433" s="8" t="s">
        <v>364</v>
      </c>
    </row>
    <row r="28434">
      <c r="H28434" s="8" t="s">
        <v>364</v>
      </c>
    </row>
    <row r="28435">
      <c r="H28435" s="8" t="s">
        <v>364</v>
      </c>
    </row>
    <row r="28436">
      <c r="H28436" s="8" t="s">
        <v>364</v>
      </c>
    </row>
    <row r="28437">
      <c r="H28437" s="8" t="s">
        <v>364</v>
      </c>
    </row>
    <row r="28438">
      <c r="H28438" s="8" t="s">
        <v>364</v>
      </c>
    </row>
    <row r="28439">
      <c r="H28439" s="8" t="s">
        <v>364</v>
      </c>
    </row>
    <row r="28440">
      <c r="H28440" s="8" t="s">
        <v>364</v>
      </c>
    </row>
    <row r="28441">
      <c r="H28441" s="8" t="s">
        <v>364</v>
      </c>
    </row>
    <row r="28442">
      <c r="H28442" s="8" t="s">
        <v>364</v>
      </c>
    </row>
    <row r="28443">
      <c r="H28443" s="8" t="s">
        <v>364</v>
      </c>
    </row>
    <row r="28444">
      <c r="H28444" s="8" t="s">
        <v>364</v>
      </c>
    </row>
    <row r="28445">
      <c r="H28445" s="8" t="s">
        <v>364</v>
      </c>
    </row>
    <row r="28446">
      <c r="H28446" s="8" t="s">
        <v>364</v>
      </c>
    </row>
    <row r="28447">
      <c r="H28447" s="8" t="s">
        <v>364</v>
      </c>
    </row>
    <row r="28448">
      <c r="H28448" s="8" t="s">
        <v>364</v>
      </c>
    </row>
    <row r="28449">
      <c r="H28449" s="8" t="s">
        <v>364</v>
      </c>
    </row>
    <row r="28450">
      <c r="H28450" s="8" t="s">
        <v>364</v>
      </c>
    </row>
    <row r="28451">
      <c r="H28451" s="8" t="s">
        <v>364</v>
      </c>
    </row>
    <row r="28452">
      <c r="H28452" s="8" t="s">
        <v>364</v>
      </c>
    </row>
    <row r="28453">
      <c r="H28453" s="8" t="s">
        <v>364</v>
      </c>
    </row>
    <row r="28454">
      <c r="H28454" s="8" t="s">
        <v>364</v>
      </c>
    </row>
    <row r="28455">
      <c r="H28455" s="8" t="s">
        <v>364</v>
      </c>
    </row>
    <row r="28456">
      <c r="H28456" s="8" t="s">
        <v>364</v>
      </c>
    </row>
    <row r="28457">
      <c r="H28457" s="8" t="s">
        <v>364</v>
      </c>
    </row>
    <row r="28458">
      <c r="H28458" s="8" t="s">
        <v>364</v>
      </c>
    </row>
    <row r="28459">
      <c r="H28459" s="8" t="s">
        <v>364</v>
      </c>
    </row>
    <row r="28460">
      <c r="H28460" s="8" t="s">
        <v>364</v>
      </c>
    </row>
    <row r="28461">
      <c r="H28461" s="8" t="s">
        <v>364</v>
      </c>
    </row>
    <row r="28462">
      <c r="H28462" s="8" t="s">
        <v>364</v>
      </c>
    </row>
    <row r="28463">
      <c r="H28463" s="8" t="s">
        <v>364</v>
      </c>
    </row>
    <row r="28464">
      <c r="H28464" s="8" t="s">
        <v>364</v>
      </c>
    </row>
    <row r="28465">
      <c r="H28465" s="8" t="s">
        <v>364</v>
      </c>
    </row>
    <row r="28466">
      <c r="H28466" s="8" t="s">
        <v>364</v>
      </c>
    </row>
    <row r="28467">
      <c r="H28467" s="8" t="s">
        <v>364</v>
      </c>
    </row>
    <row r="28468">
      <c r="H28468" s="8" t="s">
        <v>364</v>
      </c>
    </row>
    <row r="28469">
      <c r="H28469" s="8" t="s">
        <v>364</v>
      </c>
    </row>
    <row r="28470">
      <c r="H28470" s="8" t="s">
        <v>364</v>
      </c>
    </row>
    <row r="28471">
      <c r="H28471" s="8" t="s">
        <v>364</v>
      </c>
    </row>
    <row r="28472">
      <c r="H28472" s="8" t="s">
        <v>364</v>
      </c>
    </row>
    <row r="28473">
      <c r="H28473" s="8" t="s">
        <v>364</v>
      </c>
    </row>
    <row r="28474">
      <c r="H28474" s="8" t="s">
        <v>364</v>
      </c>
    </row>
    <row r="28475">
      <c r="H28475" s="8" t="s">
        <v>364</v>
      </c>
    </row>
    <row r="28476">
      <c r="H28476" s="8" t="s">
        <v>364</v>
      </c>
    </row>
    <row r="28477">
      <c r="H28477" s="8" t="s">
        <v>364</v>
      </c>
    </row>
    <row r="28478">
      <c r="H28478" s="8" t="s">
        <v>364</v>
      </c>
    </row>
    <row r="28479">
      <c r="H28479" s="8" t="s">
        <v>364</v>
      </c>
    </row>
    <row r="28480">
      <c r="H28480" s="8" t="s">
        <v>364</v>
      </c>
    </row>
    <row r="28481">
      <c r="H28481" s="8" t="s">
        <v>364</v>
      </c>
    </row>
    <row r="28482">
      <c r="H28482" s="8" t="s">
        <v>364</v>
      </c>
    </row>
    <row r="28483">
      <c r="H28483" s="8" t="s">
        <v>364</v>
      </c>
    </row>
    <row r="28484">
      <c r="H28484" s="8" t="s">
        <v>364</v>
      </c>
    </row>
    <row r="28485">
      <c r="H28485" s="8" t="s">
        <v>364</v>
      </c>
    </row>
    <row r="28486">
      <c r="H28486" s="8" t="s">
        <v>364</v>
      </c>
    </row>
    <row r="28487">
      <c r="H28487" s="8" t="s">
        <v>364</v>
      </c>
    </row>
    <row r="28488">
      <c r="H28488" s="8" t="s">
        <v>364</v>
      </c>
    </row>
    <row r="28489">
      <c r="H28489" s="8" t="s">
        <v>364</v>
      </c>
    </row>
    <row r="28490">
      <c r="H28490" s="8" t="s">
        <v>364</v>
      </c>
    </row>
    <row r="28491">
      <c r="H28491" s="8" t="s">
        <v>364</v>
      </c>
    </row>
    <row r="28492">
      <c r="H28492" s="8" t="s">
        <v>364</v>
      </c>
    </row>
    <row r="28493">
      <c r="H28493" s="8" t="s">
        <v>364</v>
      </c>
    </row>
    <row r="28494">
      <c r="H28494" s="8" t="s">
        <v>364</v>
      </c>
    </row>
    <row r="28495">
      <c r="H28495" s="8" t="s">
        <v>364</v>
      </c>
    </row>
    <row r="28496">
      <c r="H28496" s="8" t="s">
        <v>364</v>
      </c>
    </row>
    <row r="28497">
      <c r="H28497" s="8" t="s">
        <v>364</v>
      </c>
    </row>
    <row r="28498">
      <c r="H28498" s="8" t="s">
        <v>364</v>
      </c>
    </row>
    <row r="28499">
      <c r="H28499" s="8" t="s">
        <v>364</v>
      </c>
    </row>
    <row r="28500">
      <c r="H28500" s="8" t="s">
        <v>364</v>
      </c>
    </row>
    <row r="28501">
      <c r="H28501" s="8" t="s">
        <v>364</v>
      </c>
    </row>
    <row r="28502">
      <c r="H28502" s="8" t="s">
        <v>364</v>
      </c>
    </row>
    <row r="28503">
      <c r="H28503" s="8" t="s">
        <v>364</v>
      </c>
    </row>
    <row r="28504">
      <c r="H28504" s="8" t="s">
        <v>364</v>
      </c>
    </row>
    <row r="28505">
      <c r="H28505" s="8" t="s">
        <v>364</v>
      </c>
    </row>
    <row r="28506">
      <c r="H28506" s="8" t="s">
        <v>364</v>
      </c>
    </row>
    <row r="28507">
      <c r="H28507" s="8" t="s">
        <v>364</v>
      </c>
    </row>
    <row r="28508">
      <c r="H28508" s="8" t="s">
        <v>364</v>
      </c>
    </row>
    <row r="28509">
      <c r="H28509" s="8" t="s">
        <v>364</v>
      </c>
    </row>
    <row r="28510">
      <c r="H28510" s="8" t="s">
        <v>364</v>
      </c>
    </row>
    <row r="28511">
      <c r="H28511" s="8" t="s">
        <v>364</v>
      </c>
    </row>
    <row r="28512">
      <c r="H28512" s="8" t="s">
        <v>364</v>
      </c>
    </row>
    <row r="28513">
      <c r="H28513" s="8" t="s">
        <v>364</v>
      </c>
    </row>
    <row r="28514">
      <c r="H28514" s="8" t="s">
        <v>364</v>
      </c>
    </row>
    <row r="28515">
      <c r="H28515" s="8" t="s">
        <v>364</v>
      </c>
    </row>
    <row r="28516">
      <c r="H28516" s="8" t="s">
        <v>364</v>
      </c>
    </row>
    <row r="28517">
      <c r="H28517" s="8" t="s">
        <v>364</v>
      </c>
    </row>
    <row r="28518">
      <c r="H28518" s="8" t="s">
        <v>364</v>
      </c>
    </row>
    <row r="28519">
      <c r="H28519" s="8" t="s">
        <v>364</v>
      </c>
    </row>
    <row r="28520">
      <c r="H28520" s="8" t="s">
        <v>364</v>
      </c>
    </row>
    <row r="28521">
      <c r="H28521" s="8" t="s">
        <v>364</v>
      </c>
    </row>
    <row r="28522">
      <c r="H28522" s="8" t="s">
        <v>364</v>
      </c>
    </row>
    <row r="28523">
      <c r="H28523" s="8" t="s">
        <v>364</v>
      </c>
    </row>
    <row r="28524">
      <c r="H28524" s="8" t="s">
        <v>364</v>
      </c>
    </row>
    <row r="28525">
      <c r="H28525" s="8" t="s">
        <v>364</v>
      </c>
    </row>
    <row r="28526">
      <c r="H28526" s="8" t="s">
        <v>364</v>
      </c>
    </row>
    <row r="28527">
      <c r="H28527" s="8" t="s">
        <v>364</v>
      </c>
    </row>
    <row r="28528">
      <c r="H28528" s="8" t="s">
        <v>364</v>
      </c>
    </row>
    <row r="28529">
      <c r="H28529" s="8" t="s">
        <v>364</v>
      </c>
    </row>
    <row r="28530">
      <c r="H28530" s="8" t="s">
        <v>364</v>
      </c>
    </row>
    <row r="28531">
      <c r="H28531" s="8" t="s">
        <v>364</v>
      </c>
    </row>
    <row r="28532">
      <c r="H28532" s="8" t="s">
        <v>364</v>
      </c>
    </row>
    <row r="28533">
      <c r="H28533" s="8" t="s">
        <v>364</v>
      </c>
    </row>
    <row r="28534">
      <c r="H28534" s="8" t="s">
        <v>364</v>
      </c>
    </row>
    <row r="28535">
      <c r="H28535" s="8" t="s">
        <v>364</v>
      </c>
    </row>
    <row r="28536">
      <c r="H28536" s="8" t="s">
        <v>364</v>
      </c>
    </row>
    <row r="28537">
      <c r="H28537" s="8" t="s">
        <v>364</v>
      </c>
    </row>
    <row r="28538">
      <c r="H28538" s="8" t="s">
        <v>364</v>
      </c>
    </row>
    <row r="28539">
      <c r="H28539" s="8" t="s">
        <v>364</v>
      </c>
    </row>
    <row r="28540">
      <c r="H28540" s="8" t="s">
        <v>364</v>
      </c>
    </row>
    <row r="28541">
      <c r="H28541" s="8" t="s">
        <v>364</v>
      </c>
    </row>
    <row r="28542">
      <c r="H28542" s="8" t="s">
        <v>364</v>
      </c>
    </row>
    <row r="28543">
      <c r="H28543" s="8" t="s">
        <v>364</v>
      </c>
    </row>
    <row r="28544">
      <c r="H28544" s="8" t="s">
        <v>364</v>
      </c>
    </row>
    <row r="28545">
      <c r="H28545" s="8" t="s">
        <v>364</v>
      </c>
    </row>
    <row r="28546">
      <c r="H28546" s="8" t="s">
        <v>364</v>
      </c>
    </row>
    <row r="28547">
      <c r="H28547" s="8" t="s">
        <v>364</v>
      </c>
    </row>
    <row r="28548">
      <c r="H28548" s="8" t="s">
        <v>364</v>
      </c>
    </row>
    <row r="28549">
      <c r="H28549" s="8" t="s">
        <v>364</v>
      </c>
    </row>
    <row r="28550">
      <c r="H28550" s="8" t="s">
        <v>364</v>
      </c>
    </row>
    <row r="28551">
      <c r="H28551" s="8" t="s">
        <v>364</v>
      </c>
    </row>
    <row r="28552">
      <c r="H28552" s="8" t="s">
        <v>364</v>
      </c>
    </row>
    <row r="28553">
      <c r="H28553" s="8" t="s">
        <v>364</v>
      </c>
    </row>
    <row r="28554">
      <c r="H28554" s="8" t="s">
        <v>364</v>
      </c>
    </row>
    <row r="28555">
      <c r="H28555" s="8" t="s">
        <v>364</v>
      </c>
    </row>
    <row r="28556">
      <c r="H28556" s="8" t="s">
        <v>364</v>
      </c>
    </row>
    <row r="28557">
      <c r="H28557" s="8" t="s">
        <v>364</v>
      </c>
    </row>
    <row r="28558">
      <c r="H28558" s="8" t="s">
        <v>364</v>
      </c>
    </row>
    <row r="28559">
      <c r="H28559" s="8" t="s">
        <v>364</v>
      </c>
    </row>
    <row r="28560">
      <c r="H28560" s="8" t="s">
        <v>364</v>
      </c>
    </row>
    <row r="28561">
      <c r="H28561" s="8" t="s">
        <v>364</v>
      </c>
    </row>
    <row r="28562">
      <c r="H28562" s="8" t="s">
        <v>364</v>
      </c>
    </row>
    <row r="28563">
      <c r="H28563" s="8" t="s">
        <v>364</v>
      </c>
    </row>
    <row r="28564">
      <c r="H28564" s="8" t="s">
        <v>364</v>
      </c>
    </row>
    <row r="28565">
      <c r="H28565" s="8" t="s">
        <v>364</v>
      </c>
    </row>
    <row r="28566">
      <c r="H28566" s="8" t="s">
        <v>364</v>
      </c>
    </row>
    <row r="28567">
      <c r="H28567" s="8" t="s">
        <v>364</v>
      </c>
    </row>
    <row r="28568">
      <c r="H28568" s="8" t="s">
        <v>364</v>
      </c>
    </row>
    <row r="28569">
      <c r="H28569" s="8" t="s">
        <v>364</v>
      </c>
    </row>
    <row r="28570">
      <c r="H28570" s="8" t="s">
        <v>364</v>
      </c>
    </row>
    <row r="28571">
      <c r="H28571" s="8" t="s">
        <v>364</v>
      </c>
    </row>
    <row r="28572">
      <c r="H28572" s="8" t="s">
        <v>364</v>
      </c>
    </row>
    <row r="28573">
      <c r="H28573" s="8" t="s">
        <v>364</v>
      </c>
    </row>
    <row r="28574">
      <c r="H28574" s="8" t="s">
        <v>364</v>
      </c>
    </row>
    <row r="28575">
      <c r="H28575" s="8" t="s">
        <v>364</v>
      </c>
    </row>
    <row r="28576">
      <c r="H28576" s="8" t="s">
        <v>364</v>
      </c>
    </row>
    <row r="28577">
      <c r="H28577" s="8" t="s">
        <v>364</v>
      </c>
    </row>
    <row r="28578">
      <c r="H28578" s="8" t="s">
        <v>364</v>
      </c>
    </row>
    <row r="28579">
      <c r="H28579" s="8" t="s">
        <v>364</v>
      </c>
    </row>
    <row r="28580">
      <c r="H28580" s="8" t="s">
        <v>364</v>
      </c>
    </row>
    <row r="28581">
      <c r="H28581" s="8" t="s">
        <v>364</v>
      </c>
    </row>
    <row r="28582">
      <c r="H28582" s="8" t="s">
        <v>364</v>
      </c>
    </row>
    <row r="28583">
      <c r="H28583" s="8" t="s">
        <v>364</v>
      </c>
    </row>
    <row r="28584">
      <c r="H28584" s="8" t="s">
        <v>364</v>
      </c>
    </row>
    <row r="28585">
      <c r="H28585" s="8" t="s">
        <v>364</v>
      </c>
    </row>
    <row r="28586">
      <c r="H28586" s="8" t="s">
        <v>364</v>
      </c>
    </row>
    <row r="28587">
      <c r="H28587" s="8" t="s">
        <v>364</v>
      </c>
    </row>
    <row r="28588">
      <c r="H28588" s="8" t="s">
        <v>364</v>
      </c>
    </row>
    <row r="28589">
      <c r="H28589" s="8" t="s">
        <v>364</v>
      </c>
    </row>
    <row r="28590">
      <c r="H28590" s="8" t="s">
        <v>364</v>
      </c>
    </row>
    <row r="28591">
      <c r="H28591" s="8" t="s">
        <v>364</v>
      </c>
    </row>
    <row r="28592">
      <c r="H28592" s="8" t="s">
        <v>364</v>
      </c>
    </row>
    <row r="28593">
      <c r="H28593" s="8" t="s">
        <v>364</v>
      </c>
    </row>
    <row r="28594">
      <c r="H28594" s="8" t="s">
        <v>364</v>
      </c>
    </row>
    <row r="28595">
      <c r="H28595" s="8" t="s">
        <v>364</v>
      </c>
    </row>
    <row r="28596">
      <c r="H28596" s="8" t="s">
        <v>364</v>
      </c>
    </row>
    <row r="28597">
      <c r="H28597" s="8" t="s">
        <v>364</v>
      </c>
    </row>
    <row r="28598">
      <c r="H28598" s="8" t="s">
        <v>364</v>
      </c>
    </row>
    <row r="28599">
      <c r="H28599" s="8" t="s">
        <v>364</v>
      </c>
    </row>
    <row r="28600">
      <c r="H28600" s="8" t="s">
        <v>364</v>
      </c>
    </row>
    <row r="28601">
      <c r="H28601" s="8" t="s">
        <v>364</v>
      </c>
    </row>
    <row r="28602">
      <c r="H28602" s="8" t="s">
        <v>364</v>
      </c>
    </row>
    <row r="28603">
      <c r="H28603" s="8" t="s">
        <v>364</v>
      </c>
    </row>
    <row r="28604">
      <c r="H28604" s="8" t="s">
        <v>364</v>
      </c>
    </row>
    <row r="28605">
      <c r="H28605" s="8" t="s">
        <v>364</v>
      </c>
    </row>
    <row r="28606">
      <c r="H28606" s="8" t="s">
        <v>364</v>
      </c>
    </row>
    <row r="28607">
      <c r="H28607" s="8" t="s">
        <v>364</v>
      </c>
    </row>
    <row r="28608">
      <c r="H28608" s="8" t="s">
        <v>364</v>
      </c>
    </row>
    <row r="28609">
      <c r="H28609" s="8" t="s">
        <v>364</v>
      </c>
    </row>
    <row r="28610">
      <c r="H28610" s="8" t="s">
        <v>364</v>
      </c>
    </row>
    <row r="28611">
      <c r="H28611" s="8" t="s">
        <v>364</v>
      </c>
    </row>
    <row r="28612">
      <c r="H28612" s="8" t="s">
        <v>364</v>
      </c>
    </row>
    <row r="28613">
      <c r="H28613" s="8" t="s">
        <v>364</v>
      </c>
    </row>
    <row r="28614">
      <c r="H28614" s="8" t="s">
        <v>364</v>
      </c>
    </row>
    <row r="28615">
      <c r="H28615" s="8" t="s">
        <v>364</v>
      </c>
    </row>
    <row r="28616">
      <c r="H28616" s="8" t="s">
        <v>364</v>
      </c>
    </row>
    <row r="28617">
      <c r="H28617" s="8" t="s">
        <v>364</v>
      </c>
    </row>
    <row r="28618">
      <c r="H28618" s="8" t="s">
        <v>364</v>
      </c>
    </row>
    <row r="28619">
      <c r="H28619" s="8" t="s">
        <v>364</v>
      </c>
    </row>
    <row r="28620">
      <c r="H28620" s="8" t="s">
        <v>364</v>
      </c>
    </row>
    <row r="28621">
      <c r="H28621" s="8" t="s">
        <v>364</v>
      </c>
    </row>
    <row r="28622">
      <c r="H28622" s="8" t="s">
        <v>364</v>
      </c>
    </row>
    <row r="28623">
      <c r="H28623" s="8" t="s">
        <v>364</v>
      </c>
    </row>
    <row r="28624">
      <c r="H28624" s="8" t="s">
        <v>364</v>
      </c>
    </row>
    <row r="28625">
      <c r="H28625" s="8" t="s">
        <v>364</v>
      </c>
    </row>
    <row r="28626">
      <c r="H28626" s="8" t="s">
        <v>364</v>
      </c>
    </row>
    <row r="28627">
      <c r="H28627" s="8" t="s">
        <v>364</v>
      </c>
    </row>
    <row r="28628">
      <c r="H28628" s="8" t="s">
        <v>364</v>
      </c>
    </row>
    <row r="28629">
      <c r="H28629" s="8" t="s">
        <v>364</v>
      </c>
    </row>
    <row r="28630">
      <c r="H28630" s="8" t="s">
        <v>364</v>
      </c>
    </row>
    <row r="28631">
      <c r="H28631" s="8" t="s">
        <v>364</v>
      </c>
    </row>
    <row r="28632">
      <c r="H28632" s="8" t="s">
        <v>364</v>
      </c>
    </row>
    <row r="28633">
      <c r="H28633" s="8" t="s">
        <v>364</v>
      </c>
    </row>
    <row r="28634">
      <c r="H28634" s="8" t="s">
        <v>364</v>
      </c>
    </row>
    <row r="28635">
      <c r="H28635" s="8" t="s">
        <v>364</v>
      </c>
    </row>
    <row r="28636">
      <c r="H28636" s="8" t="s">
        <v>364</v>
      </c>
    </row>
    <row r="28637">
      <c r="H28637" s="8" t="s">
        <v>364</v>
      </c>
    </row>
    <row r="28638">
      <c r="H28638" s="8" t="s">
        <v>364</v>
      </c>
    </row>
    <row r="28639">
      <c r="H28639" s="8" t="s">
        <v>364</v>
      </c>
    </row>
    <row r="28640">
      <c r="H28640" s="8" t="s">
        <v>364</v>
      </c>
    </row>
    <row r="28641">
      <c r="H28641" s="8" t="s">
        <v>364</v>
      </c>
    </row>
    <row r="28642">
      <c r="H28642" s="8" t="s">
        <v>364</v>
      </c>
    </row>
    <row r="28643">
      <c r="H28643" s="8" t="s">
        <v>364</v>
      </c>
    </row>
    <row r="28644">
      <c r="H28644" s="8" t="s">
        <v>364</v>
      </c>
    </row>
    <row r="28645">
      <c r="H28645" s="8" t="s">
        <v>364</v>
      </c>
    </row>
    <row r="28646">
      <c r="H28646" s="8" t="s">
        <v>364</v>
      </c>
    </row>
    <row r="28647">
      <c r="H28647" s="8" t="s">
        <v>364</v>
      </c>
    </row>
    <row r="28648">
      <c r="H28648" s="8" t="s">
        <v>364</v>
      </c>
    </row>
    <row r="28649">
      <c r="H28649" s="8" t="s">
        <v>364</v>
      </c>
    </row>
    <row r="28650">
      <c r="H28650" s="8" t="s">
        <v>364</v>
      </c>
    </row>
    <row r="28651">
      <c r="H28651" s="8" t="s">
        <v>364</v>
      </c>
    </row>
    <row r="28652">
      <c r="H28652" s="8" t="s">
        <v>364</v>
      </c>
    </row>
    <row r="28653">
      <c r="H28653" s="8" t="s">
        <v>364</v>
      </c>
    </row>
    <row r="28654">
      <c r="H28654" s="8" t="s">
        <v>364</v>
      </c>
    </row>
    <row r="28655">
      <c r="H28655" s="8" t="s">
        <v>364</v>
      </c>
    </row>
    <row r="28656">
      <c r="H28656" s="8" t="s">
        <v>364</v>
      </c>
    </row>
    <row r="28657">
      <c r="H28657" s="8" t="s">
        <v>364</v>
      </c>
    </row>
    <row r="28658">
      <c r="H28658" s="8" t="s">
        <v>364</v>
      </c>
    </row>
    <row r="28659">
      <c r="H28659" s="8" t="s">
        <v>364</v>
      </c>
    </row>
    <row r="28660">
      <c r="H28660" s="8" t="s">
        <v>364</v>
      </c>
    </row>
    <row r="28661">
      <c r="H28661" s="8" t="s">
        <v>364</v>
      </c>
    </row>
    <row r="28662">
      <c r="H28662" s="8" t="s">
        <v>364</v>
      </c>
    </row>
    <row r="28663">
      <c r="H28663" s="8" t="s">
        <v>364</v>
      </c>
    </row>
    <row r="28664">
      <c r="H28664" s="8" t="s">
        <v>364</v>
      </c>
    </row>
    <row r="28665">
      <c r="H28665" s="8" t="s">
        <v>364</v>
      </c>
    </row>
    <row r="28666">
      <c r="H28666" s="8" t="s">
        <v>364</v>
      </c>
    </row>
    <row r="28667">
      <c r="H28667" s="8" t="s">
        <v>364</v>
      </c>
    </row>
    <row r="28668">
      <c r="H28668" s="8" t="s">
        <v>364</v>
      </c>
    </row>
    <row r="28669">
      <c r="H28669" s="8" t="s">
        <v>364</v>
      </c>
    </row>
    <row r="28670">
      <c r="H28670" s="8" t="s">
        <v>364</v>
      </c>
    </row>
    <row r="28671">
      <c r="H28671" s="8" t="s">
        <v>364</v>
      </c>
    </row>
    <row r="28672">
      <c r="H28672" s="8" t="s">
        <v>364</v>
      </c>
    </row>
    <row r="28673">
      <c r="H28673" s="8" t="s">
        <v>364</v>
      </c>
    </row>
    <row r="28674">
      <c r="H28674" s="8" t="s">
        <v>364</v>
      </c>
    </row>
    <row r="28675">
      <c r="H28675" s="8" t="s">
        <v>364</v>
      </c>
    </row>
    <row r="28676">
      <c r="H28676" s="8" t="s">
        <v>364</v>
      </c>
    </row>
    <row r="28677">
      <c r="H28677" s="8" t="s">
        <v>364</v>
      </c>
    </row>
    <row r="28678">
      <c r="H28678" s="8" t="s">
        <v>364</v>
      </c>
    </row>
    <row r="28679">
      <c r="H28679" s="8" t="s">
        <v>364</v>
      </c>
    </row>
    <row r="28680">
      <c r="H28680" s="8" t="s">
        <v>364</v>
      </c>
    </row>
    <row r="28681">
      <c r="H28681" s="8" t="s">
        <v>364</v>
      </c>
    </row>
    <row r="28682">
      <c r="H28682" s="8" t="s">
        <v>364</v>
      </c>
    </row>
    <row r="28683">
      <c r="H28683" s="8" t="s">
        <v>364</v>
      </c>
    </row>
    <row r="28684">
      <c r="H28684" s="8" t="s">
        <v>364</v>
      </c>
    </row>
    <row r="28685">
      <c r="H28685" s="8" t="s">
        <v>364</v>
      </c>
    </row>
    <row r="28686">
      <c r="H28686" s="8" t="s">
        <v>364</v>
      </c>
    </row>
    <row r="28687">
      <c r="H28687" s="8" t="s">
        <v>364</v>
      </c>
    </row>
    <row r="28688">
      <c r="H28688" s="8" t="s">
        <v>364</v>
      </c>
    </row>
    <row r="28689">
      <c r="H28689" s="8" t="s">
        <v>364</v>
      </c>
    </row>
    <row r="28690">
      <c r="H28690" s="8" t="s">
        <v>364</v>
      </c>
    </row>
    <row r="28691">
      <c r="H28691" s="8" t="s">
        <v>364</v>
      </c>
    </row>
    <row r="28692">
      <c r="H28692" s="8" t="s">
        <v>364</v>
      </c>
    </row>
    <row r="28693">
      <c r="H28693" s="8" t="s">
        <v>364</v>
      </c>
    </row>
    <row r="28694">
      <c r="H28694" s="8" t="s">
        <v>364</v>
      </c>
    </row>
    <row r="28695">
      <c r="H28695" s="8" t="s">
        <v>364</v>
      </c>
    </row>
    <row r="28696">
      <c r="H28696" s="8" t="s">
        <v>364</v>
      </c>
    </row>
    <row r="28697">
      <c r="H28697" s="8" t="s">
        <v>364</v>
      </c>
    </row>
    <row r="28698">
      <c r="H28698" s="8" t="s">
        <v>364</v>
      </c>
    </row>
    <row r="28699">
      <c r="H28699" s="8" t="s">
        <v>364</v>
      </c>
    </row>
    <row r="28700">
      <c r="H28700" s="8" t="s">
        <v>364</v>
      </c>
    </row>
    <row r="28701">
      <c r="H28701" s="8" t="s">
        <v>364</v>
      </c>
    </row>
    <row r="28702">
      <c r="H28702" s="8" t="s">
        <v>364</v>
      </c>
    </row>
    <row r="28703">
      <c r="H28703" s="8" t="s">
        <v>364</v>
      </c>
    </row>
    <row r="28704">
      <c r="H28704" s="8" t="s">
        <v>364</v>
      </c>
    </row>
    <row r="28705">
      <c r="H28705" s="8" t="s">
        <v>364</v>
      </c>
    </row>
    <row r="28706">
      <c r="H28706" s="8" t="s">
        <v>364</v>
      </c>
    </row>
    <row r="28707">
      <c r="H28707" s="8" t="s">
        <v>364</v>
      </c>
    </row>
    <row r="28708">
      <c r="H28708" s="8" t="s">
        <v>364</v>
      </c>
    </row>
    <row r="28709">
      <c r="H28709" s="8" t="s">
        <v>364</v>
      </c>
    </row>
    <row r="28710">
      <c r="H28710" s="8" t="s">
        <v>364</v>
      </c>
    </row>
    <row r="28711">
      <c r="H28711" s="8" t="s">
        <v>364</v>
      </c>
    </row>
    <row r="28712">
      <c r="H28712" s="8" t="s">
        <v>364</v>
      </c>
    </row>
    <row r="28713">
      <c r="H28713" s="8" t="s">
        <v>364</v>
      </c>
    </row>
    <row r="28714">
      <c r="H28714" s="8" t="s">
        <v>364</v>
      </c>
    </row>
    <row r="28715">
      <c r="H28715" s="8" t="s">
        <v>364</v>
      </c>
    </row>
    <row r="28716">
      <c r="H28716" s="8" t="s">
        <v>364</v>
      </c>
    </row>
    <row r="28717">
      <c r="H28717" s="8" t="s">
        <v>364</v>
      </c>
    </row>
    <row r="28718">
      <c r="H28718" s="8" t="s">
        <v>364</v>
      </c>
    </row>
    <row r="28719">
      <c r="H28719" s="8" t="s">
        <v>364</v>
      </c>
    </row>
    <row r="28720">
      <c r="H28720" s="8" t="s">
        <v>364</v>
      </c>
    </row>
    <row r="28721">
      <c r="H28721" s="8" t="s">
        <v>364</v>
      </c>
    </row>
    <row r="28722">
      <c r="H28722" s="8" t="s">
        <v>364</v>
      </c>
    </row>
    <row r="28723">
      <c r="H28723" s="8" t="s">
        <v>364</v>
      </c>
    </row>
    <row r="28724">
      <c r="H28724" s="8" t="s">
        <v>364</v>
      </c>
    </row>
    <row r="28725">
      <c r="H28725" s="8" t="s">
        <v>364</v>
      </c>
    </row>
    <row r="28726">
      <c r="H28726" s="8" t="s">
        <v>364</v>
      </c>
    </row>
    <row r="28727">
      <c r="H28727" s="8" t="s">
        <v>364</v>
      </c>
    </row>
    <row r="28728">
      <c r="H28728" s="8" t="s">
        <v>364</v>
      </c>
    </row>
    <row r="28729">
      <c r="H28729" s="8" t="s">
        <v>364</v>
      </c>
    </row>
    <row r="28730">
      <c r="H28730" s="8" t="s">
        <v>364</v>
      </c>
    </row>
    <row r="28731">
      <c r="H28731" s="8" t="s">
        <v>364</v>
      </c>
    </row>
    <row r="28732">
      <c r="H28732" s="8" t="s">
        <v>364</v>
      </c>
    </row>
    <row r="28733">
      <c r="H28733" s="8" t="s">
        <v>364</v>
      </c>
    </row>
    <row r="28734">
      <c r="H28734" s="8" t="s">
        <v>364</v>
      </c>
    </row>
    <row r="28735">
      <c r="H28735" s="8" t="s">
        <v>364</v>
      </c>
    </row>
    <row r="28736">
      <c r="H28736" s="8" t="s">
        <v>364</v>
      </c>
    </row>
    <row r="28737">
      <c r="H28737" s="8" t="s">
        <v>364</v>
      </c>
    </row>
    <row r="28738">
      <c r="H28738" s="8" t="s">
        <v>364</v>
      </c>
    </row>
    <row r="28739">
      <c r="H28739" s="8" t="s">
        <v>364</v>
      </c>
    </row>
    <row r="28740">
      <c r="H28740" s="8" t="s">
        <v>364</v>
      </c>
    </row>
    <row r="28741">
      <c r="H28741" s="8" t="s">
        <v>364</v>
      </c>
    </row>
    <row r="28742">
      <c r="H28742" s="8" t="s">
        <v>364</v>
      </c>
    </row>
    <row r="28743">
      <c r="H28743" s="8" t="s">
        <v>364</v>
      </c>
    </row>
    <row r="28744">
      <c r="H28744" s="8" t="s">
        <v>364</v>
      </c>
    </row>
    <row r="28745">
      <c r="H28745" s="8" t="s">
        <v>364</v>
      </c>
    </row>
    <row r="28746">
      <c r="H28746" s="8" t="s">
        <v>364</v>
      </c>
    </row>
    <row r="28747">
      <c r="H28747" s="8" t="s">
        <v>364</v>
      </c>
    </row>
    <row r="28748">
      <c r="H28748" s="8" t="s">
        <v>364</v>
      </c>
    </row>
    <row r="28749">
      <c r="H28749" s="8" t="s">
        <v>364</v>
      </c>
    </row>
    <row r="28750">
      <c r="H28750" s="8" t="s">
        <v>364</v>
      </c>
    </row>
    <row r="28751">
      <c r="H28751" s="8" t="s">
        <v>364</v>
      </c>
    </row>
    <row r="28752">
      <c r="H28752" s="8" t="s">
        <v>364</v>
      </c>
    </row>
    <row r="28753">
      <c r="H28753" s="8" t="s">
        <v>364</v>
      </c>
    </row>
    <row r="28754">
      <c r="H28754" s="8" t="s">
        <v>364</v>
      </c>
    </row>
    <row r="28755">
      <c r="H28755" s="8" t="s">
        <v>364</v>
      </c>
    </row>
    <row r="28756">
      <c r="H28756" s="8" t="s">
        <v>364</v>
      </c>
    </row>
    <row r="28757">
      <c r="H28757" s="8" t="s">
        <v>364</v>
      </c>
    </row>
    <row r="28758">
      <c r="H28758" s="8" t="s">
        <v>364</v>
      </c>
    </row>
    <row r="28759">
      <c r="H28759" s="8" t="s">
        <v>364</v>
      </c>
    </row>
    <row r="28760">
      <c r="H28760" s="8" t="s">
        <v>364</v>
      </c>
    </row>
    <row r="28761">
      <c r="H28761" s="8" t="s">
        <v>364</v>
      </c>
    </row>
    <row r="28762">
      <c r="H28762" s="8" t="s">
        <v>364</v>
      </c>
    </row>
    <row r="28763">
      <c r="H28763" s="8" t="s">
        <v>364</v>
      </c>
    </row>
    <row r="28764">
      <c r="H28764" s="8" t="s">
        <v>364</v>
      </c>
    </row>
    <row r="28765">
      <c r="H28765" s="8" t="s">
        <v>364</v>
      </c>
    </row>
    <row r="28766">
      <c r="H28766" s="8" t="s">
        <v>364</v>
      </c>
    </row>
    <row r="28767">
      <c r="H28767" s="8" t="s">
        <v>364</v>
      </c>
    </row>
    <row r="28768">
      <c r="H28768" s="8" t="s">
        <v>364</v>
      </c>
    </row>
    <row r="28769">
      <c r="H28769" s="8" t="s">
        <v>364</v>
      </c>
    </row>
    <row r="28770">
      <c r="H28770" s="8" t="s">
        <v>364</v>
      </c>
    </row>
    <row r="28771">
      <c r="H28771" s="8" t="s">
        <v>364</v>
      </c>
    </row>
    <row r="28772">
      <c r="H28772" s="8" t="s">
        <v>364</v>
      </c>
    </row>
    <row r="28773">
      <c r="H28773" s="8" t="s">
        <v>364</v>
      </c>
    </row>
    <row r="28774">
      <c r="H28774" s="8" t="s">
        <v>364</v>
      </c>
    </row>
    <row r="28775">
      <c r="H28775" s="8" t="s">
        <v>364</v>
      </c>
    </row>
    <row r="28776">
      <c r="H28776" s="8" t="s">
        <v>364</v>
      </c>
    </row>
    <row r="28777">
      <c r="H28777" s="8" t="s">
        <v>364</v>
      </c>
    </row>
    <row r="28778">
      <c r="H28778" s="8" t="s">
        <v>364</v>
      </c>
    </row>
    <row r="28779">
      <c r="H28779" s="8" t="s">
        <v>364</v>
      </c>
    </row>
    <row r="28780">
      <c r="H28780" s="8" t="s">
        <v>364</v>
      </c>
    </row>
    <row r="28781">
      <c r="H28781" s="8" t="s">
        <v>364</v>
      </c>
    </row>
    <row r="28782">
      <c r="H28782" s="8" t="s">
        <v>364</v>
      </c>
    </row>
    <row r="28783">
      <c r="H28783" s="8" t="s">
        <v>364</v>
      </c>
    </row>
    <row r="28784">
      <c r="H28784" s="8" t="s">
        <v>364</v>
      </c>
    </row>
    <row r="28785">
      <c r="H28785" s="8" t="s">
        <v>364</v>
      </c>
    </row>
    <row r="28786">
      <c r="H28786" s="8" t="s">
        <v>364</v>
      </c>
    </row>
    <row r="28787">
      <c r="H28787" s="8" t="s">
        <v>364</v>
      </c>
    </row>
    <row r="28788">
      <c r="H28788" s="8" t="s">
        <v>364</v>
      </c>
    </row>
    <row r="28789">
      <c r="H28789" s="8" t="s">
        <v>364</v>
      </c>
    </row>
    <row r="28790">
      <c r="H28790" s="8" t="s">
        <v>364</v>
      </c>
    </row>
    <row r="28791">
      <c r="H28791" s="8" t="s">
        <v>364</v>
      </c>
    </row>
    <row r="28792">
      <c r="H28792" s="8" t="s">
        <v>364</v>
      </c>
    </row>
    <row r="28793">
      <c r="H28793" s="8" t="s">
        <v>364</v>
      </c>
    </row>
    <row r="28794">
      <c r="H28794" s="8" t="s">
        <v>364</v>
      </c>
    </row>
    <row r="28795">
      <c r="H28795" s="8" t="s">
        <v>364</v>
      </c>
    </row>
    <row r="28796">
      <c r="H28796" s="8" t="s">
        <v>364</v>
      </c>
    </row>
    <row r="28797">
      <c r="H28797" s="8" t="s">
        <v>364</v>
      </c>
    </row>
    <row r="28798">
      <c r="H28798" s="8" t="s">
        <v>364</v>
      </c>
    </row>
    <row r="28799">
      <c r="H28799" s="8" t="s">
        <v>364</v>
      </c>
    </row>
    <row r="28800">
      <c r="H28800" s="8" t="s">
        <v>364</v>
      </c>
    </row>
    <row r="28801">
      <c r="H28801" s="8" t="s">
        <v>364</v>
      </c>
    </row>
    <row r="28802">
      <c r="H28802" s="8" t="s">
        <v>364</v>
      </c>
    </row>
    <row r="28803">
      <c r="H28803" s="8" t="s">
        <v>364</v>
      </c>
    </row>
    <row r="28804">
      <c r="H28804" s="8" t="s">
        <v>364</v>
      </c>
    </row>
    <row r="28805">
      <c r="H28805" s="8" t="s">
        <v>364</v>
      </c>
    </row>
    <row r="28806">
      <c r="H28806" s="8" t="s">
        <v>364</v>
      </c>
    </row>
    <row r="28807">
      <c r="H28807" s="8" t="s">
        <v>364</v>
      </c>
    </row>
    <row r="28808">
      <c r="H28808" s="8" t="s">
        <v>364</v>
      </c>
    </row>
    <row r="28809">
      <c r="H28809" s="8" t="s">
        <v>364</v>
      </c>
    </row>
    <row r="28810">
      <c r="H28810" s="8" t="s">
        <v>364</v>
      </c>
    </row>
    <row r="28811">
      <c r="H28811" s="8" t="s">
        <v>364</v>
      </c>
    </row>
    <row r="28812">
      <c r="H28812" s="8" t="s">
        <v>364</v>
      </c>
    </row>
    <row r="28813">
      <c r="H28813" s="8" t="s">
        <v>364</v>
      </c>
    </row>
    <row r="28814">
      <c r="H28814" s="8" t="s">
        <v>364</v>
      </c>
    </row>
    <row r="28815">
      <c r="H28815" s="8" t="s">
        <v>364</v>
      </c>
    </row>
    <row r="28816">
      <c r="H28816" s="8" t="s">
        <v>364</v>
      </c>
    </row>
    <row r="28817">
      <c r="H28817" s="8" t="s">
        <v>364</v>
      </c>
    </row>
    <row r="28818">
      <c r="H28818" s="8" t="s">
        <v>364</v>
      </c>
    </row>
    <row r="28819">
      <c r="H28819" s="8" t="s">
        <v>364</v>
      </c>
    </row>
    <row r="28820">
      <c r="H28820" s="8" t="s">
        <v>364</v>
      </c>
    </row>
    <row r="28821">
      <c r="H28821" s="8" t="s">
        <v>364</v>
      </c>
    </row>
    <row r="28822">
      <c r="H28822" s="8" t="s">
        <v>364</v>
      </c>
    </row>
    <row r="28823">
      <c r="H28823" s="8" t="s">
        <v>364</v>
      </c>
    </row>
    <row r="28824">
      <c r="H28824" s="8" t="s">
        <v>364</v>
      </c>
    </row>
    <row r="28825">
      <c r="H28825" s="8" t="s">
        <v>364</v>
      </c>
    </row>
    <row r="28826">
      <c r="H28826" s="8" t="s">
        <v>364</v>
      </c>
    </row>
    <row r="28827">
      <c r="H28827" s="8" t="s">
        <v>364</v>
      </c>
    </row>
    <row r="28828">
      <c r="H28828" s="8" t="s">
        <v>364</v>
      </c>
    </row>
    <row r="28829">
      <c r="H28829" s="8" t="s">
        <v>364</v>
      </c>
    </row>
    <row r="28830">
      <c r="H28830" s="8" t="s">
        <v>364</v>
      </c>
    </row>
    <row r="28831">
      <c r="H28831" s="8" t="s">
        <v>364</v>
      </c>
    </row>
    <row r="28832">
      <c r="H28832" s="8" t="s">
        <v>364</v>
      </c>
    </row>
    <row r="28833">
      <c r="H28833" s="8" t="s">
        <v>364</v>
      </c>
    </row>
    <row r="28834">
      <c r="H28834" s="8" t="s">
        <v>364</v>
      </c>
    </row>
    <row r="28835">
      <c r="H28835" s="8" t="s">
        <v>364</v>
      </c>
    </row>
    <row r="28836">
      <c r="H28836" s="8" t="s">
        <v>364</v>
      </c>
    </row>
    <row r="28837">
      <c r="H28837" s="8" t="s">
        <v>364</v>
      </c>
    </row>
    <row r="28838">
      <c r="H28838" s="8" t="s">
        <v>364</v>
      </c>
    </row>
    <row r="28839">
      <c r="H28839" s="8" t="s">
        <v>364</v>
      </c>
    </row>
    <row r="28840">
      <c r="H28840" s="8" t="s">
        <v>364</v>
      </c>
    </row>
    <row r="28841">
      <c r="H28841" s="8" t="s">
        <v>364</v>
      </c>
    </row>
    <row r="28842">
      <c r="H28842" s="8" t="s">
        <v>364</v>
      </c>
    </row>
    <row r="28843">
      <c r="H28843" s="8" t="s">
        <v>364</v>
      </c>
    </row>
    <row r="28844">
      <c r="H28844" s="8" t="s">
        <v>364</v>
      </c>
    </row>
    <row r="28845">
      <c r="H28845" s="8" t="s">
        <v>364</v>
      </c>
    </row>
    <row r="28846">
      <c r="H28846" s="8" t="s">
        <v>364</v>
      </c>
    </row>
    <row r="28847">
      <c r="H28847" s="8" t="s">
        <v>364</v>
      </c>
    </row>
    <row r="28848">
      <c r="H28848" s="8" t="s">
        <v>364</v>
      </c>
    </row>
    <row r="28849">
      <c r="H28849" s="8" t="s">
        <v>364</v>
      </c>
    </row>
    <row r="28850">
      <c r="H28850" s="8" t="s">
        <v>364</v>
      </c>
    </row>
    <row r="28851">
      <c r="H28851" s="8" t="s">
        <v>364</v>
      </c>
    </row>
    <row r="28852">
      <c r="H28852" s="8" t="s">
        <v>364</v>
      </c>
    </row>
    <row r="28853">
      <c r="H28853" s="8" t="s">
        <v>364</v>
      </c>
    </row>
    <row r="28854">
      <c r="H28854" s="8" t="s">
        <v>364</v>
      </c>
    </row>
    <row r="28855">
      <c r="H28855" s="8" t="s">
        <v>364</v>
      </c>
    </row>
    <row r="28856">
      <c r="H28856" s="8" t="s">
        <v>364</v>
      </c>
    </row>
    <row r="28857">
      <c r="H28857" s="8" t="s">
        <v>364</v>
      </c>
    </row>
    <row r="28858">
      <c r="H28858" s="8" t="s">
        <v>364</v>
      </c>
    </row>
    <row r="28859">
      <c r="H28859" s="8" t="s">
        <v>364</v>
      </c>
    </row>
    <row r="28860">
      <c r="H28860" s="8" t="s">
        <v>364</v>
      </c>
    </row>
    <row r="28861">
      <c r="H28861" s="8" t="s">
        <v>364</v>
      </c>
    </row>
    <row r="28862">
      <c r="H28862" s="8" t="s">
        <v>364</v>
      </c>
    </row>
    <row r="28863">
      <c r="H28863" s="8" t="s">
        <v>364</v>
      </c>
    </row>
    <row r="28864">
      <c r="H28864" s="8" t="s">
        <v>364</v>
      </c>
    </row>
    <row r="28865">
      <c r="H28865" s="8" t="s">
        <v>364</v>
      </c>
    </row>
    <row r="28866">
      <c r="H28866" s="8" t="s">
        <v>364</v>
      </c>
    </row>
    <row r="28867">
      <c r="H28867" s="8" t="s">
        <v>364</v>
      </c>
    </row>
    <row r="28868">
      <c r="H28868" s="8" t="s">
        <v>364</v>
      </c>
    </row>
    <row r="28869">
      <c r="H28869" s="8" t="s">
        <v>364</v>
      </c>
    </row>
    <row r="28870">
      <c r="H28870" s="8" t="s">
        <v>364</v>
      </c>
    </row>
    <row r="28871">
      <c r="H28871" s="8" t="s">
        <v>364</v>
      </c>
    </row>
    <row r="28872">
      <c r="H28872" s="8" t="s">
        <v>364</v>
      </c>
    </row>
    <row r="28873">
      <c r="H28873" s="8" t="s">
        <v>364</v>
      </c>
    </row>
    <row r="28874">
      <c r="H28874" s="8" t="s">
        <v>364</v>
      </c>
    </row>
    <row r="28875">
      <c r="H28875" s="8" t="s">
        <v>364</v>
      </c>
    </row>
    <row r="28876">
      <c r="H28876" s="8" t="s">
        <v>364</v>
      </c>
    </row>
    <row r="28877">
      <c r="H28877" s="8" t="s">
        <v>364</v>
      </c>
    </row>
    <row r="28878">
      <c r="H28878" s="8" t="s">
        <v>364</v>
      </c>
    </row>
    <row r="28879">
      <c r="H28879" s="8" t="s">
        <v>364</v>
      </c>
    </row>
    <row r="28880">
      <c r="H28880" s="8" t="s">
        <v>364</v>
      </c>
    </row>
    <row r="28881">
      <c r="H28881" s="8" t="s">
        <v>364</v>
      </c>
    </row>
    <row r="28882">
      <c r="H28882" s="8" t="s">
        <v>364</v>
      </c>
    </row>
    <row r="28883">
      <c r="H28883" s="8" t="s">
        <v>364</v>
      </c>
    </row>
    <row r="28884">
      <c r="H28884" s="8" t="s">
        <v>364</v>
      </c>
    </row>
    <row r="28885">
      <c r="H28885" s="8" t="s">
        <v>364</v>
      </c>
    </row>
    <row r="28886">
      <c r="H28886" s="8" t="s">
        <v>364</v>
      </c>
    </row>
    <row r="28887">
      <c r="H28887" s="8" t="s">
        <v>364</v>
      </c>
    </row>
    <row r="28888">
      <c r="H28888" s="8" t="s">
        <v>364</v>
      </c>
    </row>
    <row r="28889">
      <c r="H28889" s="8" t="s">
        <v>364</v>
      </c>
    </row>
    <row r="28890">
      <c r="H28890" s="8" t="s">
        <v>364</v>
      </c>
    </row>
    <row r="28891">
      <c r="H28891" s="8" t="s">
        <v>364</v>
      </c>
    </row>
    <row r="28892">
      <c r="H28892" s="8" t="s">
        <v>364</v>
      </c>
    </row>
    <row r="28893">
      <c r="H28893" s="8" t="s">
        <v>364</v>
      </c>
    </row>
    <row r="28894">
      <c r="H28894" s="8" t="s">
        <v>364</v>
      </c>
    </row>
    <row r="28895">
      <c r="H28895" s="8" t="s">
        <v>364</v>
      </c>
    </row>
    <row r="28896">
      <c r="H28896" s="8" t="s">
        <v>364</v>
      </c>
    </row>
    <row r="28897">
      <c r="H28897" s="8" t="s">
        <v>364</v>
      </c>
    </row>
    <row r="28898">
      <c r="H28898" s="8" t="s">
        <v>364</v>
      </c>
    </row>
    <row r="28899">
      <c r="H28899" s="8" t="s">
        <v>364</v>
      </c>
    </row>
    <row r="28900">
      <c r="H28900" s="8" t="s">
        <v>364</v>
      </c>
    </row>
    <row r="28901">
      <c r="H28901" s="8" t="s">
        <v>364</v>
      </c>
    </row>
    <row r="28902">
      <c r="H28902" s="8" t="s">
        <v>364</v>
      </c>
    </row>
    <row r="28903">
      <c r="H28903" s="8" t="s">
        <v>364</v>
      </c>
    </row>
    <row r="28904">
      <c r="H28904" s="8" t="s">
        <v>364</v>
      </c>
    </row>
    <row r="28905">
      <c r="H28905" s="8" t="s">
        <v>364</v>
      </c>
    </row>
    <row r="28906">
      <c r="H28906" s="8" t="s">
        <v>364</v>
      </c>
    </row>
    <row r="28907">
      <c r="H28907" s="8" t="s">
        <v>364</v>
      </c>
    </row>
    <row r="28908">
      <c r="H28908" s="8" t="s">
        <v>364</v>
      </c>
    </row>
    <row r="28909">
      <c r="H28909" s="8" t="s">
        <v>364</v>
      </c>
    </row>
    <row r="28910">
      <c r="H28910" s="8" t="s">
        <v>364</v>
      </c>
    </row>
    <row r="28911">
      <c r="H28911" s="8" t="s">
        <v>364</v>
      </c>
    </row>
    <row r="28912">
      <c r="H28912" s="8" t="s">
        <v>364</v>
      </c>
    </row>
    <row r="28913">
      <c r="H28913" s="8" t="s">
        <v>364</v>
      </c>
    </row>
    <row r="28914">
      <c r="H28914" s="8" t="s">
        <v>364</v>
      </c>
    </row>
    <row r="28915">
      <c r="H28915" s="8" t="s">
        <v>364</v>
      </c>
    </row>
    <row r="28916">
      <c r="H28916" s="8" t="s">
        <v>364</v>
      </c>
    </row>
    <row r="28917">
      <c r="H28917" s="8" t="s">
        <v>364</v>
      </c>
    </row>
    <row r="28918">
      <c r="H28918" s="8" t="s">
        <v>364</v>
      </c>
    </row>
    <row r="28919">
      <c r="H28919" s="8" t="s">
        <v>364</v>
      </c>
    </row>
    <row r="28920">
      <c r="H28920" s="8" t="s">
        <v>364</v>
      </c>
    </row>
    <row r="28921">
      <c r="H28921" s="8" t="s">
        <v>364</v>
      </c>
    </row>
    <row r="28922">
      <c r="H28922" s="8" t="s">
        <v>364</v>
      </c>
    </row>
    <row r="28923">
      <c r="H28923" s="8" t="s">
        <v>364</v>
      </c>
    </row>
    <row r="28924">
      <c r="H28924" s="8" t="s">
        <v>364</v>
      </c>
    </row>
    <row r="28925">
      <c r="H28925" s="8" t="s">
        <v>364</v>
      </c>
    </row>
    <row r="28926">
      <c r="H28926" s="8" t="s">
        <v>364</v>
      </c>
    </row>
    <row r="28927">
      <c r="H28927" s="8" t="s">
        <v>364</v>
      </c>
    </row>
    <row r="28928">
      <c r="H28928" s="8" t="s">
        <v>364</v>
      </c>
    </row>
    <row r="28929">
      <c r="H28929" s="8" t="s">
        <v>364</v>
      </c>
    </row>
    <row r="28930">
      <c r="H28930" s="8" t="s">
        <v>364</v>
      </c>
    </row>
    <row r="28931">
      <c r="H28931" s="8" t="s">
        <v>364</v>
      </c>
    </row>
    <row r="28932">
      <c r="H28932" s="8" t="s">
        <v>364</v>
      </c>
    </row>
    <row r="28933">
      <c r="H28933" s="8" t="s">
        <v>364</v>
      </c>
    </row>
    <row r="28934">
      <c r="H28934" s="8" t="s">
        <v>364</v>
      </c>
    </row>
    <row r="28935">
      <c r="H28935" s="8" t="s">
        <v>364</v>
      </c>
    </row>
    <row r="28936">
      <c r="H28936" s="8" t="s">
        <v>364</v>
      </c>
    </row>
    <row r="28937">
      <c r="H28937" s="8" t="s">
        <v>364</v>
      </c>
    </row>
    <row r="28938">
      <c r="H28938" s="8" t="s">
        <v>364</v>
      </c>
    </row>
    <row r="28939">
      <c r="H28939" s="8" t="s">
        <v>364</v>
      </c>
    </row>
    <row r="28940">
      <c r="H28940" s="8" t="s">
        <v>364</v>
      </c>
    </row>
    <row r="28941">
      <c r="H28941" s="8" t="s">
        <v>364</v>
      </c>
    </row>
    <row r="28942">
      <c r="H28942" s="8" t="s">
        <v>364</v>
      </c>
    </row>
    <row r="28943">
      <c r="H28943" s="8" t="s">
        <v>364</v>
      </c>
    </row>
    <row r="28944">
      <c r="H28944" s="8" t="s">
        <v>364</v>
      </c>
    </row>
    <row r="28945">
      <c r="H28945" s="8" t="s">
        <v>364</v>
      </c>
    </row>
    <row r="28946">
      <c r="H28946" s="8" t="s">
        <v>364</v>
      </c>
    </row>
    <row r="28947">
      <c r="H28947" s="8" t="s">
        <v>364</v>
      </c>
    </row>
    <row r="28948">
      <c r="H28948" s="8" t="s">
        <v>364</v>
      </c>
    </row>
    <row r="28949">
      <c r="H28949" s="8" t="s">
        <v>364</v>
      </c>
    </row>
    <row r="28950">
      <c r="H28950" s="8" t="s">
        <v>364</v>
      </c>
    </row>
    <row r="28951">
      <c r="H28951" s="8" t="s">
        <v>364</v>
      </c>
    </row>
    <row r="28952">
      <c r="H28952" s="8" t="s">
        <v>364</v>
      </c>
    </row>
    <row r="28953">
      <c r="H28953" s="8" t="s">
        <v>364</v>
      </c>
    </row>
    <row r="28954">
      <c r="H28954" s="8" t="s">
        <v>364</v>
      </c>
    </row>
    <row r="28955">
      <c r="H28955" s="8" t="s">
        <v>364</v>
      </c>
    </row>
    <row r="28956">
      <c r="H28956" s="8" t="s">
        <v>364</v>
      </c>
    </row>
    <row r="28957">
      <c r="H28957" s="8" t="s">
        <v>364</v>
      </c>
    </row>
    <row r="28958">
      <c r="H28958" s="8" t="s">
        <v>364</v>
      </c>
    </row>
    <row r="28959">
      <c r="H28959" s="8" t="s">
        <v>364</v>
      </c>
    </row>
    <row r="28960">
      <c r="H28960" s="8" t="s">
        <v>364</v>
      </c>
    </row>
    <row r="28961">
      <c r="H28961" s="8" t="s">
        <v>364</v>
      </c>
    </row>
    <row r="28962">
      <c r="H28962" s="8" t="s">
        <v>364</v>
      </c>
    </row>
    <row r="28963">
      <c r="H28963" s="8" t="s">
        <v>364</v>
      </c>
    </row>
    <row r="28964">
      <c r="H28964" s="8" t="s">
        <v>364</v>
      </c>
    </row>
    <row r="28965">
      <c r="H28965" s="8" t="s">
        <v>364</v>
      </c>
    </row>
    <row r="28966">
      <c r="H28966" s="8" t="s">
        <v>364</v>
      </c>
    </row>
    <row r="28967">
      <c r="H28967" s="8" t="s">
        <v>364</v>
      </c>
    </row>
    <row r="28968">
      <c r="H28968" s="8" t="s">
        <v>364</v>
      </c>
    </row>
    <row r="28969">
      <c r="H28969" s="8" t="s">
        <v>364</v>
      </c>
    </row>
    <row r="28970">
      <c r="H28970" s="8" t="s">
        <v>364</v>
      </c>
    </row>
    <row r="28971">
      <c r="H28971" s="8" t="s">
        <v>364</v>
      </c>
    </row>
    <row r="28972">
      <c r="H28972" s="8" t="s">
        <v>364</v>
      </c>
    </row>
    <row r="28973">
      <c r="H28973" s="8" t="s">
        <v>364</v>
      </c>
    </row>
    <row r="28974">
      <c r="H28974" s="8" t="s">
        <v>364</v>
      </c>
    </row>
    <row r="28975">
      <c r="H28975" s="8" t="s">
        <v>364</v>
      </c>
    </row>
    <row r="28976">
      <c r="H28976" s="8" t="s">
        <v>364</v>
      </c>
    </row>
    <row r="28977">
      <c r="H28977" s="8" t="s">
        <v>364</v>
      </c>
    </row>
    <row r="28978">
      <c r="H28978" s="8" t="s">
        <v>364</v>
      </c>
    </row>
    <row r="28979">
      <c r="H28979" s="8" t="s">
        <v>364</v>
      </c>
    </row>
    <row r="28980">
      <c r="H28980" s="8" t="s">
        <v>364</v>
      </c>
    </row>
    <row r="28981">
      <c r="H28981" s="8" t="s">
        <v>364</v>
      </c>
    </row>
    <row r="28982">
      <c r="H28982" s="8" t="s">
        <v>364</v>
      </c>
    </row>
    <row r="28983">
      <c r="H28983" s="8" t="s">
        <v>364</v>
      </c>
    </row>
    <row r="28984">
      <c r="H28984" s="8" t="s">
        <v>364</v>
      </c>
    </row>
    <row r="28985">
      <c r="H28985" s="8" t="s">
        <v>364</v>
      </c>
    </row>
    <row r="28986">
      <c r="H28986" s="8" t="s">
        <v>364</v>
      </c>
    </row>
    <row r="28987">
      <c r="H28987" s="8" t="s">
        <v>364</v>
      </c>
    </row>
    <row r="28988">
      <c r="H28988" s="8" t="s">
        <v>364</v>
      </c>
    </row>
    <row r="28989">
      <c r="H28989" s="8" t="s">
        <v>364</v>
      </c>
    </row>
    <row r="28990">
      <c r="H28990" s="8" t="s">
        <v>364</v>
      </c>
    </row>
    <row r="28991">
      <c r="H28991" s="8" t="s">
        <v>364</v>
      </c>
    </row>
    <row r="28992">
      <c r="H28992" s="8" t="s">
        <v>364</v>
      </c>
    </row>
    <row r="28993">
      <c r="H28993" s="8" t="s">
        <v>364</v>
      </c>
    </row>
    <row r="28994">
      <c r="H28994" s="8" t="s">
        <v>364</v>
      </c>
    </row>
    <row r="28995">
      <c r="H28995" s="8" t="s">
        <v>364</v>
      </c>
    </row>
    <row r="28996">
      <c r="H28996" s="8" t="s">
        <v>364</v>
      </c>
    </row>
    <row r="28997">
      <c r="H28997" s="8" t="s">
        <v>364</v>
      </c>
    </row>
    <row r="28998">
      <c r="H28998" s="8" t="s">
        <v>364</v>
      </c>
    </row>
    <row r="28999">
      <c r="H28999" s="8" t="s">
        <v>364</v>
      </c>
    </row>
    <row r="29000">
      <c r="H29000" s="8" t="s">
        <v>364</v>
      </c>
    </row>
    <row r="29001">
      <c r="H29001" s="8" t="s">
        <v>364</v>
      </c>
    </row>
    <row r="29002">
      <c r="H29002" s="8" t="s">
        <v>364</v>
      </c>
    </row>
    <row r="29003">
      <c r="H29003" s="8" t="s">
        <v>364</v>
      </c>
    </row>
    <row r="29004">
      <c r="H29004" s="8" t="s">
        <v>364</v>
      </c>
    </row>
    <row r="29005">
      <c r="H29005" s="8" t="s">
        <v>364</v>
      </c>
    </row>
    <row r="29006">
      <c r="H29006" s="8" t="s">
        <v>364</v>
      </c>
    </row>
    <row r="29007">
      <c r="H29007" s="8" t="s">
        <v>364</v>
      </c>
    </row>
    <row r="29008">
      <c r="H29008" s="8" t="s">
        <v>364</v>
      </c>
    </row>
    <row r="29009">
      <c r="H29009" s="8" t="s">
        <v>364</v>
      </c>
    </row>
    <row r="29010">
      <c r="H29010" s="8" t="s">
        <v>364</v>
      </c>
    </row>
    <row r="29011">
      <c r="H29011" s="8" t="s">
        <v>364</v>
      </c>
    </row>
    <row r="29012">
      <c r="H29012" s="8" t="s">
        <v>364</v>
      </c>
    </row>
    <row r="29013">
      <c r="H29013" s="8" t="s">
        <v>364</v>
      </c>
    </row>
    <row r="29014">
      <c r="H29014" s="8" t="s">
        <v>364</v>
      </c>
    </row>
    <row r="29015">
      <c r="H29015" s="8" t="s">
        <v>364</v>
      </c>
    </row>
    <row r="29016">
      <c r="H29016" s="8" t="s">
        <v>364</v>
      </c>
    </row>
    <row r="29017">
      <c r="H29017" s="8" t="s">
        <v>364</v>
      </c>
    </row>
    <row r="29018">
      <c r="H29018" s="8" t="s">
        <v>364</v>
      </c>
    </row>
    <row r="29019">
      <c r="H29019" s="8" t="s">
        <v>364</v>
      </c>
    </row>
    <row r="29020">
      <c r="H29020" s="8" t="s">
        <v>364</v>
      </c>
    </row>
    <row r="29021">
      <c r="H29021" s="8" t="s">
        <v>364</v>
      </c>
    </row>
    <row r="29022">
      <c r="H29022" s="8" t="s">
        <v>364</v>
      </c>
    </row>
    <row r="29023">
      <c r="H29023" s="8" t="s">
        <v>364</v>
      </c>
    </row>
    <row r="29024">
      <c r="H29024" s="8" t="s">
        <v>364</v>
      </c>
    </row>
    <row r="29025">
      <c r="H29025" s="8" t="s">
        <v>364</v>
      </c>
    </row>
    <row r="29026">
      <c r="H29026" s="8" t="s">
        <v>364</v>
      </c>
    </row>
    <row r="29027">
      <c r="H29027" s="8" t="s">
        <v>364</v>
      </c>
    </row>
    <row r="29028">
      <c r="H29028" s="8" t="s">
        <v>364</v>
      </c>
    </row>
    <row r="29029">
      <c r="H29029" s="8" t="s">
        <v>364</v>
      </c>
    </row>
    <row r="29030">
      <c r="H29030" s="8" t="s">
        <v>364</v>
      </c>
    </row>
    <row r="29031">
      <c r="H29031" s="8" t="s">
        <v>364</v>
      </c>
    </row>
    <row r="29032">
      <c r="H29032" s="8" t="s">
        <v>364</v>
      </c>
    </row>
    <row r="29033">
      <c r="H29033" s="8" t="s">
        <v>364</v>
      </c>
    </row>
    <row r="29034">
      <c r="H29034" s="8" t="s">
        <v>364</v>
      </c>
    </row>
    <row r="29035">
      <c r="H29035" s="8" t="s">
        <v>364</v>
      </c>
    </row>
    <row r="29036">
      <c r="H29036" s="8" t="s">
        <v>364</v>
      </c>
    </row>
    <row r="29037">
      <c r="H29037" s="8" t="s">
        <v>364</v>
      </c>
    </row>
    <row r="29038">
      <c r="H29038" s="8" t="s">
        <v>364</v>
      </c>
    </row>
    <row r="29039">
      <c r="H29039" s="8" t="s">
        <v>364</v>
      </c>
    </row>
    <row r="29040">
      <c r="H29040" s="8" t="s">
        <v>364</v>
      </c>
    </row>
    <row r="29041">
      <c r="H29041" s="8" t="s">
        <v>364</v>
      </c>
    </row>
    <row r="29042">
      <c r="H29042" s="8" t="s">
        <v>364</v>
      </c>
    </row>
    <row r="29043">
      <c r="H29043" s="8" t="s">
        <v>364</v>
      </c>
    </row>
    <row r="29044">
      <c r="H29044" s="8" t="s">
        <v>364</v>
      </c>
    </row>
    <row r="29045">
      <c r="H29045" s="8" t="s">
        <v>364</v>
      </c>
    </row>
    <row r="29046">
      <c r="H29046" s="8" t="s">
        <v>364</v>
      </c>
    </row>
    <row r="29047">
      <c r="H29047" s="8" t="s">
        <v>364</v>
      </c>
    </row>
    <row r="29048">
      <c r="H29048" s="8" t="s">
        <v>364</v>
      </c>
    </row>
    <row r="29049">
      <c r="H29049" s="8" t="s">
        <v>364</v>
      </c>
    </row>
    <row r="29050">
      <c r="H29050" s="8" t="s">
        <v>364</v>
      </c>
    </row>
    <row r="29051">
      <c r="H29051" s="8" t="s">
        <v>364</v>
      </c>
    </row>
    <row r="29052">
      <c r="H29052" s="8" t="s">
        <v>364</v>
      </c>
    </row>
    <row r="29053">
      <c r="H29053" s="8" t="s">
        <v>364</v>
      </c>
    </row>
    <row r="29054">
      <c r="H29054" s="8" t="s">
        <v>364</v>
      </c>
    </row>
    <row r="29055">
      <c r="H29055" s="8" t="s">
        <v>364</v>
      </c>
    </row>
    <row r="29056">
      <c r="H29056" s="8" t="s">
        <v>364</v>
      </c>
    </row>
    <row r="29057">
      <c r="H29057" s="8" t="s">
        <v>364</v>
      </c>
    </row>
    <row r="29058">
      <c r="H29058" s="8" t="s">
        <v>364</v>
      </c>
    </row>
    <row r="29059">
      <c r="H29059" s="8" t="s">
        <v>364</v>
      </c>
    </row>
    <row r="29060">
      <c r="H29060" s="8" t="s">
        <v>364</v>
      </c>
    </row>
    <row r="29061">
      <c r="H29061" s="8" t="s">
        <v>364</v>
      </c>
    </row>
    <row r="29062">
      <c r="H29062" s="8" t="s">
        <v>364</v>
      </c>
    </row>
    <row r="29063">
      <c r="H29063" s="8" t="s">
        <v>364</v>
      </c>
    </row>
    <row r="29064">
      <c r="H29064" s="8" t="s">
        <v>364</v>
      </c>
    </row>
    <row r="29065">
      <c r="H29065" s="8" t="s">
        <v>364</v>
      </c>
    </row>
    <row r="29066">
      <c r="H29066" s="8" t="s">
        <v>364</v>
      </c>
    </row>
    <row r="29067">
      <c r="H29067" s="8" t="s">
        <v>364</v>
      </c>
    </row>
    <row r="29068">
      <c r="H29068" s="8" t="s">
        <v>364</v>
      </c>
    </row>
    <row r="29069">
      <c r="H29069" s="8" t="s">
        <v>364</v>
      </c>
    </row>
    <row r="29070">
      <c r="H29070" s="8" t="s">
        <v>364</v>
      </c>
    </row>
    <row r="29071">
      <c r="H29071" s="8" t="s">
        <v>364</v>
      </c>
    </row>
    <row r="29072">
      <c r="H29072" s="8" t="s">
        <v>364</v>
      </c>
    </row>
    <row r="29073">
      <c r="H29073" s="8" t="s">
        <v>364</v>
      </c>
    </row>
    <row r="29074">
      <c r="H29074" s="8" t="s">
        <v>364</v>
      </c>
    </row>
    <row r="29075">
      <c r="H29075" s="8" t="s">
        <v>364</v>
      </c>
    </row>
    <row r="29076">
      <c r="H29076" s="8" t="s">
        <v>364</v>
      </c>
    </row>
    <row r="29077">
      <c r="H29077" s="8" t="s">
        <v>364</v>
      </c>
    </row>
    <row r="29078">
      <c r="H29078" s="8" t="s">
        <v>364</v>
      </c>
    </row>
    <row r="29079">
      <c r="H29079" s="8" t="s">
        <v>364</v>
      </c>
    </row>
    <row r="29080">
      <c r="H29080" s="8" t="s">
        <v>364</v>
      </c>
    </row>
    <row r="29081">
      <c r="H29081" s="8" t="s">
        <v>364</v>
      </c>
    </row>
    <row r="29082">
      <c r="H29082" s="8" t="s">
        <v>364</v>
      </c>
    </row>
    <row r="29083">
      <c r="H29083" s="8" t="s">
        <v>364</v>
      </c>
    </row>
    <row r="29084">
      <c r="H29084" s="8" t="s">
        <v>364</v>
      </c>
    </row>
    <row r="29085">
      <c r="H29085" s="8" t="s">
        <v>364</v>
      </c>
    </row>
    <row r="29086">
      <c r="H29086" s="8" t="s">
        <v>364</v>
      </c>
    </row>
    <row r="29087">
      <c r="H29087" s="8" t="s">
        <v>364</v>
      </c>
    </row>
    <row r="29088">
      <c r="H29088" s="8" t="s">
        <v>364</v>
      </c>
    </row>
    <row r="29089">
      <c r="H29089" s="8" t="s">
        <v>364</v>
      </c>
    </row>
    <row r="29090">
      <c r="H29090" s="8" t="s">
        <v>364</v>
      </c>
    </row>
    <row r="29091">
      <c r="H29091" s="8" t="s">
        <v>364</v>
      </c>
    </row>
    <row r="29092">
      <c r="H29092" s="8" t="s">
        <v>364</v>
      </c>
    </row>
    <row r="29093">
      <c r="H29093" s="8" t="s">
        <v>364</v>
      </c>
    </row>
    <row r="29094">
      <c r="H29094" s="8" t="s">
        <v>364</v>
      </c>
    </row>
    <row r="29095">
      <c r="H29095" s="8" t="s">
        <v>364</v>
      </c>
    </row>
    <row r="29096">
      <c r="H29096" s="8" t="s">
        <v>364</v>
      </c>
    </row>
    <row r="29097">
      <c r="H29097" s="8" t="s">
        <v>364</v>
      </c>
    </row>
    <row r="29098">
      <c r="H29098" s="8" t="s">
        <v>364</v>
      </c>
    </row>
    <row r="29099">
      <c r="H29099" s="8" t="s">
        <v>364</v>
      </c>
    </row>
    <row r="29100">
      <c r="H29100" s="8" t="s">
        <v>364</v>
      </c>
    </row>
    <row r="29101">
      <c r="H29101" s="8" t="s">
        <v>364</v>
      </c>
    </row>
    <row r="29102">
      <c r="H29102" s="8" t="s">
        <v>364</v>
      </c>
    </row>
    <row r="29103">
      <c r="H29103" s="8" t="s">
        <v>364</v>
      </c>
    </row>
    <row r="29104">
      <c r="H29104" s="8" t="s">
        <v>364</v>
      </c>
    </row>
    <row r="29105">
      <c r="H29105" s="8" t="s">
        <v>364</v>
      </c>
    </row>
    <row r="29106">
      <c r="H29106" s="8" t="s">
        <v>364</v>
      </c>
    </row>
    <row r="29107">
      <c r="H29107" s="8" t="s">
        <v>364</v>
      </c>
    </row>
    <row r="29108">
      <c r="H29108" s="8" t="s">
        <v>364</v>
      </c>
    </row>
    <row r="29109">
      <c r="H29109" s="8" t="s">
        <v>364</v>
      </c>
    </row>
    <row r="29110">
      <c r="H29110" s="8" t="s">
        <v>364</v>
      </c>
    </row>
    <row r="29111">
      <c r="H29111" s="8" t="s">
        <v>364</v>
      </c>
    </row>
    <row r="29112">
      <c r="H29112" s="8" t="s">
        <v>364</v>
      </c>
    </row>
    <row r="29113">
      <c r="H29113" s="8" t="s">
        <v>364</v>
      </c>
    </row>
    <row r="29114">
      <c r="H29114" s="8" t="s">
        <v>364</v>
      </c>
    </row>
    <row r="29115">
      <c r="H29115" s="8" t="s">
        <v>364</v>
      </c>
    </row>
    <row r="29116">
      <c r="H29116" s="8" t="s">
        <v>364</v>
      </c>
    </row>
    <row r="29117">
      <c r="H29117" s="8" t="s">
        <v>364</v>
      </c>
    </row>
    <row r="29118">
      <c r="H29118" s="8" t="s">
        <v>364</v>
      </c>
    </row>
    <row r="29119">
      <c r="H29119" s="8" t="s">
        <v>364</v>
      </c>
    </row>
    <row r="29120">
      <c r="H29120" s="8" t="s">
        <v>364</v>
      </c>
    </row>
    <row r="29121">
      <c r="H29121" s="8" t="s">
        <v>364</v>
      </c>
    </row>
    <row r="29122">
      <c r="H29122" s="8" t="s">
        <v>364</v>
      </c>
    </row>
    <row r="29123">
      <c r="H29123" s="8" t="s">
        <v>364</v>
      </c>
    </row>
    <row r="29124">
      <c r="H29124" s="8" t="s">
        <v>364</v>
      </c>
    </row>
    <row r="29125">
      <c r="H29125" s="8" t="s">
        <v>364</v>
      </c>
    </row>
    <row r="29126">
      <c r="H29126" s="8" t="s">
        <v>364</v>
      </c>
    </row>
    <row r="29127">
      <c r="H29127" s="8" t="s">
        <v>364</v>
      </c>
    </row>
    <row r="29128">
      <c r="H29128" s="8" t="s">
        <v>364</v>
      </c>
    </row>
    <row r="29129">
      <c r="H29129" s="8" t="s">
        <v>364</v>
      </c>
    </row>
    <row r="29130">
      <c r="H29130" s="8" t="s">
        <v>364</v>
      </c>
    </row>
    <row r="29131">
      <c r="H29131" s="8" t="s">
        <v>364</v>
      </c>
    </row>
    <row r="29132">
      <c r="H29132" s="8" t="s">
        <v>364</v>
      </c>
    </row>
    <row r="29133">
      <c r="H29133" s="8" t="s">
        <v>364</v>
      </c>
    </row>
    <row r="29134">
      <c r="H29134" s="8" t="s">
        <v>364</v>
      </c>
    </row>
    <row r="29135">
      <c r="H29135" s="8" t="s">
        <v>364</v>
      </c>
    </row>
    <row r="29136">
      <c r="H29136" s="8" t="s">
        <v>364</v>
      </c>
    </row>
    <row r="29137">
      <c r="H29137" s="8" t="s">
        <v>364</v>
      </c>
    </row>
    <row r="29138">
      <c r="H29138" s="8" t="s">
        <v>364</v>
      </c>
    </row>
    <row r="29139">
      <c r="H29139" s="8" t="s">
        <v>364</v>
      </c>
    </row>
    <row r="29140">
      <c r="H29140" s="8" t="s">
        <v>364</v>
      </c>
    </row>
    <row r="29141">
      <c r="H29141" s="8" t="s">
        <v>364</v>
      </c>
    </row>
    <row r="29142">
      <c r="H29142" s="8" t="s">
        <v>364</v>
      </c>
    </row>
    <row r="29143">
      <c r="H29143" s="8" t="s">
        <v>364</v>
      </c>
    </row>
    <row r="29144">
      <c r="H29144" s="8" t="s">
        <v>364</v>
      </c>
    </row>
    <row r="29145">
      <c r="H29145" s="8" t="s">
        <v>364</v>
      </c>
    </row>
    <row r="29146">
      <c r="H29146" s="8" t="s">
        <v>364</v>
      </c>
    </row>
    <row r="29147">
      <c r="H29147" s="8" t="s">
        <v>364</v>
      </c>
    </row>
    <row r="29148">
      <c r="H29148" s="8" t="s">
        <v>364</v>
      </c>
    </row>
    <row r="29149">
      <c r="H29149" s="8" t="s">
        <v>364</v>
      </c>
    </row>
    <row r="29150">
      <c r="H29150" s="8" t="s">
        <v>364</v>
      </c>
    </row>
    <row r="29151">
      <c r="H29151" s="8" t="s">
        <v>364</v>
      </c>
    </row>
    <row r="29152">
      <c r="H29152" s="8" t="s">
        <v>364</v>
      </c>
    </row>
    <row r="29153">
      <c r="H29153" s="8" t="s">
        <v>364</v>
      </c>
    </row>
    <row r="29154">
      <c r="H29154" s="8" t="s">
        <v>364</v>
      </c>
    </row>
    <row r="29155">
      <c r="H29155" s="8" t="s">
        <v>364</v>
      </c>
    </row>
    <row r="29156">
      <c r="H29156" s="8" t="s">
        <v>364</v>
      </c>
    </row>
    <row r="29157">
      <c r="H29157" s="8" t="s">
        <v>364</v>
      </c>
    </row>
    <row r="29158">
      <c r="H29158" s="8" t="s">
        <v>364</v>
      </c>
    </row>
    <row r="29159">
      <c r="H29159" s="8" t="s">
        <v>364</v>
      </c>
    </row>
    <row r="29160">
      <c r="H29160" s="8" t="s">
        <v>364</v>
      </c>
    </row>
    <row r="29161">
      <c r="H29161" s="8" t="s">
        <v>364</v>
      </c>
    </row>
    <row r="29162">
      <c r="H29162" s="8" t="s">
        <v>364</v>
      </c>
    </row>
    <row r="29163">
      <c r="H29163" s="8" t="s">
        <v>364</v>
      </c>
    </row>
    <row r="29164">
      <c r="H29164" s="8" t="s">
        <v>364</v>
      </c>
    </row>
    <row r="29165">
      <c r="H29165" s="8" t="s">
        <v>364</v>
      </c>
    </row>
    <row r="29166">
      <c r="H29166" s="8" t="s">
        <v>364</v>
      </c>
    </row>
    <row r="29167">
      <c r="H29167" s="8" t="s">
        <v>364</v>
      </c>
    </row>
    <row r="29168">
      <c r="H29168" s="8" t="s">
        <v>364</v>
      </c>
    </row>
    <row r="29169">
      <c r="H29169" s="8" t="s">
        <v>364</v>
      </c>
    </row>
    <row r="29170">
      <c r="H29170" s="8" t="s">
        <v>364</v>
      </c>
    </row>
    <row r="29171">
      <c r="H29171" s="8" t="s">
        <v>364</v>
      </c>
    </row>
    <row r="29172">
      <c r="H29172" s="8" t="s">
        <v>364</v>
      </c>
    </row>
    <row r="29173">
      <c r="H29173" s="8" t="s">
        <v>364</v>
      </c>
    </row>
    <row r="29174">
      <c r="H29174" s="8" t="s">
        <v>364</v>
      </c>
    </row>
    <row r="29175">
      <c r="H29175" s="8" t="s">
        <v>364</v>
      </c>
    </row>
    <row r="29176">
      <c r="H29176" s="8" t="s">
        <v>364</v>
      </c>
    </row>
    <row r="29177">
      <c r="H29177" s="8" t="s">
        <v>364</v>
      </c>
    </row>
    <row r="29178">
      <c r="H29178" s="8" t="s">
        <v>364</v>
      </c>
    </row>
    <row r="29179">
      <c r="H29179" s="8" t="s">
        <v>364</v>
      </c>
    </row>
    <row r="29180">
      <c r="H29180" s="8" t="s">
        <v>364</v>
      </c>
    </row>
    <row r="29181">
      <c r="H29181" s="8" t="s">
        <v>364</v>
      </c>
    </row>
    <row r="29182">
      <c r="H29182" s="8" t="s">
        <v>364</v>
      </c>
    </row>
    <row r="29183">
      <c r="H29183" s="8" t="s">
        <v>364</v>
      </c>
    </row>
    <row r="29184">
      <c r="H29184" s="8" t="s">
        <v>364</v>
      </c>
    </row>
    <row r="29185">
      <c r="H29185" s="8" t="s">
        <v>364</v>
      </c>
    </row>
    <row r="29186">
      <c r="H29186" s="8" t="s">
        <v>364</v>
      </c>
    </row>
    <row r="29187">
      <c r="H29187" s="8" t="s">
        <v>364</v>
      </c>
    </row>
    <row r="29188">
      <c r="H29188" s="8" t="s">
        <v>364</v>
      </c>
    </row>
    <row r="29189">
      <c r="H29189" s="8" t="s">
        <v>364</v>
      </c>
    </row>
    <row r="29190">
      <c r="H29190" s="8" t="s">
        <v>364</v>
      </c>
    </row>
    <row r="29191">
      <c r="H29191" s="8" t="s">
        <v>364</v>
      </c>
    </row>
    <row r="29192">
      <c r="H29192" s="8" t="s">
        <v>364</v>
      </c>
    </row>
    <row r="29193">
      <c r="H29193" s="8" t="s">
        <v>364</v>
      </c>
    </row>
    <row r="29194">
      <c r="H29194" s="8" t="s">
        <v>364</v>
      </c>
    </row>
    <row r="29195">
      <c r="H29195" s="8" t="s">
        <v>364</v>
      </c>
    </row>
    <row r="29196">
      <c r="H29196" s="8" t="s">
        <v>364</v>
      </c>
    </row>
    <row r="29197">
      <c r="H29197" s="8" t="s">
        <v>364</v>
      </c>
    </row>
    <row r="29198">
      <c r="H29198" s="8" t="s">
        <v>364</v>
      </c>
    </row>
    <row r="29199">
      <c r="H29199" s="8" t="s">
        <v>364</v>
      </c>
    </row>
    <row r="29200">
      <c r="H29200" s="8" t="s">
        <v>364</v>
      </c>
    </row>
    <row r="29201">
      <c r="H29201" s="8" t="s">
        <v>364</v>
      </c>
    </row>
    <row r="29202">
      <c r="H29202" s="8" t="s">
        <v>364</v>
      </c>
    </row>
    <row r="29203">
      <c r="H29203" s="8" t="s">
        <v>364</v>
      </c>
    </row>
    <row r="29204">
      <c r="H29204" s="8" t="s">
        <v>364</v>
      </c>
    </row>
    <row r="29205">
      <c r="H29205" s="8" t="s">
        <v>364</v>
      </c>
    </row>
    <row r="29206">
      <c r="H29206" s="8" t="s">
        <v>364</v>
      </c>
    </row>
    <row r="29207">
      <c r="H29207" s="8" t="s">
        <v>364</v>
      </c>
    </row>
    <row r="29208">
      <c r="H29208" s="8" t="s">
        <v>364</v>
      </c>
    </row>
    <row r="29209">
      <c r="H29209" s="8" t="s">
        <v>364</v>
      </c>
    </row>
    <row r="29210">
      <c r="H29210" s="8" t="s">
        <v>364</v>
      </c>
    </row>
    <row r="29211">
      <c r="H29211" s="8" t="s">
        <v>364</v>
      </c>
    </row>
    <row r="29212">
      <c r="H29212" s="8" t="s">
        <v>364</v>
      </c>
    </row>
    <row r="29213">
      <c r="H29213" s="8" t="s">
        <v>364</v>
      </c>
    </row>
    <row r="29214">
      <c r="H29214" s="8" t="s">
        <v>364</v>
      </c>
    </row>
    <row r="29215">
      <c r="H29215" s="8" t="s">
        <v>364</v>
      </c>
    </row>
    <row r="29216">
      <c r="H29216" s="8" t="s">
        <v>364</v>
      </c>
    </row>
    <row r="29217">
      <c r="H29217" s="8" t="s">
        <v>364</v>
      </c>
    </row>
    <row r="29218">
      <c r="H29218" s="8" t="s">
        <v>364</v>
      </c>
    </row>
    <row r="29219">
      <c r="H29219" s="8" t="s">
        <v>364</v>
      </c>
    </row>
    <row r="29220">
      <c r="H29220" s="8" t="s">
        <v>364</v>
      </c>
    </row>
    <row r="29221">
      <c r="H29221" s="8" t="s">
        <v>364</v>
      </c>
    </row>
    <row r="29222">
      <c r="H29222" s="8" t="s">
        <v>364</v>
      </c>
    </row>
    <row r="29223">
      <c r="H29223" s="8" t="s">
        <v>364</v>
      </c>
    </row>
    <row r="29224">
      <c r="H29224" s="8" t="s">
        <v>364</v>
      </c>
    </row>
    <row r="29225">
      <c r="H29225" s="8" t="s">
        <v>364</v>
      </c>
    </row>
    <row r="29226">
      <c r="H29226" s="8" t="s">
        <v>364</v>
      </c>
    </row>
    <row r="29227">
      <c r="H29227" s="8" t="s">
        <v>364</v>
      </c>
    </row>
    <row r="29228">
      <c r="H29228" s="8" t="s">
        <v>364</v>
      </c>
    </row>
    <row r="29229">
      <c r="H29229" s="8" t="s">
        <v>364</v>
      </c>
    </row>
    <row r="29230">
      <c r="H29230" s="8" t="s">
        <v>364</v>
      </c>
    </row>
    <row r="29231">
      <c r="H29231" s="8" t="s">
        <v>364</v>
      </c>
    </row>
    <row r="29232">
      <c r="H29232" s="8" t="s">
        <v>364</v>
      </c>
    </row>
    <row r="29233">
      <c r="H29233" s="8" t="s">
        <v>364</v>
      </c>
    </row>
    <row r="29234">
      <c r="H29234" s="8" t="s">
        <v>364</v>
      </c>
    </row>
    <row r="29235">
      <c r="H29235" s="8" t="s">
        <v>364</v>
      </c>
    </row>
    <row r="29236">
      <c r="H29236" s="8" t="s">
        <v>364</v>
      </c>
    </row>
    <row r="29237">
      <c r="H29237" s="8" t="s">
        <v>364</v>
      </c>
    </row>
    <row r="29238">
      <c r="H29238" s="8" t="s">
        <v>364</v>
      </c>
    </row>
    <row r="29239">
      <c r="H29239" s="8" t="s">
        <v>364</v>
      </c>
    </row>
    <row r="29240">
      <c r="H29240" s="8" t="s">
        <v>364</v>
      </c>
    </row>
    <row r="29241">
      <c r="H29241" s="8" t="s">
        <v>364</v>
      </c>
    </row>
    <row r="29242">
      <c r="H29242" s="8" t="s">
        <v>364</v>
      </c>
    </row>
    <row r="29243">
      <c r="H29243" s="8" t="s">
        <v>364</v>
      </c>
    </row>
    <row r="29244">
      <c r="H29244" s="8" t="s">
        <v>364</v>
      </c>
    </row>
    <row r="29245">
      <c r="H29245" s="8" t="s">
        <v>364</v>
      </c>
    </row>
    <row r="29246">
      <c r="H29246" s="8" t="s">
        <v>364</v>
      </c>
    </row>
    <row r="29247">
      <c r="H29247" s="8" t="s">
        <v>364</v>
      </c>
    </row>
    <row r="29248">
      <c r="H29248" s="8" t="s">
        <v>364</v>
      </c>
    </row>
    <row r="29249">
      <c r="H29249" s="8" t="s">
        <v>364</v>
      </c>
    </row>
    <row r="29250">
      <c r="H29250" s="8" t="s">
        <v>364</v>
      </c>
    </row>
    <row r="29251">
      <c r="H29251" s="8" t="s">
        <v>364</v>
      </c>
    </row>
    <row r="29252">
      <c r="H29252" s="8" t="s">
        <v>364</v>
      </c>
    </row>
    <row r="29253">
      <c r="H29253" s="8" t="s">
        <v>364</v>
      </c>
    </row>
    <row r="29254">
      <c r="H29254" s="8" t="s">
        <v>364</v>
      </c>
    </row>
    <row r="29255">
      <c r="H29255" s="8" t="s">
        <v>364</v>
      </c>
    </row>
    <row r="29256">
      <c r="H29256" s="8" t="s">
        <v>364</v>
      </c>
    </row>
    <row r="29257">
      <c r="H29257" s="8" t="s">
        <v>364</v>
      </c>
    </row>
    <row r="29258">
      <c r="H29258" s="8" t="s">
        <v>364</v>
      </c>
    </row>
    <row r="29259">
      <c r="H29259" s="8" t="s">
        <v>364</v>
      </c>
    </row>
    <row r="29260">
      <c r="H29260" s="8" t="s">
        <v>364</v>
      </c>
    </row>
    <row r="29261">
      <c r="H29261" s="8" t="s">
        <v>364</v>
      </c>
    </row>
    <row r="29262">
      <c r="H29262" s="8" t="s">
        <v>364</v>
      </c>
    </row>
    <row r="29263">
      <c r="H29263" s="8" t="s">
        <v>364</v>
      </c>
    </row>
    <row r="29264">
      <c r="H29264" s="8" t="s">
        <v>364</v>
      </c>
    </row>
    <row r="29265">
      <c r="H29265" s="8" t="s">
        <v>364</v>
      </c>
    </row>
    <row r="29266">
      <c r="H29266" s="8" t="s">
        <v>364</v>
      </c>
    </row>
    <row r="29267">
      <c r="H29267" s="8" t="s">
        <v>364</v>
      </c>
    </row>
    <row r="29268">
      <c r="H29268" s="8" t="s">
        <v>364</v>
      </c>
    </row>
    <row r="29269">
      <c r="H29269" s="8" t="s">
        <v>364</v>
      </c>
    </row>
    <row r="29270">
      <c r="H29270" s="8" t="s">
        <v>364</v>
      </c>
    </row>
    <row r="29271">
      <c r="H29271" s="8" t="s">
        <v>364</v>
      </c>
    </row>
    <row r="29272">
      <c r="H29272" s="8" t="s">
        <v>364</v>
      </c>
    </row>
    <row r="29273">
      <c r="H29273" s="8" t="s">
        <v>364</v>
      </c>
    </row>
    <row r="29274">
      <c r="H29274" s="8" t="s">
        <v>364</v>
      </c>
    </row>
    <row r="29275">
      <c r="H29275" s="8" t="s">
        <v>364</v>
      </c>
    </row>
    <row r="29276">
      <c r="H29276" s="8" t="s">
        <v>364</v>
      </c>
    </row>
    <row r="29277">
      <c r="H29277" s="8" t="s">
        <v>364</v>
      </c>
    </row>
    <row r="29278">
      <c r="H29278" s="8" t="s">
        <v>364</v>
      </c>
    </row>
    <row r="29279">
      <c r="H29279" s="8" t="s">
        <v>364</v>
      </c>
    </row>
    <row r="29280">
      <c r="H29280" s="8" t="s">
        <v>364</v>
      </c>
    </row>
    <row r="29281">
      <c r="H29281" s="8" t="s">
        <v>364</v>
      </c>
    </row>
    <row r="29282">
      <c r="H29282" s="8" t="s">
        <v>364</v>
      </c>
    </row>
    <row r="29283">
      <c r="H29283" s="8" t="s">
        <v>364</v>
      </c>
    </row>
    <row r="29284">
      <c r="H29284" s="8" t="s">
        <v>364</v>
      </c>
    </row>
    <row r="29285">
      <c r="H29285" s="8" t="s">
        <v>364</v>
      </c>
    </row>
    <row r="29286">
      <c r="H29286" s="8" t="s">
        <v>364</v>
      </c>
    </row>
    <row r="29287">
      <c r="H29287" s="8" t="s">
        <v>364</v>
      </c>
    </row>
    <row r="29288">
      <c r="H29288" s="8" t="s">
        <v>364</v>
      </c>
    </row>
    <row r="29289">
      <c r="H29289" s="8" t="s">
        <v>364</v>
      </c>
    </row>
    <row r="29290">
      <c r="H29290" s="8" t="s">
        <v>364</v>
      </c>
    </row>
    <row r="29291">
      <c r="H29291" s="8" t="s">
        <v>364</v>
      </c>
    </row>
    <row r="29292">
      <c r="H29292" s="8" t="s">
        <v>364</v>
      </c>
    </row>
    <row r="29293">
      <c r="H29293" s="8" t="s">
        <v>364</v>
      </c>
    </row>
    <row r="29294">
      <c r="H29294" s="8" t="s">
        <v>364</v>
      </c>
    </row>
    <row r="29295">
      <c r="H29295" s="8" t="s">
        <v>364</v>
      </c>
    </row>
    <row r="29296">
      <c r="H29296" s="8" t="s">
        <v>364</v>
      </c>
    </row>
    <row r="29297">
      <c r="H29297" s="8" t="s">
        <v>364</v>
      </c>
    </row>
    <row r="29298">
      <c r="H29298" s="8" t="s">
        <v>364</v>
      </c>
    </row>
    <row r="29299">
      <c r="H29299" s="8" t="s">
        <v>364</v>
      </c>
    </row>
    <row r="29300">
      <c r="H29300" s="8" t="s">
        <v>364</v>
      </c>
    </row>
    <row r="29301">
      <c r="H29301" s="8" t="s">
        <v>364</v>
      </c>
    </row>
    <row r="29302">
      <c r="H29302" s="8" t="s">
        <v>364</v>
      </c>
    </row>
    <row r="29303">
      <c r="H29303" s="8" t="s">
        <v>364</v>
      </c>
    </row>
    <row r="29304">
      <c r="H29304" s="8" t="s">
        <v>364</v>
      </c>
    </row>
    <row r="29305">
      <c r="H29305" s="8" t="s">
        <v>364</v>
      </c>
    </row>
    <row r="29306">
      <c r="H29306" s="8" t="s">
        <v>364</v>
      </c>
    </row>
    <row r="29307">
      <c r="H29307" s="8" t="s">
        <v>364</v>
      </c>
    </row>
    <row r="29308">
      <c r="H29308" s="8" t="s">
        <v>364</v>
      </c>
    </row>
    <row r="29309">
      <c r="H29309" s="8" t="s">
        <v>364</v>
      </c>
    </row>
    <row r="29310">
      <c r="H29310" s="8" t="s">
        <v>364</v>
      </c>
    </row>
    <row r="29311">
      <c r="H29311" s="8" t="s">
        <v>364</v>
      </c>
    </row>
    <row r="29312">
      <c r="H29312" s="8" t="s">
        <v>364</v>
      </c>
    </row>
    <row r="29313">
      <c r="H29313" s="8" t="s">
        <v>364</v>
      </c>
    </row>
    <row r="29314">
      <c r="H29314" s="8" t="s">
        <v>364</v>
      </c>
    </row>
    <row r="29315">
      <c r="H29315" s="8" t="s">
        <v>364</v>
      </c>
    </row>
    <row r="29316">
      <c r="H29316" s="8" t="s">
        <v>364</v>
      </c>
    </row>
    <row r="29317">
      <c r="H29317" s="8" t="s">
        <v>364</v>
      </c>
    </row>
    <row r="29318">
      <c r="H29318" s="8" t="s">
        <v>364</v>
      </c>
    </row>
    <row r="29319">
      <c r="H29319" s="8" t="s">
        <v>364</v>
      </c>
    </row>
    <row r="29320">
      <c r="H29320" s="8" t="s">
        <v>364</v>
      </c>
    </row>
    <row r="29321">
      <c r="H29321" s="8" t="s">
        <v>364</v>
      </c>
    </row>
    <row r="29322">
      <c r="H29322" s="8" t="s">
        <v>364</v>
      </c>
    </row>
    <row r="29323">
      <c r="H29323" s="8" t="s">
        <v>364</v>
      </c>
    </row>
    <row r="29324">
      <c r="H29324" s="8" t="s">
        <v>364</v>
      </c>
    </row>
    <row r="29325">
      <c r="H29325" s="8" t="s">
        <v>364</v>
      </c>
    </row>
    <row r="29326">
      <c r="H29326" s="8" t="s">
        <v>364</v>
      </c>
    </row>
    <row r="29327">
      <c r="H29327" s="8" t="s">
        <v>364</v>
      </c>
    </row>
    <row r="29328">
      <c r="H29328" s="8" t="s">
        <v>364</v>
      </c>
    </row>
    <row r="29329">
      <c r="H29329" s="8" t="s">
        <v>364</v>
      </c>
    </row>
    <row r="29330">
      <c r="H29330" s="8" t="s">
        <v>364</v>
      </c>
    </row>
    <row r="29331">
      <c r="H29331" s="8" t="s">
        <v>364</v>
      </c>
    </row>
    <row r="29332">
      <c r="H29332" s="8" t="s">
        <v>364</v>
      </c>
    </row>
    <row r="29333">
      <c r="H29333" s="8" t="s">
        <v>364</v>
      </c>
    </row>
    <row r="29334">
      <c r="H29334" s="8" t="s">
        <v>364</v>
      </c>
    </row>
    <row r="29335">
      <c r="H29335" s="8" t="s">
        <v>364</v>
      </c>
    </row>
    <row r="29336">
      <c r="H29336" s="8" t="s">
        <v>364</v>
      </c>
    </row>
    <row r="29337">
      <c r="H29337" s="8" t="s">
        <v>364</v>
      </c>
    </row>
    <row r="29338">
      <c r="H29338" s="8" t="s">
        <v>364</v>
      </c>
    </row>
    <row r="29339">
      <c r="H29339" s="8" t="s">
        <v>364</v>
      </c>
    </row>
    <row r="29340">
      <c r="H29340" s="8" t="s">
        <v>364</v>
      </c>
    </row>
    <row r="29341">
      <c r="H29341" s="8" t="s">
        <v>364</v>
      </c>
    </row>
    <row r="29342">
      <c r="H29342" s="8" t="s">
        <v>364</v>
      </c>
    </row>
    <row r="29343">
      <c r="H29343" s="8" t="s">
        <v>364</v>
      </c>
    </row>
    <row r="29344">
      <c r="H29344" s="8" t="s">
        <v>364</v>
      </c>
    </row>
    <row r="29345">
      <c r="H29345" s="8" t="s">
        <v>364</v>
      </c>
    </row>
    <row r="29346">
      <c r="H29346" s="8" t="s">
        <v>364</v>
      </c>
    </row>
    <row r="29347">
      <c r="H29347" s="8" t="s">
        <v>364</v>
      </c>
    </row>
    <row r="29348">
      <c r="H29348" s="8" t="s">
        <v>364</v>
      </c>
    </row>
    <row r="29349">
      <c r="H29349" s="8" t="s">
        <v>364</v>
      </c>
    </row>
    <row r="29350">
      <c r="H29350" s="8" t="s">
        <v>364</v>
      </c>
    </row>
    <row r="29351">
      <c r="H29351" s="8" t="s">
        <v>364</v>
      </c>
    </row>
    <row r="29352">
      <c r="H29352" s="8" t="s">
        <v>364</v>
      </c>
    </row>
    <row r="29353">
      <c r="H29353" s="8" t="s">
        <v>364</v>
      </c>
    </row>
    <row r="29354">
      <c r="H29354" s="8" t="s">
        <v>364</v>
      </c>
    </row>
    <row r="29355">
      <c r="H29355" s="8" t="s">
        <v>364</v>
      </c>
    </row>
    <row r="29356">
      <c r="H29356" s="8" t="s">
        <v>364</v>
      </c>
    </row>
    <row r="29357">
      <c r="H29357" s="8" t="s">
        <v>364</v>
      </c>
    </row>
    <row r="29358">
      <c r="H29358" s="8" t="s">
        <v>364</v>
      </c>
    </row>
    <row r="29359">
      <c r="H29359" s="8" t="s">
        <v>364</v>
      </c>
    </row>
    <row r="29360">
      <c r="H29360" s="8" t="s">
        <v>364</v>
      </c>
    </row>
    <row r="29361">
      <c r="H29361" s="8" t="s">
        <v>364</v>
      </c>
    </row>
    <row r="29362">
      <c r="H29362" s="8" t="s">
        <v>364</v>
      </c>
    </row>
    <row r="29363">
      <c r="H29363" s="8" t="s">
        <v>364</v>
      </c>
    </row>
    <row r="29364">
      <c r="H29364" s="8" t="s">
        <v>364</v>
      </c>
    </row>
    <row r="29365">
      <c r="H29365" s="8" t="s">
        <v>364</v>
      </c>
    </row>
    <row r="29366">
      <c r="H29366" s="8" t="s">
        <v>364</v>
      </c>
    </row>
    <row r="29367">
      <c r="H29367" s="8" t="s">
        <v>364</v>
      </c>
    </row>
    <row r="29368">
      <c r="H29368" s="8" t="s">
        <v>364</v>
      </c>
    </row>
    <row r="29369">
      <c r="H29369" s="8" t="s">
        <v>364</v>
      </c>
    </row>
    <row r="29370">
      <c r="H29370" s="8" t="s">
        <v>364</v>
      </c>
    </row>
    <row r="29371">
      <c r="H29371" s="8" t="s">
        <v>364</v>
      </c>
    </row>
    <row r="29372">
      <c r="H29372" s="8" t="s">
        <v>364</v>
      </c>
    </row>
    <row r="29373">
      <c r="H29373" s="8" t="s">
        <v>364</v>
      </c>
    </row>
    <row r="29374">
      <c r="H29374" s="8" t="s">
        <v>364</v>
      </c>
    </row>
    <row r="29375">
      <c r="H29375" s="8" t="s">
        <v>364</v>
      </c>
    </row>
    <row r="29376">
      <c r="H29376" s="8" t="s">
        <v>364</v>
      </c>
    </row>
    <row r="29377">
      <c r="H29377" s="8" t="s">
        <v>364</v>
      </c>
    </row>
    <row r="29378">
      <c r="H29378" s="8" t="s">
        <v>364</v>
      </c>
    </row>
    <row r="29379">
      <c r="H29379" s="8" t="s">
        <v>364</v>
      </c>
    </row>
    <row r="29380">
      <c r="H29380" s="8" t="s">
        <v>364</v>
      </c>
    </row>
    <row r="29381">
      <c r="H29381" s="8" t="s">
        <v>364</v>
      </c>
    </row>
    <row r="29382">
      <c r="H29382" s="8" t="s">
        <v>364</v>
      </c>
    </row>
    <row r="29383">
      <c r="H29383" s="8" t="s">
        <v>364</v>
      </c>
    </row>
    <row r="29384">
      <c r="H29384" s="8" t="s">
        <v>364</v>
      </c>
    </row>
    <row r="29385">
      <c r="H29385" s="8" t="s">
        <v>364</v>
      </c>
    </row>
    <row r="29386">
      <c r="H29386" s="8" t="s">
        <v>364</v>
      </c>
    </row>
    <row r="29387">
      <c r="H29387" s="8" t="s">
        <v>364</v>
      </c>
    </row>
    <row r="29388">
      <c r="H29388" s="8" t="s">
        <v>364</v>
      </c>
    </row>
    <row r="29389">
      <c r="H29389" s="8" t="s">
        <v>364</v>
      </c>
    </row>
    <row r="29390">
      <c r="H29390" s="8" t="s">
        <v>364</v>
      </c>
    </row>
    <row r="29391">
      <c r="H29391" s="8" t="s">
        <v>364</v>
      </c>
    </row>
    <row r="29392">
      <c r="H29392" s="8" t="s">
        <v>364</v>
      </c>
    </row>
    <row r="29393">
      <c r="H29393" s="8" t="s">
        <v>364</v>
      </c>
    </row>
    <row r="29394">
      <c r="H29394" s="8" t="s">
        <v>364</v>
      </c>
    </row>
    <row r="29395">
      <c r="H29395" s="8" t="s">
        <v>364</v>
      </c>
    </row>
    <row r="29396">
      <c r="H29396" s="8" t="s">
        <v>364</v>
      </c>
    </row>
    <row r="29397">
      <c r="H29397" s="8" t="s">
        <v>364</v>
      </c>
    </row>
    <row r="29398">
      <c r="H29398" s="8" t="s">
        <v>364</v>
      </c>
    </row>
    <row r="29399">
      <c r="H29399" s="8" t="s">
        <v>364</v>
      </c>
    </row>
    <row r="29400">
      <c r="H29400" s="8" t="s">
        <v>364</v>
      </c>
    </row>
    <row r="29401">
      <c r="H29401" s="8" t="s">
        <v>364</v>
      </c>
    </row>
    <row r="29402">
      <c r="H29402" s="8" t="s">
        <v>364</v>
      </c>
    </row>
    <row r="29403">
      <c r="H29403" s="8" t="s">
        <v>364</v>
      </c>
    </row>
    <row r="29404">
      <c r="H29404" s="8" t="s">
        <v>364</v>
      </c>
    </row>
    <row r="29405">
      <c r="H29405" s="8" t="s">
        <v>364</v>
      </c>
    </row>
    <row r="29406">
      <c r="H29406" s="8" t="s">
        <v>364</v>
      </c>
    </row>
    <row r="29407">
      <c r="H29407" s="8" t="s">
        <v>364</v>
      </c>
    </row>
    <row r="29408">
      <c r="H29408" s="8" t="s">
        <v>364</v>
      </c>
    </row>
    <row r="29409">
      <c r="H29409" s="8" t="s">
        <v>364</v>
      </c>
    </row>
    <row r="29410">
      <c r="H29410" s="8" t="s">
        <v>364</v>
      </c>
    </row>
    <row r="29411">
      <c r="H29411" s="8" t="s">
        <v>364</v>
      </c>
    </row>
    <row r="29412">
      <c r="H29412" s="8" t="s">
        <v>364</v>
      </c>
    </row>
    <row r="29413">
      <c r="H29413" s="8" t="s">
        <v>364</v>
      </c>
    </row>
    <row r="29414">
      <c r="H29414" s="8" t="s">
        <v>364</v>
      </c>
    </row>
    <row r="29415">
      <c r="H29415" s="8" t="s">
        <v>364</v>
      </c>
    </row>
    <row r="29416">
      <c r="H29416" s="8" t="s">
        <v>364</v>
      </c>
    </row>
    <row r="29417">
      <c r="H29417" s="8" t="s">
        <v>364</v>
      </c>
    </row>
    <row r="29418">
      <c r="H29418" s="8" t="s">
        <v>364</v>
      </c>
    </row>
    <row r="29419">
      <c r="H29419" s="8" t="s">
        <v>364</v>
      </c>
    </row>
    <row r="29420">
      <c r="H29420" s="8" t="s">
        <v>364</v>
      </c>
    </row>
    <row r="29421">
      <c r="H29421" s="8" t="s">
        <v>364</v>
      </c>
    </row>
    <row r="29422">
      <c r="H29422" s="8" t="s">
        <v>364</v>
      </c>
    </row>
    <row r="29423">
      <c r="H29423" s="8" t="s">
        <v>364</v>
      </c>
    </row>
    <row r="29424">
      <c r="H29424" s="8" t="s">
        <v>364</v>
      </c>
    </row>
    <row r="29425">
      <c r="H29425" s="8" t="s">
        <v>364</v>
      </c>
    </row>
    <row r="29426">
      <c r="H29426" s="8" t="s">
        <v>364</v>
      </c>
    </row>
    <row r="29427">
      <c r="H29427" s="8" t="s">
        <v>364</v>
      </c>
    </row>
    <row r="29428">
      <c r="H29428" s="8" t="s">
        <v>364</v>
      </c>
    </row>
    <row r="29429">
      <c r="H29429" s="8" t="s">
        <v>364</v>
      </c>
    </row>
    <row r="29430">
      <c r="H29430" s="8" t="s">
        <v>364</v>
      </c>
    </row>
    <row r="29431">
      <c r="H29431" s="8" t="s">
        <v>364</v>
      </c>
    </row>
    <row r="29432">
      <c r="H29432" s="8" t="s">
        <v>364</v>
      </c>
    </row>
    <row r="29433">
      <c r="H29433" s="8" t="s">
        <v>364</v>
      </c>
    </row>
    <row r="29434">
      <c r="H29434" s="8" t="s">
        <v>364</v>
      </c>
    </row>
    <row r="29435">
      <c r="H29435" s="8" t="s">
        <v>364</v>
      </c>
    </row>
    <row r="29436">
      <c r="H29436" s="8" t="s">
        <v>364</v>
      </c>
    </row>
    <row r="29437">
      <c r="H29437" s="8" t="s">
        <v>364</v>
      </c>
    </row>
    <row r="29438">
      <c r="H29438" s="8" t="s">
        <v>364</v>
      </c>
    </row>
    <row r="29439">
      <c r="H29439" s="8" t="s">
        <v>364</v>
      </c>
    </row>
    <row r="29440">
      <c r="H29440" s="8" t="s">
        <v>364</v>
      </c>
    </row>
    <row r="29441">
      <c r="H29441" s="8" t="s">
        <v>364</v>
      </c>
    </row>
    <row r="29442">
      <c r="H29442" s="8" t="s">
        <v>364</v>
      </c>
    </row>
    <row r="29443">
      <c r="H29443" s="8" t="s">
        <v>364</v>
      </c>
    </row>
    <row r="29444">
      <c r="H29444" s="8" t="s">
        <v>364</v>
      </c>
    </row>
    <row r="29445">
      <c r="H29445" s="8" t="s">
        <v>364</v>
      </c>
    </row>
    <row r="29446">
      <c r="H29446" s="8" t="s">
        <v>364</v>
      </c>
    </row>
    <row r="29447">
      <c r="H29447" s="8" t="s">
        <v>364</v>
      </c>
    </row>
    <row r="29448">
      <c r="H29448" s="8" t="s">
        <v>364</v>
      </c>
    </row>
    <row r="29449">
      <c r="H29449" s="8" t="s">
        <v>364</v>
      </c>
    </row>
    <row r="29450">
      <c r="H29450" s="8" t="s">
        <v>364</v>
      </c>
    </row>
    <row r="29451">
      <c r="H29451" s="8" t="s">
        <v>364</v>
      </c>
    </row>
    <row r="29452">
      <c r="H29452" s="8" t="s">
        <v>364</v>
      </c>
    </row>
    <row r="29453">
      <c r="H29453" s="8" t="s">
        <v>364</v>
      </c>
    </row>
    <row r="29454">
      <c r="H29454" s="8" t="s">
        <v>364</v>
      </c>
    </row>
    <row r="29455">
      <c r="H29455" s="8" t="s">
        <v>364</v>
      </c>
    </row>
    <row r="29456">
      <c r="H29456" s="8" t="s">
        <v>364</v>
      </c>
    </row>
    <row r="29457">
      <c r="H29457" s="8" t="s">
        <v>364</v>
      </c>
    </row>
    <row r="29458">
      <c r="H29458" s="8" t="s">
        <v>364</v>
      </c>
    </row>
    <row r="29459">
      <c r="H29459" s="8" t="s">
        <v>364</v>
      </c>
    </row>
    <row r="29460">
      <c r="H29460" s="8" t="s">
        <v>364</v>
      </c>
    </row>
    <row r="29461">
      <c r="H29461" s="8" t="s">
        <v>364</v>
      </c>
    </row>
    <row r="29462">
      <c r="H29462" s="8" t="s">
        <v>364</v>
      </c>
    </row>
    <row r="29463">
      <c r="H29463" s="8" t="s">
        <v>364</v>
      </c>
    </row>
    <row r="29464">
      <c r="H29464" s="8" t="s">
        <v>364</v>
      </c>
    </row>
    <row r="29465">
      <c r="H29465" s="8" t="s">
        <v>364</v>
      </c>
    </row>
    <row r="29466">
      <c r="H29466" s="8" t="s">
        <v>364</v>
      </c>
    </row>
    <row r="29467">
      <c r="H29467" s="8" t="s">
        <v>364</v>
      </c>
    </row>
    <row r="29468">
      <c r="H29468" s="8" t="s">
        <v>364</v>
      </c>
    </row>
    <row r="29469">
      <c r="H29469" s="8" t="s">
        <v>364</v>
      </c>
    </row>
    <row r="29470">
      <c r="H29470" s="8" t="s">
        <v>364</v>
      </c>
    </row>
    <row r="29471">
      <c r="H29471" s="8" t="s">
        <v>364</v>
      </c>
    </row>
    <row r="29472">
      <c r="H29472" s="8" t="s">
        <v>364</v>
      </c>
    </row>
    <row r="29473">
      <c r="H29473" s="8" t="s">
        <v>364</v>
      </c>
    </row>
    <row r="29474">
      <c r="H29474" s="8" t="s">
        <v>364</v>
      </c>
    </row>
    <row r="29475">
      <c r="H29475" s="8" t="s">
        <v>364</v>
      </c>
    </row>
    <row r="29476">
      <c r="H29476" s="8" t="s">
        <v>364</v>
      </c>
    </row>
    <row r="29477">
      <c r="H29477" s="8" t="s">
        <v>364</v>
      </c>
    </row>
    <row r="29478">
      <c r="H29478" s="8" t="s">
        <v>364</v>
      </c>
    </row>
    <row r="29479">
      <c r="H29479" s="8" t="s">
        <v>364</v>
      </c>
    </row>
    <row r="29480">
      <c r="H29480" s="8" t="s">
        <v>364</v>
      </c>
    </row>
    <row r="29481">
      <c r="H29481" s="8" t="s">
        <v>364</v>
      </c>
    </row>
    <row r="29482">
      <c r="H29482" s="8" t="s">
        <v>364</v>
      </c>
    </row>
    <row r="29483">
      <c r="H29483" s="8" t="s">
        <v>364</v>
      </c>
    </row>
    <row r="29484">
      <c r="H29484" s="8" t="s">
        <v>364</v>
      </c>
    </row>
    <row r="29485">
      <c r="H29485" s="8" t="s">
        <v>364</v>
      </c>
    </row>
    <row r="29486">
      <c r="H29486" s="8" t="s">
        <v>364</v>
      </c>
    </row>
    <row r="29487">
      <c r="H29487" s="8" t="s">
        <v>364</v>
      </c>
    </row>
    <row r="29488">
      <c r="H29488" s="8" t="s">
        <v>364</v>
      </c>
    </row>
    <row r="29489">
      <c r="H29489" s="8" t="s">
        <v>364</v>
      </c>
    </row>
    <row r="29490">
      <c r="H29490" s="8" t="s">
        <v>364</v>
      </c>
    </row>
    <row r="29491">
      <c r="H29491" s="8" t="s">
        <v>364</v>
      </c>
    </row>
    <row r="29492">
      <c r="H29492" s="8" t="s">
        <v>364</v>
      </c>
    </row>
    <row r="29493">
      <c r="H29493" s="8" t="s">
        <v>364</v>
      </c>
    </row>
    <row r="29494">
      <c r="H29494" s="8" t="s">
        <v>364</v>
      </c>
    </row>
    <row r="29495">
      <c r="H29495" s="8" t="s">
        <v>364</v>
      </c>
    </row>
    <row r="29496">
      <c r="H29496" s="8" t="s">
        <v>364</v>
      </c>
    </row>
    <row r="29497">
      <c r="H29497" s="8" t="s">
        <v>364</v>
      </c>
    </row>
    <row r="29498">
      <c r="H29498" s="8" t="s">
        <v>364</v>
      </c>
    </row>
    <row r="29499">
      <c r="H29499" s="8" t="s">
        <v>364</v>
      </c>
    </row>
    <row r="29500">
      <c r="H29500" s="8" t="s">
        <v>364</v>
      </c>
    </row>
    <row r="29501">
      <c r="H29501" s="8" t="s">
        <v>364</v>
      </c>
    </row>
    <row r="29502">
      <c r="H29502" s="8" t="s">
        <v>364</v>
      </c>
    </row>
    <row r="29503">
      <c r="H29503" s="8" t="s">
        <v>364</v>
      </c>
    </row>
    <row r="29504">
      <c r="H29504" s="8" t="s">
        <v>364</v>
      </c>
    </row>
    <row r="29505">
      <c r="H29505" s="8" t="s">
        <v>364</v>
      </c>
    </row>
    <row r="29506">
      <c r="H29506" s="8" t="s">
        <v>364</v>
      </c>
    </row>
    <row r="29507">
      <c r="H29507" s="8" t="s">
        <v>364</v>
      </c>
    </row>
    <row r="29508">
      <c r="H29508" s="8" t="s">
        <v>364</v>
      </c>
    </row>
    <row r="29509">
      <c r="H29509" s="8" t="s">
        <v>364</v>
      </c>
    </row>
    <row r="29510">
      <c r="H29510" s="8" t="s">
        <v>364</v>
      </c>
    </row>
    <row r="29511">
      <c r="H29511" s="8" t="s">
        <v>364</v>
      </c>
    </row>
    <row r="29512">
      <c r="H29512" s="8" t="s">
        <v>364</v>
      </c>
    </row>
    <row r="29513">
      <c r="H29513" s="8" t="s">
        <v>364</v>
      </c>
    </row>
    <row r="29514">
      <c r="H29514" s="8" t="s">
        <v>364</v>
      </c>
    </row>
    <row r="29515">
      <c r="H29515" s="8" t="s">
        <v>364</v>
      </c>
    </row>
    <row r="29516">
      <c r="H29516" s="8" t="s">
        <v>364</v>
      </c>
    </row>
    <row r="29517">
      <c r="H29517" s="8" t="s">
        <v>364</v>
      </c>
    </row>
    <row r="29518">
      <c r="H29518" s="8" t="s">
        <v>364</v>
      </c>
    </row>
    <row r="29519">
      <c r="H29519" s="8" t="s">
        <v>364</v>
      </c>
    </row>
    <row r="29520">
      <c r="H29520" s="8" t="s">
        <v>364</v>
      </c>
    </row>
    <row r="29521">
      <c r="H29521" s="8" t="s">
        <v>364</v>
      </c>
    </row>
    <row r="29522">
      <c r="H29522" s="8" t="s">
        <v>364</v>
      </c>
    </row>
    <row r="29523">
      <c r="H29523" s="8" t="s">
        <v>364</v>
      </c>
    </row>
    <row r="29524">
      <c r="H29524" s="8" t="s">
        <v>364</v>
      </c>
    </row>
    <row r="29525">
      <c r="H29525" s="8" t="s">
        <v>364</v>
      </c>
    </row>
    <row r="29526">
      <c r="H29526" s="8" t="s">
        <v>364</v>
      </c>
    </row>
    <row r="29527">
      <c r="H29527" s="8" t="s">
        <v>364</v>
      </c>
    </row>
    <row r="29528">
      <c r="H29528" s="8" t="s">
        <v>364</v>
      </c>
    </row>
    <row r="29529">
      <c r="H29529" s="8" t="s">
        <v>364</v>
      </c>
    </row>
    <row r="29530">
      <c r="H29530" s="8" t="s">
        <v>364</v>
      </c>
    </row>
    <row r="29531">
      <c r="H29531" s="8" t="s">
        <v>364</v>
      </c>
    </row>
    <row r="29532">
      <c r="H29532" s="8" t="s">
        <v>364</v>
      </c>
    </row>
    <row r="29533">
      <c r="H29533" s="8" t="s">
        <v>364</v>
      </c>
    </row>
    <row r="29534">
      <c r="H29534" s="8" t="s">
        <v>364</v>
      </c>
    </row>
    <row r="29535">
      <c r="H29535" s="8" t="s">
        <v>364</v>
      </c>
    </row>
    <row r="29536">
      <c r="H29536" s="8" t="s">
        <v>364</v>
      </c>
    </row>
    <row r="29537">
      <c r="H29537" s="8" t="s">
        <v>364</v>
      </c>
    </row>
    <row r="29538">
      <c r="H29538" s="8" t="s">
        <v>364</v>
      </c>
    </row>
    <row r="29539">
      <c r="H29539" s="8" t="s">
        <v>364</v>
      </c>
    </row>
    <row r="29540">
      <c r="H29540" s="8" t="s">
        <v>364</v>
      </c>
    </row>
    <row r="29541">
      <c r="H29541" s="8" t="s">
        <v>364</v>
      </c>
    </row>
    <row r="29542">
      <c r="H29542" s="8" t="s">
        <v>364</v>
      </c>
    </row>
    <row r="29543">
      <c r="H29543" s="8" t="s">
        <v>364</v>
      </c>
    </row>
    <row r="29544">
      <c r="H29544" s="8" t="s">
        <v>364</v>
      </c>
    </row>
    <row r="29545">
      <c r="H29545" s="8" t="s">
        <v>364</v>
      </c>
    </row>
    <row r="29546">
      <c r="H29546" s="8" t="s">
        <v>364</v>
      </c>
    </row>
    <row r="29547">
      <c r="H29547" s="8" t="s">
        <v>364</v>
      </c>
    </row>
    <row r="29548">
      <c r="H29548" s="8" t="s">
        <v>364</v>
      </c>
    </row>
    <row r="29549">
      <c r="H29549" s="8" t="s">
        <v>364</v>
      </c>
    </row>
    <row r="29550">
      <c r="H29550" s="8" t="s">
        <v>364</v>
      </c>
    </row>
    <row r="29551">
      <c r="H29551" s="8" t="s">
        <v>364</v>
      </c>
    </row>
    <row r="29552">
      <c r="H29552" s="8" t="s">
        <v>364</v>
      </c>
    </row>
    <row r="29553">
      <c r="H29553" s="8" t="s">
        <v>364</v>
      </c>
    </row>
    <row r="29554">
      <c r="H29554" s="8" t="s">
        <v>364</v>
      </c>
    </row>
    <row r="29555">
      <c r="H29555" s="8" t="s">
        <v>364</v>
      </c>
    </row>
    <row r="29556">
      <c r="H29556" s="8" t="s">
        <v>364</v>
      </c>
    </row>
    <row r="29557">
      <c r="H29557" s="8" t="s">
        <v>364</v>
      </c>
    </row>
    <row r="29558">
      <c r="H29558" s="8" t="s">
        <v>364</v>
      </c>
    </row>
    <row r="29559">
      <c r="H29559" s="8" t="s">
        <v>364</v>
      </c>
    </row>
    <row r="29560">
      <c r="H29560" s="8" t="s">
        <v>364</v>
      </c>
    </row>
    <row r="29561">
      <c r="H29561" s="8" t="s">
        <v>364</v>
      </c>
    </row>
    <row r="29562">
      <c r="H29562" s="8" t="s">
        <v>364</v>
      </c>
    </row>
    <row r="29563">
      <c r="H29563" s="8" t="s">
        <v>364</v>
      </c>
    </row>
    <row r="29564">
      <c r="H29564" s="8" t="s">
        <v>364</v>
      </c>
    </row>
    <row r="29565">
      <c r="H29565" s="8" t="s">
        <v>364</v>
      </c>
    </row>
    <row r="29566">
      <c r="H29566" s="8" t="s">
        <v>364</v>
      </c>
    </row>
    <row r="29567">
      <c r="H29567" s="8" t="s">
        <v>364</v>
      </c>
    </row>
    <row r="29568">
      <c r="H29568" s="8" t="s">
        <v>364</v>
      </c>
    </row>
    <row r="29569">
      <c r="H29569" s="8" t="s">
        <v>364</v>
      </c>
    </row>
    <row r="29570">
      <c r="H29570" s="8" t="s">
        <v>364</v>
      </c>
    </row>
    <row r="29571">
      <c r="H29571" s="8" t="s">
        <v>364</v>
      </c>
    </row>
    <row r="29572">
      <c r="H29572" s="8" t="s">
        <v>364</v>
      </c>
    </row>
    <row r="29573">
      <c r="H29573" s="8" t="s">
        <v>364</v>
      </c>
    </row>
    <row r="29574">
      <c r="H29574" s="8" t="s">
        <v>364</v>
      </c>
    </row>
    <row r="29575">
      <c r="H29575" s="8" t="s">
        <v>364</v>
      </c>
    </row>
    <row r="29576">
      <c r="H29576" s="8" t="s">
        <v>364</v>
      </c>
    </row>
    <row r="29577">
      <c r="H29577" s="8" t="s">
        <v>364</v>
      </c>
    </row>
    <row r="29578">
      <c r="H29578" s="8" t="s">
        <v>364</v>
      </c>
    </row>
    <row r="29579">
      <c r="H29579" s="8" t="s">
        <v>364</v>
      </c>
    </row>
    <row r="29580">
      <c r="H29580" s="8" t="s">
        <v>364</v>
      </c>
    </row>
    <row r="29581">
      <c r="H29581" s="8" t="s">
        <v>364</v>
      </c>
    </row>
    <row r="29582">
      <c r="H29582" s="8" t="s">
        <v>364</v>
      </c>
    </row>
    <row r="29583">
      <c r="H29583" s="8" t="s">
        <v>364</v>
      </c>
    </row>
    <row r="29584">
      <c r="H29584" s="8" t="s">
        <v>364</v>
      </c>
    </row>
    <row r="29585">
      <c r="H29585" s="8" t="s">
        <v>364</v>
      </c>
    </row>
    <row r="29586">
      <c r="H29586" s="8" t="s">
        <v>364</v>
      </c>
    </row>
    <row r="29587">
      <c r="H29587" s="8" t="s">
        <v>364</v>
      </c>
    </row>
    <row r="29588">
      <c r="H29588" s="8" t="s">
        <v>364</v>
      </c>
    </row>
    <row r="29589">
      <c r="H29589" s="8" t="s">
        <v>364</v>
      </c>
    </row>
    <row r="29590">
      <c r="H29590" s="8" t="s">
        <v>364</v>
      </c>
    </row>
    <row r="29591">
      <c r="H29591" s="8" t="s">
        <v>364</v>
      </c>
    </row>
    <row r="29592">
      <c r="H29592" s="8" t="s">
        <v>364</v>
      </c>
    </row>
    <row r="29593">
      <c r="H29593" s="8" t="s">
        <v>364</v>
      </c>
    </row>
    <row r="29594">
      <c r="H29594" s="8" t="s">
        <v>364</v>
      </c>
    </row>
    <row r="29595">
      <c r="H29595" s="8" t="s">
        <v>364</v>
      </c>
    </row>
    <row r="29596">
      <c r="H29596" s="8" t="s">
        <v>364</v>
      </c>
    </row>
    <row r="29597">
      <c r="H29597" s="8" t="s">
        <v>364</v>
      </c>
    </row>
    <row r="29598">
      <c r="H29598" s="8" t="s">
        <v>364</v>
      </c>
    </row>
    <row r="29599">
      <c r="H29599" s="8" t="s">
        <v>364</v>
      </c>
    </row>
    <row r="29600">
      <c r="H29600" s="8" t="s">
        <v>364</v>
      </c>
    </row>
    <row r="29601">
      <c r="H29601" s="8" t="s">
        <v>364</v>
      </c>
    </row>
    <row r="29602">
      <c r="H29602" s="8" t="s">
        <v>364</v>
      </c>
    </row>
    <row r="29603">
      <c r="H29603" s="8" t="s">
        <v>364</v>
      </c>
    </row>
    <row r="29604">
      <c r="H29604" s="8" t="s">
        <v>364</v>
      </c>
    </row>
    <row r="29605">
      <c r="H29605" s="8" t="s">
        <v>364</v>
      </c>
    </row>
    <row r="29606">
      <c r="H29606" s="8" t="s">
        <v>364</v>
      </c>
    </row>
    <row r="29607">
      <c r="H29607" s="8" t="s">
        <v>364</v>
      </c>
    </row>
    <row r="29608">
      <c r="H29608" s="8" t="s">
        <v>364</v>
      </c>
    </row>
    <row r="29609">
      <c r="H29609" s="8" t="s">
        <v>364</v>
      </c>
    </row>
    <row r="29610">
      <c r="H29610" s="8" t="s">
        <v>364</v>
      </c>
    </row>
    <row r="29611">
      <c r="H29611" s="8" t="s">
        <v>364</v>
      </c>
    </row>
    <row r="29612">
      <c r="H29612" s="8" t="s">
        <v>364</v>
      </c>
    </row>
    <row r="29613">
      <c r="H29613" s="8" t="s">
        <v>364</v>
      </c>
    </row>
    <row r="29614">
      <c r="H29614" s="8" t="s">
        <v>364</v>
      </c>
    </row>
    <row r="29615">
      <c r="H29615" s="8" t="s">
        <v>364</v>
      </c>
    </row>
    <row r="29616">
      <c r="H29616" s="8" t="s">
        <v>364</v>
      </c>
    </row>
    <row r="29617">
      <c r="H29617" s="8" t="s">
        <v>364</v>
      </c>
    </row>
    <row r="29618">
      <c r="H29618" s="8" t="s">
        <v>364</v>
      </c>
    </row>
    <row r="29619">
      <c r="H29619" s="8" t="s">
        <v>364</v>
      </c>
    </row>
    <row r="29620">
      <c r="H29620" s="8" t="s">
        <v>364</v>
      </c>
    </row>
    <row r="29621">
      <c r="H29621" s="8" t="s">
        <v>364</v>
      </c>
    </row>
    <row r="29622">
      <c r="H29622" s="8" t="s">
        <v>364</v>
      </c>
    </row>
    <row r="29623">
      <c r="H29623" s="8" t="s">
        <v>364</v>
      </c>
    </row>
    <row r="29624">
      <c r="H29624" s="8" t="s">
        <v>364</v>
      </c>
    </row>
    <row r="29625">
      <c r="H29625" s="8" t="s">
        <v>364</v>
      </c>
    </row>
    <row r="29626">
      <c r="H29626" s="8" t="s">
        <v>364</v>
      </c>
    </row>
    <row r="29627">
      <c r="H29627" s="8" t="s">
        <v>364</v>
      </c>
    </row>
    <row r="29628">
      <c r="H29628" s="8" t="s">
        <v>364</v>
      </c>
    </row>
    <row r="29629">
      <c r="H29629" s="8" t="s">
        <v>364</v>
      </c>
    </row>
    <row r="29630">
      <c r="H29630" s="8" t="s">
        <v>364</v>
      </c>
    </row>
    <row r="29631">
      <c r="H29631" s="8" t="s">
        <v>364</v>
      </c>
    </row>
    <row r="29632">
      <c r="H29632" s="8" t="s">
        <v>364</v>
      </c>
    </row>
    <row r="29633">
      <c r="H29633" s="8" t="s">
        <v>364</v>
      </c>
    </row>
    <row r="29634">
      <c r="H29634" s="8" t="s">
        <v>364</v>
      </c>
    </row>
    <row r="29635">
      <c r="H29635" s="8" t="s">
        <v>364</v>
      </c>
    </row>
    <row r="29636">
      <c r="H29636" s="8" t="s">
        <v>364</v>
      </c>
    </row>
    <row r="29637">
      <c r="H29637" s="8" t="s">
        <v>364</v>
      </c>
    </row>
    <row r="29638">
      <c r="H29638" s="8" t="s">
        <v>364</v>
      </c>
    </row>
    <row r="29639">
      <c r="H29639" s="8" t="s">
        <v>364</v>
      </c>
    </row>
    <row r="29640">
      <c r="H29640" s="8" t="s">
        <v>364</v>
      </c>
    </row>
    <row r="29641">
      <c r="H29641" s="8" t="s">
        <v>364</v>
      </c>
    </row>
    <row r="29642">
      <c r="H29642" s="8" t="s">
        <v>364</v>
      </c>
    </row>
    <row r="29643">
      <c r="H29643" s="8" t="s">
        <v>364</v>
      </c>
    </row>
    <row r="29644">
      <c r="H29644" s="8" t="s">
        <v>364</v>
      </c>
    </row>
    <row r="29645">
      <c r="H29645" s="8" t="s">
        <v>364</v>
      </c>
    </row>
    <row r="29646">
      <c r="H29646" s="8" t="s">
        <v>364</v>
      </c>
    </row>
    <row r="29647">
      <c r="H29647" s="8" t="s">
        <v>364</v>
      </c>
    </row>
    <row r="29648">
      <c r="H29648" s="8" t="s">
        <v>364</v>
      </c>
    </row>
    <row r="29649">
      <c r="H29649" s="8" t="s">
        <v>364</v>
      </c>
    </row>
    <row r="29650">
      <c r="H29650" s="8" t="s">
        <v>364</v>
      </c>
    </row>
    <row r="29651">
      <c r="H29651" s="8" t="s">
        <v>364</v>
      </c>
    </row>
    <row r="29652">
      <c r="H29652" s="8" t="s">
        <v>364</v>
      </c>
    </row>
    <row r="29653">
      <c r="H29653" s="8" t="s">
        <v>364</v>
      </c>
    </row>
    <row r="29654">
      <c r="H29654" s="8" t="s">
        <v>364</v>
      </c>
    </row>
    <row r="29655">
      <c r="H29655" s="8" t="s">
        <v>364</v>
      </c>
    </row>
    <row r="29656">
      <c r="H29656" s="8" t="s">
        <v>364</v>
      </c>
    </row>
    <row r="29657">
      <c r="H29657" s="8" t="s">
        <v>364</v>
      </c>
    </row>
    <row r="29658">
      <c r="H29658" s="8" t="s">
        <v>364</v>
      </c>
    </row>
    <row r="29659">
      <c r="H29659" s="8" t="s">
        <v>364</v>
      </c>
    </row>
    <row r="29660">
      <c r="H29660" s="8" t="s">
        <v>364</v>
      </c>
    </row>
    <row r="29661">
      <c r="H29661" s="8" t="s">
        <v>364</v>
      </c>
    </row>
    <row r="29662">
      <c r="H29662" s="8" t="s">
        <v>364</v>
      </c>
    </row>
    <row r="29663">
      <c r="H29663" s="8" t="s">
        <v>364</v>
      </c>
    </row>
    <row r="29664">
      <c r="H29664" s="8" t="s">
        <v>364</v>
      </c>
    </row>
    <row r="29665">
      <c r="H29665" s="8" t="s">
        <v>364</v>
      </c>
    </row>
    <row r="29666">
      <c r="H29666" s="8" t="s">
        <v>364</v>
      </c>
    </row>
    <row r="29667">
      <c r="H29667" s="8" t="s">
        <v>364</v>
      </c>
    </row>
    <row r="29668">
      <c r="H29668" s="8" t="s">
        <v>364</v>
      </c>
    </row>
    <row r="29669">
      <c r="H29669" s="8" t="s">
        <v>364</v>
      </c>
    </row>
    <row r="29670">
      <c r="H29670" s="8" t="s">
        <v>364</v>
      </c>
    </row>
    <row r="29671">
      <c r="H29671" s="8" t="s">
        <v>364</v>
      </c>
    </row>
    <row r="29672">
      <c r="H29672" s="8" t="s">
        <v>364</v>
      </c>
    </row>
    <row r="29673">
      <c r="H29673" s="8" t="s">
        <v>364</v>
      </c>
    </row>
    <row r="29674">
      <c r="H29674" s="8" t="s">
        <v>364</v>
      </c>
    </row>
    <row r="29675">
      <c r="H29675" s="8" t="s">
        <v>364</v>
      </c>
    </row>
    <row r="29676">
      <c r="H29676" s="8" t="s">
        <v>364</v>
      </c>
    </row>
    <row r="29677">
      <c r="H29677" s="8" t="s">
        <v>364</v>
      </c>
    </row>
    <row r="29678">
      <c r="H29678" s="8" t="s">
        <v>364</v>
      </c>
    </row>
    <row r="29679">
      <c r="H29679" s="8" t="s">
        <v>364</v>
      </c>
    </row>
    <row r="29680">
      <c r="H29680" s="8" t="s">
        <v>364</v>
      </c>
    </row>
    <row r="29681">
      <c r="H29681" s="8" t="s">
        <v>364</v>
      </c>
    </row>
    <row r="29682">
      <c r="H29682" s="8" t="s">
        <v>364</v>
      </c>
    </row>
    <row r="29683">
      <c r="H29683" s="8" t="s">
        <v>364</v>
      </c>
    </row>
    <row r="29684">
      <c r="H29684" s="8" t="s">
        <v>364</v>
      </c>
    </row>
    <row r="29685">
      <c r="H29685" s="8" t="s">
        <v>364</v>
      </c>
    </row>
    <row r="29686">
      <c r="H29686" s="8" t="s">
        <v>364</v>
      </c>
    </row>
    <row r="29687">
      <c r="H29687" s="8" t="s">
        <v>364</v>
      </c>
    </row>
    <row r="29688">
      <c r="H29688" s="8" t="s">
        <v>364</v>
      </c>
    </row>
    <row r="29689">
      <c r="H29689" s="8" t="s">
        <v>364</v>
      </c>
    </row>
    <row r="29690">
      <c r="H29690" s="8" t="s">
        <v>364</v>
      </c>
    </row>
    <row r="29691">
      <c r="H29691" s="8" t="s">
        <v>364</v>
      </c>
    </row>
    <row r="29692">
      <c r="H29692" s="8" t="s">
        <v>364</v>
      </c>
    </row>
    <row r="29693">
      <c r="H29693" s="8" t="s">
        <v>364</v>
      </c>
    </row>
    <row r="29694">
      <c r="H29694" s="8" t="s">
        <v>364</v>
      </c>
    </row>
    <row r="29695">
      <c r="H29695" s="8" t="s">
        <v>364</v>
      </c>
    </row>
    <row r="29696">
      <c r="H29696" s="8" t="s">
        <v>364</v>
      </c>
    </row>
    <row r="29697">
      <c r="H29697" s="8" t="s">
        <v>364</v>
      </c>
    </row>
    <row r="29698">
      <c r="H29698" s="8" t="s">
        <v>364</v>
      </c>
    </row>
    <row r="29699">
      <c r="H29699" s="8" t="s">
        <v>364</v>
      </c>
    </row>
    <row r="29700">
      <c r="H29700" s="8" t="s">
        <v>364</v>
      </c>
    </row>
    <row r="29701">
      <c r="H29701" s="8" t="s">
        <v>364</v>
      </c>
    </row>
    <row r="29702">
      <c r="H29702" s="8" t="s">
        <v>364</v>
      </c>
    </row>
    <row r="29703">
      <c r="H29703" s="8" t="s">
        <v>364</v>
      </c>
    </row>
    <row r="29704">
      <c r="H29704" s="8" t="s">
        <v>364</v>
      </c>
    </row>
    <row r="29705">
      <c r="H29705" s="8" t="s">
        <v>364</v>
      </c>
    </row>
    <row r="29706">
      <c r="H29706" s="8" t="s">
        <v>364</v>
      </c>
    </row>
    <row r="29707">
      <c r="H29707" s="8" t="s">
        <v>364</v>
      </c>
    </row>
    <row r="29708">
      <c r="H29708" s="8" t="s">
        <v>364</v>
      </c>
    </row>
    <row r="29709">
      <c r="H29709" s="8" t="s">
        <v>364</v>
      </c>
    </row>
    <row r="29710">
      <c r="H29710" s="8" t="s">
        <v>364</v>
      </c>
    </row>
    <row r="29711">
      <c r="H29711" s="8" t="s">
        <v>364</v>
      </c>
    </row>
    <row r="29712">
      <c r="H29712" s="8" t="s">
        <v>364</v>
      </c>
    </row>
    <row r="29713">
      <c r="H29713" s="8" t="s">
        <v>364</v>
      </c>
    </row>
    <row r="29714">
      <c r="H29714" s="8" t="s">
        <v>364</v>
      </c>
    </row>
    <row r="29715">
      <c r="H29715" s="8" t="s">
        <v>364</v>
      </c>
    </row>
    <row r="29716">
      <c r="H29716" s="8" t="s">
        <v>364</v>
      </c>
    </row>
    <row r="29717">
      <c r="H29717" s="8" t="s">
        <v>364</v>
      </c>
    </row>
    <row r="29718">
      <c r="H29718" s="8" t="s">
        <v>364</v>
      </c>
    </row>
    <row r="29719">
      <c r="H29719" s="8" t="s">
        <v>364</v>
      </c>
    </row>
    <row r="29720">
      <c r="H29720" s="8" t="s">
        <v>364</v>
      </c>
    </row>
    <row r="29721">
      <c r="H29721" s="8" t="s">
        <v>364</v>
      </c>
    </row>
    <row r="29722">
      <c r="H29722" s="8" t="s">
        <v>364</v>
      </c>
    </row>
    <row r="29723">
      <c r="H29723" s="8" t="s">
        <v>364</v>
      </c>
    </row>
    <row r="29724">
      <c r="H29724" s="8" t="s">
        <v>364</v>
      </c>
    </row>
    <row r="29725">
      <c r="H29725" s="8" t="s">
        <v>364</v>
      </c>
    </row>
    <row r="29726">
      <c r="H29726" s="8" t="s">
        <v>364</v>
      </c>
    </row>
    <row r="29727">
      <c r="H29727" s="8" t="s">
        <v>364</v>
      </c>
    </row>
    <row r="29728">
      <c r="H29728" s="8" t="s">
        <v>364</v>
      </c>
    </row>
    <row r="29729">
      <c r="H29729" s="8" t="s">
        <v>364</v>
      </c>
    </row>
    <row r="29730">
      <c r="H29730" s="8" t="s">
        <v>364</v>
      </c>
    </row>
    <row r="29731">
      <c r="H29731" s="8" t="s">
        <v>364</v>
      </c>
    </row>
    <row r="29732">
      <c r="H29732" s="8" t="s">
        <v>364</v>
      </c>
    </row>
    <row r="29733">
      <c r="H29733" s="8" t="s">
        <v>364</v>
      </c>
    </row>
    <row r="29734">
      <c r="H29734" s="8" t="s">
        <v>364</v>
      </c>
    </row>
    <row r="29735">
      <c r="H29735" s="8" t="s">
        <v>364</v>
      </c>
    </row>
    <row r="29736">
      <c r="H29736" s="8" t="s">
        <v>364</v>
      </c>
    </row>
    <row r="29737">
      <c r="H29737" s="8" t="s">
        <v>364</v>
      </c>
    </row>
    <row r="29738">
      <c r="H29738" s="8" t="s">
        <v>364</v>
      </c>
    </row>
    <row r="29739">
      <c r="H29739" s="8" t="s">
        <v>364</v>
      </c>
    </row>
    <row r="29740">
      <c r="H29740" s="8" t="s">
        <v>364</v>
      </c>
    </row>
    <row r="29741">
      <c r="H29741" s="8" t="s">
        <v>364</v>
      </c>
    </row>
    <row r="29742">
      <c r="H29742" s="8" t="s">
        <v>364</v>
      </c>
    </row>
    <row r="29743">
      <c r="H29743" s="8" t="s">
        <v>364</v>
      </c>
    </row>
    <row r="29744">
      <c r="H29744" s="8" t="s">
        <v>364</v>
      </c>
    </row>
    <row r="29745">
      <c r="H29745" s="8" t="s">
        <v>364</v>
      </c>
    </row>
    <row r="29746">
      <c r="H29746" s="8" t="s">
        <v>364</v>
      </c>
    </row>
    <row r="29747">
      <c r="H29747" s="8" t="s">
        <v>364</v>
      </c>
    </row>
    <row r="29748">
      <c r="H29748" s="8" t="s">
        <v>364</v>
      </c>
    </row>
    <row r="29749">
      <c r="H29749" s="8" t="s">
        <v>364</v>
      </c>
    </row>
    <row r="29750">
      <c r="H29750" s="8" t="s">
        <v>364</v>
      </c>
    </row>
    <row r="29751">
      <c r="H29751" s="8" t="s">
        <v>364</v>
      </c>
    </row>
    <row r="29752">
      <c r="H29752" s="8" t="s">
        <v>364</v>
      </c>
    </row>
    <row r="29753">
      <c r="H29753" s="8" t="s">
        <v>364</v>
      </c>
    </row>
    <row r="29754">
      <c r="H29754" s="8" t="s">
        <v>364</v>
      </c>
    </row>
    <row r="29755">
      <c r="H29755" s="8" t="s">
        <v>364</v>
      </c>
    </row>
    <row r="29756">
      <c r="H29756" s="8" t="s">
        <v>364</v>
      </c>
    </row>
    <row r="29757">
      <c r="H29757" s="8" t="s">
        <v>364</v>
      </c>
    </row>
    <row r="29758">
      <c r="H29758" s="8" t="s">
        <v>364</v>
      </c>
    </row>
    <row r="29759">
      <c r="H29759" s="8" t="s">
        <v>364</v>
      </c>
    </row>
    <row r="29760">
      <c r="H29760" s="8" t="s">
        <v>364</v>
      </c>
    </row>
    <row r="29761">
      <c r="H29761" s="8" t="s">
        <v>364</v>
      </c>
    </row>
    <row r="29762">
      <c r="H29762" s="8" t="s">
        <v>364</v>
      </c>
    </row>
    <row r="29763">
      <c r="H29763" s="8" t="s">
        <v>364</v>
      </c>
    </row>
    <row r="29764">
      <c r="H29764" s="8" t="s">
        <v>364</v>
      </c>
    </row>
    <row r="29765">
      <c r="H29765" s="8" t="s">
        <v>364</v>
      </c>
    </row>
    <row r="29766">
      <c r="H29766" s="8" t="s">
        <v>364</v>
      </c>
    </row>
    <row r="29767">
      <c r="H29767" s="8" t="s">
        <v>364</v>
      </c>
    </row>
    <row r="29768">
      <c r="H29768" s="8" t="s">
        <v>364</v>
      </c>
    </row>
    <row r="29769">
      <c r="H29769" s="8" t="s">
        <v>364</v>
      </c>
    </row>
    <row r="29770">
      <c r="H29770" s="8" t="s">
        <v>364</v>
      </c>
    </row>
    <row r="29771">
      <c r="H29771" s="8" t="s">
        <v>364</v>
      </c>
    </row>
    <row r="29772">
      <c r="H29772" s="8" t="s">
        <v>364</v>
      </c>
    </row>
    <row r="29773">
      <c r="H29773" s="8" t="s">
        <v>364</v>
      </c>
    </row>
    <row r="29774">
      <c r="H29774" s="8" t="s">
        <v>364</v>
      </c>
    </row>
    <row r="29775">
      <c r="H29775" s="8" t="s">
        <v>364</v>
      </c>
    </row>
    <row r="29776">
      <c r="H29776" s="8" t="s">
        <v>364</v>
      </c>
    </row>
    <row r="29777">
      <c r="H29777" s="8" t="s">
        <v>364</v>
      </c>
    </row>
    <row r="29778">
      <c r="H29778" s="8" t="s">
        <v>364</v>
      </c>
    </row>
    <row r="29779">
      <c r="H29779" s="8" t="s">
        <v>364</v>
      </c>
    </row>
    <row r="29780">
      <c r="H29780" s="8" t="s">
        <v>364</v>
      </c>
    </row>
    <row r="29781">
      <c r="H29781" s="8" t="s">
        <v>364</v>
      </c>
    </row>
    <row r="29782">
      <c r="H29782" s="8" t="s">
        <v>364</v>
      </c>
    </row>
    <row r="29783">
      <c r="H29783" s="8" t="s">
        <v>364</v>
      </c>
    </row>
    <row r="29784">
      <c r="H29784" s="8" t="s">
        <v>364</v>
      </c>
    </row>
    <row r="29785">
      <c r="H29785" s="8" t="s">
        <v>364</v>
      </c>
    </row>
    <row r="29786">
      <c r="H29786" s="8" t="s">
        <v>364</v>
      </c>
    </row>
    <row r="29787">
      <c r="H29787" s="8" t="s">
        <v>364</v>
      </c>
    </row>
    <row r="29788">
      <c r="H29788" s="8" t="s">
        <v>364</v>
      </c>
    </row>
    <row r="29789">
      <c r="H29789" s="8" t="s">
        <v>364</v>
      </c>
    </row>
    <row r="29790">
      <c r="H29790" s="8" t="s">
        <v>364</v>
      </c>
    </row>
    <row r="29791">
      <c r="H29791" s="8" t="s">
        <v>364</v>
      </c>
    </row>
    <row r="29792">
      <c r="H29792" s="8" t="s">
        <v>364</v>
      </c>
    </row>
    <row r="29793">
      <c r="H29793" s="8" t="s">
        <v>364</v>
      </c>
    </row>
    <row r="29794">
      <c r="H29794" s="8" t="s">
        <v>364</v>
      </c>
    </row>
    <row r="29795">
      <c r="H29795" s="8" t="s">
        <v>364</v>
      </c>
    </row>
    <row r="29796">
      <c r="H29796" s="8" t="s">
        <v>364</v>
      </c>
    </row>
    <row r="29797">
      <c r="H29797" s="8" t="s">
        <v>364</v>
      </c>
    </row>
    <row r="29798">
      <c r="H29798" s="8" t="s">
        <v>364</v>
      </c>
    </row>
    <row r="29799">
      <c r="H29799" s="8" t="s">
        <v>364</v>
      </c>
    </row>
    <row r="29800">
      <c r="H29800" s="8" t="s">
        <v>364</v>
      </c>
    </row>
    <row r="29801">
      <c r="H29801" s="8" t="s">
        <v>364</v>
      </c>
    </row>
    <row r="29802">
      <c r="H29802" s="8" t="s">
        <v>364</v>
      </c>
    </row>
    <row r="29803">
      <c r="H29803" s="8" t="s">
        <v>364</v>
      </c>
    </row>
    <row r="29804">
      <c r="H29804" s="8" t="s">
        <v>364</v>
      </c>
    </row>
    <row r="29805">
      <c r="H29805" s="8" t="s">
        <v>364</v>
      </c>
    </row>
    <row r="29806">
      <c r="H29806" s="8" t="s">
        <v>364</v>
      </c>
    </row>
    <row r="29807">
      <c r="H29807" s="8" t="s">
        <v>364</v>
      </c>
    </row>
    <row r="29808">
      <c r="H29808" s="8" t="s">
        <v>364</v>
      </c>
    </row>
    <row r="29809">
      <c r="H29809" s="8" t="s">
        <v>364</v>
      </c>
    </row>
    <row r="29810">
      <c r="H29810" s="8" t="s">
        <v>364</v>
      </c>
    </row>
    <row r="29811">
      <c r="H29811" s="8" t="s">
        <v>364</v>
      </c>
    </row>
    <row r="29812">
      <c r="H29812" s="8" t="s">
        <v>364</v>
      </c>
    </row>
    <row r="29813">
      <c r="H29813" s="8" t="s">
        <v>364</v>
      </c>
    </row>
    <row r="29814">
      <c r="H29814" s="8" t="s">
        <v>364</v>
      </c>
    </row>
    <row r="29815">
      <c r="H29815" s="8" t="s">
        <v>364</v>
      </c>
    </row>
    <row r="29816">
      <c r="H29816" s="8" t="s">
        <v>364</v>
      </c>
    </row>
    <row r="29817">
      <c r="H29817" s="8" t="s">
        <v>364</v>
      </c>
    </row>
    <row r="29818">
      <c r="H29818" s="8" t="s">
        <v>364</v>
      </c>
    </row>
    <row r="29819">
      <c r="H29819" s="8" t="s">
        <v>364</v>
      </c>
    </row>
    <row r="29820">
      <c r="H29820" s="8" t="s">
        <v>364</v>
      </c>
    </row>
    <row r="29821">
      <c r="H29821" s="8" t="s">
        <v>364</v>
      </c>
    </row>
    <row r="29822">
      <c r="H29822" s="8" t="s">
        <v>364</v>
      </c>
    </row>
    <row r="29823">
      <c r="H29823" s="8" t="s">
        <v>364</v>
      </c>
    </row>
    <row r="29824">
      <c r="H29824" s="8" t="s">
        <v>364</v>
      </c>
    </row>
    <row r="29825">
      <c r="H29825" s="8" t="s">
        <v>364</v>
      </c>
    </row>
    <row r="29826">
      <c r="H29826" s="8" t="s">
        <v>364</v>
      </c>
    </row>
    <row r="29827">
      <c r="H29827" s="8" t="s">
        <v>364</v>
      </c>
    </row>
    <row r="29828">
      <c r="H29828" s="8" t="s">
        <v>364</v>
      </c>
    </row>
    <row r="29829">
      <c r="H29829" s="8" t="s">
        <v>364</v>
      </c>
    </row>
    <row r="29830">
      <c r="H29830" s="8" t="s">
        <v>364</v>
      </c>
    </row>
    <row r="29831">
      <c r="H29831" s="8" t="s">
        <v>364</v>
      </c>
    </row>
    <row r="29832">
      <c r="H29832" s="8" t="s">
        <v>364</v>
      </c>
    </row>
    <row r="29833">
      <c r="H29833" s="8" t="s">
        <v>364</v>
      </c>
    </row>
    <row r="29834">
      <c r="H29834" s="8" t="s">
        <v>364</v>
      </c>
    </row>
    <row r="29835">
      <c r="H29835" s="8" t="s">
        <v>364</v>
      </c>
    </row>
    <row r="29836">
      <c r="H29836" s="8" t="s">
        <v>364</v>
      </c>
    </row>
    <row r="29837">
      <c r="H29837" s="8" t="s">
        <v>364</v>
      </c>
    </row>
    <row r="29838">
      <c r="H29838" s="8" t="s">
        <v>364</v>
      </c>
    </row>
    <row r="29839">
      <c r="H29839" s="8" t="s">
        <v>364</v>
      </c>
    </row>
    <row r="29840">
      <c r="H29840" s="8" t="s">
        <v>364</v>
      </c>
    </row>
    <row r="29841">
      <c r="H29841" s="8" t="s">
        <v>364</v>
      </c>
    </row>
    <row r="29842">
      <c r="H29842" s="8" t="s">
        <v>364</v>
      </c>
    </row>
    <row r="29843">
      <c r="H29843" s="8" t="s">
        <v>364</v>
      </c>
    </row>
    <row r="29844">
      <c r="H29844" s="8" t="s">
        <v>364</v>
      </c>
    </row>
    <row r="29845">
      <c r="H29845" s="8" t="s">
        <v>364</v>
      </c>
    </row>
    <row r="29846">
      <c r="H29846" s="8" t="s">
        <v>364</v>
      </c>
    </row>
    <row r="29847">
      <c r="H29847" s="8" t="s">
        <v>364</v>
      </c>
    </row>
    <row r="29848">
      <c r="H29848" s="8" t="s">
        <v>364</v>
      </c>
    </row>
    <row r="29849">
      <c r="H29849" s="8" t="s">
        <v>364</v>
      </c>
    </row>
    <row r="29850">
      <c r="H29850" s="8" t="s">
        <v>364</v>
      </c>
    </row>
    <row r="29851">
      <c r="H29851" s="8" t="s">
        <v>364</v>
      </c>
    </row>
    <row r="29852">
      <c r="H29852" s="8" t="s">
        <v>364</v>
      </c>
    </row>
    <row r="29853">
      <c r="H29853" s="8" t="s">
        <v>364</v>
      </c>
    </row>
    <row r="29854">
      <c r="H29854" s="8" t="s">
        <v>364</v>
      </c>
    </row>
    <row r="29855">
      <c r="H29855" s="8" t="s">
        <v>364</v>
      </c>
    </row>
    <row r="29856">
      <c r="H29856" s="8" t="s">
        <v>364</v>
      </c>
    </row>
    <row r="29857">
      <c r="H29857" s="8" t="s">
        <v>364</v>
      </c>
    </row>
    <row r="29858">
      <c r="H29858" s="8" t="s">
        <v>364</v>
      </c>
    </row>
    <row r="29859">
      <c r="H29859" s="8" t="s">
        <v>364</v>
      </c>
    </row>
    <row r="29860">
      <c r="H29860" s="8" t="s">
        <v>364</v>
      </c>
    </row>
    <row r="29861">
      <c r="H29861" s="8" t="s">
        <v>364</v>
      </c>
    </row>
    <row r="29862">
      <c r="H29862" s="8" t="s">
        <v>364</v>
      </c>
    </row>
    <row r="29863">
      <c r="H29863" s="8" t="s">
        <v>364</v>
      </c>
    </row>
    <row r="29864">
      <c r="H29864" s="8" t="s">
        <v>364</v>
      </c>
    </row>
    <row r="29865">
      <c r="H29865" s="8" t="s">
        <v>364</v>
      </c>
    </row>
    <row r="29866">
      <c r="H29866" s="8" t="s">
        <v>364</v>
      </c>
    </row>
    <row r="29867">
      <c r="H29867" s="8" t="s">
        <v>364</v>
      </c>
    </row>
    <row r="29868">
      <c r="H29868" s="8" t="s">
        <v>364</v>
      </c>
    </row>
    <row r="29869">
      <c r="H29869" s="8" t="s">
        <v>364</v>
      </c>
    </row>
    <row r="29870">
      <c r="H29870" s="8" t="s">
        <v>364</v>
      </c>
    </row>
    <row r="29871">
      <c r="H29871" s="8" t="s">
        <v>364</v>
      </c>
    </row>
    <row r="29872">
      <c r="H29872" s="8" t="s">
        <v>364</v>
      </c>
    </row>
    <row r="29873">
      <c r="H29873" s="8" t="s">
        <v>364</v>
      </c>
    </row>
    <row r="29874">
      <c r="H29874" s="8" t="s">
        <v>364</v>
      </c>
    </row>
    <row r="29875">
      <c r="H29875" s="8" t="s">
        <v>364</v>
      </c>
    </row>
    <row r="29876">
      <c r="H29876" s="8" t="s">
        <v>364</v>
      </c>
    </row>
    <row r="29877">
      <c r="H29877" s="8" t="s">
        <v>364</v>
      </c>
    </row>
    <row r="29878">
      <c r="H29878" s="8" t="s">
        <v>364</v>
      </c>
    </row>
    <row r="29879">
      <c r="H29879" s="8" t="s">
        <v>364</v>
      </c>
    </row>
    <row r="29880">
      <c r="H29880" s="8" t="s">
        <v>364</v>
      </c>
    </row>
    <row r="29881">
      <c r="H29881" s="8" t="s">
        <v>364</v>
      </c>
    </row>
    <row r="29882">
      <c r="H29882" s="8" t="s">
        <v>364</v>
      </c>
    </row>
    <row r="29883">
      <c r="H29883" s="8" t="s">
        <v>364</v>
      </c>
    </row>
    <row r="29884">
      <c r="H29884" s="8" t="s">
        <v>364</v>
      </c>
    </row>
    <row r="29885">
      <c r="H29885" s="8" t="s">
        <v>364</v>
      </c>
    </row>
    <row r="29886">
      <c r="H29886" s="8" t="s">
        <v>364</v>
      </c>
    </row>
    <row r="29887">
      <c r="H29887" s="8" t="s">
        <v>364</v>
      </c>
    </row>
    <row r="29888">
      <c r="H29888" s="8" t="s">
        <v>364</v>
      </c>
    </row>
    <row r="29889">
      <c r="H29889" s="8" t="s">
        <v>364</v>
      </c>
    </row>
    <row r="29890">
      <c r="H29890" s="8" t="s">
        <v>364</v>
      </c>
    </row>
    <row r="29891">
      <c r="H29891" s="8" t="s">
        <v>364</v>
      </c>
    </row>
    <row r="29892">
      <c r="H29892" s="8" t="s">
        <v>364</v>
      </c>
    </row>
    <row r="29893">
      <c r="H29893" s="8" t="s">
        <v>364</v>
      </c>
    </row>
    <row r="29894">
      <c r="H29894" s="8" t="s">
        <v>364</v>
      </c>
    </row>
    <row r="29895">
      <c r="H29895" s="8" t="s">
        <v>364</v>
      </c>
    </row>
    <row r="29896">
      <c r="H29896" s="8" t="s">
        <v>364</v>
      </c>
    </row>
    <row r="29897">
      <c r="H29897" s="8" t="s">
        <v>364</v>
      </c>
    </row>
    <row r="29898">
      <c r="H29898" s="8" t="s">
        <v>364</v>
      </c>
    </row>
    <row r="29899">
      <c r="H29899" s="8" t="s">
        <v>364</v>
      </c>
    </row>
    <row r="29900">
      <c r="H29900" s="8" t="s">
        <v>364</v>
      </c>
    </row>
    <row r="29901">
      <c r="H29901" s="8" t="s">
        <v>364</v>
      </c>
    </row>
    <row r="29902">
      <c r="H29902" s="8" t="s">
        <v>364</v>
      </c>
    </row>
    <row r="29903">
      <c r="H29903" s="8" t="s">
        <v>364</v>
      </c>
    </row>
    <row r="29904">
      <c r="H29904" s="8" t="s">
        <v>364</v>
      </c>
    </row>
    <row r="29905">
      <c r="H29905" s="8" t="s">
        <v>364</v>
      </c>
    </row>
    <row r="29906">
      <c r="H29906" s="8" t="s">
        <v>364</v>
      </c>
    </row>
    <row r="29907">
      <c r="H29907" s="8" t="s">
        <v>364</v>
      </c>
    </row>
    <row r="29908">
      <c r="H29908" s="8" t="s">
        <v>364</v>
      </c>
    </row>
    <row r="29909">
      <c r="H29909" s="8" t="s">
        <v>364</v>
      </c>
    </row>
    <row r="29910">
      <c r="H29910" s="8" t="s">
        <v>364</v>
      </c>
    </row>
    <row r="29911">
      <c r="H29911" s="8" t="s">
        <v>364</v>
      </c>
    </row>
    <row r="29912">
      <c r="H29912" s="8" t="s">
        <v>364</v>
      </c>
    </row>
    <row r="29913">
      <c r="H29913" s="8" t="s">
        <v>364</v>
      </c>
    </row>
    <row r="29914">
      <c r="H29914" s="8" t="s">
        <v>364</v>
      </c>
    </row>
    <row r="29915">
      <c r="H29915" s="8" t="s">
        <v>364</v>
      </c>
    </row>
    <row r="29916">
      <c r="H29916" s="8" t="s">
        <v>364</v>
      </c>
    </row>
    <row r="29917">
      <c r="H29917" s="8" t="s">
        <v>364</v>
      </c>
    </row>
    <row r="29918">
      <c r="H29918" s="8" t="s">
        <v>364</v>
      </c>
    </row>
    <row r="29919">
      <c r="H29919" s="8" t="s">
        <v>364</v>
      </c>
    </row>
    <row r="29920">
      <c r="H29920" s="8" t="s">
        <v>364</v>
      </c>
    </row>
    <row r="29921">
      <c r="H29921" s="8" t="s">
        <v>364</v>
      </c>
    </row>
    <row r="29922">
      <c r="H29922" s="8" t="s">
        <v>364</v>
      </c>
    </row>
    <row r="29923">
      <c r="H29923" s="8" t="s">
        <v>364</v>
      </c>
    </row>
    <row r="29924">
      <c r="H29924" s="8" t="s">
        <v>364</v>
      </c>
    </row>
    <row r="29925">
      <c r="H29925" s="8" t="s">
        <v>364</v>
      </c>
    </row>
    <row r="29926">
      <c r="H29926" s="8" t="s">
        <v>364</v>
      </c>
    </row>
    <row r="29927">
      <c r="H29927" s="8" t="s">
        <v>364</v>
      </c>
    </row>
    <row r="29928">
      <c r="H29928" s="8" t="s">
        <v>364</v>
      </c>
    </row>
    <row r="29929">
      <c r="H29929" s="8" t="s">
        <v>364</v>
      </c>
    </row>
    <row r="29930">
      <c r="H29930" s="8" t="s">
        <v>364</v>
      </c>
    </row>
    <row r="29931">
      <c r="H29931" s="8" t="s">
        <v>364</v>
      </c>
    </row>
    <row r="29932">
      <c r="H29932" s="8" t="s">
        <v>364</v>
      </c>
    </row>
    <row r="29933">
      <c r="H29933" s="8" t="s">
        <v>364</v>
      </c>
    </row>
    <row r="29934">
      <c r="H29934" s="8" t="s">
        <v>364</v>
      </c>
    </row>
    <row r="29935">
      <c r="H29935" s="8" t="s">
        <v>364</v>
      </c>
    </row>
    <row r="29936">
      <c r="H29936" s="8" t="s">
        <v>364</v>
      </c>
    </row>
    <row r="29937">
      <c r="H29937" s="8" t="s">
        <v>364</v>
      </c>
    </row>
    <row r="29938">
      <c r="H29938" s="8" t="s">
        <v>364</v>
      </c>
    </row>
    <row r="29939">
      <c r="H29939" s="8" t="s">
        <v>364</v>
      </c>
    </row>
    <row r="29940">
      <c r="H29940" s="8" t="s">
        <v>364</v>
      </c>
    </row>
    <row r="29941">
      <c r="H29941" s="8" t="s">
        <v>364</v>
      </c>
    </row>
    <row r="29942">
      <c r="H29942" s="8" t="s">
        <v>364</v>
      </c>
    </row>
    <row r="29943">
      <c r="H29943" s="8" t="s">
        <v>364</v>
      </c>
    </row>
    <row r="29944">
      <c r="H29944" s="8" t="s">
        <v>364</v>
      </c>
    </row>
    <row r="29945">
      <c r="H29945" s="8" t="s">
        <v>364</v>
      </c>
    </row>
    <row r="29946">
      <c r="H29946" s="8" t="s">
        <v>364</v>
      </c>
    </row>
    <row r="29947">
      <c r="H29947" s="8" t="s">
        <v>364</v>
      </c>
    </row>
    <row r="29948">
      <c r="H29948" s="8" t="s">
        <v>364</v>
      </c>
    </row>
    <row r="29949">
      <c r="H29949" s="8" t="s">
        <v>364</v>
      </c>
    </row>
    <row r="29950">
      <c r="H29950" s="8" t="s">
        <v>364</v>
      </c>
    </row>
    <row r="29951">
      <c r="H29951" s="8" t="s">
        <v>364</v>
      </c>
    </row>
    <row r="29952">
      <c r="H29952" s="8" t="s">
        <v>364</v>
      </c>
    </row>
    <row r="29953">
      <c r="H29953" s="8" t="s">
        <v>364</v>
      </c>
    </row>
    <row r="29954">
      <c r="H29954" s="8" t="s">
        <v>364</v>
      </c>
    </row>
    <row r="29955">
      <c r="H29955" s="8" t="s">
        <v>364</v>
      </c>
    </row>
    <row r="29956">
      <c r="H29956" s="8" t="s">
        <v>364</v>
      </c>
    </row>
    <row r="29957">
      <c r="H29957" s="8" t="s">
        <v>364</v>
      </c>
    </row>
    <row r="29958">
      <c r="H29958" s="8" t="s">
        <v>364</v>
      </c>
    </row>
    <row r="29959">
      <c r="H29959" s="8" t="s">
        <v>364</v>
      </c>
    </row>
    <row r="29960">
      <c r="H29960" s="8" t="s">
        <v>364</v>
      </c>
    </row>
    <row r="29961">
      <c r="H29961" s="8" t="s">
        <v>364</v>
      </c>
    </row>
    <row r="29962">
      <c r="H29962" s="8" t="s">
        <v>364</v>
      </c>
    </row>
    <row r="29963">
      <c r="H29963" s="8" t="s">
        <v>364</v>
      </c>
    </row>
    <row r="29964">
      <c r="H29964" s="8" t="s">
        <v>364</v>
      </c>
    </row>
    <row r="29965">
      <c r="H29965" s="8" t="s">
        <v>364</v>
      </c>
    </row>
    <row r="29966">
      <c r="H29966" s="8" t="s">
        <v>364</v>
      </c>
    </row>
    <row r="29967">
      <c r="H29967" s="8" t="s">
        <v>364</v>
      </c>
    </row>
    <row r="29968">
      <c r="H29968" s="8" t="s">
        <v>364</v>
      </c>
    </row>
    <row r="29969">
      <c r="H29969" s="8" t="s">
        <v>364</v>
      </c>
    </row>
    <row r="29970">
      <c r="H29970" s="8" t="s">
        <v>364</v>
      </c>
    </row>
    <row r="29971">
      <c r="H29971" s="8" t="s">
        <v>364</v>
      </c>
    </row>
    <row r="29972">
      <c r="H29972" s="8" t="s">
        <v>364</v>
      </c>
    </row>
    <row r="29973">
      <c r="H29973" s="8" t="s">
        <v>364</v>
      </c>
    </row>
    <row r="29974">
      <c r="H29974" s="8" t="s">
        <v>364</v>
      </c>
    </row>
    <row r="29975">
      <c r="H29975" s="8" t="s">
        <v>364</v>
      </c>
    </row>
    <row r="29976">
      <c r="H29976" s="8" t="s">
        <v>364</v>
      </c>
    </row>
    <row r="29977">
      <c r="H29977" s="8" t="s">
        <v>364</v>
      </c>
    </row>
    <row r="29978">
      <c r="H29978" s="8" t="s">
        <v>364</v>
      </c>
    </row>
    <row r="29979">
      <c r="H29979" s="8" t="s">
        <v>364</v>
      </c>
    </row>
    <row r="29980">
      <c r="H29980" s="8" t="s">
        <v>364</v>
      </c>
    </row>
    <row r="29981">
      <c r="H29981" s="8" t="s">
        <v>364</v>
      </c>
    </row>
    <row r="29982">
      <c r="H29982" s="8" t="s">
        <v>364</v>
      </c>
    </row>
    <row r="29983">
      <c r="H29983" s="8" t="s">
        <v>364</v>
      </c>
    </row>
    <row r="29984">
      <c r="H29984" s="8" t="s">
        <v>364</v>
      </c>
    </row>
    <row r="29985">
      <c r="H29985" s="8" t="s">
        <v>364</v>
      </c>
    </row>
    <row r="29986">
      <c r="H29986" s="8" t="s">
        <v>364</v>
      </c>
    </row>
    <row r="29987">
      <c r="H29987" s="8" t="s">
        <v>364</v>
      </c>
    </row>
    <row r="29988">
      <c r="H29988" s="8" t="s">
        <v>364</v>
      </c>
    </row>
    <row r="29989">
      <c r="H29989" s="8" t="s">
        <v>364</v>
      </c>
    </row>
    <row r="29990">
      <c r="H29990" s="8" t="s">
        <v>364</v>
      </c>
    </row>
    <row r="29991">
      <c r="H29991" s="8" t="s">
        <v>364</v>
      </c>
    </row>
    <row r="29992">
      <c r="H29992" s="8" t="s">
        <v>364</v>
      </c>
    </row>
    <row r="29993">
      <c r="H29993" s="8" t="s">
        <v>364</v>
      </c>
    </row>
    <row r="29994">
      <c r="H29994" s="8" t="s">
        <v>364</v>
      </c>
    </row>
    <row r="29995">
      <c r="H29995" s="8" t="s">
        <v>364</v>
      </c>
    </row>
    <row r="29996">
      <c r="H29996" s="8" t="s">
        <v>364</v>
      </c>
    </row>
    <row r="29997">
      <c r="H29997" s="8" t="s">
        <v>364</v>
      </c>
    </row>
    <row r="29998">
      <c r="H29998" s="8" t="s">
        <v>364</v>
      </c>
    </row>
    <row r="29999">
      <c r="H29999" s="8" t="s">
        <v>364</v>
      </c>
    </row>
    <row r="30000">
      <c r="H30000" s="8" t="s">
        <v>364</v>
      </c>
    </row>
    <row r="30001">
      <c r="H30001" s="8" t="s">
        <v>364</v>
      </c>
    </row>
    <row r="30002">
      <c r="H30002" s="8" t="s">
        <v>364</v>
      </c>
    </row>
    <row r="30003">
      <c r="H30003" s="8" t="s">
        <v>364</v>
      </c>
    </row>
    <row r="30004">
      <c r="H30004" s="8" t="s">
        <v>364</v>
      </c>
    </row>
    <row r="30005">
      <c r="H30005" s="8" t="s">
        <v>364</v>
      </c>
    </row>
    <row r="30006">
      <c r="H30006" s="8" t="s">
        <v>364</v>
      </c>
    </row>
    <row r="30007">
      <c r="H30007" s="8" t="s">
        <v>364</v>
      </c>
    </row>
    <row r="30008">
      <c r="H30008" s="8" t="s">
        <v>364</v>
      </c>
    </row>
    <row r="30009">
      <c r="H30009" s="8" t="s">
        <v>364</v>
      </c>
    </row>
    <row r="30010">
      <c r="H30010" s="8" t="s">
        <v>364</v>
      </c>
    </row>
    <row r="30011">
      <c r="H30011" s="8" t="s">
        <v>364</v>
      </c>
    </row>
    <row r="30012">
      <c r="H30012" s="8" t="s">
        <v>364</v>
      </c>
    </row>
    <row r="30013">
      <c r="H30013" s="8" t="s">
        <v>364</v>
      </c>
    </row>
    <row r="30014">
      <c r="H30014" s="8" t="s">
        <v>364</v>
      </c>
    </row>
    <row r="30015">
      <c r="H30015" s="8" t="s">
        <v>364</v>
      </c>
    </row>
    <row r="30016">
      <c r="H30016" s="8" t="s">
        <v>364</v>
      </c>
    </row>
    <row r="30017">
      <c r="H30017" s="8" t="s">
        <v>364</v>
      </c>
    </row>
    <row r="30018">
      <c r="H30018" s="8" t="s">
        <v>364</v>
      </c>
    </row>
    <row r="30019">
      <c r="H30019" s="8" t="s">
        <v>364</v>
      </c>
    </row>
    <row r="30020">
      <c r="H30020" s="8" t="s">
        <v>364</v>
      </c>
    </row>
    <row r="30021">
      <c r="H30021" s="8" t="s">
        <v>364</v>
      </c>
    </row>
    <row r="30022">
      <c r="H30022" s="8" t="s">
        <v>364</v>
      </c>
    </row>
    <row r="30023">
      <c r="H30023" s="8" t="s">
        <v>364</v>
      </c>
    </row>
    <row r="30024">
      <c r="H30024" s="8" t="s">
        <v>364</v>
      </c>
    </row>
    <row r="30025">
      <c r="H30025" s="8" t="s">
        <v>364</v>
      </c>
    </row>
    <row r="30026">
      <c r="H30026" s="8" t="s">
        <v>364</v>
      </c>
    </row>
    <row r="30027">
      <c r="H30027" s="8" t="s">
        <v>364</v>
      </c>
    </row>
    <row r="30028">
      <c r="H30028" s="8" t="s">
        <v>364</v>
      </c>
    </row>
    <row r="30029">
      <c r="H30029" s="8" t="s">
        <v>364</v>
      </c>
    </row>
    <row r="30030">
      <c r="H30030" s="8" t="s">
        <v>364</v>
      </c>
    </row>
    <row r="30031">
      <c r="H30031" s="8" t="s">
        <v>364</v>
      </c>
    </row>
    <row r="30032">
      <c r="H30032" s="8" t="s">
        <v>364</v>
      </c>
    </row>
    <row r="30033">
      <c r="H30033" s="8" t="s">
        <v>364</v>
      </c>
    </row>
    <row r="30034">
      <c r="H30034" s="8" t="s">
        <v>364</v>
      </c>
    </row>
    <row r="30035">
      <c r="H30035" s="8" t="s">
        <v>364</v>
      </c>
    </row>
    <row r="30036">
      <c r="H30036" s="8" t="s">
        <v>364</v>
      </c>
    </row>
    <row r="30037">
      <c r="H30037" s="8" t="s">
        <v>364</v>
      </c>
    </row>
    <row r="30038">
      <c r="H30038" s="8" t="s">
        <v>364</v>
      </c>
    </row>
    <row r="30039">
      <c r="H30039" s="8" t="s">
        <v>364</v>
      </c>
    </row>
    <row r="30040">
      <c r="H30040" s="8" t="s">
        <v>364</v>
      </c>
    </row>
    <row r="30041">
      <c r="H30041" s="8" t="s">
        <v>364</v>
      </c>
    </row>
    <row r="30042">
      <c r="H30042" s="8" t="s">
        <v>364</v>
      </c>
    </row>
    <row r="30043">
      <c r="H30043" s="8" t="s">
        <v>364</v>
      </c>
    </row>
    <row r="30044">
      <c r="H30044" s="8" t="s">
        <v>364</v>
      </c>
    </row>
    <row r="30045">
      <c r="H30045" s="8" t="s">
        <v>364</v>
      </c>
    </row>
    <row r="30046">
      <c r="H30046" s="8" t="s">
        <v>364</v>
      </c>
    </row>
    <row r="30047">
      <c r="H30047" s="8" t="s">
        <v>364</v>
      </c>
    </row>
    <row r="30048">
      <c r="H30048" s="8" t="s">
        <v>364</v>
      </c>
    </row>
    <row r="30049">
      <c r="H30049" s="8" t="s">
        <v>364</v>
      </c>
    </row>
    <row r="30050">
      <c r="H30050" s="8" t="s">
        <v>364</v>
      </c>
    </row>
    <row r="30051">
      <c r="H30051" s="8" t="s">
        <v>364</v>
      </c>
    </row>
    <row r="30052">
      <c r="H30052" s="8" t="s">
        <v>364</v>
      </c>
    </row>
    <row r="30053">
      <c r="H30053" s="8" t="s">
        <v>364</v>
      </c>
    </row>
    <row r="30054">
      <c r="H30054" s="8" t="s">
        <v>364</v>
      </c>
    </row>
    <row r="30055">
      <c r="H30055" s="8" t="s">
        <v>364</v>
      </c>
    </row>
    <row r="30056">
      <c r="H30056" s="8" t="s">
        <v>364</v>
      </c>
    </row>
    <row r="30057">
      <c r="H30057" s="8" t="s">
        <v>364</v>
      </c>
    </row>
    <row r="30058">
      <c r="H30058" s="8" t="s">
        <v>364</v>
      </c>
    </row>
    <row r="30059">
      <c r="H30059" s="8" t="s">
        <v>364</v>
      </c>
    </row>
    <row r="30060">
      <c r="H30060" s="8" t="s">
        <v>364</v>
      </c>
    </row>
    <row r="30061">
      <c r="H30061" s="8" t="s">
        <v>364</v>
      </c>
    </row>
    <row r="30062">
      <c r="H30062" s="8" t="s">
        <v>364</v>
      </c>
    </row>
    <row r="30063">
      <c r="H30063" s="8" t="s">
        <v>364</v>
      </c>
    </row>
    <row r="30064">
      <c r="H30064" s="8" t="s">
        <v>364</v>
      </c>
    </row>
    <row r="30065">
      <c r="H30065" s="8" t="s">
        <v>364</v>
      </c>
    </row>
    <row r="30066">
      <c r="H30066" s="8" t="s">
        <v>364</v>
      </c>
    </row>
    <row r="30067">
      <c r="H30067" s="8" t="s">
        <v>364</v>
      </c>
    </row>
    <row r="30068">
      <c r="H30068" s="8" t="s">
        <v>364</v>
      </c>
    </row>
    <row r="30069">
      <c r="H30069" s="8" t="s">
        <v>364</v>
      </c>
    </row>
    <row r="30070">
      <c r="H30070" s="8" t="s">
        <v>364</v>
      </c>
    </row>
    <row r="30071">
      <c r="H30071" s="8" t="s">
        <v>364</v>
      </c>
    </row>
    <row r="30072">
      <c r="H30072" s="8" t="s">
        <v>364</v>
      </c>
    </row>
    <row r="30073">
      <c r="H30073" s="8" t="s">
        <v>364</v>
      </c>
    </row>
    <row r="30074">
      <c r="H30074" s="8" t="s">
        <v>364</v>
      </c>
    </row>
    <row r="30075">
      <c r="H30075" s="8" t="s">
        <v>364</v>
      </c>
    </row>
    <row r="30076">
      <c r="H30076" s="8" t="s">
        <v>364</v>
      </c>
    </row>
    <row r="30077">
      <c r="H30077" s="8" t="s">
        <v>364</v>
      </c>
    </row>
    <row r="30078">
      <c r="H30078" s="8" t="s">
        <v>364</v>
      </c>
    </row>
    <row r="30079">
      <c r="H30079" s="8" t="s">
        <v>364</v>
      </c>
    </row>
    <row r="30080">
      <c r="H30080" s="8" t="s">
        <v>364</v>
      </c>
    </row>
    <row r="30081">
      <c r="H30081" s="8" t="s">
        <v>364</v>
      </c>
    </row>
    <row r="30082">
      <c r="H30082" s="8" t="s">
        <v>364</v>
      </c>
    </row>
    <row r="30083">
      <c r="H30083" s="8" t="s">
        <v>364</v>
      </c>
    </row>
    <row r="30084">
      <c r="H30084" s="8" t="s">
        <v>364</v>
      </c>
    </row>
    <row r="30085">
      <c r="H30085" s="8" t="s">
        <v>364</v>
      </c>
    </row>
    <row r="30086">
      <c r="H30086" s="8" t="s">
        <v>364</v>
      </c>
    </row>
    <row r="30087">
      <c r="H30087" s="8" t="s">
        <v>364</v>
      </c>
    </row>
    <row r="30088">
      <c r="H30088" s="8" t="s">
        <v>364</v>
      </c>
    </row>
    <row r="30089">
      <c r="H30089" s="8" t="s">
        <v>364</v>
      </c>
    </row>
    <row r="30090">
      <c r="H30090" s="8" t="s">
        <v>364</v>
      </c>
    </row>
    <row r="30091">
      <c r="H30091" s="8" t="s">
        <v>364</v>
      </c>
    </row>
    <row r="30092">
      <c r="H30092" s="8" t="s">
        <v>364</v>
      </c>
    </row>
    <row r="30093">
      <c r="H30093" s="8" t="s">
        <v>364</v>
      </c>
    </row>
    <row r="30094">
      <c r="H30094" s="8" t="s">
        <v>364</v>
      </c>
    </row>
    <row r="30095">
      <c r="H30095" s="8" t="s">
        <v>364</v>
      </c>
    </row>
    <row r="30096">
      <c r="H30096" s="8" t="s">
        <v>364</v>
      </c>
    </row>
    <row r="30097">
      <c r="H30097" s="8" t="s">
        <v>364</v>
      </c>
    </row>
    <row r="30098">
      <c r="H30098" s="8" t="s">
        <v>364</v>
      </c>
    </row>
    <row r="30099">
      <c r="H30099" s="8" t="s">
        <v>364</v>
      </c>
    </row>
    <row r="30100">
      <c r="H30100" s="8" t="s">
        <v>364</v>
      </c>
    </row>
    <row r="30101">
      <c r="H30101" s="8" t="s">
        <v>364</v>
      </c>
    </row>
    <row r="30102">
      <c r="H30102" s="8" t="s">
        <v>364</v>
      </c>
    </row>
    <row r="30103">
      <c r="H30103" s="8" t="s">
        <v>364</v>
      </c>
    </row>
    <row r="30104">
      <c r="H30104" s="8" t="s">
        <v>364</v>
      </c>
    </row>
    <row r="30105">
      <c r="H30105" s="8" t="s">
        <v>364</v>
      </c>
    </row>
    <row r="30106">
      <c r="H30106" s="8" t="s">
        <v>364</v>
      </c>
    </row>
    <row r="30107">
      <c r="H30107" s="8" t="s">
        <v>364</v>
      </c>
    </row>
    <row r="30108">
      <c r="H30108" s="8" t="s">
        <v>364</v>
      </c>
    </row>
    <row r="30109">
      <c r="H30109" s="8" t="s">
        <v>364</v>
      </c>
    </row>
    <row r="30110">
      <c r="H30110" s="8" t="s">
        <v>364</v>
      </c>
    </row>
    <row r="30111">
      <c r="H30111" s="8" t="s">
        <v>364</v>
      </c>
    </row>
    <row r="30112">
      <c r="H30112" s="8" t="s">
        <v>364</v>
      </c>
    </row>
    <row r="30113">
      <c r="H30113" s="8" t="s">
        <v>364</v>
      </c>
    </row>
    <row r="30114">
      <c r="H30114" s="8" t="s">
        <v>364</v>
      </c>
    </row>
    <row r="30115">
      <c r="H30115" s="8" t="s">
        <v>364</v>
      </c>
    </row>
    <row r="30116">
      <c r="H30116" s="8" t="s">
        <v>364</v>
      </c>
    </row>
    <row r="30117">
      <c r="H30117" s="8" t="s">
        <v>364</v>
      </c>
    </row>
    <row r="30118">
      <c r="H30118" s="8" t="s">
        <v>364</v>
      </c>
    </row>
    <row r="30119">
      <c r="H30119" s="8" t="s">
        <v>364</v>
      </c>
    </row>
    <row r="30120">
      <c r="H30120" s="8" t="s">
        <v>364</v>
      </c>
    </row>
    <row r="30121">
      <c r="H30121" s="8" t="s">
        <v>364</v>
      </c>
    </row>
    <row r="30122">
      <c r="H30122" s="8" t="s">
        <v>364</v>
      </c>
    </row>
    <row r="30123">
      <c r="H30123" s="8" t="s">
        <v>364</v>
      </c>
    </row>
    <row r="30124">
      <c r="H30124" s="8" t="s">
        <v>364</v>
      </c>
    </row>
    <row r="30125">
      <c r="H30125" s="8" t="s">
        <v>364</v>
      </c>
    </row>
    <row r="30126">
      <c r="H30126" s="8" t="s">
        <v>364</v>
      </c>
    </row>
    <row r="30127">
      <c r="H30127" s="8" t="s">
        <v>364</v>
      </c>
    </row>
    <row r="30128">
      <c r="H30128" s="8" t="s">
        <v>364</v>
      </c>
    </row>
    <row r="30129">
      <c r="H30129" s="8" t="s">
        <v>364</v>
      </c>
    </row>
    <row r="30130">
      <c r="H30130" s="8" t="s">
        <v>364</v>
      </c>
    </row>
    <row r="30131">
      <c r="H30131" s="8" t="s">
        <v>364</v>
      </c>
    </row>
    <row r="30132">
      <c r="H30132" s="8" t="s">
        <v>364</v>
      </c>
    </row>
    <row r="30133">
      <c r="H30133" s="8" t="s">
        <v>364</v>
      </c>
    </row>
    <row r="30134">
      <c r="H30134" s="8" t="s">
        <v>364</v>
      </c>
    </row>
    <row r="30135">
      <c r="H30135" s="8" t="s">
        <v>364</v>
      </c>
    </row>
    <row r="30136">
      <c r="H30136" s="8" t="s">
        <v>364</v>
      </c>
    </row>
    <row r="30137">
      <c r="H30137" s="8" t="s">
        <v>364</v>
      </c>
    </row>
    <row r="30138">
      <c r="H30138" s="8" t="s">
        <v>364</v>
      </c>
    </row>
    <row r="30139">
      <c r="H30139" s="8" t="s">
        <v>364</v>
      </c>
    </row>
    <row r="30140">
      <c r="H30140" s="8" t="s">
        <v>364</v>
      </c>
    </row>
    <row r="30141">
      <c r="H30141" s="8" t="s">
        <v>364</v>
      </c>
    </row>
    <row r="30142">
      <c r="H30142" s="8" t="s">
        <v>364</v>
      </c>
    </row>
    <row r="30143">
      <c r="H30143" s="8" t="s">
        <v>364</v>
      </c>
    </row>
    <row r="30144">
      <c r="H30144" s="8" t="s">
        <v>364</v>
      </c>
    </row>
    <row r="30145">
      <c r="H30145" s="8" t="s">
        <v>364</v>
      </c>
    </row>
    <row r="30146">
      <c r="H30146" s="8" t="s">
        <v>364</v>
      </c>
    </row>
    <row r="30147">
      <c r="H30147" s="8" t="s">
        <v>364</v>
      </c>
    </row>
    <row r="30148">
      <c r="H30148" s="8" t="s">
        <v>364</v>
      </c>
    </row>
    <row r="30149">
      <c r="H30149" s="8" t="s">
        <v>364</v>
      </c>
    </row>
    <row r="30150">
      <c r="H30150" s="8" t="s">
        <v>364</v>
      </c>
    </row>
    <row r="30151">
      <c r="H30151" s="8" t="s">
        <v>364</v>
      </c>
    </row>
    <row r="30152">
      <c r="H30152" s="8" t="s">
        <v>364</v>
      </c>
    </row>
    <row r="30153">
      <c r="H30153" s="8" t="s">
        <v>364</v>
      </c>
    </row>
    <row r="30154">
      <c r="H30154" s="8" t="s">
        <v>364</v>
      </c>
    </row>
    <row r="30155">
      <c r="H30155" s="8" t="s">
        <v>364</v>
      </c>
    </row>
    <row r="30156">
      <c r="H30156" s="8" t="s">
        <v>364</v>
      </c>
    </row>
    <row r="30157">
      <c r="H30157" s="8" t="s">
        <v>364</v>
      </c>
    </row>
    <row r="30158">
      <c r="H30158" s="8" t="s">
        <v>364</v>
      </c>
    </row>
    <row r="30159">
      <c r="H30159" s="8" t="s">
        <v>364</v>
      </c>
    </row>
    <row r="30160">
      <c r="H30160" s="8" t="s">
        <v>364</v>
      </c>
    </row>
    <row r="30161">
      <c r="H30161" s="8" t="s">
        <v>364</v>
      </c>
    </row>
    <row r="30162">
      <c r="H30162" s="8" t="s">
        <v>364</v>
      </c>
    </row>
    <row r="30163">
      <c r="H30163" s="8" t="s">
        <v>364</v>
      </c>
    </row>
    <row r="30164">
      <c r="H30164" s="8" t="s">
        <v>364</v>
      </c>
    </row>
    <row r="30165">
      <c r="H30165" s="8" t="s">
        <v>364</v>
      </c>
    </row>
    <row r="30166">
      <c r="H30166" s="8" t="s">
        <v>364</v>
      </c>
    </row>
    <row r="30167">
      <c r="H30167" s="8" t="s">
        <v>364</v>
      </c>
    </row>
    <row r="30168">
      <c r="H30168" s="8" t="s">
        <v>364</v>
      </c>
    </row>
    <row r="30169">
      <c r="H30169" s="8" t="s">
        <v>364</v>
      </c>
    </row>
    <row r="30170">
      <c r="H30170" s="8" t="s">
        <v>364</v>
      </c>
    </row>
    <row r="30171">
      <c r="H30171" s="8" t="s">
        <v>364</v>
      </c>
    </row>
    <row r="30172">
      <c r="H30172" s="8" t="s">
        <v>364</v>
      </c>
    </row>
    <row r="30173">
      <c r="H30173" s="8" t="s">
        <v>364</v>
      </c>
    </row>
    <row r="30174">
      <c r="H30174" s="8" t="s">
        <v>364</v>
      </c>
    </row>
    <row r="30175">
      <c r="H30175" s="8" t="s">
        <v>364</v>
      </c>
    </row>
    <row r="30176">
      <c r="H30176" s="8" t="s">
        <v>364</v>
      </c>
    </row>
    <row r="30177">
      <c r="H30177" s="8" t="s">
        <v>364</v>
      </c>
    </row>
    <row r="30178">
      <c r="H30178" s="8" t="s">
        <v>364</v>
      </c>
    </row>
    <row r="30179">
      <c r="H30179" s="8" t="s">
        <v>364</v>
      </c>
    </row>
    <row r="30180">
      <c r="H30180" s="8" t="s">
        <v>364</v>
      </c>
    </row>
    <row r="30181">
      <c r="H30181" s="8" t="s">
        <v>364</v>
      </c>
    </row>
    <row r="30182">
      <c r="H30182" s="8" t="s">
        <v>364</v>
      </c>
    </row>
    <row r="30183">
      <c r="H30183" s="8" t="s">
        <v>364</v>
      </c>
    </row>
    <row r="30184">
      <c r="H30184" s="8" t="s">
        <v>364</v>
      </c>
    </row>
    <row r="30185">
      <c r="H30185" s="8" t="s">
        <v>364</v>
      </c>
    </row>
    <row r="30186">
      <c r="H30186" s="8" t="s">
        <v>364</v>
      </c>
    </row>
    <row r="30187">
      <c r="H30187" s="8" t="s">
        <v>364</v>
      </c>
    </row>
    <row r="30188">
      <c r="H30188" s="8" t="s">
        <v>364</v>
      </c>
    </row>
    <row r="30189">
      <c r="H30189" s="8" t="s">
        <v>364</v>
      </c>
    </row>
    <row r="30190">
      <c r="H30190" s="8" t="s">
        <v>364</v>
      </c>
    </row>
    <row r="30191">
      <c r="H30191" s="8" t="s">
        <v>364</v>
      </c>
    </row>
    <row r="30192">
      <c r="H30192" s="8" t="s">
        <v>364</v>
      </c>
    </row>
    <row r="30193">
      <c r="H30193" s="8" t="s">
        <v>364</v>
      </c>
    </row>
    <row r="30194">
      <c r="H30194" s="8" t="s">
        <v>364</v>
      </c>
    </row>
    <row r="30195">
      <c r="H30195" s="8" t="s">
        <v>364</v>
      </c>
    </row>
    <row r="30196">
      <c r="H30196" s="8" t="s">
        <v>364</v>
      </c>
    </row>
    <row r="30197">
      <c r="H30197" s="8" t="s">
        <v>364</v>
      </c>
    </row>
    <row r="30198">
      <c r="H30198" s="8" t="s">
        <v>364</v>
      </c>
    </row>
    <row r="30199">
      <c r="H30199" s="8" t="s">
        <v>364</v>
      </c>
    </row>
    <row r="30200">
      <c r="H30200" s="8" t="s">
        <v>364</v>
      </c>
    </row>
    <row r="30201">
      <c r="H30201" s="8" t="s">
        <v>364</v>
      </c>
    </row>
    <row r="30202">
      <c r="H30202" s="8" t="s">
        <v>364</v>
      </c>
    </row>
    <row r="30203">
      <c r="H30203" s="8" t="s">
        <v>364</v>
      </c>
    </row>
    <row r="30204">
      <c r="H30204" s="8" t="s">
        <v>364</v>
      </c>
    </row>
    <row r="30205">
      <c r="H30205" s="8" t="s">
        <v>364</v>
      </c>
    </row>
    <row r="30206">
      <c r="H30206" s="8" t="s">
        <v>364</v>
      </c>
    </row>
    <row r="30207">
      <c r="H30207" s="8" t="s">
        <v>364</v>
      </c>
    </row>
    <row r="30208">
      <c r="H30208" s="8" t="s">
        <v>364</v>
      </c>
    </row>
    <row r="30209">
      <c r="H30209" s="8" t="s">
        <v>364</v>
      </c>
    </row>
    <row r="30210">
      <c r="H30210" s="8" t="s">
        <v>364</v>
      </c>
    </row>
    <row r="30211">
      <c r="H30211" s="8" t="s">
        <v>364</v>
      </c>
    </row>
    <row r="30212">
      <c r="H30212" s="8" t="s">
        <v>364</v>
      </c>
    </row>
    <row r="30213">
      <c r="H30213" s="8" t="s">
        <v>364</v>
      </c>
    </row>
    <row r="30214">
      <c r="H30214" s="8" t="s">
        <v>364</v>
      </c>
    </row>
    <row r="30215">
      <c r="H30215" s="8" t="s">
        <v>364</v>
      </c>
    </row>
    <row r="30216">
      <c r="H30216" s="8" t="s">
        <v>364</v>
      </c>
    </row>
    <row r="30217">
      <c r="H30217" s="8" t="s">
        <v>364</v>
      </c>
    </row>
    <row r="30218">
      <c r="H30218" s="8" t="s">
        <v>364</v>
      </c>
    </row>
    <row r="30219">
      <c r="H30219" s="8" t="s">
        <v>364</v>
      </c>
    </row>
    <row r="30220">
      <c r="H30220" s="8" t="s">
        <v>364</v>
      </c>
    </row>
    <row r="30221">
      <c r="H30221" s="8" t="s">
        <v>364</v>
      </c>
    </row>
    <row r="30222">
      <c r="H30222" s="8" t="s">
        <v>364</v>
      </c>
    </row>
    <row r="30223">
      <c r="H30223" s="8" t="s">
        <v>364</v>
      </c>
    </row>
    <row r="30224">
      <c r="H30224" s="8" t="s">
        <v>364</v>
      </c>
    </row>
    <row r="30225">
      <c r="H30225" s="8" t="s">
        <v>364</v>
      </c>
    </row>
    <row r="30226">
      <c r="H30226" s="8" t="s">
        <v>364</v>
      </c>
    </row>
    <row r="30227">
      <c r="H30227" s="8" t="s">
        <v>364</v>
      </c>
    </row>
    <row r="30228">
      <c r="H30228" s="8" t="s">
        <v>364</v>
      </c>
    </row>
    <row r="30229">
      <c r="H30229" s="8" t="s">
        <v>364</v>
      </c>
    </row>
    <row r="30230">
      <c r="H30230" s="8" t="s">
        <v>364</v>
      </c>
    </row>
    <row r="30231">
      <c r="H30231" s="8" t="s">
        <v>364</v>
      </c>
    </row>
    <row r="30232">
      <c r="H30232" s="8" t="s">
        <v>364</v>
      </c>
    </row>
    <row r="30233">
      <c r="H30233" s="8" t="s">
        <v>364</v>
      </c>
    </row>
    <row r="30234">
      <c r="H30234" s="8" t="s">
        <v>364</v>
      </c>
    </row>
    <row r="30235">
      <c r="H30235" s="8" t="s">
        <v>364</v>
      </c>
    </row>
    <row r="30236">
      <c r="H30236" s="8" t="s">
        <v>364</v>
      </c>
    </row>
    <row r="30237">
      <c r="H30237" s="8" t="s">
        <v>364</v>
      </c>
    </row>
    <row r="30238">
      <c r="H30238" s="8" t="s">
        <v>364</v>
      </c>
    </row>
    <row r="30239">
      <c r="H30239" s="8" t="s">
        <v>364</v>
      </c>
    </row>
    <row r="30240">
      <c r="H30240" s="8" t="s">
        <v>364</v>
      </c>
    </row>
    <row r="30241">
      <c r="H30241" s="8" t="s">
        <v>364</v>
      </c>
    </row>
    <row r="30242">
      <c r="H30242" s="8" t="s">
        <v>364</v>
      </c>
    </row>
    <row r="30243">
      <c r="H30243" s="8" t="s">
        <v>364</v>
      </c>
    </row>
    <row r="30244">
      <c r="H30244" s="8" t="s">
        <v>364</v>
      </c>
    </row>
    <row r="30245">
      <c r="H30245" s="8" t="s">
        <v>364</v>
      </c>
    </row>
    <row r="30246">
      <c r="H30246" s="8" t="s">
        <v>364</v>
      </c>
    </row>
    <row r="30247">
      <c r="H30247" s="8" t="s">
        <v>364</v>
      </c>
    </row>
    <row r="30248">
      <c r="H30248" s="8" t="s">
        <v>364</v>
      </c>
    </row>
    <row r="30249">
      <c r="H30249" s="8" t="s">
        <v>364</v>
      </c>
    </row>
    <row r="30250">
      <c r="H30250" s="8" t="s">
        <v>364</v>
      </c>
    </row>
    <row r="30251">
      <c r="H30251" s="8" t="s">
        <v>364</v>
      </c>
    </row>
    <row r="30252">
      <c r="H30252" s="8" t="s">
        <v>364</v>
      </c>
    </row>
    <row r="30253">
      <c r="H30253" s="8" t="s">
        <v>364</v>
      </c>
    </row>
    <row r="30254">
      <c r="H30254" s="8" t="s">
        <v>364</v>
      </c>
    </row>
    <row r="30255">
      <c r="H30255" s="8" t="s">
        <v>364</v>
      </c>
    </row>
    <row r="30256">
      <c r="H30256" s="8" t="s">
        <v>364</v>
      </c>
    </row>
    <row r="30257">
      <c r="H30257" s="8" t="s">
        <v>364</v>
      </c>
    </row>
    <row r="30258">
      <c r="H30258" s="8" t="s">
        <v>364</v>
      </c>
    </row>
    <row r="30259">
      <c r="H30259" s="8" t="s">
        <v>364</v>
      </c>
    </row>
    <row r="30260">
      <c r="H30260" s="8" t="s">
        <v>364</v>
      </c>
    </row>
    <row r="30261">
      <c r="H30261" s="8" t="s">
        <v>364</v>
      </c>
    </row>
    <row r="30262">
      <c r="H30262" s="8" t="s">
        <v>364</v>
      </c>
    </row>
    <row r="30263">
      <c r="H30263" s="8" t="s">
        <v>364</v>
      </c>
    </row>
    <row r="30264">
      <c r="H30264" s="8" t="s">
        <v>364</v>
      </c>
    </row>
    <row r="30265">
      <c r="H30265" s="8" t="s">
        <v>364</v>
      </c>
    </row>
    <row r="30266">
      <c r="H30266" s="8" t="s">
        <v>364</v>
      </c>
    </row>
    <row r="30267">
      <c r="H30267" s="8" t="s">
        <v>364</v>
      </c>
    </row>
    <row r="30268">
      <c r="H30268" s="8" t="s">
        <v>364</v>
      </c>
    </row>
    <row r="30269">
      <c r="H30269" s="8" t="s">
        <v>364</v>
      </c>
    </row>
    <row r="30270">
      <c r="H30270" s="8" t="s">
        <v>364</v>
      </c>
    </row>
    <row r="30271">
      <c r="H30271" s="8" t="s">
        <v>364</v>
      </c>
    </row>
    <row r="30272">
      <c r="H30272" s="8" t="s">
        <v>364</v>
      </c>
    </row>
    <row r="30273">
      <c r="H30273" s="8" t="s">
        <v>364</v>
      </c>
    </row>
    <row r="30274">
      <c r="H30274" s="8" t="s">
        <v>364</v>
      </c>
    </row>
    <row r="30275">
      <c r="H30275" s="8" t="s">
        <v>364</v>
      </c>
    </row>
    <row r="30276">
      <c r="H30276" s="8" t="s">
        <v>364</v>
      </c>
    </row>
    <row r="30277">
      <c r="H30277" s="8" t="s">
        <v>364</v>
      </c>
    </row>
    <row r="30278">
      <c r="H30278" s="8" t="s">
        <v>364</v>
      </c>
    </row>
    <row r="30279">
      <c r="H30279" s="8" t="s">
        <v>364</v>
      </c>
    </row>
    <row r="30280">
      <c r="H30280" s="8" t="s">
        <v>364</v>
      </c>
    </row>
    <row r="30281">
      <c r="H30281" s="8" t="s">
        <v>364</v>
      </c>
    </row>
    <row r="30282">
      <c r="H30282" s="8" t="s">
        <v>364</v>
      </c>
    </row>
    <row r="30283">
      <c r="H30283" s="8" t="s">
        <v>364</v>
      </c>
    </row>
    <row r="30284">
      <c r="H30284" s="8" t="s">
        <v>364</v>
      </c>
    </row>
    <row r="30285">
      <c r="H30285" s="8" t="s">
        <v>364</v>
      </c>
    </row>
    <row r="30286">
      <c r="H30286" s="8" t="s">
        <v>364</v>
      </c>
    </row>
    <row r="30287">
      <c r="H30287" s="8" t="s">
        <v>364</v>
      </c>
    </row>
    <row r="30288">
      <c r="H30288" s="8" t="s">
        <v>364</v>
      </c>
    </row>
    <row r="30289">
      <c r="H30289" s="8" t="s">
        <v>364</v>
      </c>
    </row>
    <row r="30290">
      <c r="H30290" s="8" t="s">
        <v>364</v>
      </c>
    </row>
    <row r="30291">
      <c r="H30291" s="8" t="s">
        <v>364</v>
      </c>
    </row>
    <row r="30292">
      <c r="H30292" s="8" t="s">
        <v>364</v>
      </c>
    </row>
    <row r="30293">
      <c r="H30293" s="8" t="s">
        <v>364</v>
      </c>
    </row>
    <row r="30294">
      <c r="H30294" s="8" t="s">
        <v>364</v>
      </c>
    </row>
    <row r="30295">
      <c r="H30295" s="8" t="s">
        <v>364</v>
      </c>
    </row>
    <row r="30296">
      <c r="H30296" s="8" t="s">
        <v>364</v>
      </c>
    </row>
    <row r="30297">
      <c r="H30297" s="8" t="s">
        <v>364</v>
      </c>
    </row>
    <row r="30298">
      <c r="H30298" s="8" t="s">
        <v>364</v>
      </c>
    </row>
    <row r="30299">
      <c r="H30299" s="8" t="s">
        <v>364</v>
      </c>
    </row>
    <row r="30300">
      <c r="H30300" s="8" t="s">
        <v>364</v>
      </c>
    </row>
    <row r="30301">
      <c r="H30301" s="8" t="s">
        <v>364</v>
      </c>
    </row>
    <row r="30302">
      <c r="H30302" s="8" t="s">
        <v>364</v>
      </c>
    </row>
    <row r="30303">
      <c r="H30303" s="8" t="s">
        <v>364</v>
      </c>
    </row>
    <row r="30304">
      <c r="H30304" s="8" t="s">
        <v>364</v>
      </c>
    </row>
    <row r="30305">
      <c r="H30305" s="8" t="s">
        <v>364</v>
      </c>
    </row>
    <row r="30306">
      <c r="H30306" s="8" t="s">
        <v>364</v>
      </c>
    </row>
    <row r="30307">
      <c r="H30307" s="8" t="s">
        <v>364</v>
      </c>
    </row>
    <row r="30308">
      <c r="H30308" s="8" t="s">
        <v>364</v>
      </c>
    </row>
    <row r="30309">
      <c r="H30309" s="8" t="s">
        <v>364</v>
      </c>
    </row>
    <row r="30310">
      <c r="H30310" s="8" t="s">
        <v>364</v>
      </c>
    </row>
    <row r="30311">
      <c r="H30311" s="8" t="s">
        <v>364</v>
      </c>
    </row>
    <row r="30312">
      <c r="H30312" s="8" t="s">
        <v>364</v>
      </c>
    </row>
    <row r="30313">
      <c r="H30313" s="8" t="s">
        <v>364</v>
      </c>
    </row>
    <row r="30314">
      <c r="H30314" s="8" t="s">
        <v>364</v>
      </c>
    </row>
    <row r="30315">
      <c r="H30315" s="8" t="s">
        <v>364</v>
      </c>
    </row>
    <row r="30316">
      <c r="H30316" s="8" t="s">
        <v>364</v>
      </c>
    </row>
    <row r="30317">
      <c r="H30317" s="8" t="s">
        <v>364</v>
      </c>
    </row>
    <row r="30318">
      <c r="H30318" s="8" t="s">
        <v>364</v>
      </c>
    </row>
    <row r="30319">
      <c r="H30319" s="8" t="s">
        <v>364</v>
      </c>
    </row>
    <row r="30320">
      <c r="H30320" s="8" t="s">
        <v>364</v>
      </c>
    </row>
    <row r="30321">
      <c r="H30321" s="8" t="s">
        <v>364</v>
      </c>
    </row>
    <row r="30322">
      <c r="H30322" s="8" t="s">
        <v>364</v>
      </c>
    </row>
    <row r="30323">
      <c r="H30323" s="8" t="s">
        <v>364</v>
      </c>
    </row>
    <row r="30324">
      <c r="H30324" s="8" t="s">
        <v>364</v>
      </c>
    </row>
    <row r="30325">
      <c r="H30325" s="8" t="s">
        <v>364</v>
      </c>
    </row>
    <row r="30326">
      <c r="H30326" s="8" t="s">
        <v>364</v>
      </c>
    </row>
    <row r="30327">
      <c r="H30327" s="8" t="s">
        <v>364</v>
      </c>
    </row>
    <row r="30328">
      <c r="H30328" s="8" t="s">
        <v>364</v>
      </c>
    </row>
    <row r="30329">
      <c r="H30329" s="8" t="s">
        <v>364</v>
      </c>
    </row>
    <row r="30330">
      <c r="H30330" s="8" t="s">
        <v>364</v>
      </c>
    </row>
    <row r="30331">
      <c r="H30331" s="8" t="s">
        <v>364</v>
      </c>
    </row>
    <row r="30332">
      <c r="H30332" s="8" t="s">
        <v>364</v>
      </c>
    </row>
    <row r="30333">
      <c r="H30333" s="8" t="s">
        <v>364</v>
      </c>
    </row>
    <row r="30334">
      <c r="H30334" s="8" t="s">
        <v>364</v>
      </c>
    </row>
    <row r="30335">
      <c r="H30335" s="8" t="s">
        <v>364</v>
      </c>
    </row>
    <row r="30336">
      <c r="H30336" s="8" t="s">
        <v>364</v>
      </c>
    </row>
    <row r="30337">
      <c r="H30337" s="8" t="s">
        <v>364</v>
      </c>
    </row>
    <row r="30338">
      <c r="H30338" s="8" t="s">
        <v>364</v>
      </c>
    </row>
    <row r="30339">
      <c r="H30339" s="8" t="s">
        <v>364</v>
      </c>
    </row>
    <row r="30340">
      <c r="H30340" s="8" t="s">
        <v>364</v>
      </c>
    </row>
    <row r="30341">
      <c r="H30341" s="8" t="s">
        <v>364</v>
      </c>
    </row>
    <row r="30342">
      <c r="H30342" s="8" t="s">
        <v>364</v>
      </c>
    </row>
    <row r="30343">
      <c r="H30343" s="8" t="s">
        <v>364</v>
      </c>
    </row>
    <row r="30344">
      <c r="H30344" s="8" t="s">
        <v>364</v>
      </c>
    </row>
    <row r="30345">
      <c r="H30345" s="8" t="s">
        <v>364</v>
      </c>
    </row>
    <row r="30346">
      <c r="H30346" s="8" t="s">
        <v>364</v>
      </c>
    </row>
    <row r="30347">
      <c r="H30347" s="8" t="s">
        <v>364</v>
      </c>
    </row>
    <row r="30348">
      <c r="H30348" s="8" t="s">
        <v>364</v>
      </c>
    </row>
    <row r="30349">
      <c r="H30349" s="8" t="s">
        <v>364</v>
      </c>
    </row>
    <row r="30350">
      <c r="H30350" s="8" t="s">
        <v>364</v>
      </c>
    </row>
    <row r="30351">
      <c r="H30351" s="8" t="s">
        <v>364</v>
      </c>
    </row>
    <row r="30352">
      <c r="H30352" s="8" t="s">
        <v>364</v>
      </c>
    </row>
    <row r="30353">
      <c r="H30353" s="8" t="s">
        <v>364</v>
      </c>
    </row>
    <row r="30354">
      <c r="H30354" s="8" t="s">
        <v>364</v>
      </c>
    </row>
    <row r="30355">
      <c r="H30355" s="8" t="s">
        <v>364</v>
      </c>
    </row>
    <row r="30356">
      <c r="H30356" s="8" t="s">
        <v>364</v>
      </c>
    </row>
    <row r="30357">
      <c r="H30357" s="8" t="s">
        <v>364</v>
      </c>
    </row>
    <row r="30358">
      <c r="H30358" s="8" t="s">
        <v>364</v>
      </c>
    </row>
    <row r="30359">
      <c r="H30359" s="8" t="s">
        <v>364</v>
      </c>
    </row>
    <row r="30360">
      <c r="H30360" s="8" t="s">
        <v>364</v>
      </c>
    </row>
    <row r="30361">
      <c r="H30361" s="8" t="s">
        <v>364</v>
      </c>
    </row>
    <row r="30362">
      <c r="H30362" s="8" t="s">
        <v>364</v>
      </c>
    </row>
    <row r="30363">
      <c r="H30363" s="8" t="s">
        <v>364</v>
      </c>
    </row>
    <row r="30364">
      <c r="H30364" s="8" t="s">
        <v>364</v>
      </c>
    </row>
    <row r="30365">
      <c r="H30365" s="8" t="s">
        <v>364</v>
      </c>
    </row>
    <row r="30366">
      <c r="H30366" s="8" t="s">
        <v>364</v>
      </c>
    </row>
    <row r="30367">
      <c r="H30367" s="8" t="s">
        <v>364</v>
      </c>
    </row>
    <row r="30368">
      <c r="H30368" s="8" t="s">
        <v>364</v>
      </c>
    </row>
    <row r="30369">
      <c r="H30369" s="8" t="s">
        <v>364</v>
      </c>
    </row>
    <row r="30370">
      <c r="H30370" s="8" t="s">
        <v>364</v>
      </c>
    </row>
    <row r="30371">
      <c r="H30371" s="8" t="s">
        <v>364</v>
      </c>
    </row>
    <row r="30372">
      <c r="H30372" s="8" t="s">
        <v>364</v>
      </c>
    </row>
    <row r="30373">
      <c r="H30373" s="8" t="s">
        <v>364</v>
      </c>
    </row>
    <row r="30374">
      <c r="H30374" s="8" t="s">
        <v>364</v>
      </c>
    </row>
    <row r="30375">
      <c r="H30375" s="8" t="s">
        <v>364</v>
      </c>
    </row>
    <row r="30376">
      <c r="H30376" s="8" t="s">
        <v>364</v>
      </c>
    </row>
    <row r="30377">
      <c r="H30377" s="8" t="s">
        <v>364</v>
      </c>
    </row>
    <row r="30378">
      <c r="H30378" s="8" t="s">
        <v>364</v>
      </c>
    </row>
    <row r="30379">
      <c r="H30379" s="8" t="s">
        <v>364</v>
      </c>
    </row>
    <row r="30380">
      <c r="H30380" s="8" t="s">
        <v>364</v>
      </c>
    </row>
    <row r="30381">
      <c r="H30381" s="8" t="s">
        <v>364</v>
      </c>
    </row>
    <row r="30382">
      <c r="H30382" s="8" t="s">
        <v>364</v>
      </c>
    </row>
    <row r="30383">
      <c r="H30383" s="8" t="s">
        <v>364</v>
      </c>
    </row>
    <row r="30384">
      <c r="H30384" s="8" t="s">
        <v>364</v>
      </c>
    </row>
    <row r="30385">
      <c r="H30385" s="8" t="s">
        <v>364</v>
      </c>
    </row>
    <row r="30386">
      <c r="H30386" s="8" t="s">
        <v>364</v>
      </c>
    </row>
    <row r="30387">
      <c r="H30387" s="8" t="s">
        <v>364</v>
      </c>
    </row>
    <row r="30388">
      <c r="H30388" s="8" t="s">
        <v>364</v>
      </c>
    </row>
    <row r="30389">
      <c r="H30389" s="8" t="s">
        <v>364</v>
      </c>
    </row>
    <row r="30390">
      <c r="H30390" s="8" t="s">
        <v>364</v>
      </c>
    </row>
    <row r="30391">
      <c r="H30391" s="8" t="s">
        <v>364</v>
      </c>
    </row>
    <row r="30392">
      <c r="H30392" s="8" t="s">
        <v>364</v>
      </c>
    </row>
    <row r="30393">
      <c r="H30393" s="8" t="s">
        <v>364</v>
      </c>
    </row>
    <row r="30394">
      <c r="H30394" s="8" t="s">
        <v>364</v>
      </c>
    </row>
    <row r="30395">
      <c r="H30395" s="8" t="s">
        <v>364</v>
      </c>
    </row>
    <row r="30396">
      <c r="H30396" s="8" t="s">
        <v>364</v>
      </c>
    </row>
    <row r="30397">
      <c r="H30397" s="8" t="s">
        <v>364</v>
      </c>
    </row>
    <row r="30398">
      <c r="H30398" s="8" t="s">
        <v>364</v>
      </c>
    </row>
    <row r="30399">
      <c r="H30399" s="8" t="s">
        <v>364</v>
      </c>
    </row>
    <row r="30400">
      <c r="H30400" s="8" t="s">
        <v>364</v>
      </c>
    </row>
    <row r="30401">
      <c r="H30401" s="8" t="s">
        <v>364</v>
      </c>
    </row>
    <row r="30402">
      <c r="H30402" s="8" t="s">
        <v>364</v>
      </c>
    </row>
    <row r="30403">
      <c r="H30403" s="8" t="s">
        <v>364</v>
      </c>
    </row>
    <row r="30404">
      <c r="H30404" s="8" t="s">
        <v>364</v>
      </c>
    </row>
    <row r="30405">
      <c r="H30405" s="8" t="s">
        <v>364</v>
      </c>
    </row>
    <row r="30406">
      <c r="H30406" s="8" t="s">
        <v>364</v>
      </c>
    </row>
    <row r="30407">
      <c r="H30407" s="8" t="s">
        <v>364</v>
      </c>
    </row>
    <row r="30408">
      <c r="H30408" s="8" t="s">
        <v>364</v>
      </c>
    </row>
    <row r="30409">
      <c r="H30409" s="8" t="s">
        <v>364</v>
      </c>
    </row>
    <row r="30410">
      <c r="H30410" s="8" t="s">
        <v>364</v>
      </c>
    </row>
    <row r="30411">
      <c r="H30411" s="8" t="s">
        <v>364</v>
      </c>
    </row>
    <row r="30412">
      <c r="H30412" s="8" t="s">
        <v>364</v>
      </c>
    </row>
    <row r="30413">
      <c r="H30413" s="8" t="s">
        <v>364</v>
      </c>
    </row>
    <row r="30414">
      <c r="H30414" s="8" t="s">
        <v>364</v>
      </c>
    </row>
    <row r="30415">
      <c r="H30415" s="8" t="s">
        <v>364</v>
      </c>
    </row>
    <row r="30416">
      <c r="H30416" s="8" t="s">
        <v>364</v>
      </c>
    </row>
    <row r="30417">
      <c r="H30417" s="8" t="s">
        <v>364</v>
      </c>
    </row>
    <row r="30418">
      <c r="H30418" s="8" t="s">
        <v>364</v>
      </c>
    </row>
    <row r="30419">
      <c r="H30419" s="8" t="s">
        <v>364</v>
      </c>
    </row>
    <row r="30420">
      <c r="H30420" s="8" t="s">
        <v>364</v>
      </c>
    </row>
    <row r="30421">
      <c r="H30421" s="8" t="s">
        <v>364</v>
      </c>
    </row>
    <row r="30422">
      <c r="H30422" s="8" t="s">
        <v>364</v>
      </c>
    </row>
    <row r="30423">
      <c r="H30423" s="8" t="s">
        <v>364</v>
      </c>
    </row>
    <row r="30424">
      <c r="H30424" s="8" t="s">
        <v>364</v>
      </c>
    </row>
    <row r="30425">
      <c r="H30425" s="8" t="s">
        <v>364</v>
      </c>
    </row>
    <row r="30426">
      <c r="H30426" s="8" t="s">
        <v>364</v>
      </c>
    </row>
    <row r="30427">
      <c r="H30427" s="8" t="s">
        <v>364</v>
      </c>
    </row>
    <row r="30428">
      <c r="H30428" s="8" t="s">
        <v>364</v>
      </c>
    </row>
    <row r="30429">
      <c r="H30429" s="8" t="s">
        <v>364</v>
      </c>
    </row>
    <row r="30430">
      <c r="H30430" s="8" t="s">
        <v>364</v>
      </c>
    </row>
    <row r="30431">
      <c r="H30431" s="8" t="s">
        <v>364</v>
      </c>
    </row>
    <row r="30432">
      <c r="H30432" s="8" t="s">
        <v>364</v>
      </c>
    </row>
    <row r="30433">
      <c r="H30433" s="8" t="s">
        <v>364</v>
      </c>
    </row>
    <row r="30434">
      <c r="H30434" s="8" t="s">
        <v>364</v>
      </c>
    </row>
    <row r="30435">
      <c r="H30435" s="8" t="s">
        <v>364</v>
      </c>
    </row>
    <row r="30436">
      <c r="H30436" s="8" t="s">
        <v>364</v>
      </c>
    </row>
    <row r="30437">
      <c r="H30437" s="8" t="s">
        <v>364</v>
      </c>
    </row>
    <row r="30438">
      <c r="H30438" s="8" t="s">
        <v>364</v>
      </c>
    </row>
    <row r="30439">
      <c r="H30439" s="8" t="s">
        <v>364</v>
      </c>
    </row>
    <row r="30440">
      <c r="H30440" s="8" t="s">
        <v>364</v>
      </c>
    </row>
    <row r="30441">
      <c r="H30441" s="8" t="s">
        <v>364</v>
      </c>
    </row>
    <row r="30442">
      <c r="H30442" s="8" t="s">
        <v>364</v>
      </c>
    </row>
    <row r="30443">
      <c r="H30443" s="8" t="s">
        <v>364</v>
      </c>
    </row>
    <row r="30444">
      <c r="H30444" s="8" t="s">
        <v>364</v>
      </c>
    </row>
    <row r="30445">
      <c r="H30445" s="8" t="s">
        <v>364</v>
      </c>
    </row>
    <row r="30446">
      <c r="H30446" s="8" t="s">
        <v>364</v>
      </c>
    </row>
    <row r="30447">
      <c r="H30447" s="8" t="s">
        <v>364</v>
      </c>
    </row>
    <row r="30448">
      <c r="H30448" s="8" t="s">
        <v>364</v>
      </c>
    </row>
    <row r="30449">
      <c r="H30449" s="8" t="s">
        <v>364</v>
      </c>
    </row>
    <row r="30450">
      <c r="H30450" s="8" t="s">
        <v>364</v>
      </c>
    </row>
    <row r="30451">
      <c r="H30451" s="8" t="s">
        <v>364</v>
      </c>
    </row>
    <row r="30452">
      <c r="H30452" s="8" t="s">
        <v>364</v>
      </c>
    </row>
    <row r="30453">
      <c r="H30453" s="8" t="s">
        <v>364</v>
      </c>
    </row>
    <row r="30454">
      <c r="H30454" s="8" t="s">
        <v>364</v>
      </c>
    </row>
    <row r="30455">
      <c r="H30455" s="8" t="s">
        <v>364</v>
      </c>
    </row>
    <row r="30456">
      <c r="H30456" s="8" t="s">
        <v>364</v>
      </c>
    </row>
    <row r="30457">
      <c r="H30457" s="8" t="s">
        <v>364</v>
      </c>
    </row>
    <row r="30458">
      <c r="H30458" s="8" t="s">
        <v>364</v>
      </c>
    </row>
    <row r="30459">
      <c r="H30459" s="8" t="s">
        <v>364</v>
      </c>
    </row>
    <row r="30460">
      <c r="H30460" s="8" t="s">
        <v>364</v>
      </c>
    </row>
    <row r="30461">
      <c r="H30461" s="8" t="s">
        <v>364</v>
      </c>
    </row>
    <row r="30462">
      <c r="H30462" s="8" t="s">
        <v>364</v>
      </c>
    </row>
    <row r="30463">
      <c r="H30463" s="8" t="s">
        <v>364</v>
      </c>
    </row>
    <row r="30464">
      <c r="H30464" s="8" t="s">
        <v>364</v>
      </c>
    </row>
    <row r="30465">
      <c r="H30465" s="8" t="s">
        <v>364</v>
      </c>
    </row>
    <row r="30466">
      <c r="H30466" s="8" t="s">
        <v>364</v>
      </c>
    </row>
    <row r="30467">
      <c r="H30467" s="8" t="s">
        <v>364</v>
      </c>
    </row>
    <row r="30468">
      <c r="H30468" s="8" t="s">
        <v>364</v>
      </c>
    </row>
    <row r="30469">
      <c r="H30469" s="8" t="s">
        <v>364</v>
      </c>
    </row>
    <row r="30470">
      <c r="H30470" s="8" t="s">
        <v>364</v>
      </c>
    </row>
    <row r="30471">
      <c r="H30471" s="8" t="s">
        <v>364</v>
      </c>
    </row>
    <row r="30472">
      <c r="H30472" s="8" t="s">
        <v>364</v>
      </c>
    </row>
    <row r="30473">
      <c r="H30473" s="8" t="s">
        <v>364</v>
      </c>
    </row>
    <row r="30474">
      <c r="H30474" s="8" t="s">
        <v>364</v>
      </c>
    </row>
    <row r="30475">
      <c r="H30475" s="8" t="s">
        <v>364</v>
      </c>
    </row>
    <row r="30476">
      <c r="H30476" s="8" t="s">
        <v>364</v>
      </c>
    </row>
    <row r="30477">
      <c r="H30477" s="8" t="s">
        <v>364</v>
      </c>
    </row>
    <row r="30478">
      <c r="H30478" s="8" t="s">
        <v>364</v>
      </c>
    </row>
    <row r="30479">
      <c r="H30479" s="8" t="s">
        <v>364</v>
      </c>
    </row>
    <row r="30480">
      <c r="H30480" s="8" t="s">
        <v>364</v>
      </c>
    </row>
    <row r="30481">
      <c r="H30481" s="8" t="s">
        <v>364</v>
      </c>
    </row>
    <row r="30482">
      <c r="H30482" s="8" t="s">
        <v>364</v>
      </c>
    </row>
    <row r="30483">
      <c r="H30483" s="8" t="s">
        <v>364</v>
      </c>
    </row>
    <row r="30484">
      <c r="H30484" s="8" t="s">
        <v>364</v>
      </c>
    </row>
    <row r="30485">
      <c r="H30485" s="8" t="s">
        <v>364</v>
      </c>
    </row>
    <row r="30486">
      <c r="H30486" s="8" t="s">
        <v>364</v>
      </c>
    </row>
    <row r="30487">
      <c r="H30487" s="8" t="s">
        <v>364</v>
      </c>
    </row>
    <row r="30488">
      <c r="H30488" s="8" t="s">
        <v>364</v>
      </c>
    </row>
    <row r="30489">
      <c r="H30489" s="8" t="s">
        <v>364</v>
      </c>
    </row>
    <row r="30490">
      <c r="H30490" s="8" t="s">
        <v>364</v>
      </c>
    </row>
    <row r="30491">
      <c r="H30491" s="8" t="s">
        <v>364</v>
      </c>
    </row>
    <row r="30492">
      <c r="H30492" s="8" t="s">
        <v>364</v>
      </c>
    </row>
    <row r="30493">
      <c r="H30493" s="8" t="s">
        <v>364</v>
      </c>
    </row>
    <row r="30494">
      <c r="H30494" s="8" t="s">
        <v>364</v>
      </c>
    </row>
    <row r="30495">
      <c r="H30495" s="8" t="s">
        <v>364</v>
      </c>
    </row>
    <row r="30496">
      <c r="H30496" s="8" t="s">
        <v>364</v>
      </c>
    </row>
    <row r="30497">
      <c r="H30497" s="8" t="s">
        <v>364</v>
      </c>
    </row>
    <row r="30498">
      <c r="H30498" s="8" t="s">
        <v>364</v>
      </c>
    </row>
    <row r="30499">
      <c r="H30499" s="8" t="s">
        <v>364</v>
      </c>
    </row>
    <row r="30500">
      <c r="H30500" s="8" t="s">
        <v>364</v>
      </c>
    </row>
    <row r="30501">
      <c r="H30501" s="8" t="s">
        <v>364</v>
      </c>
    </row>
    <row r="30502">
      <c r="H30502" s="8" t="s">
        <v>364</v>
      </c>
    </row>
    <row r="30503">
      <c r="H30503" s="8" t="s">
        <v>364</v>
      </c>
    </row>
    <row r="30504">
      <c r="H30504" s="8" t="s">
        <v>364</v>
      </c>
    </row>
    <row r="30505">
      <c r="H30505" s="8" t="s">
        <v>364</v>
      </c>
    </row>
    <row r="30506">
      <c r="H30506" s="8" t="s">
        <v>364</v>
      </c>
    </row>
    <row r="30507">
      <c r="H30507" s="8" t="s">
        <v>364</v>
      </c>
    </row>
    <row r="30508">
      <c r="H30508" s="8" t="s">
        <v>364</v>
      </c>
    </row>
    <row r="30509">
      <c r="H30509" s="8" t="s">
        <v>364</v>
      </c>
    </row>
    <row r="30510">
      <c r="H30510" s="8" t="s">
        <v>364</v>
      </c>
    </row>
    <row r="30511">
      <c r="H30511" s="8" t="s">
        <v>364</v>
      </c>
    </row>
    <row r="30512">
      <c r="H30512" s="8" t="s">
        <v>364</v>
      </c>
    </row>
    <row r="30513">
      <c r="H30513" s="8" t="s">
        <v>364</v>
      </c>
    </row>
    <row r="30514">
      <c r="H30514" s="8" t="s">
        <v>364</v>
      </c>
    </row>
    <row r="30515">
      <c r="H30515" s="8" t="s">
        <v>364</v>
      </c>
    </row>
    <row r="30516">
      <c r="H30516" s="8" t="s">
        <v>364</v>
      </c>
    </row>
    <row r="30517">
      <c r="H30517" s="8" t="s">
        <v>364</v>
      </c>
    </row>
    <row r="30518">
      <c r="H30518" s="8" t="s">
        <v>364</v>
      </c>
    </row>
    <row r="30519">
      <c r="H30519" s="8" t="s">
        <v>364</v>
      </c>
    </row>
    <row r="30520">
      <c r="H30520" s="8" t="s">
        <v>364</v>
      </c>
    </row>
    <row r="30521">
      <c r="H30521" s="8" t="s">
        <v>364</v>
      </c>
    </row>
    <row r="30522">
      <c r="H30522" s="8" t="s">
        <v>364</v>
      </c>
    </row>
    <row r="30523">
      <c r="H30523" s="8" t="s">
        <v>364</v>
      </c>
    </row>
    <row r="30524">
      <c r="H30524" s="8" t="s">
        <v>364</v>
      </c>
    </row>
    <row r="30525">
      <c r="H30525" s="8" t="s">
        <v>364</v>
      </c>
    </row>
    <row r="30526">
      <c r="H30526" s="8" t="s">
        <v>364</v>
      </c>
    </row>
    <row r="30527">
      <c r="H30527" s="8" t="s">
        <v>364</v>
      </c>
    </row>
    <row r="30528">
      <c r="H30528" s="8" t="s">
        <v>364</v>
      </c>
    </row>
    <row r="30529">
      <c r="H30529" s="8" t="s">
        <v>364</v>
      </c>
    </row>
    <row r="30530">
      <c r="H30530" s="8" t="s">
        <v>364</v>
      </c>
    </row>
    <row r="30531">
      <c r="H30531" s="8" t="s">
        <v>364</v>
      </c>
    </row>
    <row r="30532">
      <c r="H30532" s="8" t="s">
        <v>364</v>
      </c>
    </row>
    <row r="30533">
      <c r="H30533" s="8" t="s">
        <v>364</v>
      </c>
    </row>
    <row r="30534">
      <c r="H30534" s="8" t="s">
        <v>364</v>
      </c>
    </row>
    <row r="30535">
      <c r="H30535" s="8" t="s">
        <v>364</v>
      </c>
    </row>
    <row r="30536">
      <c r="H30536" s="8" t="s">
        <v>364</v>
      </c>
    </row>
    <row r="30537">
      <c r="H30537" s="8" t="s">
        <v>364</v>
      </c>
    </row>
    <row r="30538">
      <c r="H30538" s="8" t="s">
        <v>364</v>
      </c>
    </row>
    <row r="30539">
      <c r="H30539" s="8" t="s">
        <v>364</v>
      </c>
    </row>
    <row r="30540">
      <c r="H30540" s="8" t="s">
        <v>364</v>
      </c>
    </row>
    <row r="30541">
      <c r="H30541" s="8" t="s">
        <v>364</v>
      </c>
    </row>
    <row r="30542">
      <c r="H30542" s="8" t="s">
        <v>364</v>
      </c>
    </row>
    <row r="30543">
      <c r="H30543" s="8" t="s">
        <v>364</v>
      </c>
    </row>
    <row r="30544">
      <c r="H30544" s="8" t="s">
        <v>364</v>
      </c>
    </row>
    <row r="30545">
      <c r="H30545" s="8" t="s">
        <v>364</v>
      </c>
    </row>
    <row r="30546">
      <c r="H30546" s="8" t="s">
        <v>364</v>
      </c>
    </row>
    <row r="30547">
      <c r="H30547" s="8" t="s">
        <v>364</v>
      </c>
    </row>
    <row r="30548">
      <c r="H30548" s="8" t="s">
        <v>364</v>
      </c>
    </row>
    <row r="30549">
      <c r="H30549" s="8" t="s">
        <v>364</v>
      </c>
    </row>
    <row r="30550">
      <c r="H30550" s="8" t="s">
        <v>364</v>
      </c>
    </row>
    <row r="30551">
      <c r="H30551" s="8" t="s">
        <v>364</v>
      </c>
    </row>
    <row r="30552">
      <c r="H30552" s="8" t="s">
        <v>364</v>
      </c>
    </row>
    <row r="30553">
      <c r="H30553" s="8" t="s">
        <v>364</v>
      </c>
    </row>
    <row r="30554">
      <c r="H30554" s="8" t="s">
        <v>364</v>
      </c>
    </row>
    <row r="30555">
      <c r="H30555" s="8" t="s">
        <v>364</v>
      </c>
    </row>
    <row r="30556">
      <c r="H30556" s="8" t="s">
        <v>364</v>
      </c>
    </row>
    <row r="30557">
      <c r="H30557" s="8" t="s">
        <v>364</v>
      </c>
    </row>
    <row r="30558">
      <c r="H30558" s="8" t="s">
        <v>364</v>
      </c>
    </row>
    <row r="30559">
      <c r="H30559" s="8" t="s">
        <v>364</v>
      </c>
    </row>
    <row r="30560">
      <c r="H30560" s="8" t="s">
        <v>364</v>
      </c>
    </row>
    <row r="30561">
      <c r="H30561" s="8" t="s">
        <v>364</v>
      </c>
    </row>
    <row r="30562">
      <c r="H30562" s="8" t="s">
        <v>364</v>
      </c>
    </row>
    <row r="30563">
      <c r="H30563" s="8" t="s">
        <v>364</v>
      </c>
    </row>
    <row r="30564">
      <c r="H30564" s="8" t="s">
        <v>364</v>
      </c>
    </row>
    <row r="30565">
      <c r="H30565" s="8" t="s">
        <v>364</v>
      </c>
    </row>
    <row r="30566">
      <c r="H30566" s="8" t="s">
        <v>364</v>
      </c>
    </row>
    <row r="30567">
      <c r="H30567" s="8" t="s">
        <v>364</v>
      </c>
    </row>
    <row r="30568">
      <c r="H30568" s="8" t="s">
        <v>364</v>
      </c>
    </row>
    <row r="30569">
      <c r="H30569" s="8" t="s">
        <v>364</v>
      </c>
    </row>
    <row r="30570">
      <c r="H30570" s="8" t="s">
        <v>364</v>
      </c>
    </row>
    <row r="30571">
      <c r="H30571" s="8" t="s">
        <v>364</v>
      </c>
    </row>
    <row r="30572">
      <c r="H30572" s="8" t="s">
        <v>364</v>
      </c>
    </row>
    <row r="30573">
      <c r="H30573" s="8" t="s">
        <v>364</v>
      </c>
    </row>
    <row r="30574">
      <c r="H30574" s="8" t="s">
        <v>364</v>
      </c>
    </row>
    <row r="30575">
      <c r="H30575" s="8" t="s">
        <v>364</v>
      </c>
    </row>
    <row r="30576">
      <c r="H30576" s="8" t="s">
        <v>364</v>
      </c>
    </row>
    <row r="30577">
      <c r="H30577" s="8" t="s">
        <v>364</v>
      </c>
    </row>
    <row r="30578">
      <c r="H30578" s="8" t="s">
        <v>364</v>
      </c>
    </row>
    <row r="30579">
      <c r="H30579" s="8" t="s">
        <v>364</v>
      </c>
    </row>
    <row r="30580">
      <c r="H30580" s="8" t="s">
        <v>364</v>
      </c>
    </row>
    <row r="30581">
      <c r="H30581" s="8" t="s">
        <v>364</v>
      </c>
    </row>
    <row r="30582">
      <c r="H30582" s="8" t="s">
        <v>364</v>
      </c>
    </row>
    <row r="30583">
      <c r="H30583" s="8" t="s">
        <v>364</v>
      </c>
    </row>
    <row r="30584">
      <c r="H30584" s="8" t="s">
        <v>364</v>
      </c>
    </row>
    <row r="30585">
      <c r="H30585" s="8" t="s">
        <v>364</v>
      </c>
    </row>
    <row r="30586">
      <c r="H30586" s="8" t="s">
        <v>364</v>
      </c>
    </row>
    <row r="30587">
      <c r="H30587" s="8" t="s">
        <v>364</v>
      </c>
    </row>
    <row r="30588">
      <c r="H30588" s="8" t="s">
        <v>364</v>
      </c>
    </row>
    <row r="30589">
      <c r="H30589" s="8" t="s">
        <v>364</v>
      </c>
    </row>
    <row r="30590">
      <c r="H30590" s="8" t="s">
        <v>364</v>
      </c>
    </row>
    <row r="30591">
      <c r="H30591" s="8" t="s">
        <v>364</v>
      </c>
    </row>
    <row r="30592">
      <c r="H30592" s="8" t="s">
        <v>364</v>
      </c>
    </row>
    <row r="30593">
      <c r="H30593" s="8" t="s">
        <v>364</v>
      </c>
    </row>
    <row r="30594">
      <c r="H30594" s="8" t="s">
        <v>364</v>
      </c>
    </row>
    <row r="30595">
      <c r="H30595" s="8" t="s">
        <v>364</v>
      </c>
    </row>
    <row r="30596">
      <c r="H30596" s="8" t="s">
        <v>364</v>
      </c>
    </row>
    <row r="30597">
      <c r="H30597" s="8" t="s">
        <v>364</v>
      </c>
    </row>
    <row r="30598">
      <c r="H30598" s="8" t="s">
        <v>364</v>
      </c>
    </row>
    <row r="30599">
      <c r="H30599" s="8" t="s">
        <v>364</v>
      </c>
    </row>
    <row r="30600">
      <c r="H30600" s="8" t="s">
        <v>364</v>
      </c>
    </row>
    <row r="30601">
      <c r="H30601" s="8" t="s">
        <v>364</v>
      </c>
    </row>
    <row r="30602">
      <c r="H30602" s="8" t="s">
        <v>364</v>
      </c>
    </row>
    <row r="30603">
      <c r="H30603" s="8" t="s">
        <v>364</v>
      </c>
    </row>
    <row r="30604">
      <c r="H30604" s="8" t="s">
        <v>364</v>
      </c>
    </row>
    <row r="30605">
      <c r="H30605" s="8" t="s">
        <v>364</v>
      </c>
    </row>
    <row r="30606">
      <c r="H30606" s="8" t="s">
        <v>364</v>
      </c>
    </row>
    <row r="30607">
      <c r="H30607" s="8" t="s">
        <v>364</v>
      </c>
    </row>
    <row r="30608">
      <c r="H30608" s="8" t="s">
        <v>364</v>
      </c>
    </row>
    <row r="30609">
      <c r="H30609" s="8" t="s">
        <v>364</v>
      </c>
    </row>
    <row r="30610">
      <c r="H30610" s="8" t="s">
        <v>364</v>
      </c>
    </row>
    <row r="30611">
      <c r="H30611" s="8" t="s">
        <v>364</v>
      </c>
    </row>
    <row r="30612">
      <c r="H30612" s="8" t="s">
        <v>364</v>
      </c>
    </row>
    <row r="30613">
      <c r="H30613" s="8" t="s">
        <v>364</v>
      </c>
    </row>
    <row r="30614">
      <c r="H30614" s="8" t="s">
        <v>364</v>
      </c>
    </row>
    <row r="30615">
      <c r="H30615" s="8" t="s">
        <v>364</v>
      </c>
    </row>
    <row r="30616">
      <c r="H30616" s="8" t="s">
        <v>364</v>
      </c>
    </row>
    <row r="30617">
      <c r="H30617" s="8" t="s">
        <v>364</v>
      </c>
    </row>
    <row r="30618">
      <c r="H30618" s="8" t="s">
        <v>364</v>
      </c>
    </row>
    <row r="30619">
      <c r="H30619" s="8" t="s">
        <v>364</v>
      </c>
    </row>
    <row r="30620">
      <c r="H30620" s="8" t="s">
        <v>364</v>
      </c>
    </row>
    <row r="30621">
      <c r="H30621" s="8" t="s">
        <v>364</v>
      </c>
    </row>
    <row r="30622">
      <c r="H30622" s="8" t="s">
        <v>364</v>
      </c>
    </row>
    <row r="30623">
      <c r="H30623" s="8" t="s">
        <v>364</v>
      </c>
    </row>
    <row r="30624">
      <c r="H30624" s="8" t="s">
        <v>364</v>
      </c>
    </row>
    <row r="30625">
      <c r="H30625" s="8" t="s">
        <v>364</v>
      </c>
    </row>
    <row r="30626">
      <c r="H30626" s="8" t="s">
        <v>364</v>
      </c>
    </row>
    <row r="30627">
      <c r="H30627" s="8" t="s">
        <v>364</v>
      </c>
    </row>
    <row r="30628">
      <c r="H30628" s="8" t="s">
        <v>364</v>
      </c>
    </row>
    <row r="30629">
      <c r="H30629" s="8" t="s">
        <v>364</v>
      </c>
    </row>
    <row r="30630">
      <c r="H30630" s="8" t="s">
        <v>364</v>
      </c>
    </row>
    <row r="30631">
      <c r="H30631" s="8" t="s">
        <v>364</v>
      </c>
    </row>
    <row r="30632">
      <c r="H30632" s="8" t="s">
        <v>364</v>
      </c>
    </row>
    <row r="30633">
      <c r="H30633" s="8" t="s">
        <v>364</v>
      </c>
    </row>
    <row r="30634">
      <c r="H30634" s="8" t="s">
        <v>364</v>
      </c>
    </row>
    <row r="30635">
      <c r="H30635" s="8" t="s">
        <v>364</v>
      </c>
    </row>
    <row r="30636">
      <c r="H30636" s="8" t="s">
        <v>364</v>
      </c>
    </row>
    <row r="30637">
      <c r="H30637" s="8" t="s">
        <v>364</v>
      </c>
    </row>
    <row r="30638">
      <c r="H30638" s="8" t="s">
        <v>364</v>
      </c>
    </row>
    <row r="30639">
      <c r="H30639" s="8" t="s">
        <v>364</v>
      </c>
    </row>
    <row r="30640">
      <c r="H30640" s="8" t="s">
        <v>364</v>
      </c>
    </row>
    <row r="30641">
      <c r="H30641" s="8" t="s">
        <v>364</v>
      </c>
    </row>
    <row r="30642">
      <c r="H30642" s="8" t="s">
        <v>364</v>
      </c>
    </row>
    <row r="30643">
      <c r="H30643" s="8" t="s">
        <v>364</v>
      </c>
    </row>
    <row r="30644">
      <c r="H30644" s="8" t="s">
        <v>364</v>
      </c>
    </row>
    <row r="30645">
      <c r="H30645" s="8" t="s">
        <v>364</v>
      </c>
    </row>
    <row r="30646">
      <c r="H30646" s="8" t="s">
        <v>364</v>
      </c>
    </row>
    <row r="30647">
      <c r="H30647" s="8" t="s">
        <v>364</v>
      </c>
    </row>
    <row r="30648">
      <c r="H30648" s="8" t="s">
        <v>364</v>
      </c>
    </row>
    <row r="30649">
      <c r="H30649" s="8" t="s">
        <v>364</v>
      </c>
    </row>
    <row r="30650">
      <c r="H30650" s="8" t="s">
        <v>364</v>
      </c>
    </row>
    <row r="30651">
      <c r="H30651" s="8" t="s">
        <v>364</v>
      </c>
    </row>
    <row r="30652">
      <c r="H30652" s="8" t="s">
        <v>364</v>
      </c>
    </row>
    <row r="30653">
      <c r="H30653" s="8" t="s">
        <v>364</v>
      </c>
    </row>
    <row r="30654">
      <c r="H30654" s="8" t="s">
        <v>364</v>
      </c>
    </row>
    <row r="30655">
      <c r="H30655" s="8" t="s">
        <v>364</v>
      </c>
    </row>
    <row r="30656">
      <c r="H30656" s="8" t="s">
        <v>364</v>
      </c>
    </row>
    <row r="30657">
      <c r="H30657" s="8" t="s">
        <v>364</v>
      </c>
    </row>
    <row r="30658">
      <c r="H30658" s="8" t="s">
        <v>364</v>
      </c>
    </row>
    <row r="30659">
      <c r="H30659" s="8" t="s">
        <v>364</v>
      </c>
    </row>
    <row r="30660">
      <c r="H30660" s="8" t="s">
        <v>364</v>
      </c>
    </row>
    <row r="30661">
      <c r="H30661" s="8" t="s">
        <v>364</v>
      </c>
    </row>
    <row r="30662">
      <c r="H30662" s="8" t="s">
        <v>364</v>
      </c>
    </row>
    <row r="30663">
      <c r="H30663" s="8" t="s">
        <v>364</v>
      </c>
    </row>
    <row r="30664">
      <c r="H30664" s="8" t="s">
        <v>364</v>
      </c>
    </row>
    <row r="30665">
      <c r="H30665" s="8" t="s">
        <v>364</v>
      </c>
    </row>
    <row r="30666">
      <c r="H30666" s="8" t="s">
        <v>364</v>
      </c>
    </row>
    <row r="30667">
      <c r="H30667" s="8" t="s">
        <v>364</v>
      </c>
    </row>
    <row r="30668">
      <c r="H30668" s="8" t="s">
        <v>364</v>
      </c>
    </row>
    <row r="30669">
      <c r="H30669" s="8" t="s">
        <v>364</v>
      </c>
    </row>
    <row r="30670">
      <c r="H30670" s="8" t="s">
        <v>364</v>
      </c>
    </row>
    <row r="30671">
      <c r="H30671" s="8" t="s">
        <v>364</v>
      </c>
    </row>
    <row r="30672">
      <c r="H30672" s="8" t="s">
        <v>364</v>
      </c>
    </row>
    <row r="30673">
      <c r="H30673" s="8" t="s">
        <v>364</v>
      </c>
    </row>
    <row r="30674">
      <c r="H30674" s="8" t="s">
        <v>364</v>
      </c>
    </row>
    <row r="30675">
      <c r="H30675" s="8" t="s">
        <v>364</v>
      </c>
    </row>
    <row r="30676">
      <c r="H30676" s="8" t="s">
        <v>364</v>
      </c>
    </row>
    <row r="30677">
      <c r="H30677" s="8" t="s">
        <v>364</v>
      </c>
    </row>
    <row r="30678">
      <c r="H30678" s="8" t="s">
        <v>364</v>
      </c>
    </row>
    <row r="30679">
      <c r="H30679" s="8" t="s">
        <v>364</v>
      </c>
    </row>
    <row r="30680">
      <c r="H30680" s="8" t="s">
        <v>364</v>
      </c>
    </row>
    <row r="30681">
      <c r="H30681" s="8" t="s">
        <v>364</v>
      </c>
    </row>
    <row r="30682">
      <c r="H30682" s="8" t="s">
        <v>364</v>
      </c>
    </row>
    <row r="30683">
      <c r="H30683" s="8" t="s">
        <v>364</v>
      </c>
    </row>
    <row r="30684">
      <c r="H30684" s="8" t="s">
        <v>364</v>
      </c>
    </row>
    <row r="30685">
      <c r="H30685" s="8" t="s">
        <v>364</v>
      </c>
    </row>
    <row r="30686">
      <c r="H30686" s="8" t="s">
        <v>364</v>
      </c>
    </row>
    <row r="30687">
      <c r="H30687" s="8" t="s">
        <v>364</v>
      </c>
    </row>
    <row r="30688">
      <c r="H30688" s="8" t="s">
        <v>364</v>
      </c>
    </row>
    <row r="30689">
      <c r="H30689" s="8" t="s">
        <v>364</v>
      </c>
    </row>
    <row r="30690">
      <c r="H30690" s="8" t="s">
        <v>364</v>
      </c>
    </row>
    <row r="30691">
      <c r="H30691" s="8" t="s">
        <v>364</v>
      </c>
    </row>
    <row r="30692">
      <c r="H30692" s="8" t="s">
        <v>364</v>
      </c>
    </row>
    <row r="30693">
      <c r="H30693" s="8" t="s">
        <v>364</v>
      </c>
    </row>
    <row r="30694">
      <c r="H30694" s="8" t="s">
        <v>364</v>
      </c>
    </row>
    <row r="30695">
      <c r="H30695" s="8" t="s">
        <v>364</v>
      </c>
    </row>
    <row r="30696">
      <c r="H30696" s="8" t="s">
        <v>364</v>
      </c>
    </row>
    <row r="30697">
      <c r="H30697" s="8" t="s">
        <v>364</v>
      </c>
    </row>
    <row r="30698">
      <c r="H30698" s="8" t="s">
        <v>364</v>
      </c>
    </row>
    <row r="30699">
      <c r="H30699" s="8" t="s">
        <v>364</v>
      </c>
    </row>
    <row r="30700">
      <c r="H30700" s="8" t="s">
        <v>364</v>
      </c>
    </row>
    <row r="30701">
      <c r="H30701" s="8" t="s">
        <v>364</v>
      </c>
    </row>
    <row r="30702">
      <c r="H30702" s="8" t="s">
        <v>364</v>
      </c>
    </row>
    <row r="30703">
      <c r="H30703" s="8" t="s">
        <v>364</v>
      </c>
    </row>
    <row r="30704">
      <c r="H30704" s="8" t="s">
        <v>364</v>
      </c>
    </row>
    <row r="30705">
      <c r="H30705" s="8" t="s">
        <v>364</v>
      </c>
    </row>
    <row r="30706">
      <c r="H30706" s="8" t="s">
        <v>364</v>
      </c>
    </row>
    <row r="30707">
      <c r="H30707" s="8" t="s">
        <v>364</v>
      </c>
    </row>
    <row r="30708">
      <c r="H30708" s="8" t="s">
        <v>364</v>
      </c>
    </row>
    <row r="30709">
      <c r="H30709" s="8" t="s">
        <v>364</v>
      </c>
    </row>
    <row r="30710">
      <c r="H30710" s="8" t="s">
        <v>364</v>
      </c>
    </row>
    <row r="30711">
      <c r="H30711" s="8" t="s">
        <v>364</v>
      </c>
    </row>
    <row r="30712">
      <c r="H30712" s="8" t="s">
        <v>364</v>
      </c>
    </row>
    <row r="30713">
      <c r="H30713" s="8" t="s">
        <v>364</v>
      </c>
    </row>
    <row r="30714">
      <c r="H30714" s="8" t="s">
        <v>364</v>
      </c>
    </row>
    <row r="30715">
      <c r="H30715" s="8" t="s">
        <v>364</v>
      </c>
    </row>
    <row r="30716">
      <c r="H30716" s="8" t="s">
        <v>364</v>
      </c>
    </row>
    <row r="30717">
      <c r="H30717" s="8" t="s">
        <v>364</v>
      </c>
    </row>
    <row r="30718">
      <c r="H30718" s="8" t="s">
        <v>364</v>
      </c>
    </row>
    <row r="30719">
      <c r="H30719" s="8" t="s">
        <v>364</v>
      </c>
    </row>
    <row r="30720">
      <c r="H30720" s="8" t="s">
        <v>364</v>
      </c>
    </row>
    <row r="30721">
      <c r="H30721" s="8" t="s">
        <v>364</v>
      </c>
    </row>
    <row r="30722">
      <c r="H30722" s="8" t="s">
        <v>364</v>
      </c>
    </row>
    <row r="30723">
      <c r="H30723" s="8" t="s">
        <v>364</v>
      </c>
    </row>
    <row r="30724">
      <c r="H30724" s="8" t="s">
        <v>364</v>
      </c>
    </row>
    <row r="30725">
      <c r="H30725" s="8" t="s">
        <v>364</v>
      </c>
    </row>
    <row r="30726">
      <c r="H30726" s="8" t="s">
        <v>364</v>
      </c>
    </row>
    <row r="30727">
      <c r="H30727" s="8" t="s">
        <v>364</v>
      </c>
    </row>
    <row r="30728">
      <c r="H30728" s="8" t="s">
        <v>364</v>
      </c>
    </row>
    <row r="30729">
      <c r="H30729" s="8" t="s">
        <v>364</v>
      </c>
    </row>
    <row r="30730">
      <c r="H30730" s="8" t="s">
        <v>364</v>
      </c>
    </row>
    <row r="30731">
      <c r="H30731" s="8" t="s">
        <v>364</v>
      </c>
    </row>
    <row r="30732">
      <c r="H30732" s="8" t="s">
        <v>364</v>
      </c>
    </row>
    <row r="30733">
      <c r="H30733" s="8" t="s">
        <v>364</v>
      </c>
    </row>
    <row r="30734">
      <c r="H30734" s="8" t="s">
        <v>364</v>
      </c>
    </row>
    <row r="30735">
      <c r="H30735" s="8" t="s">
        <v>364</v>
      </c>
    </row>
    <row r="30736">
      <c r="H30736" s="8" t="s">
        <v>364</v>
      </c>
    </row>
    <row r="30737">
      <c r="H30737" s="8" t="s">
        <v>364</v>
      </c>
    </row>
    <row r="30738">
      <c r="H30738" s="8" t="s">
        <v>364</v>
      </c>
    </row>
    <row r="30739">
      <c r="H30739" s="8" t="s">
        <v>364</v>
      </c>
    </row>
    <row r="30740">
      <c r="H30740" s="8" t="s">
        <v>364</v>
      </c>
    </row>
    <row r="30741">
      <c r="H30741" s="8" t="s">
        <v>364</v>
      </c>
    </row>
    <row r="30742">
      <c r="H30742" s="8" t="s">
        <v>364</v>
      </c>
    </row>
    <row r="30743">
      <c r="H30743" s="8" t="s">
        <v>364</v>
      </c>
    </row>
    <row r="30744">
      <c r="H30744" s="8" t="s">
        <v>364</v>
      </c>
    </row>
    <row r="30745">
      <c r="H30745" s="8" t="s">
        <v>364</v>
      </c>
    </row>
    <row r="30746">
      <c r="H30746" s="8" t="s">
        <v>364</v>
      </c>
    </row>
    <row r="30747">
      <c r="H30747" s="8" t="s">
        <v>364</v>
      </c>
    </row>
    <row r="30748">
      <c r="H30748" s="8" t="s">
        <v>364</v>
      </c>
    </row>
    <row r="30749">
      <c r="H30749" s="8" t="s">
        <v>364</v>
      </c>
    </row>
    <row r="30750">
      <c r="H30750" s="8" t="s">
        <v>364</v>
      </c>
    </row>
    <row r="30751">
      <c r="H30751" s="8" t="s">
        <v>364</v>
      </c>
    </row>
    <row r="30752">
      <c r="H30752" s="8" t="s">
        <v>364</v>
      </c>
    </row>
    <row r="30753">
      <c r="H30753" s="8" t="s">
        <v>364</v>
      </c>
    </row>
    <row r="30754">
      <c r="H30754" s="8" t="s">
        <v>364</v>
      </c>
    </row>
    <row r="30755">
      <c r="H30755" s="8" t="s">
        <v>364</v>
      </c>
    </row>
    <row r="30756">
      <c r="H30756" s="8" t="s">
        <v>364</v>
      </c>
    </row>
    <row r="30757">
      <c r="H30757" s="8" t="s">
        <v>364</v>
      </c>
    </row>
    <row r="30758">
      <c r="H30758" s="8" t="s">
        <v>364</v>
      </c>
    </row>
    <row r="30759">
      <c r="H30759" s="8" t="s">
        <v>364</v>
      </c>
    </row>
    <row r="30760">
      <c r="H30760" s="8" t="s">
        <v>364</v>
      </c>
    </row>
    <row r="30761">
      <c r="H30761" s="8" t="s">
        <v>364</v>
      </c>
    </row>
    <row r="30762">
      <c r="H30762" s="8" t="s">
        <v>364</v>
      </c>
    </row>
    <row r="30763">
      <c r="H30763" s="8" t="s">
        <v>364</v>
      </c>
    </row>
    <row r="30764">
      <c r="H30764" s="8" t="s">
        <v>364</v>
      </c>
    </row>
    <row r="30765">
      <c r="H30765" s="8" t="s">
        <v>364</v>
      </c>
    </row>
    <row r="30766">
      <c r="H30766" s="8" t="s">
        <v>364</v>
      </c>
    </row>
    <row r="30767">
      <c r="H30767" s="8" t="s">
        <v>364</v>
      </c>
    </row>
    <row r="30768">
      <c r="H30768" s="8" t="s">
        <v>364</v>
      </c>
    </row>
    <row r="30769">
      <c r="H30769" s="8" t="s">
        <v>364</v>
      </c>
    </row>
    <row r="30770">
      <c r="H30770" s="8" t="s">
        <v>364</v>
      </c>
    </row>
    <row r="30771">
      <c r="H30771" s="8" t="s">
        <v>364</v>
      </c>
    </row>
    <row r="30772">
      <c r="H30772" s="8" t="s">
        <v>364</v>
      </c>
    </row>
    <row r="30773">
      <c r="H30773" s="8" t="s">
        <v>364</v>
      </c>
    </row>
    <row r="30774">
      <c r="H30774" s="8" t="s">
        <v>364</v>
      </c>
    </row>
    <row r="30775">
      <c r="H30775" s="8" t="s">
        <v>364</v>
      </c>
    </row>
    <row r="30776">
      <c r="H30776" s="8" t="s">
        <v>364</v>
      </c>
    </row>
    <row r="30777">
      <c r="H30777" s="8" t="s">
        <v>364</v>
      </c>
    </row>
    <row r="30778">
      <c r="H30778" s="8" t="s">
        <v>364</v>
      </c>
    </row>
    <row r="30779">
      <c r="H30779" s="8" t="s">
        <v>364</v>
      </c>
    </row>
    <row r="30780">
      <c r="H30780" s="8" t="s">
        <v>364</v>
      </c>
    </row>
    <row r="30781">
      <c r="H30781" s="8" t="s">
        <v>364</v>
      </c>
    </row>
    <row r="30782">
      <c r="H30782" s="8" t="s">
        <v>364</v>
      </c>
    </row>
    <row r="30783">
      <c r="H30783" s="8" t="s">
        <v>364</v>
      </c>
    </row>
    <row r="30784">
      <c r="H30784" s="8" t="s">
        <v>364</v>
      </c>
    </row>
    <row r="30785">
      <c r="H30785" s="8" t="s">
        <v>364</v>
      </c>
    </row>
    <row r="30786">
      <c r="H30786" s="8" t="s">
        <v>364</v>
      </c>
    </row>
    <row r="30787">
      <c r="H30787" s="8" t="s">
        <v>364</v>
      </c>
    </row>
    <row r="30788">
      <c r="H30788" s="8" t="s">
        <v>364</v>
      </c>
    </row>
    <row r="30789">
      <c r="H30789" s="8" t="s">
        <v>364</v>
      </c>
    </row>
    <row r="30790">
      <c r="H30790" s="8" t="s">
        <v>364</v>
      </c>
    </row>
    <row r="30791">
      <c r="H30791" s="8" t="s">
        <v>364</v>
      </c>
    </row>
    <row r="30792">
      <c r="H30792" s="8" t="s">
        <v>364</v>
      </c>
    </row>
    <row r="30793">
      <c r="H30793" s="8" t="s">
        <v>364</v>
      </c>
    </row>
    <row r="30794">
      <c r="H30794" s="8" t="s">
        <v>364</v>
      </c>
    </row>
    <row r="30795">
      <c r="H30795" s="8" t="s">
        <v>364</v>
      </c>
    </row>
    <row r="30796">
      <c r="H30796" s="8" t="s">
        <v>364</v>
      </c>
    </row>
    <row r="30797">
      <c r="H30797" s="8" t="s">
        <v>364</v>
      </c>
    </row>
    <row r="30798">
      <c r="H30798" s="8" t="s">
        <v>364</v>
      </c>
    </row>
    <row r="30799">
      <c r="H30799" s="8" t="s">
        <v>364</v>
      </c>
    </row>
    <row r="30800">
      <c r="H30800" s="8" t="s">
        <v>364</v>
      </c>
    </row>
    <row r="30801">
      <c r="H30801" s="8" t="s">
        <v>364</v>
      </c>
    </row>
    <row r="30802">
      <c r="H30802" s="8" t="s">
        <v>364</v>
      </c>
    </row>
    <row r="30803">
      <c r="H30803" s="8" t="s">
        <v>364</v>
      </c>
    </row>
    <row r="30804">
      <c r="H30804" s="8" t="s">
        <v>364</v>
      </c>
    </row>
    <row r="30805">
      <c r="H30805" s="8" t="s">
        <v>364</v>
      </c>
    </row>
    <row r="30806">
      <c r="H30806" s="8" t="s">
        <v>364</v>
      </c>
    </row>
    <row r="30807">
      <c r="H30807" s="8" t="s">
        <v>364</v>
      </c>
    </row>
    <row r="30808">
      <c r="H30808" s="8" t="s">
        <v>364</v>
      </c>
    </row>
    <row r="30809">
      <c r="H30809" s="8" t="s">
        <v>364</v>
      </c>
    </row>
    <row r="30810">
      <c r="H30810" s="8" t="s">
        <v>364</v>
      </c>
    </row>
    <row r="30811">
      <c r="H30811" s="8" t="s">
        <v>364</v>
      </c>
    </row>
    <row r="30812">
      <c r="H30812" s="8" t="s">
        <v>364</v>
      </c>
    </row>
    <row r="30813">
      <c r="H30813" s="8" t="s">
        <v>364</v>
      </c>
    </row>
    <row r="30814">
      <c r="H30814" s="8" t="s">
        <v>364</v>
      </c>
    </row>
    <row r="30815">
      <c r="H30815" s="8" t="s">
        <v>364</v>
      </c>
    </row>
    <row r="30816">
      <c r="H30816" s="8" t="s">
        <v>364</v>
      </c>
    </row>
    <row r="30817">
      <c r="H30817" s="8" t="s">
        <v>364</v>
      </c>
    </row>
    <row r="30818">
      <c r="H30818" s="8" t="s">
        <v>364</v>
      </c>
    </row>
    <row r="30819">
      <c r="H30819" s="8" t="s">
        <v>364</v>
      </c>
    </row>
    <row r="30820">
      <c r="H30820" s="8" t="s">
        <v>364</v>
      </c>
    </row>
    <row r="30821">
      <c r="H30821" s="8" t="s">
        <v>364</v>
      </c>
    </row>
    <row r="30822">
      <c r="H30822" s="8" t="s">
        <v>364</v>
      </c>
    </row>
    <row r="30823">
      <c r="H30823" s="8" t="s">
        <v>364</v>
      </c>
    </row>
    <row r="30824">
      <c r="H30824" s="8" t="s">
        <v>364</v>
      </c>
    </row>
    <row r="30825">
      <c r="H30825" s="8" t="s">
        <v>364</v>
      </c>
    </row>
    <row r="30826">
      <c r="H30826" s="8" t="s">
        <v>364</v>
      </c>
    </row>
    <row r="30827">
      <c r="H30827" s="8" t="s">
        <v>364</v>
      </c>
    </row>
    <row r="30828">
      <c r="H30828" s="8" t="s">
        <v>364</v>
      </c>
    </row>
    <row r="30829">
      <c r="H30829" s="8" t="s">
        <v>364</v>
      </c>
    </row>
    <row r="30830">
      <c r="H30830" s="8" t="s">
        <v>364</v>
      </c>
    </row>
    <row r="30831">
      <c r="H30831" s="8" t="s">
        <v>364</v>
      </c>
    </row>
    <row r="30832">
      <c r="H30832" s="8" t="s">
        <v>364</v>
      </c>
    </row>
    <row r="30833">
      <c r="H30833" s="8" t="s">
        <v>364</v>
      </c>
    </row>
    <row r="30834">
      <c r="H30834" s="8" t="s">
        <v>364</v>
      </c>
    </row>
    <row r="30835">
      <c r="H30835" s="8" t="s">
        <v>364</v>
      </c>
    </row>
    <row r="30836">
      <c r="H30836" s="8" t="s">
        <v>364</v>
      </c>
    </row>
    <row r="30837">
      <c r="H30837" s="8" t="s">
        <v>364</v>
      </c>
    </row>
    <row r="30838">
      <c r="H30838" s="8" t="s">
        <v>364</v>
      </c>
    </row>
    <row r="30839">
      <c r="H30839" s="8" t="s">
        <v>364</v>
      </c>
    </row>
    <row r="30840">
      <c r="H30840" s="8" t="s">
        <v>364</v>
      </c>
    </row>
    <row r="30841">
      <c r="H30841" s="8" t="s">
        <v>364</v>
      </c>
    </row>
    <row r="30842">
      <c r="H30842" s="8" t="s">
        <v>364</v>
      </c>
    </row>
    <row r="30843">
      <c r="H30843" s="8" t="s">
        <v>364</v>
      </c>
    </row>
    <row r="30844">
      <c r="H30844" s="8" t="s">
        <v>364</v>
      </c>
    </row>
    <row r="30845">
      <c r="H30845" s="8" t="s">
        <v>364</v>
      </c>
    </row>
    <row r="30846">
      <c r="H30846" s="8" t="s">
        <v>364</v>
      </c>
    </row>
    <row r="30847">
      <c r="H30847" s="8" t="s">
        <v>364</v>
      </c>
    </row>
    <row r="30848">
      <c r="H30848" s="8" t="s">
        <v>364</v>
      </c>
    </row>
    <row r="30849">
      <c r="H30849" s="8" t="s">
        <v>364</v>
      </c>
    </row>
    <row r="30850">
      <c r="H30850" s="8" t="s">
        <v>364</v>
      </c>
    </row>
    <row r="30851">
      <c r="H30851" s="8" t="s">
        <v>364</v>
      </c>
    </row>
    <row r="30852">
      <c r="H30852" s="8" t="s">
        <v>364</v>
      </c>
    </row>
    <row r="30853">
      <c r="H30853" s="8" t="s">
        <v>364</v>
      </c>
    </row>
    <row r="30854">
      <c r="H30854" s="8" t="s">
        <v>364</v>
      </c>
    </row>
    <row r="30855">
      <c r="H30855" s="8" t="s">
        <v>364</v>
      </c>
    </row>
    <row r="30856">
      <c r="H30856" s="8" t="s">
        <v>364</v>
      </c>
    </row>
    <row r="30857">
      <c r="H30857" s="8" t="s">
        <v>364</v>
      </c>
    </row>
    <row r="30858">
      <c r="H30858" s="8" t="s">
        <v>364</v>
      </c>
    </row>
    <row r="30859">
      <c r="H30859" s="8" t="s">
        <v>364</v>
      </c>
    </row>
    <row r="30860">
      <c r="H30860" s="8" t="s">
        <v>364</v>
      </c>
    </row>
    <row r="30861">
      <c r="H30861" s="8" t="s">
        <v>364</v>
      </c>
    </row>
    <row r="30862">
      <c r="H30862" s="8" t="s">
        <v>364</v>
      </c>
    </row>
    <row r="30863">
      <c r="H30863" s="8" t="s">
        <v>364</v>
      </c>
    </row>
    <row r="30864">
      <c r="H30864" s="8" t="s">
        <v>364</v>
      </c>
    </row>
    <row r="30865">
      <c r="H30865" s="8" t="s">
        <v>364</v>
      </c>
    </row>
    <row r="30866">
      <c r="H30866" s="8" t="s">
        <v>364</v>
      </c>
    </row>
    <row r="30867">
      <c r="H30867" s="8" t="s">
        <v>364</v>
      </c>
    </row>
    <row r="30868">
      <c r="H30868" s="8" t="s">
        <v>364</v>
      </c>
    </row>
    <row r="30869">
      <c r="H30869" s="8" t="s">
        <v>364</v>
      </c>
    </row>
    <row r="30870">
      <c r="H30870" s="8" t="s">
        <v>364</v>
      </c>
    </row>
    <row r="30871">
      <c r="H30871" s="8" t="s">
        <v>364</v>
      </c>
    </row>
    <row r="30872">
      <c r="H30872" s="8" t="s">
        <v>364</v>
      </c>
    </row>
    <row r="30873">
      <c r="H30873" s="8" t="s">
        <v>364</v>
      </c>
    </row>
    <row r="30874">
      <c r="H30874" s="8" t="s">
        <v>364</v>
      </c>
    </row>
    <row r="30875">
      <c r="H30875" s="8" t="s">
        <v>364</v>
      </c>
    </row>
    <row r="30876">
      <c r="H30876" s="8" t="s">
        <v>364</v>
      </c>
    </row>
    <row r="30877">
      <c r="H30877" s="8" t="s">
        <v>364</v>
      </c>
    </row>
    <row r="30878">
      <c r="H30878" s="8" t="s">
        <v>364</v>
      </c>
    </row>
    <row r="30879">
      <c r="H30879" s="8" t="s">
        <v>364</v>
      </c>
    </row>
    <row r="30880">
      <c r="H30880" s="8" t="s">
        <v>364</v>
      </c>
    </row>
    <row r="30881">
      <c r="H30881" s="8" t="s">
        <v>364</v>
      </c>
    </row>
    <row r="30882">
      <c r="H30882" s="8" t="s">
        <v>364</v>
      </c>
    </row>
    <row r="30883">
      <c r="H30883" s="8" t="s">
        <v>364</v>
      </c>
    </row>
    <row r="30884">
      <c r="H30884" s="8" t="s">
        <v>364</v>
      </c>
    </row>
    <row r="30885">
      <c r="H30885" s="8" t="s">
        <v>364</v>
      </c>
    </row>
    <row r="30886">
      <c r="H30886" s="8" t="s">
        <v>364</v>
      </c>
    </row>
    <row r="30887">
      <c r="H30887" s="8" t="s">
        <v>364</v>
      </c>
    </row>
    <row r="30888">
      <c r="H30888" s="8" t="s">
        <v>364</v>
      </c>
    </row>
    <row r="30889">
      <c r="H30889" s="8" t="s">
        <v>364</v>
      </c>
    </row>
    <row r="30890">
      <c r="H30890" s="8" t="s">
        <v>364</v>
      </c>
    </row>
    <row r="30891">
      <c r="H30891" s="8" t="s">
        <v>364</v>
      </c>
    </row>
    <row r="30892">
      <c r="H30892" s="8" t="s">
        <v>364</v>
      </c>
    </row>
    <row r="30893">
      <c r="H30893" s="8" t="s">
        <v>364</v>
      </c>
    </row>
    <row r="30894">
      <c r="H30894" s="8" t="s">
        <v>364</v>
      </c>
    </row>
    <row r="30895">
      <c r="H30895" s="8" t="s">
        <v>364</v>
      </c>
    </row>
    <row r="30896">
      <c r="H30896" s="8" t="s">
        <v>364</v>
      </c>
    </row>
    <row r="30897">
      <c r="H30897" s="8" t="s">
        <v>364</v>
      </c>
    </row>
    <row r="30898">
      <c r="H30898" s="8" t="s">
        <v>364</v>
      </c>
    </row>
    <row r="30899">
      <c r="H30899" s="8" t="s">
        <v>364</v>
      </c>
    </row>
    <row r="30900">
      <c r="H30900" s="8" t="s">
        <v>364</v>
      </c>
    </row>
    <row r="30901">
      <c r="H30901" s="8" t="s">
        <v>364</v>
      </c>
    </row>
    <row r="30902">
      <c r="H30902" s="8" t="s">
        <v>364</v>
      </c>
    </row>
    <row r="30903">
      <c r="H30903" s="8" t="s">
        <v>364</v>
      </c>
    </row>
    <row r="30904">
      <c r="H30904" s="8" t="s">
        <v>364</v>
      </c>
    </row>
    <row r="30905">
      <c r="H30905" s="8" t="s">
        <v>364</v>
      </c>
    </row>
    <row r="30906">
      <c r="H30906" s="8" t="s">
        <v>364</v>
      </c>
    </row>
    <row r="30907">
      <c r="H30907" s="8" t="s">
        <v>364</v>
      </c>
    </row>
    <row r="30908">
      <c r="H30908" s="8" t="s">
        <v>364</v>
      </c>
    </row>
    <row r="30909">
      <c r="H30909" s="8" t="s">
        <v>364</v>
      </c>
    </row>
    <row r="30910">
      <c r="H30910" s="8" t="s">
        <v>364</v>
      </c>
    </row>
    <row r="30911">
      <c r="H30911" s="8" t="s">
        <v>364</v>
      </c>
    </row>
    <row r="30912">
      <c r="H30912" s="8" t="s">
        <v>364</v>
      </c>
    </row>
    <row r="30913">
      <c r="H30913" s="8" t="s">
        <v>364</v>
      </c>
    </row>
    <row r="30914">
      <c r="H30914" s="8" t="s">
        <v>364</v>
      </c>
    </row>
    <row r="30915">
      <c r="H30915" s="8" t="s">
        <v>364</v>
      </c>
    </row>
    <row r="30916">
      <c r="H30916" s="8" t="s">
        <v>364</v>
      </c>
    </row>
    <row r="30917">
      <c r="H30917" s="8" t="s">
        <v>364</v>
      </c>
    </row>
    <row r="30918">
      <c r="H30918" s="8" t="s">
        <v>364</v>
      </c>
    </row>
    <row r="30919">
      <c r="H30919" s="8" t="s">
        <v>364</v>
      </c>
    </row>
    <row r="30920">
      <c r="H30920" s="8" t="s">
        <v>364</v>
      </c>
    </row>
    <row r="30921">
      <c r="H30921" s="8" t="s">
        <v>364</v>
      </c>
    </row>
    <row r="30922">
      <c r="H30922" s="8" t="s">
        <v>364</v>
      </c>
    </row>
    <row r="30923">
      <c r="H30923" s="8" t="s">
        <v>364</v>
      </c>
    </row>
    <row r="30924">
      <c r="H30924" s="8" t="s">
        <v>364</v>
      </c>
    </row>
    <row r="30925">
      <c r="H30925" s="8" t="s">
        <v>364</v>
      </c>
    </row>
    <row r="30926">
      <c r="H30926" s="8" t="s">
        <v>364</v>
      </c>
    </row>
    <row r="30927">
      <c r="H30927" s="8" t="s">
        <v>364</v>
      </c>
    </row>
    <row r="30928">
      <c r="H30928" s="8" t="s">
        <v>364</v>
      </c>
    </row>
    <row r="30929">
      <c r="H30929" s="8" t="s">
        <v>364</v>
      </c>
    </row>
    <row r="30930">
      <c r="H30930" s="8" t="s">
        <v>364</v>
      </c>
    </row>
    <row r="30931">
      <c r="H30931" s="8" t="s">
        <v>364</v>
      </c>
    </row>
    <row r="30932">
      <c r="H30932" s="8" t="s">
        <v>364</v>
      </c>
    </row>
    <row r="30933">
      <c r="H30933" s="8" t="s">
        <v>364</v>
      </c>
    </row>
    <row r="30934">
      <c r="H30934" s="8" t="s">
        <v>364</v>
      </c>
    </row>
    <row r="30935">
      <c r="H30935" s="8" t="s">
        <v>364</v>
      </c>
    </row>
    <row r="30936">
      <c r="H30936" s="8" t="s">
        <v>364</v>
      </c>
    </row>
    <row r="30937">
      <c r="H30937" s="8" t="s">
        <v>364</v>
      </c>
    </row>
    <row r="30938">
      <c r="H30938" s="8" t="s">
        <v>364</v>
      </c>
    </row>
    <row r="30939">
      <c r="H30939" s="8" t="s">
        <v>364</v>
      </c>
    </row>
    <row r="30940">
      <c r="H30940" s="8" t="s">
        <v>364</v>
      </c>
    </row>
    <row r="30941">
      <c r="H30941" s="8" t="s">
        <v>364</v>
      </c>
    </row>
    <row r="30942">
      <c r="H30942" s="8" t="s">
        <v>364</v>
      </c>
    </row>
    <row r="30943">
      <c r="H30943" s="8" t="s">
        <v>364</v>
      </c>
    </row>
    <row r="30944">
      <c r="H30944" s="8" t="s">
        <v>364</v>
      </c>
    </row>
    <row r="30945">
      <c r="H30945" s="8" t="s">
        <v>364</v>
      </c>
    </row>
    <row r="30946">
      <c r="H30946" s="8" t="s">
        <v>364</v>
      </c>
    </row>
    <row r="30947">
      <c r="H30947" s="8" t="s">
        <v>364</v>
      </c>
    </row>
    <row r="30948">
      <c r="H30948" s="8" t="s">
        <v>364</v>
      </c>
    </row>
    <row r="30949">
      <c r="H30949" s="8" t="s">
        <v>364</v>
      </c>
    </row>
    <row r="30950">
      <c r="H30950" s="8" t="s">
        <v>364</v>
      </c>
    </row>
    <row r="30951">
      <c r="H30951" s="8" t="s">
        <v>364</v>
      </c>
    </row>
    <row r="30952">
      <c r="H30952" s="8" t="s">
        <v>364</v>
      </c>
    </row>
    <row r="30953">
      <c r="H30953" s="8" t="s">
        <v>364</v>
      </c>
    </row>
    <row r="30954">
      <c r="H30954" s="8" t="s">
        <v>364</v>
      </c>
    </row>
    <row r="30955">
      <c r="H30955" s="8" t="s">
        <v>364</v>
      </c>
    </row>
    <row r="30956">
      <c r="H30956" s="8" t="s">
        <v>364</v>
      </c>
    </row>
    <row r="30957">
      <c r="H30957" s="8" t="s">
        <v>364</v>
      </c>
    </row>
    <row r="30958">
      <c r="H30958" s="8" t="s">
        <v>364</v>
      </c>
    </row>
    <row r="30959">
      <c r="H30959" s="8" t="s">
        <v>364</v>
      </c>
    </row>
    <row r="30960">
      <c r="H30960" s="8" t="s">
        <v>364</v>
      </c>
    </row>
    <row r="30961">
      <c r="H30961" s="8" t="s">
        <v>364</v>
      </c>
    </row>
    <row r="30962">
      <c r="H30962" s="8" t="s">
        <v>364</v>
      </c>
    </row>
    <row r="30963">
      <c r="H30963" s="8" t="s">
        <v>364</v>
      </c>
    </row>
    <row r="30964">
      <c r="H30964" s="8" t="s">
        <v>364</v>
      </c>
    </row>
    <row r="30965">
      <c r="H30965" s="8" t="s">
        <v>364</v>
      </c>
    </row>
    <row r="30966">
      <c r="H30966" s="8" t="s">
        <v>364</v>
      </c>
    </row>
    <row r="30967">
      <c r="H30967" s="8" t="s">
        <v>364</v>
      </c>
    </row>
    <row r="30968">
      <c r="H30968" s="8" t="s">
        <v>364</v>
      </c>
    </row>
    <row r="30969">
      <c r="H30969" s="8" t="s">
        <v>364</v>
      </c>
    </row>
    <row r="30970">
      <c r="H30970" s="8" t="s">
        <v>364</v>
      </c>
    </row>
    <row r="30971">
      <c r="H30971" s="8" t="s">
        <v>364</v>
      </c>
    </row>
    <row r="30972">
      <c r="H30972" s="8" t="s">
        <v>364</v>
      </c>
    </row>
    <row r="30973">
      <c r="H30973" s="8" t="s">
        <v>364</v>
      </c>
    </row>
    <row r="30974">
      <c r="H30974" s="8" t="s">
        <v>364</v>
      </c>
    </row>
    <row r="30975">
      <c r="H30975" s="8" t="s">
        <v>364</v>
      </c>
    </row>
    <row r="30976">
      <c r="H30976" s="8" t="s">
        <v>364</v>
      </c>
    </row>
    <row r="30977">
      <c r="H30977" s="8" t="s">
        <v>364</v>
      </c>
    </row>
    <row r="30978">
      <c r="H30978" s="8" t="s">
        <v>364</v>
      </c>
    </row>
    <row r="30979">
      <c r="H30979" s="8" t="s">
        <v>364</v>
      </c>
    </row>
    <row r="30980">
      <c r="H30980" s="8" t="s">
        <v>364</v>
      </c>
    </row>
    <row r="30981">
      <c r="H30981" s="8" t="s">
        <v>364</v>
      </c>
    </row>
    <row r="30982">
      <c r="H30982" s="8" t="s">
        <v>364</v>
      </c>
    </row>
    <row r="30983">
      <c r="H30983" s="8" t="s">
        <v>364</v>
      </c>
    </row>
    <row r="30984">
      <c r="H30984" s="8" t="s">
        <v>364</v>
      </c>
    </row>
    <row r="30985">
      <c r="H30985" s="8" t="s">
        <v>364</v>
      </c>
    </row>
    <row r="30986">
      <c r="H30986" s="8" t="s">
        <v>364</v>
      </c>
    </row>
    <row r="30987">
      <c r="H30987" s="8" t="s">
        <v>364</v>
      </c>
    </row>
    <row r="30988">
      <c r="H30988" s="8" t="s">
        <v>364</v>
      </c>
    </row>
    <row r="30989">
      <c r="H30989" s="8" t="s">
        <v>364</v>
      </c>
    </row>
    <row r="30990">
      <c r="H30990" s="8" t="s">
        <v>364</v>
      </c>
    </row>
    <row r="30991">
      <c r="H30991" s="8" t="s">
        <v>364</v>
      </c>
    </row>
    <row r="30992">
      <c r="H30992" s="8" t="s">
        <v>364</v>
      </c>
    </row>
    <row r="30993">
      <c r="H30993" s="8" t="s">
        <v>364</v>
      </c>
    </row>
    <row r="30994">
      <c r="H30994" s="8" t="s">
        <v>364</v>
      </c>
    </row>
    <row r="30995">
      <c r="H30995" s="8" t="s">
        <v>364</v>
      </c>
    </row>
    <row r="30996">
      <c r="H30996" s="8" t="s">
        <v>364</v>
      </c>
    </row>
    <row r="30997">
      <c r="H30997" s="8" t="s">
        <v>364</v>
      </c>
    </row>
    <row r="30998">
      <c r="H30998" s="8" t="s">
        <v>364</v>
      </c>
    </row>
    <row r="30999">
      <c r="H30999" s="8" t="s">
        <v>364</v>
      </c>
    </row>
    <row r="31000">
      <c r="H31000" s="8" t="s">
        <v>364</v>
      </c>
    </row>
    <row r="31001">
      <c r="H31001" s="8" t="s">
        <v>364</v>
      </c>
    </row>
    <row r="31002">
      <c r="H31002" s="8" t="s">
        <v>364</v>
      </c>
    </row>
    <row r="31003">
      <c r="H31003" s="8" t="s">
        <v>364</v>
      </c>
    </row>
    <row r="31004">
      <c r="H31004" s="8" t="s">
        <v>364</v>
      </c>
    </row>
    <row r="31005">
      <c r="H31005" s="8" t="s">
        <v>364</v>
      </c>
    </row>
    <row r="31006">
      <c r="H31006" s="8" t="s">
        <v>364</v>
      </c>
    </row>
    <row r="31007">
      <c r="H31007" s="8" t="s">
        <v>364</v>
      </c>
    </row>
    <row r="31008">
      <c r="H31008" s="8" t="s">
        <v>364</v>
      </c>
    </row>
    <row r="31009">
      <c r="H31009" s="8" t="s">
        <v>364</v>
      </c>
    </row>
    <row r="31010">
      <c r="H31010" s="8" t="s">
        <v>364</v>
      </c>
    </row>
    <row r="31011">
      <c r="H31011" s="8" t="s">
        <v>364</v>
      </c>
    </row>
    <row r="31012">
      <c r="H31012" s="8" t="s">
        <v>364</v>
      </c>
    </row>
    <row r="31013">
      <c r="H31013" s="8" t="s">
        <v>364</v>
      </c>
    </row>
    <row r="31014">
      <c r="H31014" s="8" t="s">
        <v>364</v>
      </c>
    </row>
    <row r="31015">
      <c r="H31015" s="8" t="s">
        <v>364</v>
      </c>
    </row>
    <row r="31016">
      <c r="H31016" s="8" t="s">
        <v>364</v>
      </c>
    </row>
    <row r="31017">
      <c r="H31017" s="8" t="s">
        <v>364</v>
      </c>
    </row>
    <row r="31018">
      <c r="H31018" s="8" t="s">
        <v>364</v>
      </c>
    </row>
    <row r="31019">
      <c r="H31019" s="8" t="s">
        <v>364</v>
      </c>
    </row>
    <row r="31020">
      <c r="H31020" s="8" t="s">
        <v>364</v>
      </c>
    </row>
    <row r="31021">
      <c r="H31021" s="8" t="s">
        <v>364</v>
      </c>
    </row>
    <row r="31022">
      <c r="H31022" s="8" t="s">
        <v>364</v>
      </c>
    </row>
    <row r="31023">
      <c r="H31023" s="8" t="s">
        <v>364</v>
      </c>
    </row>
    <row r="31024">
      <c r="H31024" s="8" t="s">
        <v>364</v>
      </c>
    </row>
    <row r="31025">
      <c r="H31025" s="8" t="s">
        <v>364</v>
      </c>
    </row>
    <row r="31026">
      <c r="H31026" s="8" t="s">
        <v>364</v>
      </c>
    </row>
    <row r="31027">
      <c r="H31027" s="8" t="s">
        <v>364</v>
      </c>
    </row>
    <row r="31028">
      <c r="H31028" s="8" t="s">
        <v>364</v>
      </c>
    </row>
    <row r="31029">
      <c r="H31029" s="8" t="s">
        <v>364</v>
      </c>
    </row>
    <row r="31030">
      <c r="H31030" s="8" t="s">
        <v>364</v>
      </c>
    </row>
    <row r="31031">
      <c r="H31031" s="8" t="s">
        <v>364</v>
      </c>
    </row>
    <row r="31032">
      <c r="H31032" s="8" t="s">
        <v>364</v>
      </c>
    </row>
    <row r="31033">
      <c r="H31033" s="8" t="s">
        <v>364</v>
      </c>
    </row>
    <row r="31034">
      <c r="H31034" s="8" t="s">
        <v>364</v>
      </c>
    </row>
    <row r="31035">
      <c r="H31035" s="8" t="s">
        <v>364</v>
      </c>
    </row>
    <row r="31036">
      <c r="H31036" s="8" t="s">
        <v>364</v>
      </c>
    </row>
    <row r="31037">
      <c r="H31037" s="8" t="s">
        <v>364</v>
      </c>
    </row>
    <row r="31038">
      <c r="H31038" s="8" t="s">
        <v>364</v>
      </c>
    </row>
    <row r="31039">
      <c r="H31039" s="8" t="s">
        <v>364</v>
      </c>
    </row>
    <row r="31040">
      <c r="H31040" s="8" t="s">
        <v>364</v>
      </c>
    </row>
    <row r="31041">
      <c r="H31041" s="8" t="s">
        <v>364</v>
      </c>
    </row>
    <row r="31042">
      <c r="H31042" s="8" t="s">
        <v>364</v>
      </c>
    </row>
    <row r="31043">
      <c r="H31043" s="8" t="s">
        <v>364</v>
      </c>
    </row>
    <row r="31044">
      <c r="H31044" s="8" t="s">
        <v>364</v>
      </c>
    </row>
    <row r="31045">
      <c r="H31045" s="8" t="s">
        <v>364</v>
      </c>
    </row>
    <row r="31046">
      <c r="H31046" s="8" t="s">
        <v>364</v>
      </c>
    </row>
    <row r="31047">
      <c r="H31047" s="8" t="s">
        <v>364</v>
      </c>
    </row>
    <row r="31048">
      <c r="H31048" s="8" t="s">
        <v>364</v>
      </c>
    </row>
    <row r="31049">
      <c r="H31049" s="8" t="s">
        <v>364</v>
      </c>
    </row>
    <row r="31050">
      <c r="H31050" s="8" t="s">
        <v>364</v>
      </c>
    </row>
    <row r="31051">
      <c r="H31051" s="8" t="s">
        <v>364</v>
      </c>
    </row>
    <row r="31052">
      <c r="H31052" s="8" t="s">
        <v>364</v>
      </c>
    </row>
    <row r="31053">
      <c r="H31053" s="8" t="s">
        <v>364</v>
      </c>
    </row>
    <row r="31054">
      <c r="H31054" s="8" t="s">
        <v>364</v>
      </c>
    </row>
    <row r="31055">
      <c r="H31055" s="8" t="s">
        <v>364</v>
      </c>
    </row>
    <row r="31056">
      <c r="H31056" s="8" t="s">
        <v>364</v>
      </c>
    </row>
    <row r="31057">
      <c r="H31057" s="8" t="s">
        <v>364</v>
      </c>
    </row>
    <row r="31058">
      <c r="H31058" s="8" t="s">
        <v>364</v>
      </c>
    </row>
    <row r="31059">
      <c r="H31059" s="8" t="s">
        <v>364</v>
      </c>
    </row>
    <row r="31060">
      <c r="H31060" s="8" t="s">
        <v>364</v>
      </c>
    </row>
    <row r="31061">
      <c r="H31061" s="8" t="s">
        <v>364</v>
      </c>
    </row>
    <row r="31062">
      <c r="H31062" s="8" t="s">
        <v>364</v>
      </c>
    </row>
    <row r="31063">
      <c r="H31063" s="8" t="s">
        <v>364</v>
      </c>
    </row>
    <row r="31064">
      <c r="H31064" s="8" t="s">
        <v>364</v>
      </c>
    </row>
    <row r="31065">
      <c r="H31065" s="8" t="s">
        <v>364</v>
      </c>
    </row>
    <row r="31066">
      <c r="H31066" s="8" t="s">
        <v>364</v>
      </c>
    </row>
    <row r="31067">
      <c r="H31067" s="8" t="s">
        <v>364</v>
      </c>
    </row>
    <row r="31068">
      <c r="H31068" s="8" t="s">
        <v>364</v>
      </c>
    </row>
    <row r="31069">
      <c r="H31069" s="8" t="s">
        <v>364</v>
      </c>
    </row>
    <row r="31070">
      <c r="H31070" s="8" t="s">
        <v>364</v>
      </c>
    </row>
    <row r="31071">
      <c r="H31071" s="8" t="s">
        <v>364</v>
      </c>
    </row>
    <row r="31072">
      <c r="H31072" s="8" t="s">
        <v>364</v>
      </c>
    </row>
    <row r="31073">
      <c r="H31073" s="8" t="s">
        <v>364</v>
      </c>
    </row>
    <row r="31074">
      <c r="H31074" s="8" t="s">
        <v>364</v>
      </c>
    </row>
    <row r="31075">
      <c r="H31075" s="8" t="s">
        <v>364</v>
      </c>
    </row>
    <row r="31076">
      <c r="H31076" s="8" t="s">
        <v>364</v>
      </c>
    </row>
    <row r="31077">
      <c r="H31077" s="8" t="s">
        <v>364</v>
      </c>
    </row>
    <row r="31078">
      <c r="H31078" s="8" t="s">
        <v>364</v>
      </c>
    </row>
    <row r="31079">
      <c r="H31079" s="8" t="s">
        <v>364</v>
      </c>
    </row>
    <row r="31080">
      <c r="H31080" s="8" t="s">
        <v>364</v>
      </c>
    </row>
    <row r="31081">
      <c r="H31081" s="8" t="s">
        <v>364</v>
      </c>
    </row>
    <row r="31082">
      <c r="H31082" s="8" t="s">
        <v>364</v>
      </c>
    </row>
    <row r="31083">
      <c r="H31083" s="8" t="s">
        <v>364</v>
      </c>
    </row>
    <row r="31084">
      <c r="H31084" s="8" t="s">
        <v>364</v>
      </c>
    </row>
    <row r="31085">
      <c r="H31085" s="8" t="s">
        <v>364</v>
      </c>
    </row>
    <row r="31086">
      <c r="H31086" s="8" t="s">
        <v>364</v>
      </c>
    </row>
    <row r="31087">
      <c r="H31087" s="8" t="s">
        <v>364</v>
      </c>
    </row>
    <row r="31088">
      <c r="H31088" s="8" t="s">
        <v>364</v>
      </c>
    </row>
    <row r="31089">
      <c r="H31089" s="8" t="s">
        <v>364</v>
      </c>
    </row>
    <row r="31090">
      <c r="H31090" s="8" t="s">
        <v>364</v>
      </c>
    </row>
    <row r="31091">
      <c r="H31091" s="8" t="s">
        <v>364</v>
      </c>
    </row>
    <row r="31092">
      <c r="H31092" s="8" t="s">
        <v>364</v>
      </c>
    </row>
    <row r="31093">
      <c r="H31093" s="8" t="s">
        <v>364</v>
      </c>
    </row>
    <row r="31094">
      <c r="H31094" s="8" t="s">
        <v>364</v>
      </c>
    </row>
    <row r="31095">
      <c r="H31095" s="8" t="s">
        <v>364</v>
      </c>
    </row>
    <row r="31096">
      <c r="H31096" s="8" t="s">
        <v>364</v>
      </c>
    </row>
    <row r="31097">
      <c r="H31097" s="8" t="s">
        <v>364</v>
      </c>
    </row>
    <row r="31098">
      <c r="H31098" s="8" t="s">
        <v>364</v>
      </c>
    </row>
    <row r="31099">
      <c r="H31099" s="8" t="s">
        <v>364</v>
      </c>
    </row>
    <row r="31100">
      <c r="H31100" s="8" t="s">
        <v>364</v>
      </c>
    </row>
    <row r="31101">
      <c r="H31101" s="8" t="s">
        <v>364</v>
      </c>
    </row>
    <row r="31102">
      <c r="H31102" s="8" t="s">
        <v>364</v>
      </c>
    </row>
    <row r="31103">
      <c r="H31103" s="8" t="s">
        <v>364</v>
      </c>
    </row>
    <row r="31104">
      <c r="H31104" s="8" t="s">
        <v>364</v>
      </c>
    </row>
    <row r="31105">
      <c r="H31105" s="8" t="s">
        <v>364</v>
      </c>
    </row>
    <row r="31106">
      <c r="H31106" s="8" t="s">
        <v>364</v>
      </c>
    </row>
    <row r="31107">
      <c r="H31107" s="8" t="s">
        <v>364</v>
      </c>
    </row>
    <row r="31108">
      <c r="H31108" s="8" t="s">
        <v>364</v>
      </c>
    </row>
    <row r="31109">
      <c r="H31109" s="8" t="s">
        <v>364</v>
      </c>
    </row>
    <row r="31110">
      <c r="H31110" s="8" t="s">
        <v>364</v>
      </c>
    </row>
    <row r="31111">
      <c r="H31111" s="8" t="s">
        <v>364</v>
      </c>
    </row>
    <row r="31112">
      <c r="H31112" s="8" t="s">
        <v>364</v>
      </c>
    </row>
    <row r="31113">
      <c r="H31113" s="8" t="s">
        <v>364</v>
      </c>
    </row>
    <row r="31114">
      <c r="H31114" s="8" t="s">
        <v>364</v>
      </c>
    </row>
    <row r="31115">
      <c r="H31115" s="8" t="s">
        <v>364</v>
      </c>
    </row>
    <row r="31116">
      <c r="H31116" s="8" t="s">
        <v>364</v>
      </c>
    </row>
    <row r="31117">
      <c r="H31117" s="8" t="s">
        <v>364</v>
      </c>
    </row>
    <row r="31118">
      <c r="H31118" s="8" t="s">
        <v>364</v>
      </c>
    </row>
    <row r="31119">
      <c r="H31119" s="8" t="s">
        <v>364</v>
      </c>
    </row>
    <row r="31120">
      <c r="H31120" s="8" t="s">
        <v>364</v>
      </c>
    </row>
    <row r="31121">
      <c r="H31121" s="8" t="s">
        <v>364</v>
      </c>
    </row>
    <row r="31122">
      <c r="H31122" s="8" t="s">
        <v>364</v>
      </c>
    </row>
    <row r="31123">
      <c r="H31123" s="8" t="s">
        <v>364</v>
      </c>
    </row>
    <row r="31124">
      <c r="H31124" s="8" t="s">
        <v>364</v>
      </c>
    </row>
    <row r="31125">
      <c r="H31125" s="8" t="s">
        <v>364</v>
      </c>
    </row>
    <row r="31126">
      <c r="H31126" s="8" t="s">
        <v>364</v>
      </c>
    </row>
    <row r="31127">
      <c r="H31127" s="8" t="s">
        <v>364</v>
      </c>
    </row>
    <row r="31128">
      <c r="H31128" s="8" t="s">
        <v>364</v>
      </c>
    </row>
    <row r="31129">
      <c r="H31129" s="8" t="s">
        <v>364</v>
      </c>
    </row>
    <row r="31130">
      <c r="H31130" s="8" t="s">
        <v>364</v>
      </c>
    </row>
    <row r="31131">
      <c r="H31131" s="8" t="s">
        <v>364</v>
      </c>
    </row>
    <row r="31132">
      <c r="H31132" s="8" t="s">
        <v>364</v>
      </c>
    </row>
    <row r="31133">
      <c r="H31133" s="8" t="s">
        <v>364</v>
      </c>
    </row>
    <row r="31134">
      <c r="H31134" s="8" t="s">
        <v>364</v>
      </c>
    </row>
    <row r="31135">
      <c r="H31135" s="8" t="s">
        <v>364</v>
      </c>
    </row>
    <row r="31136">
      <c r="H31136" s="8" t="s">
        <v>364</v>
      </c>
    </row>
    <row r="31137">
      <c r="H31137" s="8" t="s">
        <v>364</v>
      </c>
    </row>
    <row r="31138">
      <c r="H31138" s="8" t="s">
        <v>364</v>
      </c>
    </row>
    <row r="31139">
      <c r="H31139" s="8" t="s">
        <v>364</v>
      </c>
    </row>
    <row r="31140">
      <c r="H31140" s="8" t="s">
        <v>364</v>
      </c>
    </row>
    <row r="31141">
      <c r="H31141" s="8" t="s">
        <v>364</v>
      </c>
    </row>
    <row r="31142">
      <c r="H31142" s="8" t="s">
        <v>364</v>
      </c>
    </row>
    <row r="31143">
      <c r="H31143" s="8" t="s">
        <v>364</v>
      </c>
    </row>
    <row r="31144">
      <c r="H31144" s="8" t="s">
        <v>364</v>
      </c>
    </row>
    <row r="31145">
      <c r="H31145" s="8" t="s">
        <v>364</v>
      </c>
    </row>
    <row r="31146">
      <c r="H31146" s="8" t="s">
        <v>364</v>
      </c>
    </row>
    <row r="31147">
      <c r="H31147" s="8" t="s">
        <v>364</v>
      </c>
    </row>
    <row r="31148">
      <c r="H31148" s="8" t="s">
        <v>364</v>
      </c>
    </row>
    <row r="31149">
      <c r="H31149" s="8" t="s">
        <v>364</v>
      </c>
    </row>
    <row r="31150">
      <c r="H31150" s="8" t="s">
        <v>364</v>
      </c>
    </row>
    <row r="31151">
      <c r="H31151" s="8" t="s">
        <v>364</v>
      </c>
    </row>
    <row r="31152">
      <c r="H31152" s="8" t="s">
        <v>364</v>
      </c>
    </row>
    <row r="31153">
      <c r="H31153" s="8" t="s">
        <v>364</v>
      </c>
    </row>
    <row r="31154">
      <c r="H31154" s="8" t="s">
        <v>364</v>
      </c>
    </row>
    <row r="31155">
      <c r="H31155" s="8" t="s">
        <v>364</v>
      </c>
    </row>
    <row r="31156">
      <c r="H31156" s="8" t="s">
        <v>364</v>
      </c>
    </row>
    <row r="31157">
      <c r="H31157" s="8" t="s">
        <v>364</v>
      </c>
    </row>
    <row r="31158">
      <c r="H31158" s="8" t="s">
        <v>364</v>
      </c>
    </row>
    <row r="31159">
      <c r="H31159" s="8" t="s">
        <v>364</v>
      </c>
    </row>
    <row r="31160">
      <c r="H31160" s="8" t="s">
        <v>364</v>
      </c>
    </row>
    <row r="31161">
      <c r="H31161" s="8" t="s">
        <v>364</v>
      </c>
    </row>
    <row r="31162">
      <c r="H31162" s="8" t="s">
        <v>364</v>
      </c>
    </row>
    <row r="31163">
      <c r="H31163" s="8" t="s">
        <v>364</v>
      </c>
    </row>
    <row r="31164">
      <c r="H31164" s="8" t="s">
        <v>364</v>
      </c>
    </row>
    <row r="31165">
      <c r="H31165" s="8" t="s">
        <v>364</v>
      </c>
    </row>
    <row r="31166">
      <c r="H31166" s="8" t="s">
        <v>364</v>
      </c>
    </row>
    <row r="31167">
      <c r="H31167" s="8" t="s">
        <v>364</v>
      </c>
    </row>
    <row r="31168">
      <c r="H31168" s="8" t="s">
        <v>364</v>
      </c>
    </row>
    <row r="31169">
      <c r="H31169" s="8" t="s">
        <v>364</v>
      </c>
    </row>
    <row r="31170">
      <c r="H31170" s="8" t="s">
        <v>364</v>
      </c>
    </row>
    <row r="31171">
      <c r="H31171" s="8" t="s">
        <v>364</v>
      </c>
    </row>
    <row r="31172">
      <c r="H31172" s="8" t="s">
        <v>364</v>
      </c>
    </row>
    <row r="31173">
      <c r="H31173" s="8" t="s">
        <v>364</v>
      </c>
    </row>
    <row r="31174">
      <c r="H31174" s="8" t="s">
        <v>364</v>
      </c>
    </row>
    <row r="31175">
      <c r="H31175" s="8" t="s">
        <v>364</v>
      </c>
    </row>
    <row r="31176">
      <c r="H31176" s="8" t="s">
        <v>364</v>
      </c>
    </row>
    <row r="31177">
      <c r="H31177" s="8" t="s">
        <v>364</v>
      </c>
    </row>
    <row r="31178">
      <c r="H31178" s="8" t="s">
        <v>364</v>
      </c>
    </row>
    <row r="31179">
      <c r="H31179" s="8" t="s">
        <v>364</v>
      </c>
    </row>
    <row r="31180">
      <c r="H31180" s="8" t="s">
        <v>364</v>
      </c>
    </row>
    <row r="31181">
      <c r="H31181" s="8" t="s">
        <v>364</v>
      </c>
    </row>
    <row r="31182">
      <c r="H31182" s="8" t="s">
        <v>364</v>
      </c>
    </row>
    <row r="31183">
      <c r="H31183" s="8" t="s">
        <v>364</v>
      </c>
    </row>
    <row r="31184">
      <c r="H31184" s="8" t="s">
        <v>364</v>
      </c>
    </row>
    <row r="31185">
      <c r="H31185" s="8" t="s">
        <v>364</v>
      </c>
    </row>
    <row r="31186">
      <c r="H31186" s="8" t="s">
        <v>364</v>
      </c>
    </row>
    <row r="31187">
      <c r="H31187" s="8" t="s">
        <v>364</v>
      </c>
    </row>
    <row r="31188">
      <c r="H31188" s="8" t="s">
        <v>364</v>
      </c>
    </row>
    <row r="31189">
      <c r="H31189" s="8" t="s">
        <v>364</v>
      </c>
    </row>
    <row r="31190">
      <c r="H31190" s="8" t="s">
        <v>364</v>
      </c>
    </row>
    <row r="31191">
      <c r="H31191" s="8" t="s">
        <v>364</v>
      </c>
    </row>
    <row r="31192">
      <c r="H31192" s="8" t="s">
        <v>364</v>
      </c>
    </row>
    <row r="31193">
      <c r="H31193" s="8" t="s">
        <v>364</v>
      </c>
    </row>
    <row r="31194">
      <c r="H31194" s="8" t="s">
        <v>364</v>
      </c>
    </row>
    <row r="31195">
      <c r="H31195" s="8" t="s">
        <v>364</v>
      </c>
    </row>
    <row r="31196">
      <c r="H31196" s="8" t="s">
        <v>364</v>
      </c>
    </row>
    <row r="31197">
      <c r="H31197" s="8" t="s">
        <v>364</v>
      </c>
    </row>
    <row r="31198">
      <c r="H31198" s="8" t="s">
        <v>364</v>
      </c>
    </row>
    <row r="31199">
      <c r="H31199" s="8" t="s">
        <v>364</v>
      </c>
    </row>
    <row r="31200">
      <c r="H31200" s="8" t="s">
        <v>364</v>
      </c>
    </row>
    <row r="31201">
      <c r="H31201" s="8" t="s">
        <v>364</v>
      </c>
    </row>
    <row r="31202">
      <c r="H31202" s="8" t="s">
        <v>364</v>
      </c>
    </row>
    <row r="31203">
      <c r="H31203" s="8" t="s">
        <v>364</v>
      </c>
    </row>
    <row r="31204">
      <c r="H31204" s="8" t="s">
        <v>364</v>
      </c>
    </row>
    <row r="31205">
      <c r="H31205" s="8" t="s">
        <v>364</v>
      </c>
    </row>
    <row r="31206">
      <c r="H31206" s="8" t="s">
        <v>364</v>
      </c>
    </row>
    <row r="31207">
      <c r="H31207" s="8" t="s">
        <v>364</v>
      </c>
    </row>
    <row r="31208">
      <c r="H31208" s="8" t="s">
        <v>364</v>
      </c>
    </row>
    <row r="31209">
      <c r="H31209" s="8" t="s">
        <v>364</v>
      </c>
    </row>
    <row r="31210">
      <c r="H31210" s="8" t="s">
        <v>364</v>
      </c>
    </row>
    <row r="31211">
      <c r="H31211" s="8" t="s">
        <v>364</v>
      </c>
    </row>
    <row r="31212">
      <c r="H31212" s="8" t="s">
        <v>364</v>
      </c>
    </row>
    <row r="31213">
      <c r="H31213" s="8" t="s">
        <v>364</v>
      </c>
    </row>
    <row r="31214">
      <c r="H31214" s="8" t="s">
        <v>364</v>
      </c>
    </row>
    <row r="31215">
      <c r="H31215" s="8" t="s">
        <v>364</v>
      </c>
    </row>
    <row r="31216">
      <c r="H31216" s="8" t="s">
        <v>364</v>
      </c>
    </row>
    <row r="31217">
      <c r="H31217" s="8" t="s">
        <v>364</v>
      </c>
    </row>
    <row r="31218">
      <c r="H31218" s="8" t="s">
        <v>364</v>
      </c>
    </row>
    <row r="31219">
      <c r="H31219" s="8" t="s">
        <v>364</v>
      </c>
    </row>
    <row r="31220">
      <c r="H31220" s="8" t="s">
        <v>364</v>
      </c>
    </row>
    <row r="31221">
      <c r="H31221" s="8" t="s">
        <v>364</v>
      </c>
    </row>
    <row r="31222">
      <c r="H31222" s="8" t="s">
        <v>364</v>
      </c>
    </row>
    <row r="31223">
      <c r="H31223" s="8" t="s">
        <v>364</v>
      </c>
    </row>
    <row r="31224">
      <c r="H31224" s="8" t="s">
        <v>364</v>
      </c>
    </row>
    <row r="31225">
      <c r="H31225" s="8" t="s">
        <v>364</v>
      </c>
    </row>
    <row r="31226">
      <c r="H31226" s="8" t="s">
        <v>364</v>
      </c>
    </row>
    <row r="31227">
      <c r="H31227" s="8" t="s">
        <v>364</v>
      </c>
    </row>
    <row r="31228">
      <c r="H31228" s="8" t="s">
        <v>364</v>
      </c>
    </row>
    <row r="31229">
      <c r="H31229" s="8" t="s">
        <v>364</v>
      </c>
    </row>
    <row r="31230">
      <c r="H31230" s="8" t="s">
        <v>364</v>
      </c>
    </row>
    <row r="31231">
      <c r="H31231" s="8" t="s">
        <v>364</v>
      </c>
    </row>
    <row r="31232">
      <c r="H31232" s="8" t="s">
        <v>364</v>
      </c>
    </row>
    <row r="31233">
      <c r="H31233" s="8" t="s">
        <v>364</v>
      </c>
    </row>
    <row r="31234">
      <c r="H31234" s="8" t="s">
        <v>364</v>
      </c>
    </row>
    <row r="31235">
      <c r="H31235" s="8" t="s">
        <v>364</v>
      </c>
    </row>
    <row r="31236">
      <c r="H31236" s="8" t="s">
        <v>364</v>
      </c>
    </row>
    <row r="31237">
      <c r="H31237" s="8" t="s">
        <v>364</v>
      </c>
    </row>
    <row r="31238">
      <c r="H31238" s="8" t="s">
        <v>364</v>
      </c>
    </row>
    <row r="31239">
      <c r="H31239" s="8" t="s">
        <v>364</v>
      </c>
    </row>
    <row r="31240">
      <c r="H31240" s="8" t="s">
        <v>364</v>
      </c>
    </row>
    <row r="31241">
      <c r="H31241" s="8" t="s">
        <v>364</v>
      </c>
    </row>
    <row r="31242">
      <c r="H31242" s="8" t="s">
        <v>364</v>
      </c>
    </row>
    <row r="31243">
      <c r="H31243" s="8" t="s">
        <v>364</v>
      </c>
    </row>
    <row r="31244">
      <c r="H31244" s="8" t="s">
        <v>364</v>
      </c>
    </row>
    <row r="31245">
      <c r="H31245" s="8" t="s">
        <v>364</v>
      </c>
    </row>
    <row r="31246">
      <c r="H31246" s="8" t="s">
        <v>364</v>
      </c>
    </row>
    <row r="31247">
      <c r="H31247" s="8" t="s">
        <v>364</v>
      </c>
    </row>
    <row r="31248">
      <c r="H31248" s="8" t="s">
        <v>364</v>
      </c>
    </row>
    <row r="31249">
      <c r="H31249" s="8" t="s">
        <v>364</v>
      </c>
    </row>
    <row r="31250">
      <c r="H31250" s="8" t="s">
        <v>364</v>
      </c>
    </row>
    <row r="31251">
      <c r="H31251" s="8" t="s">
        <v>364</v>
      </c>
    </row>
    <row r="31252">
      <c r="H31252" s="8" t="s">
        <v>364</v>
      </c>
    </row>
    <row r="31253">
      <c r="H31253" s="8" t="s">
        <v>364</v>
      </c>
    </row>
    <row r="31254">
      <c r="H31254" s="8" t="s">
        <v>364</v>
      </c>
    </row>
    <row r="31255">
      <c r="H31255" s="8" t="s">
        <v>364</v>
      </c>
    </row>
    <row r="31256">
      <c r="H31256" s="8" t="s">
        <v>364</v>
      </c>
    </row>
    <row r="31257">
      <c r="H31257" s="8" t="s">
        <v>364</v>
      </c>
    </row>
    <row r="31258">
      <c r="H31258" s="8" t="s">
        <v>364</v>
      </c>
    </row>
    <row r="31259">
      <c r="H31259" s="8" t="s">
        <v>364</v>
      </c>
    </row>
    <row r="31260">
      <c r="H31260" s="8" t="s">
        <v>364</v>
      </c>
    </row>
    <row r="31261">
      <c r="H31261" s="8" t="s">
        <v>364</v>
      </c>
    </row>
    <row r="31262">
      <c r="H31262" s="8" t="s">
        <v>364</v>
      </c>
    </row>
    <row r="31263">
      <c r="H31263" s="8" t="s">
        <v>364</v>
      </c>
    </row>
    <row r="31264">
      <c r="H31264" s="8" t="s">
        <v>364</v>
      </c>
    </row>
    <row r="31265">
      <c r="H31265" s="8" t="s">
        <v>364</v>
      </c>
    </row>
    <row r="31266">
      <c r="H31266" s="8" t="s">
        <v>364</v>
      </c>
    </row>
    <row r="31267">
      <c r="H31267" s="8" t="s">
        <v>364</v>
      </c>
    </row>
    <row r="31268">
      <c r="H31268" s="8" t="s">
        <v>364</v>
      </c>
    </row>
    <row r="31269">
      <c r="H31269" s="8" t="s">
        <v>364</v>
      </c>
    </row>
    <row r="31270">
      <c r="H31270" s="8" t="s">
        <v>364</v>
      </c>
    </row>
    <row r="31271">
      <c r="H31271" s="8" t="s">
        <v>364</v>
      </c>
    </row>
    <row r="31272">
      <c r="H31272" s="8" t="s">
        <v>364</v>
      </c>
    </row>
    <row r="31273">
      <c r="H31273" s="8" t="s">
        <v>364</v>
      </c>
    </row>
    <row r="31274">
      <c r="H31274" s="8" t="s">
        <v>364</v>
      </c>
    </row>
    <row r="31275">
      <c r="H31275" s="8" t="s">
        <v>364</v>
      </c>
    </row>
    <row r="31276">
      <c r="H31276" s="8" t="s">
        <v>364</v>
      </c>
    </row>
    <row r="31277">
      <c r="H31277" s="8" t="s">
        <v>364</v>
      </c>
    </row>
    <row r="31278">
      <c r="H31278" s="8" t="s">
        <v>364</v>
      </c>
    </row>
    <row r="31279">
      <c r="H31279" s="8" t="s">
        <v>364</v>
      </c>
    </row>
    <row r="31280">
      <c r="H31280" s="8" t="s">
        <v>364</v>
      </c>
    </row>
    <row r="31281">
      <c r="H31281" s="8" t="s">
        <v>364</v>
      </c>
    </row>
    <row r="31282">
      <c r="H31282" s="8" t="s">
        <v>364</v>
      </c>
    </row>
    <row r="31283">
      <c r="H31283" s="8" t="s">
        <v>364</v>
      </c>
    </row>
    <row r="31284">
      <c r="H31284" s="8" t="s">
        <v>364</v>
      </c>
    </row>
    <row r="31285">
      <c r="H31285" s="8" t="s">
        <v>364</v>
      </c>
    </row>
    <row r="31286">
      <c r="H31286" s="8" t="s">
        <v>364</v>
      </c>
    </row>
    <row r="31287">
      <c r="H31287" s="8" t="s">
        <v>364</v>
      </c>
    </row>
    <row r="31288">
      <c r="H31288" s="8" t="s">
        <v>364</v>
      </c>
    </row>
    <row r="31289">
      <c r="H31289" s="8" t="s">
        <v>364</v>
      </c>
    </row>
    <row r="31290">
      <c r="H31290" s="8" t="s">
        <v>364</v>
      </c>
    </row>
    <row r="31291">
      <c r="H31291" s="8" t="s">
        <v>364</v>
      </c>
    </row>
    <row r="31292">
      <c r="H31292" s="8" t="s">
        <v>364</v>
      </c>
    </row>
    <row r="31293">
      <c r="H31293" s="8" t="s">
        <v>364</v>
      </c>
    </row>
    <row r="31294">
      <c r="H31294" s="8" t="s">
        <v>364</v>
      </c>
    </row>
    <row r="31295">
      <c r="H31295" s="8" t="s">
        <v>364</v>
      </c>
    </row>
    <row r="31296">
      <c r="H31296" s="8" t="s">
        <v>364</v>
      </c>
    </row>
    <row r="31297">
      <c r="H31297" s="8" t="s">
        <v>364</v>
      </c>
    </row>
    <row r="31298">
      <c r="H31298" s="8" t="s">
        <v>364</v>
      </c>
    </row>
    <row r="31299">
      <c r="H31299" s="8" t="s">
        <v>364</v>
      </c>
    </row>
    <row r="31300">
      <c r="H31300" s="8" t="s">
        <v>364</v>
      </c>
    </row>
    <row r="31301">
      <c r="H31301" s="8" t="s">
        <v>364</v>
      </c>
    </row>
    <row r="31302">
      <c r="H31302" s="8" t="s">
        <v>364</v>
      </c>
    </row>
    <row r="31303">
      <c r="H31303" s="8" t="s">
        <v>364</v>
      </c>
    </row>
    <row r="31304">
      <c r="H31304" s="8" t="s">
        <v>364</v>
      </c>
    </row>
    <row r="31305">
      <c r="H31305" s="8" t="s">
        <v>364</v>
      </c>
    </row>
    <row r="31306">
      <c r="H31306" s="8" t="s">
        <v>364</v>
      </c>
    </row>
    <row r="31307">
      <c r="H31307" s="8" t="s">
        <v>364</v>
      </c>
    </row>
    <row r="31308">
      <c r="H31308" s="8" t="s">
        <v>364</v>
      </c>
    </row>
    <row r="31309">
      <c r="H31309" s="8" t="s">
        <v>364</v>
      </c>
    </row>
    <row r="31310">
      <c r="H31310" s="8" t="s">
        <v>364</v>
      </c>
    </row>
    <row r="31311">
      <c r="H31311" s="8" t="s">
        <v>364</v>
      </c>
    </row>
    <row r="31312">
      <c r="H31312" s="8" t="s">
        <v>364</v>
      </c>
    </row>
    <row r="31313">
      <c r="H31313" s="8" t="s">
        <v>364</v>
      </c>
    </row>
    <row r="31314">
      <c r="H31314" s="8" t="s">
        <v>364</v>
      </c>
    </row>
    <row r="31315">
      <c r="H31315" s="8" t="s">
        <v>364</v>
      </c>
    </row>
    <row r="31316">
      <c r="H31316" s="8" t="s">
        <v>364</v>
      </c>
    </row>
    <row r="31317">
      <c r="H31317" s="8" t="s">
        <v>364</v>
      </c>
    </row>
    <row r="31318">
      <c r="H31318" s="8" t="s">
        <v>364</v>
      </c>
    </row>
    <row r="31319">
      <c r="H31319" s="8" t="s">
        <v>364</v>
      </c>
    </row>
    <row r="31320">
      <c r="H31320" s="8" t="s">
        <v>364</v>
      </c>
    </row>
    <row r="31321">
      <c r="H31321" s="8" t="s">
        <v>364</v>
      </c>
    </row>
    <row r="31322">
      <c r="H31322" s="8" t="s">
        <v>364</v>
      </c>
    </row>
    <row r="31323">
      <c r="H31323" s="8" t="s">
        <v>364</v>
      </c>
    </row>
    <row r="31324">
      <c r="H31324" s="8" t="s">
        <v>364</v>
      </c>
    </row>
    <row r="31325">
      <c r="H31325" s="8" t="s">
        <v>364</v>
      </c>
    </row>
    <row r="31326">
      <c r="H31326" s="8" t="s">
        <v>364</v>
      </c>
    </row>
    <row r="31327">
      <c r="H31327" s="8" t="s">
        <v>364</v>
      </c>
    </row>
    <row r="31328">
      <c r="H31328" s="8" t="s">
        <v>364</v>
      </c>
    </row>
    <row r="31329">
      <c r="H31329" s="8" t="s">
        <v>364</v>
      </c>
    </row>
    <row r="31330">
      <c r="H31330" s="8" t="s">
        <v>364</v>
      </c>
    </row>
    <row r="31331">
      <c r="H31331" s="8" t="s">
        <v>364</v>
      </c>
    </row>
    <row r="31332">
      <c r="H31332" s="8" t="s">
        <v>364</v>
      </c>
    </row>
    <row r="31333">
      <c r="H31333" s="8" t="s">
        <v>364</v>
      </c>
    </row>
    <row r="31334">
      <c r="H31334" s="8" t="s">
        <v>364</v>
      </c>
    </row>
    <row r="31335">
      <c r="H31335" s="8" t="s">
        <v>364</v>
      </c>
    </row>
    <row r="31336">
      <c r="H31336" s="8" t="s">
        <v>364</v>
      </c>
    </row>
    <row r="31337">
      <c r="H31337" s="8" t="s">
        <v>364</v>
      </c>
    </row>
    <row r="31338">
      <c r="H31338" s="8" t="s">
        <v>364</v>
      </c>
    </row>
    <row r="31339">
      <c r="H31339" s="8" t="s">
        <v>364</v>
      </c>
    </row>
    <row r="31340">
      <c r="H31340" s="8" t="s">
        <v>364</v>
      </c>
    </row>
    <row r="31341">
      <c r="H31341" s="8" t="s">
        <v>364</v>
      </c>
    </row>
    <row r="31342">
      <c r="H31342" s="8" t="s">
        <v>364</v>
      </c>
    </row>
    <row r="31343">
      <c r="H31343" s="8" t="s">
        <v>364</v>
      </c>
    </row>
    <row r="31344">
      <c r="H31344" s="8" t="s">
        <v>364</v>
      </c>
    </row>
    <row r="31345">
      <c r="H31345" s="8" t="s">
        <v>364</v>
      </c>
    </row>
    <row r="31346">
      <c r="H31346" s="8" t="s">
        <v>364</v>
      </c>
    </row>
    <row r="31347">
      <c r="H31347" s="8" t="s">
        <v>364</v>
      </c>
    </row>
    <row r="31348">
      <c r="H31348" s="8" t="s">
        <v>364</v>
      </c>
    </row>
    <row r="31349">
      <c r="H31349" s="8" t="s">
        <v>364</v>
      </c>
    </row>
    <row r="31350">
      <c r="H31350" s="8" t="s">
        <v>364</v>
      </c>
    </row>
    <row r="31351">
      <c r="H31351" s="8" t="s">
        <v>364</v>
      </c>
    </row>
    <row r="31352">
      <c r="H31352" s="8" t="s">
        <v>364</v>
      </c>
    </row>
    <row r="31353">
      <c r="H31353" s="8" t="s">
        <v>364</v>
      </c>
    </row>
    <row r="31354">
      <c r="H31354" s="8" t="s">
        <v>364</v>
      </c>
    </row>
    <row r="31355">
      <c r="H31355" s="8" t="s">
        <v>364</v>
      </c>
    </row>
    <row r="31356">
      <c r="H31356" s="8" t="s">
        <v>364</v>
      </c>
    </row>
    <row r="31357">
      <c r="H31357" s="8" t="s">
        <v>364</v>
      </c>
    </row>
    <row r="31358">
      <c r="H31358" s="8" t="s">
        <v>364</v>
      </c>
    </row>
    <row r="31359">
      <c r="H31359" s="8" t="s">
        <v>364</v>
      </c>
    </row>
    <row r="31360">
      <c r="H31360" s="8" t="s">
        <v>364</v>
      </c>
    </row>
    <row r="31361">
      <c r="H31361" s="8" t="s">
        <v>364</v>
      </c>
    </row>
    <row r="31362">
      <c r="H31362" s="8" t="s">
        <v>364</v>
      </c>
    </row>
    <row r="31363">
      <c r="H31363" s="8" t="s">
        <v>364</v>
      </c>
    </row>
    <row r="31364">
      <c r="H31364" s="8" t="s">
        <v>364</v>
      </c>
    </row>
    <row r="31365">
      <c r="H31365" s="8" t="s">
        <v>364</v>
      </c>
    </row>
    <row r="31366">
      <c r="H31366" s="8" t="s">
        <v>364</v>
      </c>
    </row>
    <row r="31367">
      <c r="H31367" s="8" t="s">
        <v>364</v>
      </c>
    </row>
    <row r="31368">
      <c r="H31368" s="8" t="s">
        <v>364</v>
      </c>
    </row>
    <row r="31369">
      <c r="H31369" s="8" t="s">
        <v>364</v>
      </c>
    </row>
    <row r="31370">
      <c r="H31370" s="8" t="s">
        <v>364</v>
      </c>
    </row>
    <row r="31371">
      <c r="H31371" s="8" t="s">
        <v>364</v>
      </c>
    </row>
    <row r="31372">
      <c r="H31372" s="8" t="s">
        <v>364</v>
      </c>
    </row>
    <row r="31373">
      <c r="H31373" s="8" t="s">
        <v>364</v>
      </c>
    </row>
    <row r="31374">
      <c r="H31374" s="8" t="s">
        <v>364</v>
      </c>
    </row>
    <row r="31375">
      <c r="H31375" s="8" t="s">
        <v>364</v>
      </c>
    </row>
    <row r="31376">
      <c r="H31376" s="8" t="s">
        <v>364</v>
      </c>
    </row>
    <row r="31377">
      <c r="H31377" s="8" t="s">
        <v>364</v>
      </c>
    </row>
    <row r="31378">
      <c r="H31378" s="8" t="s">
        <v>364</v>
      </c>
    </row>
    <row r="31379">
      <c r="H31379" s="8" t="s">
        <v>364</v>
      </c>
    </row>
    <row r="31380">
      <c r="H31380" s="8" t="s">
        <v>364</v>
      </c>
    </row>
    <row r="31381">
      <c r="H31381" s="8" t="s">
        <v>364</v>
      </c>
    </row>
    <row r="31382">
      <c r="H31382" s="8" t="s">
        <v>364</v>
      </c>
    </row>
    <row r="31383">
      <c r="H31383" s="8" t="s">
        <v>364</v>
      </c>
    </row>
    <row r="31384">
      <c r="H31384" s="8" t="s">
        <v>364</v>
      </c>
    </row>
    <row r="31385">
      <c r="H31385" s="8" t="s">
        <v>364</v>
      </c>
    </row>
    <row r="31386">
      <c r="H31386" s="8" t="s">
        <v>364</v>
      </c>
    </row>
    <row r="31387">
      <c r="H31387" s="8" t="s">
        <v>364</v>
      </c>
    </row>
    <row r="31388">
      <c r="H31388" s="8" t="s">
        <v>364</v>
      </c>
    </row>
    <row r="31389">
      <c r="H31389" s="8" t="s">
        <v>364</v>
      </c>
    </row>
    <row r="31390">
      <c r="H31390" s="8" t="s">
        <v>364</v>
      </c>
    </row>
    <row r="31391">
      <c r="H31391" s="8" t="s">
        <v>364</v>
      </c>
    </row>
    <row r="31392">
      <c r="H31392" s="8" t="s">
        <v>364</v>
      </c>
    </row>
    <row r="31393">
      <c r="H31393" s="8" t="s">
        <v>364</v>
      </c>
    </row>
    <row r="31394">
      <c r="H31394" s="8" t="s">
        <v>364</v>
      </c>
    </row>
    <row r="31395">
      <c r="H31395" s="8" t="s">
        <v>364</v>
      </c>
    </row>
    <row r="31396">
      <c r="H31396" s="8" t="s">
        <v>364</v>
      </c>
    </row>
    <row r="31397">
      <c r="H31397" s="8" t="s">
        <v>364</v>
      </c>
    </row>
    <row r="31398">
      <c r="H31398" s="8" t="s">
        <v>364</v>
      </c>
    </row>
    <row r="31399">
      <c r="H31399" s="8" t="s">
        <v>364</v>
      </c>
    </row>
    <row r="31400">
      <c r="H31400" s="8" t="s">
        <v>364</v>
      </c>
    </row>
    <row r="31401">
      <c r="H31401" s="8" t="s">
        <v>364</v>
      </c>
    </row>
    <row r="31402">
      <c r="H31402" s="8" t="s">
        <v>364</v>
      </c>
    </row>
    <row r="31403">
      <c r="H31403" s="8" t="s">
        <v>364</v>
      </c>
    </row>
    <row r="31404">
      <c r="H31404" s="8" t="s">
        <v>364</v>
      </c>
    </row>
    <row r="31405">
      <c r="H31405" s="8" t="s">
        <v>364</v>
      </c>
    </row>
    <row r="31406">
      <c r="H31406" s="8" t="s">
        <v>364</v>
      </c>
    </row>
    <row r="31407">
      <c r="H31407" s="8" t="s">
        <v>364</v>
      </c>
    </row>
    <row r="31408">
      <c r="H31408" s="8" t="s">
        <v>364</v>
      </c>
    </row>
    <row r="31409">
      <c r="H31409" s="8" t="s">
        <v>364</v>
      </c>
    </row>
    <row r="31410">
      <c r="H31410" s="8" t="s">
        <v>364</v>
      </c>
    </row>
    <row r="31411">
      <c r="H31411" s="8" t="s">
        <v>364</v>
      </c>
    </row>
    <row r="31412">
      <c r="H31412" s="8" t="s">
        <v>364</v>
      </c>
    </row>
    <row r="31413">
      <c r="H31413" s="8" t="s">
        <v>364</v>
      </c>
    </row>
    <row r="31414">
      <c r="H31414" s="8" t="s">
        <v>364</v>
      </c>
    </row>
    <row r="31415">
      <c r="H31415" s="8" t="s">
        <v>364</v>
      </c>
    </row>
    <row r="31416">
      <c r="H31416" s="8" t="s">
        <v>364</v>
      </c>
    </row>
    <row r="31417">
      <c r="H31417" s="8" t="s">
        <v>364</v>
      </c>
    </row>
    <row r="31418">
      <c r="H31418" s="8" t="s">
        <v>364</v>
      </c>
    </row>
    <row r="31419">
      <c r="H31419" s="8" t="s">
        <v>364</v>
      </c>
    </row>
    <row r="31420">
      <c r="H31420" s="8" t="s">
        <v>364</v>
      </c>
    </row>
    <row r="31421">
      <c r="H31421" s="8" t="s">
        <v>364</v>
      </c>
    </row>
    <row r="31422">
      <c r="H31422" s="8" t="s">
        <v>364</v>
      </c>
    </row>
    <row r="31423">
      <c r="H31423" s="8" t="s">
        <v>364</v>
      </c>
    </row>
    <row r="31424">
      <c r="H31424" s="8" t="s">
        <v>364</v>
      </c>
    </row>
    <row r="31425">
      <c r="H31425" s="8" t="s">
        <v>364</v>
      </c>
    </row>
    <row r="31426">
      <c r="H31426" s="8" t="s">
        <v>364</v>
      </c>
    </row>
    <row r="31427">
      <c r="H31427" s="8" t="s">
        <v>364</v>
      </c>
    </row>
    <row r="31428">
      <c r="H31428" s="8" t="s">
        <v>364</v>
      </c>
    </row>
    <row r="31429">
      <c r="H31429" s="8" t="s">
        <v>364</v>
      </c>
    </row>
    <row r="31430">
      <c r="H31430" s="8" t="s">
        <v>364</v>
      </c>
    </row>
    <row r="31431">
      <c r="H31431" s="8" t="s">
        <v>364</v>
      </c>
    </row>
    <row r="31432">
      <c r="H31432" s="8" t="s">
        <v>364</v>
      </c>
    </row>
    <row r="31433">
      <c r="H31433" s="8" t="s">
        <v>364</v>
      </c>
    </row>
    <row r="31434">
      <c r="H31434" s="8" t="s">
        <v>364</v>
      </c>
    </row>
    <row r="31435">
      <c r="H31435" s="8" t="s">
        <v>364</v>
      </c>
    </row>
    <row r="31436">
      <c r="H31436" s="8" t="s">
        <v>364</v>
      </c>
    </row>
    <row r="31437">
      <c r="H31437" s="8" t="s">
        <v>364</v>
      </c>
    </row>
    <row r="31438">
      <c r="H31438" s="8" t="s">
        <v>364</v>
      </c>
    </row>
    <row r="31439">
      <c r="H31439" s="8" t="s">
        <v>364</v>
      </c>
    </row>
    <row r="31440">
      <c r="H31440" s="8" t="s">
        <v>364</v>
      </c>
    </row>
    <row r="31441">
      <c r="H31441" s="8" t="s">
        <v>364</v>
      </c>
    </row>
    <row r="31442">
      <c r="H31442" s="8" t="s">
        <v>364</v>
      </c>
    </row>
    <row r="31443">
      <c r="H31443" s="8" t="s">
        <v>364</v>
      </c>
    </row>
    <row r="31444">
      <c r="H31444" s="8" t="s">
        <v>364</v>
      </c>
    </row>
    <row r="31445">
      <c r="H31445" s="8" t="s">
        <v>364</v>
      </c>
    </row>
    <row r="31446">
      <c r="H31446" s="8" t="s">
        <v>364</v>
      </c>
    </row>
    <row r="31447">
      <c r="H31447" s="8" t="s">
        <v>364</v>
      </c>
    </row>
    <row r="31448">
      <c r="H31448" s="8" t="s">
        <v>364</v>
      </c>
    </row>
    <row r="31449">
      <c r="H31449" s="8" t="s">
        <v>364</v>
      </c>
    </row>
    <row r="31450">
      <c r="H31450" s="8" t="s">
        <v>364</v>
      </c>
    </row>
    <row r="31451">
      <c r="H31451" s="8" t="s">
        <v>364</v>
      </c>
    </row>
    <row r="31452">
      <c r="H31452" s="8" t="s">
        <v>364</v>
      </c>
    </row>
    <row r="31453">
      <c r="H31453" s="8" t="s">
        <v>364</v>
      </c>
    </row>
    <row r="31454">
      <c r="H31454" s="8" t="s">
        <v>364</v>
      </c>
    </row>
    <row r="31455">
      <c r="H31455" s="8" t="s">
        <v>364</v>
      </c>
    </row>
    <row r="31456">
      <c r="H31456" s="8" t="s">
        <v>364</v>
      </c>
    </row>
    <row r="31457">
      <c r="H31457" s="8" t="s">
        <v>364</v>
      </c>
    </row>
    <row r="31458">
      <c r="H31458" s="8" t="s">
        <v>364</v>
      </c>
    </row>
    <row r="31459">
      <c r="H31459" s="8" t="s">
        <v>364</v>
      </c>
    </row>
    <row r="31460">
      <c r="H31460" s="8" t="s">
        <v>364</v>
      </c>
    </row>
    <row r="31461">
      <c r="H31461" s="8" t="s">
        <v>364</v>
      </c>
    </row>
    <row r="31462">
      <c r="H31462" s="8" t="s">
        <v>364</v>
      </c>
    </row>
    <row r="31463">
      <c r="H31463" s="8" t="s">
        <v>364</v>
      </c>
    </row>
    <row r="31464">
      <c r="H31464" s="8" t="s">
        <v>364</v>
      </c>
    </row>
    <row r="31465">
      <c r="H31465" s="8" t="s">
        <v>364</v>
      </c>
    </row>
    <row r="31466">
      <c r="H31466" s="8" t="s">
        <v>364</v>
      </c>
    </row>
    <row r="31467">
      <c r="H31467" s="8" t="s">
        <v>364</v>
      </c>
    </row>
    <row r="31468">
      <c r="H31468" s="8" t="s">
        <v>364</v>
      </c>
    </row>
    <row r="31469">
      <c r="H31469" s="8" t="s">
        <v>364</v>
      </c>
    </row>
    <row r="31470">
      <c r="H31470" s="8" t="s">
        <v>364</v>
      </c>
    </row>
    <row r="31471">
      <c r="H31471" s="8" t="s">
        <v>364</v>
      </c>
    </row>
    <row r="31472">
      <c r="H31472" s="8" t="s">
        <v>364</v>
      </c>
    </row>
    <row r="31473">
      <c r="H31473" s="8" t="s">
        <v>364</v>
      </c>
    </row>
    <row r="31474">
      <c r="H31474" s="8" t="s">
        <v>364</v>
      </c>
    </row>
    <row r="31475">
      <c r="H31475" s="8" t="s">
        <v>364</v>
      </c>
    </row>
    <row r="31476">
      <c r="H31476" s="8" t="s">
        <v>364</v>
      </c>
    </row>
    <row r="31477">
      <c r="H31477" s="8" t="s">
        <v>364</v>
      </c>
    </row>
    <row r="31478">
      <c r="H31478" s="8" t="s">
        <v>364</v>
      </c>
    </row>
    <row r="31479">
      <c r="H31479" s="8" t="s">
        <v>364</v>
      </c>
    </row>
    <row r="31480">
      <c r="H31480" s="8" t="s">
        <v>364</v>
      </c>
    </row>
    <row r="31481">
      <c r="H31481" s="8" t="s">
        <v>364</v>
      </c>
    </row>
    <row r="31482">
      <c r="H31482" s="8" t="s">
        <v>364</v>
      </c>
    </row>
    <row r="31483">
      <c r="H31483" s="8" t="s">
        <v>364</v>
      </c>
    </row>
    <row r="31484">
      <c r="H31484" s="8" t="s">
        <v>364</v>
      </c>
    </row>
    <row r="31485">
      <c r="H31485" s="8" t="s">
        <v>364</v>
      </c>
    </row>
    <row r="31486">
      <c r="H31486" s="8" t="s">
        <v>364</v>
      </c>
    </row>
    <row r="31487">
      <c r="H31487" s="8" t="s">
        <v>364</v>
      </c>
    </row>
    <row r="31488">
      <c r="H31488" s="8" t="s">
        <v>364</v>
      </c>
    </row>
    <row r="31489">
      <c r="H31489" s="8" t="s">
        <v>364</v>
      </c>
    </row>
    <row r="31490">
      <c r="H31490" s="8" t="s">
        <v>364</v>
      </c>
    </row>
    <row r="31491">
      <c r="H31491" s="8" t="s">
        <v>364</v>
      </c>
    </row>
    <row r="31492">
      <c r="H31492" s="8" t="s">
        <v>364</v>
      </c>
    </row>
    <row r="31493">
      <c r="H31493" s="8" t="s">
        <v>364</v>
      </c>
    </row>
    <row r="31494">
      <c r="H31494" s="8" t="s">
        <v>364</v>
      </c>
    </row>
    <row r="31495">
      <c r="H31495" s="8" t="s">
        <v>364</v>
      </c>
    </row>
    <row r="31496">
      <c r="H31496" s="8" t="s">
        <v>364</v>
      </c>
    </row>
    <row r="31497">
      <c r="H31497" s="8" t="s">
        <v>364</v>
      </c>
    </row>
    <row r="31498">
      <c r="H31498" s="8" t="s">
        <v>364</v>
      </c>
    </row>
    <row r="31499">
      <c r="H31499" s="8" t="s">
        <v>364</v>
      </c>
    </row>
    <row r="31500">
      <c r="H31500" s="8" t="s">
        <v>364</v>
      </c>
    </row>
    <row r="31501">
      <c r="H31501" s="8" t="s">
        <v>364</v>
      </c>
    </row>
    <row r="31502">
      <c r="H31502" s="8" t="s">
        <v>364</v>
      </c>
    </row>
    <row r="31503">
      <c r="H31503" s="8" t="s">
        <v>364</v>
      </c>
    </row>
    <row r="31504">
      <c r="H31504" s="8" t="s">
        <v>364</v>
      </c>
    </row>
    <row r="31505">
      <c r="H31505" s="8" t="s">
        <v>364</v>
      </c>
    </row>
    <row r="31506">
      <c r="H31506" s="8" t="s">
        <v>364</v>
      </c>
    </row>
    <row r="31507">
      <c r="H31507" s="8" t="s">
        <v>364</v>
      </c>
    </row>
    <row r="31508">
      <c r="H31508" s="8" t="s">
        <v>364</v>
      </c>
    </row>
    <row r="31509">
      <c r="H31509" s="8" t="s">
        <v>364</v>
      </c>
    </row>
    <row r="31510">
      <c r="H31510" s="8" t="s">
        <v>364</v>
      </c>
    </row>
    <row r="31511">
      <c r="H31511" s="8" t="s">
        <v>364</v>
      </c>
    </row>
    <row r="31512">
      <c r="H31512" s="8" t="s">
        <v>364</v>
      </c>
    </row>
    <row r="31513">
      <c r="H31513" s="8" t="s">
        <v>364</v>
      </c>
    </row>
    <row r="31514">
      <c r="H31514" s="8" t="s">
        <v>364</v>
      </c>
    </row>
    <row r="31515">
      <c r="H31515" s="8" t="s">
        <v>364</v>
      </c>
    </row>
    <row r="31516">
      <c r="H31516" s="8" t="s">
        <v>364</v>
      </c>
    </row>
    <row r="31517">
      <c r="H31517" s="8" t="s">
        <v>364</v>
      </c>
    </row>
    <row r="31518">
      <c r="H31518" s="8" t="s">
        <v>364</v>
      </c>
    </row>
    <row r="31519">
      <c r="H31519" s="8" t="s">
        <v>364</v>
      </c>
    </row>
    <row r="31520">
      <c r="H31520" s="8" t="s">
        <v>364</v>
      </c>
    </row>
    <row r="31521">
      <c r="H31521" s="8" t="s">
        <v>364</v>
      </c>
    </row>
    <row r="31522">
      <c r="H31522" s="8" t="s">
        <v>364</v>
      </c>
    </row>
    <row r="31523">
      <c r="H31523" s="8" t="s">
        <v>364</v>
      </c>
    </row>
    <row r="31524">
      <c r="H31524" s="8" t="s">
        <v>364</v>
      </c>
    </row>
    <row r="31525">
      <c r="H31525" s="8" t="s">
        <v>364</v>
      </c>
    </row>
    <row r="31526">
      <c r="H31526" s="8" t="s">
        <v>364</v>
      </c>
    </row>
    <row r="31527">
      <c r="H31527" s="8" t="s">
        <v>364</v>
      </c>
    </row>
    <row r="31528">
      <c r="H31528" s="8" t="s">
        <v>364</v>
      </c>
    </row>
    <row r="31529">
      <c r="H31529" s="8" t="s">
        <v>364</v>
      </c>
    </row>
    <row r="31530">
      <c r="H31530" s="8" t="s">
        <v>364</v>
      </c>
    </row>
    <row r="31531">
      <c r="H31531" s="8" t="s">
        <v>364</v>
      </c>
    </row>
    <row r="31532">
      <c r="H31532" s="8" t="s">
        <v>364</v>
      </c>
    </row>
    <row r="31533">
      <c r="H31533" s="8" t="s">
        <v>364</v>
      </c>
    </row>
    <row r="31534">
      <c r="H31534" s="8" t="s">
        <v>364</v>
      </c>
    </row>
    <row r="31535">
      <c r="H31535" s="8" t="s">
        <v>364</v>
      </c>
    </row>
    <row r="31536">
      <c r="H31536" s="8" t="s">
        <v>364</v>
      </c>
    </row>
    <row r="31537">
      <c r="H31537" s="8" t="s">
        <v>364</v>
      </c>
    </row>
    <row r="31538">
      <c r="H31538" s="8" t="s">
        <v>364</v>
      </c>
    </row>
    <row r="31539">
      <c r="H31539" s="8" t="s">
        <v>364</v>
      </c>
    </row>
    <row r="31540">
      <c r="H31540" s="8" t="s">
        <v>364</v>
      </c>
    </row>
    <row r="31541">
      <c r="H31541" s="8" t="s">
        <v>364</v>
      </c>
    </row>
    <row r="31542">
      <c r="H31542" s="8" t="s">
        <v>364</v>
      </c>
    </row>
    <row r="31543">
      <c r="H31543" s="8" t="s">
        <v>364</v>
      </c>
    </row>
    <row r="31544">
      <c r="H31544" s="8" t="s">
        <v>364</v>
      </c>
    </row>
    <row r="31545">
      <c r="H31545" s="8" t="s">
        <v>364</v>
      </c>
    </row>
    <row r="31546">
      <c r="H31546" s="8" t="s">
        <v>364</v>
      </c>
    </row>
    <row r="31547">
      <c r="H31547" s="8" t="s">
        <v>364</v>
      </c>
    </row>
    <row r="31548">
      <c r="H31548" s="8" t="s">
        <v>364</v>
      </c>
    </row>
    <row r="31549">
      <c r="H31549" s="8" t="s">
        <v>364</v>
      </c>
    </row>
    <row r="31550">
      <c r="H31550" s="8" t="s">
        <v>364</v>
      </c>
    </row>
    <row r="31551">
      <c r="H31551" s="8" t="s">
        <v>364</v>
      </c>
    </row>
    <row r="31552">
      <c r="H31552" s="8" t="s">
        <v>364</v>
      </c>
    </row>
    <row r="31553">
      <c r="H31553" s="8" t="s">
        <v>364</v>
      </c>
    </row>
    <row r="31554">
      <c r="H31554" s="8" t="s">
        <v>364</v>
      </c>
    </row>
    <row r="31555">
      <c r="H31555" s="8" t="s">
        <v>364</v>
      </c>
    </row>
    <row r="31556">
      <c r="H31556" s="8" t="s">
        <v>364</v>
      </c>
    </row>
    <row r="31557">
      <c r="H31557" s="8" t="s">
        <v>364</v>
      </c>
    </row>
    <row r="31558">
      <c r="H31558" s="8" t="s">
        <v>364</v>
      </c>
    </row>
    <row r="31559">
      <c r="H31559" s="8" t="s">
        <v>364</v>
      </c>
    </row>
    <row r="31560">
      <c r="H31560" s="8" t="s">
        <v>364</v>
      </c>
    </row>
    <row r="31561">
      <c r="H31561" s="8" t="s">
        <v>364</v>
      </c>
    </row>
    <row r="31562">
      <c r="H31562" s="8" t="s">
        <v>364</v>
      </c>
    </row>
    <row r="31563">
      <c r="H31563" s="8" t="s">
        <v>364</v>
      </c>
    </row>
    <row r="31564">
      <c r="H31564" s="8" t="s">
        <v>364</v>
      </c>
    </row>
    <row r="31565">
      <c r="H31565" s="8" t="s">
        <v>364</v>
      </c>
    </row>
    <row r="31566">
      <c r="H31566" s="8" t="s">
        <v>364</v>
      </c>
    </row>
    <row r="31567">
      <c r="H31567" s="8" t="s">
        <v>364</v>
      </c>
    </row>
    <row r="31568">
      <c r="H31568" s="8" t="s">
        <v>364</v>
      </c>
    </row>
    <row r="31569">
      <c r="H31569" s="8" t="s">
        <v>364</v>
      </c>
    </row>
    <row r="31570">
      <c r="H31570" s="8" t="s">
        <v>364</v>
      </c>
    </row>
    <row r="31571">
      <c r="H31571" s="8" t="s">
        <v>364</v>
      </c>
    </row>
    <row r="31572">
      <c r="H31572" s="8" t="s">
        <v>364</v>
      </c>
    </row>
    <row r="31573">
      <c r="H31573" s="8" t="s">
        <v>364</v>
      </c>
    </row>
    <row r="31574">
      <c r="H31574" s="8" t="s">
        <v>364</v>
      </c>
    </row>
    <row r="31575">
      <c r="H31575" s="8" t="s">
        <v>364</v>
      </c>
    </row>
    <row r="31576">
      <c r="H31576" s="8" t="s">
        <v>364</v>
      </c>
    </row>
    <row r="31577">
      <c r="H31577" s="8" t="s">
        <v>364</v>
      </c>
    </row>
    <row r="31578">
      <c r="H31578" s="8" t="s">
        <v>364</v>
      </c>
    </row>
    <row r="31579">
      <c r="H31579" s="8" t="s">
        <v>364</v>
      </c>
    </row>
    <row r="31580">
      <c r="H31580" s="8" t="s">
        <v>364</v>
      </c>
    </row>
    <row r="31581">
      <c r="H31581" s="8" t="s">
        <v>364</v>
      </c>
    </row>
    <row r="31582">
      <c r="H31582" s="8" t="s">
        <v>364</v>
      </c>
    </row>
    <row r="31583">
      <c r="H31583" s="8" t="s">
        <v>364</v>
      </c>
    </row>
    <row r="31584">
      <c r="H31584" s="8" t="s">
        <v>364</v>
      </c>
    </row>
    <row r="31585">
      <c r="H31585" s="8" t="s">
        <v>364</v>
      </c>
    </row>
    <row r="31586">
      <c r="H31586" s="8" t="s">
        <v>364</v>
      </c>
    </row>
    <row r="31587">
      <c r="H31587" s="8" t="s">
        <v>364</v>
      </c>
    </row>
    <row r="31588">
      <c r="H31588" s="8" t="s">
        <v>364</v>
      </c>
    </row>
    <row r="31589">
      <c r="H31589" s="8" t="s">
        <v>364</v>
      </c>
    </row>
    <row r="31590">
      <c r="H31590" s="8" t="s">
        <v>364</v>
      </c>
    </row>
    <row r="31591">
      <c r="H31591" s="8" t="s">
        <v>364</v>
      </c>
    </row>
    <row r="31592">
      <c r="H31592" s="8" t="s">
        <v>364</v>
      </c>
    </row>
    <row r="31593">
      <c r="H31593" s="8" t="s">
        <v>364</v>
      </c>
    </row>
    <row r="31594">
      <c r="H31594" s="8" t="s">
        <v>364</v>
      </c>
    </row>
    <row r="31595">
      <c r="H31595" s="8" t="s">
        <v>364</v>
      </c>
    </row>
    <row r="31596">
      <c r="H31596" s="8" t="s">
        <v>364</v>
      </c>
    </row>
    <row r="31597">
      <c r="H31597" s="8" t="s">
        <v>364</v>
      </c>
    </row>
    <row r="31598">
      <c r="H31598" s="8" t="s">
        <v>364</v>
      </c>
    </row>
    <row r="31599">
      <c r="H31599" s="8" t="s">
        <v>364</v>
      </c>
    </row>
    <row r="31600">
      <c r="H31600" s="8" t="s">
        <v>364</v>
      </c>
    </row>
    <row r="31601">
      <c r="H31601" s="8" t="s">
        <v>364</v>
      </c>
    </row>
    <row r="31602">
      <c r="H31602" s="8" t="s">
        <v>364</v>
      </c>
    </row>
    <row r="31603">
      <c r="H31603" s="8" t="s">
        <v>364</v>
      </c>
    </row>
    <row r="31604">
      <c r="H31604" s="8" t="s">
        <v>364</v>
      </c>
    </row>
    <row r="31605">
      <c r="H31605" s="8" t="s">
        <v>364</v>
      </c>
    </row>
    <row r="31606">
      <c r="H31606" s="8" t="s">
        <v>364</v>
      </c>
    </row>
    <row r="31607">
      <c r="H31607" s="8" t="s">
        <v>364</v>
      </c>
    </row>
    <row r="31608">
      <c r="H31608" s="8" t="s">
        <v>364</v>
      </c>
    </row>
    <row r="31609">
      <c r="H31609" s="8" t="s">
        <v>364</v>
      </c>
    </row>
    <row r="31610">
      <c r="H31610" s="8" t="s">
        <v>364</v>
      </c>
    </row>
    <row r="31611">
      <c r="H31611" s="8" t="s">
        <v>364</v>
      </c>
    </row>
    <row r="31612">
      <c r="H31612" s="8" t="s">
        <v>364</v>
      </c>
    </row>
    <row r="31613">
      <c r="H31613" s="8" t="s">
        <v>364</v>
      </c>
    </row>
    <row r="31614">
      <c r="H31614" s="8" t="s">
        <v>364</v>
      </c>
    </row>
    <row r="31615">
      <c r="H31615" s="8" t="s">
        <v>364</v>
      </c>
    </row>
    <row r="31616">
      <c r="H31616" s="8" t="s">
        <v>364</v>
      </c>
    </row>
    <row r="31617">
      <c r="H31617" s="8" t="s">
        <v>364</v>
      </c>
    </row>
    <row r="31618">
      <c r="H31618" s="8" t="s">
        <v>364</v>
      </c>
    </row>
    <row r="31619">
      <c r="H31619" s="8" t="s">
        <v>364</v>
      </c>
    </row>
    <row r="31620">
      <c r="H31620" s="8" t="s">
        <v>364</v>
      </c>
    </row>
    <row r="31621">
      <c r="H31621" s="8" t="s">
        <v>364</v>
      </c>
    </row>
    <row r="31622">
      <c r="H31622" s="8" t="s">
        <v>364</v>
      </c>
    </row>
    <row r="31623">
      <c r="H31623" s="8" t="s">
        <v>364</v>
      </c>
    </row>
    <row r="31624">
      <c r="H31624" s="8" t="s">
        <v>364</v>
      </c>
    </row>
    <row r="31625">
      <c r="H31625" s="8" t="s">
        <v>364</v>
      </c>
    </row>
    <row r="31626">
      <c r="H31626" s="8" t="s">
        <v>364</v>
      </c>
    </row>
    <row r="31627">
      <c r="H31627" s="8" t="s">
        <v>364</v>
      </c>
    </row>
    <row r="31628">
      <c r="H31628" s="8" t="s">
        <v>364</v>
      </c>
    </row>
    <row r="31629">
      <c r="H31629" s="8" t="s">
        <v>364</v>
      </c>
    </row>
    <row r="31630">
      <c r="H31630" s="8" t="s">
        <v>364</v>
      </c>
    </row>
    <row r="31631">
      <c r="H31631" s="8" t="s">
        <v>364</v>
      </c>
    </row>
    <row r="31632">
      <c r="H31632" s="8" t="s">
        <v>364</v>
      </c>
    </row>
    <row r="31633">
      <c r="H31633" s="8" t="s">
        <v>364</v>
      </c>
    </row>
    <row r="31634">
      <c r="H31634" s="8" t="s">
        <v>364</v>
      </c>
    </row>
    <row r="31635">
      <c r="H31635" s="8" t="s">
        <v>364</v>
      </c>
    </row>
    <row r="31636">
      <c r="H31636" s="8" t="s">
        <v>364</v>
      </c>
    </row>
    <row r="31637">
      <c r="H31637" s="8" t="s">
        <v>364</v>
      </c>
    </row>
    <row r="31638">
      <c r="H31638" s="8" t="s">
        <v>364</v>
      </c>
    </row>
    <row r="31639">
      <c r="H31639" s="8" t="s">
        <v>364</v>
      </c>
    </row>
    <row r="31640">
      <c r="H31640" s="8" t="s">
        <v>364</v>
      </c>
    </row>
    <row r="31641">
      <c r="H31641" s="8" t="s">
        <v>364</v>
      </c>
    </row>
    <row r="31642">
      <c r="H31642" s="8" t="s">
        <v>364</v>
      </c>
    </row>
    <row r="31643">
      <c r="H31643" s="8" t="s">
        <v>364</v>
      </c>
    </row>
    <row r="31644">
      <c r="H31644" s="8" t="s">
        <v>364</v>
      </c>
    </row>
    <row r="31645">
      <c r="H31645" s="8" t="s">
        <v>364</v>
      </c>
    </row>
    <row r="31646">
      <c r="H31646" s="8" t="s">
        <v>364</v>
      </c>
    </row>
    <row r="31647">
      <c r="H31647" s="8" t="s">
        <v>364</v>
      </c>
    </row>
    <row r="31648">
      <c r="H31648" s="8" t="s">
        <v>364</v>
      </c>
    </row>
    <row r="31649">
      <c r="H31649" s="8" t="s">
        <v>364</v>
      </c>
    </row>
    <row r="31650">
      <c r="H31650" s="8" t="s">
        <v>364</v>
      </c>
    </row>
    <row r="31651">
      <c r="H31651" s="8" t="s">
        <v>364</v>
      </c>
    </row>
    <row r="31652">
      <c r="H31652" s="8" t="s">
        <v>364</v>
      </c>
    </row>
    <row r="31653">
      <c r="H31653" s="8" t="s">
        <v>364</v>
      </c>
    </row>
    <row r="31654">
      <c r="H31654" s="8" t="s">
        <v>364</v>
      </c>
    </row>
    <row r="31655">
      <c r="H31655" s="8" t="s">
        <v>364</v>
      </c>
    </row>
    <row r="31656">
      <c r="H31656" s="8" t="s">
        <v>364</v>
      </c>
    </row>
    <row r="31657">
      <c r="H31657" s="8" t="s">
        <v>364</v>
      </c>
    </row>
    <row r="31658">
      <c r="H31658" s="8" t="s">
        <v>364</v>
      </c>
    </row>
    <row r="31659">
      <c r="H31659" s="8" t="s">
        <v>364</v>
      </c>
    </row>
    <row r="31660">
      <c r="H31660" s="8" t="s">
        <v>364</v>
      </c>
    </row>
    <row r="31661">
      <c r="H31661" s="8" t="s">
        <v>364</v>
      </c>
    </row>
    <row r="31662">
      <c r="H31662" s="8" t="s">
        <v>364</v>
      </c>
    </row>
    <row r="31663">
      <c r="H31663" s="8" t="s">
        <v>364</v>
      </c>
    </row>
    <row r="31664">
      <c r="H31664" s="8" t="s">
        <v>364</v>
      </c>
    </row>
    <row r="31665">
      <c r="H31665" s="8" t="s">
        <v>364</v>
      </c>
    </row>
    <row r="31666">
      <c r="H31666" s="8" t="s">
        <v>364</v>
      </c>
    </row>
    <row r="31667">
      <c r="H31667" s="8" t="s">
        <v>364</v>
      </c>
    </row>
    <row r="31668">
      <c r="H31668" s="8" t="s">
        <v>364</v>
      </c>
    </row>
    <row r="31669">
      <c r="H31669" s="8" t="s">
        <v>364</v>
      </c>
    </row>
    <row r="31670">
      <c r="H31670" s="8" t="s">
        <v>364</v>
      </c>
    </row>
    <row r="31671">
      <c r="H31671" s="8" t="s">
        <v>364</v>
      </c>
    </row>
    <row r="31672">
      <c r="H31672" s="8" t="s">
        <v>364</v>
      </c>
    </row>
    <row r="31673">
      <c r="H31673" s="8" t="s">
        <v>364</v>
      </c>
    </row>
    <row r="31674">
      <c r="H31674" s="8" t="s">
        <v>364</v>
      </c>
    </row>
    <row r="31675">
      <c r="H31675" s="8" t="s">
        <v>364</v>
      </c>
    </row>
    <row r="31676">
      <c r="H31676" s="8" t="s">
        <v>364</v>
      </c>
    </row>
    <row r="31677">
      <c r="H31677" s="8" t="s">
        <v>364</v>
      </c>
    </row>
    <row r="31678">
      <c r="H31678" s="8" t="s">
        <v>364</v>
      </c>
    </row>
    <row r="31679">
      <c r="H31679" s="8" t="s">
        <v>364</v>
      </c>
    </row>
    <row r="31680">
      <c r="H31680" s="8" t="s">
        <v>364</v>
      </c>
    </row>
    <row r="31681">
      <c r="H31681" s="8" t="s">
        <v>364</v>
      </c>
    </row>
    <row r="31682">
      <c r="H31682" s="8" t="s">
        <v>364</v>
      </c>
    </row>
    <row r="31683">
      <c r="H31683" s="8" t="s">
        <v>364</v>
      </c>
    </row>
    <row r="31684">
      <c r="H31684" s="8" t="s">
        <v>364</v>
      </c>
    </row>
    <row r="31685">
      <c r="H31685" s="8" t="s">
        <v>364</v>
      </c>
    </row>
    <row r="31686">
      <c r="H31686" s="8" t="s">
        <v>364</v>
      </c>
    </row>
    <row r="31687">
      <c r="H31687" s="8" t="s">
        <v>364</v>
      </c>
    </row>
    <row r="31688">
      <c r="H31688" s="8" t="s">
        <v>364</v>
      </c>
    </row>
    <row r="31689">
      <c r="H31689" s="8" t="s">
        <v>364</v>
      </c>
    </row>
    <row r="31690">
      <c r="H31690" s="8" t="s">
        <v>364</v>
      </c>
    </row>
    <row r="31691">
      <c r="H31691" s="8" t="s">
        <v>364</v>
      </c>
    </row>
    <row r="31692">
      <c r="H31692" s="8" t="s">
        <v>364</v>
      </c>
    </row>
    <row r="31693">
      <c r="H31693" s="8" t="s">
        <v>364</v>
      </c>
    </row>
    <row r="31694">
      <c r="H31694" s="8" t="s">
        <v>364</v>
      </c>
    </row>
    <row r="31695">
      <c r="H31695" s="8" t="s">
        <v>364</v>
      </c>
    </row>
    <row r="31696">
      <c r="H31696" s="8" t="s">
        <v>364</v>
      </c>
    </row>
    <row r="31697">
      <c r="H31697" s="8" t="s">
        <v>364</v>
      </c>
    </row>
    <row r="31698">
      <c r="H31698" s="8" t="s">
        <v>364</v>
      </c>
    </row>
    <row r="31699">
      <c r="H31699" s="8" t="s">
        <v>364</v>
      </c>
    </row>
    <row r="31700">
      <c r="H31700" s="8" t="s">
        <v>364</v>
      </c>
    </row>
    <row r="31701">
      <c r="H31701" s="8" t="s">
        <v>364</v>
      </c>
    </row>
    <row r="31702">
      <c r="H31702" s="8" t="s">
        <v>364</v>
      </c>
    </row>
    <row r="31703">
      <c r="H31703" s="8" t="s">
        <v>364</v>
      </c>
    </row>
    <row r="31704">
      <c r="H31704" s="8" t="s">
        <v>364</v>
      </c>
    </row>
    <row r="31705">
      <c r="H31705" s="8" t="s">
        <v>364</v>
      </c>
    </row>
    <row r="31706">
      <c r="H31706" s="8" t="s">
        <v>364</v>
      </c>
    </row>
    <row r="31707">
      <c r="H31707" s="8" t="s">
        <v>364</v>
      </c>
    </row>
    <row r="31708">
      <c r="H31708" s="8" t="s">
        <v>364</v>
      </c>
    </row>
    <row r="31709">
      <c r="H31709" s="8" t="s">
        <v>364</v>
      </c>
    </row>
    <row r="31710">
      <c r="H31710" s="8" t="s">
        <v>364</v>
      </c>
    </row>
    <row r="31711">
      <c r="H31711" s="8" t="s">
        <v>364</v>
      </c>
    </row>
    <row r="31712">
      <c r="H31712" s="8" t="s">
        <v>364</v>
      </c>
    </row>
    <row r="31713">
      <c r="H31713" s="8" t="s">
        <v>364</v>
      </c>
    </row>
    <row r="31714">
      <c r="H31714" s="8" t="s">
        <v>364</v>
      </c>
    </row>
    <row r="31715">
      <c r="H31715" s="8" t="s">
        <v>364</v>
      </c>
    </row>
    <row r="31716">
      <c r="H31716" s="8" t="s">
        <v>364</v>
      </c>
    </row>
    <row r="31717">
      <c r="H31717" s="8" t="s">
        <v>364</v>
      </c>
    </row>
    <row r="31718">
      <c r="H31718" s="8" t="s">
        <v>364</v>
      </c>
    </row>
    <row r="31719">
      <c r="H31719" s="8" t="s">
        <v>364</v>
      </c>
    </row>
    <row r="31720">
      <c r="H31720" s="8" t="s">
        <v>364</v>
      </c>
    </row>
    <row r="31721">
      <c r="H31721" s="8" t="s">
        <v>364</v>
      </c>
    </row>
    <row r="31722">
      <c r="H31722" s="8" t="s">
        <v>364</v>
      </c>
    </row>
    <row r="31723">
      <c r="H31723" s="8" t="s">
        <v>364</v>
      </c>
    </row>
    <row r="31724">
      <c r="H31724" s="8" t="s">
        <v>364</v>
      </c>
    </row>
    <row r="31725">
      <c r="H31725" s="8" t="s">
        <v>364</v>
      </c>
    </row>
    <row r="31726">
      <c r="H31726" s="8" t="s">
        <v>364</v>
      </c>
    </row>
    <row r="31727">
      <c r="H31727" s="8" t="s">
        <v>364</v>
      </c>
    </row>
    <row r="31728">
      <c r="H31728" s="8" t="s">
        <v>364</v>
      </c>
    </row>
    <row r="31729">
      <c r="H31729" s="8" t="s">
        <v>364</v>
      </c>
    </row>
    <row r="31730">
      <c r="H31730" s="8" t="s">
        <v>364</v>
      </c>
    </row>
    <row r="31731">
      <c r="H31731" s="8" t="s">
        <v>364</v>
      </c>
    </row>
    <row r="31732">
      <c r="H31732" s="8" t="s">
        <v>364</v>
      </c>
    </row>
    <row r="31733">
      <c r="H31733" s="8" t="s">
        <v>364</v>
      </c>
    </row>
    <row r="31734">
      <c r="H31734" s="8" t="s">
        <v>364</v>
      </c>
    </row>
    <row r="31735">
      <c r="H31735" s="8" t="s">
        <v>364</v>
      </c>
    </row>
    <row r="31736">
      <c r="H31736" s="8" t="s">
        <v>364</v>
      </c>
    </row>
    <row r="31737">
      <c r="H31737" s="8" t="s">
        <v>364</v>
      </c>
    </row>
    <row r="31738">
      <c r="H31738" s="8" t="s">
        <v>364</v>
      </c>
    </row>
    <row r="31739">
      <c r="H31739" s="8" t="s">
        <v>364</v>
      </c>
    </row>
    <row r="31740">
      <c r="H31740" s="8" t="s">
        <v>364</v>
      </c>
    </row>
    <row r="31741">
      <c r="H31741" s="8" t="s">
        <v>364</v>
      </c>
    </row>
    <row r="31742">
      <c r="H31742" s="8" t="s">
        <v>364</v>
      </c>
    </row>
    <row r="31743">
      <c r="H31743" s="8" t="s">
        <v>364</v>
      </c>
    </row>
    <row r="31744">
      <c r="H31744" s="8" t="s">
        <v>364</v>
      </c>
    </row>
    <row r="31745">
      <c r="H31745" s="8" t="s">
        <v>364</v>
      </c>
    </row>
    <row r="31746">
      <c r="H31746" s="8" t="s">
        <v>364</v>
      </c>
    </row>
    <row r="31747">
      <c r="H31747" s="8" t="s">
        <v>364</v>
      </c>
    </row>
    <row r="31748">
      <c r="H31748" s="8" t="s">
        <v>364</v>
      </c>
    </row>
    <row r="31749">
      <c r="H31749" s="8" t="s">
        <v>364</v>
      </c>
    </row>
    <row r="31750">
      <c r="H31750" s="8" t="s">
        <v>364</v>
      </c>
    </row>
    <row r="31751">
      <c r="H31751" s="8" t="s">
        <v>364</v>
      </c>
    </row>
    <row r="31752">
      <c r="H31752" s="8" t="s">
        <v>364</v>
      </c>
    </row>
    <row r="31753">
      <c r="H31753" s="8" t="s">
        <v>364</v>
      </c>
    </row>
    <row r="31754">
      <c r="H31754" s="8" t="s">
        <v>364</v>
      </c>
    </row>
    <row r="31755">
      <c r="H31755" s="8" t="s">
        <v>364</v>
      </c>
    </row>
    <row r="31756">
      <c r="H31756" s="8" t="s">
        <v>364</v>
      </c>
    </row>
    <row r="31757">
      <c r="H31757" s="8" t="s">
        <v>364</v>
      </c>
    </row>
    <row r="31758">
      <c r="H31758" s="8" t="s">
        <v>364</v>
      </c>
    </row>
    <row r="31759">
      <c r="H31759" s="8" t="s">
        <v>364</v>
      </c>
    </row>
    <row r="31760">
      <c r="H31760" s="8" t="s">
        <v>364</v>
      </c>
    </row>
    <row r="31761">
      <c r="H31761" s="8" t="s">
        <v>364</v>
      </c>
    </row>
    <row r="31762">
      <c r="H31762" s="8" t="s">
        <v>364</v>
      </c>
    </row>
    <row r="31763">
      <c r="H31763" s="8" t="s">
        <v>364</v>
      </c>
    </row>
    <row r="31764">
      <c r="H31764" s="8" t="s">
        <v>364</v>
      </c>
    </row>
    <row r="31765">
      <c r="H31765" s="8" t="s">
        <v>364</v>
      </c>
    </row>
    <row r="31766">
      <c r="H31766" s="8" t="s">
        <v>364</v>
      </c>
    </row>
    <row r="31767">
      <c r="H31767" s="8" t="s">
        <v>364</v>
      </c>
    </row>
    <row r="31768">
      <c r="H31768" s="8" t="s">
        <v>364</v>
      </c>
    </row>
    <row r="31769">
      <c r="H31769" s="8" t="s">
        <v>364</v>
      </c>
    </row>
    <row r="31770">
      <c r="H31770" s="8" t="s">
        <v>364</v>
      </c>
    </row>
    <row r="31771">
      <c r="H31771" s="8" t="s">
        <v>364</v>
      </c>
    </row>
    <row r="31772">
      <c r="H31772" s="8" t="s">
        <v>364</v>
      </c>
    </row>
    <row r="31773">
      <c r="H31773" s="8" t="s">
        <v>364</v>
      </c>
    </row>
    <row r="31774">
      <c r="H31774" s="8" t="s">
        <v>364</v>
      </c>
    </row>
    <row r="31775">
      <c r="H31775" s="8" t="s">
        <v>364</v>
      </c>
    </row>
    <row r="31776">
      <c r="H31776" s="8" t="s">
        <v>364</v>
      </c>
    </row>
    <row r="31777">
      <c r="H31777" s="8" t="s">
        <v>364</v>
      </c>
    </row>
    <row r="31778">
      <c r="H31778" s="8" t="s">
        <v>364</v>
      </c>
    </row>
    <row r="31779">
      <c r="H31779" s="8" t="s">
        <v>364</v>
      </c>
    </row>
    <row r="31780">
      <c r="H31780" s="8" t="s">
        <v>364</v>
      </c>
    </row>
    <row r="31781">
      <c r="H31781" s="8" t="s">
        <v>364</v>
      </c>
    </row>
    <row r="31782">
      <c r="H31782" s="8" t="s">
        <v>364</v>
      </c>
    </row>
    <row r="31783">
      <c r="H31783" s="8" t="s">
        <v>364</v>
      </c>
    </row>
    <row r="31784">
      <c r="H31784" s="8" t="s">
        <v>364</v>
      </c>
    </row>
    <row r="31785">
      <c r="H31785" s="8" t="s">
        <v>364</v>
      </c>
    </row>
    <row r="31786">
      <c r="H31786" s="8" t="s">
        <v>364</v>
      </c>
    </row>
    <row r="31787">
      <c r="H31787" s="8" t="s">
        <v>364</v>
      </c>
    </row>
    <row r="31788">
      <c r="H31788" s="8" t="s">
        <v>364</v>
      </c>
    </row>
    <row r="31789">
      <c r="H31789" s="8" t="s">
        <v>364</v>
      </c>
    </row>
    <row r="31790">
      <c r="H31790" s="8" t="s">
        <v>364</v>
      </c>
    </row>
    <row r="31791">
      <c r="H31791" s="8" t="s">
        <v>364</v>
      </c>
    </row>
    <row r="31792">
      <c r="H31792" s="8" t="s">
        <v>364</v>
      </c>
    </row>
    <row r="31793">
      <c r="H31793" s="8" t="s">
        <v>364</v>
      </c>
    </row>
    <row r="31794">
      <c r="H31794" s="8" t="s">
        <v>364</v>
      </c>
    </row>
    <row r="31795">
      <c r="H31795" s="8" t="s">
        <v>364</v>
      </c>
    </row>
    <row r="31796">
      <c r="H31796" s="8" t="s">
        <v>364</v>
      </c>
    </row>
    <row r="31797">
      <c r="H31797" s="8" t="s">
        <v>364</v>
      </c>
    </row>
    <row r="31798">
      <c r="H31798" s="8" t="s">
        <v>364</v>
      </c>
    </row>
    <row r="31799">
      <c r="H31799" s="8" t="s">
        <v>364</v>
      </c>
    </row>
    <row r="31800">
      <c r="H31800" s="8" t="s">
        <v>364</v>
      </c>
    </row>
    <row r="31801">
      <c r="H31801" s="8" t="s">
        <v>364</v>
      </c>
    </row>
    <row r="31802">
      <c r="H31802" s="8" t="s">
        <v>364</v>
      </c>
    </row>
    <row r="31803">
      <c r="H31803" s="8" t="s">
        <v>364</v>
      </c>
    </row>
    <row r="31804">
      <c r="H31804" s="8" t="s">
        <v>364</v>
      </c>
    </row>
    <row r="31805">
      <c r="H31805" s="8" t="s">
        <v>364</v>
      </c>
    </row>
    <row r="31806">
      <c r="H31806" s="8" t="s">
        <v>364</v>
      </c>
    </row>
    <row r="31807">
      <c r="H31807" s="8" t="s">
        <v>364</v>
      </c>
    </row>
    <row r="31808">
      <c r="H31808" s="8" t="s">
        <v>364</v>
      </c>
    </row>
    <row r="31809">
      <c r="H31809" s="8" t="s">
        <v>364</v>
      </c>
    </row>
    <row r="31810">
      <c r="H31810" s="8" t="s">
        <v>364</v>
      </c>
    </row>
    <row r="31811">
      <c r="H31811" s="8" t="s">
        <v>364</v>
      </c>
    </row>
    <row r="31812">
      <c r="H31812" s="8" t="s">
        <v>364</v>
      </c>
    </row>
    <row r="31813">
      <c r="H31813" s="8" t="s">
        <v>364</v>
      </c>
    </row>
    <row r="31814">
      <c r="H31814" s="8" t="s">
        <v>364</v>
      </c>
    </row>
    <row r="31815">
      <c r="H31815" s="8" t="s">
        <v>364</v>
      </c>
    </row>
    <row r="31816">
      <c r="H31816" s="8" t="s">
        <v>364</v>
      </c>
    </row>
    <row r="31817">
      <c r="H31817" s="8" t="s">
        <v>364</v>
      </c>
    </row>
    <row r="31818">
      <c r="H31818" s="8" t="s">
        <v>364</v>
      </c>
    </row>
    <row r="31819">
      <c r="H31819" s="8" t="s">
        <v>364</v>
      </c>
    </row>
    <row r="31820">
      <c r="H31820" s="8" t="s">
        <v>364</v>
      </c>
    </row>
    <row r="31821">
      <c r="H31821" s="8" t="s">
        <v>364</v>
      </c>
    </row>
    <row r="31822">
      <c r="H31822" s="8" t="s">
        <v>364</v>
      </c>
    </row>
    <row r="31823">
      <c r="H31823" s="8" t="s">
        <v>364</v>
      </c>
    </row>
    <row r="31824">
      <c r="H31824" s="8" t="s">
        <v>364</v>
      </c>
    </row>
    <row r="31825">
      <c r="H31825" s="8" t="s">
        <v>364</v>
      </c>
    </row>
    <row r="31826">
      <c r="H31826" s="8" t="s">
        <v>364</v>
      </c>
    </row>
    <row r="31827">
      <c r="H31827" s="8" t="s">
        <v>364</v>
      </c>
    </row>
    <row r="31828">
      <c r="H31828" s="8" t="s">
        <v>364</v>
      </c>
    </row>
    <row r="31829">
      <c r="H31829" s="8" t="s">
        <v>364</v>
      </c>
    </row>
    <row r="31830">
      <c r="H31830" s="8" t="s">
        <v>364</v>
      </c>
    </row>
    <row r="31831">
      <c r="H31831" s="8" t="s">
        <v>364</v>
      </c>
    </row>
    <row r="31832">
      <c r="H31832" s="8" t="s">
        <v>364</v>
      </c>
    </row>
    <row r="31833">
      <c r="H31833" s="8" t="s">
        <v>364</v>
      </c>
    </row>
    <row r="31834">
      <c r="H31834" s="8" t="s">
        <v>364</v>
      </c>
    </row>
    <row r="31835">
      <c r="H31835" s="8" t="s">
        <v>364</v>
      </c>
    </row>
    <row r="31836">
      <c r="H31836" s="8" t="s">
        <v>364</v>
      </c>
    </row>
    <row r="31837">
      <c r="H31837" s="8" t="s">
        <v>364</v>
      </c>
    </row>
    <row r="31838">
      <c r="H31838" s="8" t="s">
        <v>364</v>
      </c>
    </row>
    <row r="31839">
      <c r="H31839" s="8" t="s">
        <v>364</v>
      </c>
    </row>
    <row r="31840">
      <c r="H31840" s="8" t="s">
        <v>364</v>
      </c>
    </row>
    <row r="31841">
      <c r="H31841" s="8" t="s">
        <v>364</v>
      </c>
    </row>
    <row r="31842">
      <c r="H31842" s="8" t="s">
        <v>364</v>
      </c>
    </row>
    <row r="31843">
      <c r="H31843" s="8" t="s">
        <v>364</v>
      </c>
    </row>
    <row r="31844">
      <c r="H31844" s="8" t="s">
        <v>364</v>
      </c>
    </row>
    <row r="31845">
      <c r="H31845" s="8" t="s">
        <v>364</v>
      </c>
    </row>
    <row r="31846">
      <c r="H31846" s="8" t="s">
        <v>364</v>
      </c>
    </row>
    <row r="31847">
      <c r="H31847" s="8" t="s">
        <v>364</v>
      </c>
    </row>
    <row r="31848">
      <c r="H31848" s="8" t="s">
        <v>364</v>
      </c>
    </row>
    <row r="31849">
      <c r="H31849" s="8" t="s">
        <v>364</v>
      </c>
    </row>
    <row r="31850">
      <c r="H31850" s="8" t="s">
        <v>364</v>
      </c>
    </row>
    <row r="31851">
      <c r="H31851" s="8" t="s">
        <v>364</v>
      </c>
    </row>
    <row r="31852">
      <c r="H31852" s="8" t="s">
        <v>364</v>
      </c>
    </row>
    <row r="31853">
      <c r="H31853" s="8" t="s">
        <v>364</v>
      </c>
    </row>
    <row r="31854">
      <c r="H31854" s="8" t="s">
        <v>364</v>
      </c>
    </row>
    <row r="31855">
      <c r="H31855" s="8" t="s">
        <v>364</v>
      </c>
    </row>
    <row r="31856">
      <c r="H31856" s="8" t="s">
        <v>364</v>
      </c>
    </row>
    <row r="31857">
      <c r="H31857" s="8" t="s">
        <v>364</v>
      </c>
    </row>
    <row r="31858">
      <c r="H31858" s="8" t="s">
        <v>364</v>
      </c>
    </row>
    <row r="31859">
      <c r="H31859" s="8" t="s">
        <v>364</v>
      </c>
    </row>
    <row r="31860">
      <c r="H31860" s="8" t="s">
        <v>364</v>
      </c>
    </row>
    <row r="31861">
      <c r="H31861" s="8" t="s">
        <v>364</v>
      </c>
    </row>
    <row r="31862">
      <c r="H31862" s="8" t="s">
        <v>364</v>
      </c>
    </row>
    <row r="31863">
      <c r="H31863" s="8" t="s">
        <v>364</v>
      </c>
    </row>
    <row r="31864">
      <c r="H31864" s="8" t="s">
        <v>364</v>
      </c>
    </row>
    <row r="31865">
      <c r="H31865" s="8" t="s">
        <v>364</v>
      </c>
    </row>
    <row r="31866">
      <c r="H31866" s="8" t="s">
        <v>364</v>
      </c>
    </row>
    <row r="31867">
      <c r="H31867" s="8" t="s">
        <v>364</v>
      </c>
    </row>
    <row r="31868">
      <c r="H31868" s="8" t="s">
        <v>364</v>
      </c>
    </row>
    <row r="31869">
      <c r="H31869" s="8" t="s">
        <v>364</v>
      </c>
    </row>
    <row r="31870">
      <c r="H31870" s="8" t="s">
        <v>364</v>
      </c>
    </row>
    <row r="31871">
      <c r="H31871" s="8" t="s">
        <v>364</v>
      </c>
    </row>
    <row r="31872">
      <c r="H31872" s="8" t="s">
        <v>364</v>
      </c>
    </row>
    <row r="31873">
      <c r="H31873" s="8" t="s">
        <v>364</v>
      </c>
    </row>
    <row r="31874">
      <c r="H31874" s="8" t="s">
        <v>364</v>
      </c>
    </row>
    <row r="31875">
      <c r="H31875" s="8" t="s">
        <v>364</v>
      </c>
    </row>
    <row r="31876">
      <c r="H31876" s="8" t="s">
        <v>364</v>
      </c>
    </row>
    <row r="31877">
      <c r="H31877" s="8" t="s">
        <v>364</v>
      </c>
    </row>
    <row r="31878">
      <c r="H31878" s="8" t="s">
        <v>364</v>
      </c>
    </row>
    <row r="31879">
      <c r="H31879" s="8" t="s">
        <v>364</v>
      </c>
    </row>
    <row r="31880">
      <c r="H31880" s="8" t="s">
        <v>364</v>
      </c>
    </row>
    <row r="31881">
      <c r="H31881" s="8" t="s">
        <v>364</v>
      </c>
    </row>
    <row r="31882">
      <c r="H31882" s="8" t="s">
        <v>364</v>
      </c>
    </row>
    <row r="31883">
      <c r="H31883" s="8" t="s">
        <v>364</v>
      </c>
    </row>
    <row r="31884">
      <c r="H31884" s="8" t="s">
        <v>364</v>
      </c>
    </row>
    <row r="31885">
      <c r="H31885" s="8" t="s">
        <v>364</v>
      </c>
    </row>
    <row r="31886">
      <c r="H31886" s="8" t="s">
        <v>364</v>
      </c>
    </row>
    <row r="31887">
      <c r="H31887" s="8" t="s">
        <v>364</v>
      </c>
    </row>
    <row r="31888">
      <c r="H31888" s="8" t="s">
        <v>364</v>
      </c>
    </row>
    <row r="31889">
      <c r="H31889" s="8" t="s">
        <v>364</v>
      </c>
    </row>
    <row r="31890">
      <c r="H31890" s="8" t="s">
        <v>364</v>
      </c>
    </row>
    <row r="31891">
      <c r="H31891" s="8" t="s">
        <v>364</v>
      </c>
    </row>
    <row r="31892">
      <c r="H31892" s="8" t="s">
        <v>364</v>
      </c>
    </row>
    <row r="31893">
      <c r="H31893" s="8" t="s">
        <v>364</v>
      </c>
    </row>
    <row r="31894">
      <c r="H31894" s="8" t="s">
        <v>364</v>
      </c>
    </row>
    <row r="31895">
      <c r="H31895" s="8" t="s">
        <v>364</v>
      </c>
    </row>
    <row r="31896">
      <c r="H31896" s="8" t="s">
        <v>364</v>
      </c>
    </row>
    <row r="31897">
      <c r="H31897" s="8" t="s">
        <v>364</v>
      </c>
    </row>
    <row r="31898">
      <c r="H31898" s="8" t="s">
        <v>364</v>
      </c>
    </row>
    <row r="31899">
      <c r="H31899" s="8" t="s">
        <v>364</v>
      </c>
    </row>
    <row r="31900">
      <c r="H31900" s="8" t="s">
        <v>364</v>
      </c>
    </row>
    <row r="31901">
      <c r="H31901" s="8" t="s">
        <v>364</v>
      </c>
    </row>
    <row r="31902">
      <c r="H31902" s="8" t="s">
        <v>364</v>
      </c>
    </row>
    <row r="31903">
      <c r="H31903" s="8" t="s">
        <v>364</v>
      </c>
    </row>
    <row r="31904">
      <c r="H31904" s="8" t="s">
        <v>364</v>
      </c>
    </row>
    <row r="31905">
      <c r="H31905" s="8" t="s">
        <v>364</v>
      </c>
    </row>
    <row r="31906">
      <c r="H31906" s="8" t="s">
        <v>364</v>
      </c>
    </row>
    <row r="31907">
      <c r="H31907" s="8" t="s">
        <v>364</v>
      </c>
    </row>
    <row r="31908">
      <c r="H31908" s="8" t="s">
        <v>364</v>
      </c>
    </row>
    <row r="31909">
      <c r="H31909" s="8" t="s">
        <v>364</v>
      </c>
    </row>
    <row r="31910">
      <c r="H31910" s="8" t="s">
        <v>364</v>
      </c>
    </row>
    <row r="31911">
      <c r="H31911" s="8" t="s">
        <v>364</v>
      </c>
    </row>
    <row r="31912">
      <c r="H31912" s="8" t="s">
        <v>364</v>
      </c>
    </row>
    <row r="31913">
      <c r="H31913" s="8" t="s">
        <v>364</v>
      </c>
    </row>
    <row r="31914">
      <c r="H31914" s="8" t="s">
        <v>364</v>
      </c>
    </row>
    <row r="31915">
      <c r="H31915" s="8" t="s">
        <v>364</v>
      </c>
    </row>
    <row r="31916">
      <c r="H31916" s="8" t="s">
        <v>364</v>
      </c>
    </row>
    <row r="31917">
      <c r="H31917" s="8" t="s">
        <v>364</v>
      </c>
    </row>
    <row r="31918">
      <c r="H31918" s="8" t="s">
        <v>364</v>
      </c>
    </row>
    <row r="31919">
      <c r="H31919" s="8" t="s">
        <v>364</v>
      </c>
    </row>
    <row r="31920">
      <c r="H31920" s="8" t="s">
        <v>364</v>
      </c>
    </row>
    <row r="31921">
      <c r="H31921" s="8" t="s">
        <v>364</v>
      </c>
    </row>
    <row r="31922">
      <c r="H31922" s="8" t="s">
        <v>364</v>
      </c>
    </row>
    <row r="31923">
      <c r="H31923" s="8" t="s">
        <v>364</v>
      </c>
    </row>
    <row r="31924">
      <c r="H31924" s="8" t="s">
        <v>364</v>
      </c>
    </row>
    <row r="31925">
      <c r="H31925" s="8" t="s">
        <v>364</v>
      </c>
    </row>
    <row r="31926">
      <c r="H31926" s="8" t="s">
        <v>364</v>
      </c>
    </row>
    <row r="31927">
      <c r="H31927" s="8" t="s">
        <v>364</v>
      </c>
    </row>
    <row r="31928">
      <c r="H31928" s="8" t="s">
        <v>364</v>
      </c>
    </row>
    <row r="31929">
      <c r="H31929" s="8" t="s">
        <v>364</v>
      </c>
    </row>
    <row r="31930">
      <c r="H31930" s="8" t="s">
        <v>364</v>
      </c>
    </row>
    <row r="31931">
      <c r="H31931" s="8" t="s">
        <v>364</v>
      </c>
    </row>
    <row r="31932">
      <c r="H31932" s="8" t="s">
        <v>364</v>
      </c>
    </row>
    <row r="31933">
      <c r="H31933" s="8" t="s">
        <v>364</v>
      </c>
    </row>
    <row r="31934">
      <c r="H31934" s="8" t="s">
        <v>364</v>
      </c>
    </row>
    <row r="31935">
      <c r="H31935" s="8" t="s">
        <v>364</v>
      </c>
    </row>
    <row r="31936">
      <c r="H31936" s="8" t="s">
        <v>364</v>
      </c>
    </row>
    <row r="31937">
      <c r="H31937" s="8" t="s">
        <v>364</v>
      </c>
    </row>
    <row r="31938">
      <c r="H31938" s="8" t="s">
        <v>364</v>
      </c>
    </row>
    <row r="31939">
      <c r="H31939" s="8" t="s">
        <v>364</v>
      </c>
    </row>
    <row r="31940">
      <c r="H31940" s="8" t="s">
        <v>364</v>
      </c>
    </row>
    <row r="31941">
      <c r="H31941" s="8" t="s">
        <v>364</v>
      </c>
    </row>
    <row r="31942">
      <c r="H31942" s="8" t="s">
        <v>364</v>
      </c>
    </row>
    <row r="31943">
      <c r="H31943" s="8" t="s">
        <v>364</v>
      </c>
    </row>
    <row r="31944">
      <c r="H31944" s="8" t="s">
        <v>364</v>
      </c>
    </row>
    <row r="31945">
      <c r="H31945" s="8" t="s">
        <v>364</v>
      </c>
    </row>
    <row r="31946">
      <c r="H31946" s="8" t="s">
        <v>364</v>
      </c>
    </row>
    <row r="31947">
      <c r="H31947" s="8" t="s">
        <v>364</v>
      </c>
    </row>
    <row r="31948">
      <c r="H31948" s="8" t="s">
        <v>364</v>
      </c>
    </row>
    <row r="31949">
      <c r="H31949" s="8" t="s">
        <v>364</v>
      </c>
    </row>
    <row r="31950">
      <c r="H31950" s="8" t="s">
        <v>364</v>
      </c>
    </row>
    <row r="31951">
      <c r="H31951" s="8" t="s">
        <v>364</v>
      </c>
    </row>
    <row r="31952">
      <c r="H31952" s="8" t="s">
        <v>364</v>
      </c>
    </row>
    <row r="31953">
      <c r="H31953" s="8" t="s">
        <v>364</v>
      </c>
    </row>
    <row r="31954">
      <c r="H31954" s="8" t="s">
        <v>364</v>
      </c>
    </row>
    <row r="31955">
      <c r="H31955" s="8" t="s">
        <v>364</v>
      </c>
    </row>
    <row r="31956">
      <c r="H31956" s="8" t="s">
        <v>364</v>
      </c>
    </row>
    <row r="31957">
      <c r="H31957" s="8" t="s">
        <v>364</v>
      </c>
    </row>
    <row r="31958">
      <c r="H31958" s="8" t="s">
        <v>364</v>
      </c>
    </row>
    <row r="31959">
      <c r="H31959" s="8" t="s">
        <v>364</v>
      </c>
    </row>
    <row r="31960">
      <c r="H31960" s="8" t="s">
        <v>364</v>
      </c>
    </row>
    <row r="31961">
      <c r="H31961" s="8" t="s">
        <v>364</v>
      </c>
    </row>
    <row r="31962">
      <c r="H31962" s="8" t="s">
        <v>364</v>
      </c>
    </row>
    <row r="31963">
      <c r="H31963" s="8" t="s">
        <v>364</v>
      </c>
    </row>
    <row r="31964">
      <c r="H31964" s="8" t="s">
        <v>364</v>
      </c>
    </row>
    <row r="31965">
      <c r="H31965" s="8" t="s">
        <v>364</v>
      </c>
    </row>
    <row r="31966">
      <c r="H31966" s="8" t="s">
        <v>364</v>
      </c>
    </row>
    <row r="31967">
      <c r="H31967" s="8" t="s">
        <v>364</v>
      </c>
    </row>
    <row r="31968">
      <c r="H31968" s="8" t="s">
        <v>364</v>
      </c>
    </row>
    <row r="31969">
      <c r="H31969" s="8" t="s">
        <v>364</v>
      </c>
    </row>
    <row r="31970">
      <c r="H31970" s="8" t="s">
        <v>364</v>
      </c>
    </row>
    <row r="31971">
      <c r="H31971" s="8" t="s">
        <v>364</v>
      </c>
    </row>
    <row r="31972">
      <c r="H31972" s="8" t="s">
        <v>364</v>
      </c>
    </row>
    <row r="31973">
      <c r="H31973" s="8" t="s">
        <v>364</v>
      </c>
    </row>
    <row r="31974">
      <c r="H31974" s="8" t="s">
        <v>364</v>
      </c>
    </row>
    <row r="31975">
      <c r="H31975" s="8" t="s">
        <v>364</v>
      </c>
    </row>
    <row r="31976">
      <c r="H31976" s="8" t="s">
        <v>364</v>
      </c>
    </row>
    <row r="31977">
      <c r="H31977" s="8" t="s">
        <v>364</v>
      </c>
    </row>
    <row r="31978">
      <c r="H31978" s="8" t="s">
        <v>364</v>
      </c>
    </row>
    <row r="31979">
      <c r="H31979" s="8" t="s">
        <v>364</v>
      </c>
    </row>
    <row r="31980">
      <c r="H31980" s="8" t="s">
        <v>364</v>
      </c>
    </row>
    <row r="31981">
      <c r="H31981" s="8" t="s">
        <v>364</v>
      </c>
    </row>
    <row r="31982">
      <c r="H31982" s="8" t="s">
        <v>364</v>
      </c>
    </row>
    <row r="31983">
      <c r="H31983" s="8" t="s">
        <v>364</v>
      </c>
    </row>
    <row r="31984">
      <c r="H31984" s="8" t="s">
        <v>364</v>
      </c>
    </row>
    <row r="31985">
      <c r="H31985" s="8" t="s">
        <v>364</v>
      </c>
    </row>
    <row r="31986">
      <c r="H31986" s="8" t="s">
        <v>364</v>
      </c>
    </row>
    <row r="31987">
      <c r="H31987" s="8" t="s">
        <v>364</v>
      </c>
    </row>
    <row r="31988">
      <c r="H31988" s="8" t="s">
        <v>364</v>
      </c>
    </row>
    <row r="31989">
      <c r="H31989" s="8" t="s">
        <v>364</v>
      </c>
    </row>
    <row r="31990">
      <c r="H31990" s="8" t="s">
        <v>364</v>
      </c>
    </row>
    <row r="31991">
      <c r="H31991" s="8" t="s">
        <v>364</v>
      </c>
    </row>
    <row r="31992">
      <c r="H31992" s="8" t="s">
        <v>364</v>
      </c>
    </row>
    <row r="31993">
      <c r="H31993" s="8" t="s">
        <v>364</v>
      </c>
    </row>
    <row r="31994">
      <c r="H31994" s="8" t="s">
        <v>364</v>
      </c>
    </row>
    <row r="31995">
      <c r="H31995" s="8" t="s">
        <v>364</v>
      </c>
    </row>
    <row r="31996">
      <c r="H31996" s="8" t="s">
        <v>364</v>
      </c>
    </row>
    <row r="31997">
      <c r="H31997" s="8" t="s">
        <v>364</v>
      </c>
    </row>
    <row r="31998">
      <c r="H31998" s="8" t="s">
        <v>364</v>
      </c>
    </row>
    <row r="31999">
      <c r="H31999" s="8" t="s">
        <v>364</v>
      </c>
    </row>
    <row r="32000">
      <c r="H32000" s="8" t="s">
        <v>364</v>
      </c>
    </row>
    <row r="32001">
      <c r="H32001" s="8" t="s">
        <v>364</v>
      </c>
    </row>
    <row r="32002">
      <c r="H32002" s="8" t="s">
        <v>364</v>
      </c>
    </row>
    <row r="32003">
      <c r="H32003" s="8" t="s">
        <v>364</v>
      </c>
    </row>
    <row r="32004">
      <c r="H32004" s="8" t="s">
        <v>364</v>
      </c>
    </row>
    <row r="32005">
      <c r="H32005" s="8" t="s">
        <v>364</v>
      </c>
    </row>
    <row r="32006">
      <c r="H32006" s="8" t="s">
        <v>364</v>
      </c>
    </row>
    <row r="32007">
      <c r="H32007" s="8" t="s">
        <v>364</v>
      </c>
    </row>
    <row r="32008">
      <c r="H32008" s="8" t="s">
        <v>364</v>
      </c>
    </row>
    <row r="32009">
      <c r="H32009" s="8" t="s">
        <v>364</v>
      </c>
    </row>
    <row r="32010">
      <c r="H32010" s="8" t="s">
        <v>364</v>
      </c>
    </row>
    <row r="32011">
      <c r="H32011" s="8" t="s">
        <v>364</v>
      </c>
    </row>
    <row r="32012">
      <c r="H32012" s="8" t="s">
        <v>364</v>
      </c>
    </row>
    <row r="32013">
      <c r="H32013" s="8" t="s">
        <v>364</v>
      </c>
    </row>
    <row r="32014">
      <c r="H32014" s="8" t="s">
        <v>364</v>
      </c>
    </row>
    <row r="32015">
      <c r="H32015" s="8" t="s">
        <v>364</v>
      </c>
    </row>
    <row r="32016">
      <c r="H32016" s="8" t="s">
        <v>364</v>
      </c>
    </row>
    <row r="32017">
      <c r="H32017" s="8" t="s">
        <v>364</v>
      </c>
    </row>
    <row r="32018">
      <c r="H32018" s="8" t="s">
        <v>364</v>
      </c>
    </row>
    <row r="32019">
      <c r="H32019" s="8" t="s">
        <v>364</v>
      </c>
    </row>
    <row r="32020">
      <c r="H32020" s="8" t="s">
        <v>364</v>
      </c>
    </row>
    <row r="32021">
      <c r="H32021" s="8" t="s">
        <v>364</v>
      </c>
    </row>
    <row r="32022">
      <c r="H32022" s="8" t="s">
        <v>364</v>
      </c>
    </row>
    <row r="32023">
      <c r="H32023" s="8" t="s">
        <v>364</v>
      </c>
    </row>
    <row r="32024">
      <c r="H32024" s="8" t="s">
        <v>364</v>
      </c>
    </row>
    <row r="32025">
      <c r="H32025" s="8" t="s">
        <v>364</v>
      </c>
    </row>
    <row r="32026">
      <c r="H32026" s="8" t="s">
        <v>364</v>
      </c>
    </row>
    <row r="32027">
      <c r="H32027" s="8" t="s">
        <v>364</v>
      </c>
    </row>
    <row r="32028">
      <c r="H32028" s="8" t="s">
        <v>364</v>
      </c>
    </row>
    <row r="32029">
      <c r="H32029" s="8" t="s">
        <v>364</v>
      </c>
    </row>
    <row r="32030">
      <c r="H32030" s="8" t="s">
        <v>364</v>
      </c>
    </row>
    <row r="32031">
      <c r="H32031" s="8" t="s">
        <v>364</v>
      </c>
    </row>
    <row r="32032">
      <c r="H32032" s="8" t="s">
        <v>364</v>
      </c>
    </row>
    <row r="32033">
      <c r="H32033" s="8" t="s">
        <v>364</v>
      </c>
    </row>
    <row r="32034">
      <c r="H32034" s="8" t="s">
        <v>364</v>
      </c>
    </row>
    <row r="32035">
      <c r="H32035" s="8" t="s">
        <v>364</v>
      </c>
    </row>
    <row r="32036">
      <c r="H32036" s="8" t="s">
        <v>364</v>
      </c>
    </row>
    <row r="32037">
      <c r="H32037" s="8" t="s">
        <v>364</v>
      </c>
    </row>
    <row r="32038">
      <c r="H32038" s="8" t="s">
        <v>364</v>
      </c>
    </row>
    <row r="32039">
      <c r="H32039" s="8" t="s">
        <v>364</v>
      </c>
    </row>
    <row r="32040">
      <c r="H32040" s="8" t="s">
        <v>364</v>
      </c>
    </row>
    <row r="32041">
      <c r="H32041" s="8" t="s">
        <v>364</v>
      </c>
    </row>
    <row r="32042">
      <c r="H32042" s="8" t="s">
        <v>364</v>
      </c>
    </row>
    <row r="32043">
      <c r="H32043" s="8" t="s">
        <v>364</v>
      </c>
    </row>
    <row r="32044">
      <c r="H32044" s="8" t="s">
        <v>364</v>
      </c>
    </row>
    <row r="32045">
      <c r="H32045" s="8" t="s">
        <v>364</v>
      </c>
    </row>
    <row r="32046">
      <c r="H32046" s="8" t="s">
        <v>364</v>
      </c>
    </row>
    <row r="32047">
      <c r="H32047" s="8" t="s">
        <v>364</v>
      </c>
    </row>
    <row r="32048">
      <c r="H32048" s="8" t="s">
        <v>364</v>
      </c>
    </row>
    <row r="32049">
      <c r="H32049" s="8" t="s">
        <v>364</v>
      </c>
    </row>
    <row r="32050">
      <c r="H32050" s="8" t="s">
        <v>364</v>
      </c>
    </row>
    <row r="32051">
      <c r="H32051" s="8" t="s">
        <v>364</v>
      </c>
    </row>
    <row r="32052">
      <c r="H32052" s="8" t="s">
        <v>364</v>
      </c>
    </row>
    <row r="32053">
      <c r="H32053" s="8" t="s">
        <v>364</v>
      </c>
    </row>
    <row r="32054">
      <c r="H32054" s="8" t="s">
        <v>364</v>
      </c>
    </row>
    <row r="32055">
      <c r="H32055" s="8" t="s">
        <v>364</v>
      </c>
    </row>
    <row r="32056">
      <c r="H32056" s="8" t="s">
        <v>364</v>
      </c>
    </row>
    <row r="32057">
      <c r="H32057" s="8" t="s">
        <v>364</v>
      </c>
    </row>
    <row r="32058">
      <c r="H32058" s="8" t="s">
        <v>364</v>
      </c>
    </row>
    <row r="32059">
      <c r="H32059" s="8" t="s">
        <v>364</v>
      </c>
    </row>
    <row r="32060">
      <c r="H32060" s="8" t="s">
        <v>364</v>
      </c>
    </row>
    <row r="32061">
      <c r="H32061" s="8" t="s">
        <v>364</v>
      </c>
    </row>
    <row r="32062">
      <c r="H32062" s="8" t="s">
        <v>364</v>
      </c>
    </row>
    <row r="32063">
      <c r="H32063" s="8" t="s">
        <v>364</v>
      </c>
    </row>
    <row r="32064">
      <c r="H32064" s="8" t="s">
        <v>364</v>
      </c>
    </row>
    <row r="32065">
      <c r="H32065" s="8" t="s">
        <v>364</v>
      </c>
    </row>
    <row r="32066">
      <c r="H32066" s="8" t="s">
        <v>364</v>
      </c>
    </row>
    <row r="32067">
      <c r="H32067" s="8" t="s">
        <v>364</v>
      </c>
    </row>
    <row r="32068">
      <c r="H32068" s="8" t="s">
        <v>364</v>
      </c>
    </row>
    <row r="32069">
      <c r="H32069" s="8" t="s">
        <v>364</v>
      </c>
    </row>
    <row r="32070">
      <c r="H32070" s="8" t="s">
        <v>364</v>
      </c>
    </row>
    <row r="32071">
      <c r="H32071" s="8" t="s">
        <v>364</v>
      </c>
    </row>
    <row r="32072">
      <c r="H32072" s="8" t="s">
        <v>364</v>
      </c>
    </row>
    <row r="32073">
      <c r="H32073" s="8" t="s">
        <v>364</v>
      </c>
    </row>
    <row r="32074">
      <c r="H32074" s="8" t="s">
        <v>364</v>
      </c>
    </row>
    <row r="32075">
      <c r="H32075" s="8" t="s">
        <v>364</v>
      </c>
    </row>
    <row r="32076">
      <c r="H32076" s="8" t="s">
        <v>364</v>
      </c>
    </row>
    <row r="32077">
      <c r="H32077" s="8" t="s">
        <v>364</v>
      </c>
    </row>
    <row r="32078">
      <c r="H32078" s="8" t="s">
        <v>364</v>
      </c>
    </row>
    <row r="32079">
      <c r="H32079" s="8" t="s">
        <v>364</v>
      </c>
    </row>
    <row r="32080">
      <c r="H32080" s="8" t="s">
        <v>364</v>
      </c>
    </row>
    <row r="32081">
      <c r="H32081" s="8" t="s">
        <v>364</v>
      </c>
    </row>
    <row r="32082">
      <c r="H32082" s="8" t="s">
        <v>364</v>
      </c>
    </row>
    <row r="32083">
      <c r="H32083" s="8" t="s">
        <v>364</v>
      </c>
    </row>
    <row r="32084">
      <c r="H32084" s="8" t="s">
        <v>364</v>
      </c>
    </row>
    <row r="32085">
      <c r="H32085" s="8" t="s">
        <v>364</v>
      </c>
    </row>
    <row r="32086">
      <c r="H32086" s="8" t="s">
        <v>364</v>
      </c>
    </row>
    <row r="32087">
      <c r="H32087" s="8" t="s">
        <v>364</v>
      </c>
    </row>
    <row r="32088">
      <c r="H32088" s="8" t="s">
        <v>364</v>
      </c>
    </row>
    <row r="32089">
      <c r="H32089" s="8" t="s">
        <v>364</v>
      </c>
    </row>
    <row r="32090">
      <c r="H32090" s="8" t="s">
        <v>364</v>
      </c>
    </row>
    <row r="32091">
      <c r="H32091" s="8" t="s">
        <v>364</v>
      </c>
    </row>
    <row r="32092">
      <c r="H32092" s="8" t="s">
        <v>364</v>
      </c>
    </row>
    <row r="32093">
      <c r="H32093" s="8" t="s">
        <v>364</v>
      </c>
    </row>
    <row r="32094">
      <c r="H32094" s="8" t="s">
        <v>364</v>
      </c>
    </row>
    <row r="32095">
      <c r="H32095" s="8" t="s">
        <v>364</v>
      </c>
    </row>
    <row r="32096">
      <c r="H32096" s="8" t="s">
        <v>364</v>
      </c>
    </row>
    <row r="32097">
      <c r="H32097" s="8" t="s">
        <v>364</v>
      </c>
    </row>
    <row r="32098">
      <c r="H32098" s="8" t="s">
        <v>364</v>
      </c>
    </row>
    <row r="32099">
      <c r="H32099" s="8" t="s">
        <v>364</v>
      </c>
    </row>
    <row r="32100">
      <c r="H32100" s="8" t="s">
        <v>364</v>
      </c>
    </row>
    <row r="32101">
      <c r="H32101" s="8" t="s">
        <v>364</v>
      </c>
    </row>
    <row r="32102">
      <c r="H32102" s="8" t="s">
        <v>364</v>
      </c>
    </row>
    <row r="32103">
      <c r="H32103" s="8" t="s">
        <v>364</v>
      </c>
    </row>
    <row r="32104">
      <c r="H32104" s="8" t="s">
        <v>364</v>
      </c>
    </row>
    <row r="32105">
      <c r="H32105" s="8" t="s">
        <v>364</v>
      </c>
    </row>
    <row r="32106">
      <c r="H32106" s="8" t="s">
        <v>364</v>
      </c>
    </row>
    <row r="32107">
      <c r="H32107" s="8" t="s">
        <v>364</v>
      </c>
    </row>
    <row r="32108">
      <c r="H32108" s="8" t="s">
        <v>364</v>
      </c>
    </row>
    <row r="32109">
      <c r="H32109" s="8" t="s">
        <v>364</v>
      </c>
    </row>
    <row r="32110">
      <c r="H32110" s="8" t="s">
        <v>364</v>
      </c>
    </row>
    <row r="32111">
      <c r="H32111" s="8" t="s">
        <v>364</v>
      </c>
    </row>
    <row r="32112">
      <c r="H32112" s="8" t="s">
        <v>364</v>
      </c>
    </row>
    <row r="32113">
      <c r="H32113" s="8" t="s">
        <v>364</v>
      </c>
    </row>
    <row r="32114">
      <c r="H32114" s="8" t="s">
        <v>364</v>
      </c>
    </row>
    <row r="32115">
      <c r="H32115" s="8" t="s">
        <v>364</v>
      </c>
    </row>
    <row r="32116">
      <c r="H32116" s="8" t="s">
        <v>364</v>
      </c>
    </row>
    <row r="32117">
      <c r="H32117" s="8" t="s">
        <v>364</v>
      </c>
    </row>
    <row r="32118">
      <c r="H32118" s="8" t="s">
        <v>364</v>
      </c>
    </row>
    <row r="32119">
      <c r="H32119" s="8" t="s">
        <v>364</v>
      </c>
    </row>
    <row r="32120">
      <c r="H32120" s="8" t="s">
        <v>364</v>
      </c>
    </row>
    <row r="32121">
      <c r="H32121" s="8" t="s">
        <v>364</v>
      </c>
    </row>
    <row r="32122">
      <c r="H32122" s="8" t="s">
        <v>364</v>
      </c>
    </row>
    <row r="32123">
      <c r="H32123" s="8" t="s">
        <v>364</v>
      </c>
    </row>
    <row r="32124">
      <c r="H32124" s="8" t="s">
        <v>364</v>
      </c>
    </row>
    <row r="32125">
      <c r="H32125" s="8" t="s">
        <v>364</v>
      </c>
    </row>
    <row r="32126">
      <c r="H32126" s="8" t="s">
        <v>364</v>
      </c>
    </row>
    <row r="32127">
      <c r="H32127" s="8" t="s">
        <v>364</v>
      </c>
    </row>
    <row r="32128">
      <c r="H32128" s="8" t="s">
        <v>364</v>
      </c>
    </row>
    <row r="32129">
      <c r="H32129" s="8" t="s">
        <v>364</v>
      </c>
    </row>
    <row r="32130">
      <c r="H32130" s="8" t="s">
        <v>364</v>
      </c>
    </row>
    <row r="32131">
      <c r="H32131" s="8" t="s">
        <v>364</v>
      </c>
    </row>
    <row r="32132">
      <c r="H32132" s="8" t="s">
        <v>364</v>
      </c>
    </row>
    <row r="32133">
      <c r="H32133" s="8" t="s">
        <v>364</v>
      </c>
    </row>
    <row r="32134">
      <c r="H32134" s="8" t="s">
        <v>364</v>
      </c>
    </row>
    <row r="32135">
      <c r="H32135" s="8" t="s">
        <v>364</v>
      </c>
    </row>
    <row r="32136">
      <c r="H32136" s="8" t="s">
        <v>364</v>
      </c>
    </row>
    <row r="32137">
      <c r="H32137" s="8" t="s">
        <v>364</v>
      </c>
    </row>
    <row r="32138">
      <c r="H32138" s="8" t="s">
        <v>364</v>
      </c>
    </row>
    <row r="32139">
      <c r="H32139" s="8" t="s">
        <v>364</v>
      </c>
    </row>
    <row r="32140">
      <c r="H32140" s="8" t="s">
        <v>364</v>
      </c>
    </row>
    <row r="32141">
      <c r="H32141" s="8" t="s">
        <v>364</v>
      </c>
    </row>
    <row r="32142">
      <c r="H32142" s="8" t="s">
        <v>364</v>
      </c>
    </row>
    <row r="32143">
      <c r="H32143" s="8" t="s">
        <v>364</v>
      </c>
    </row>
    <row r="32144">
      <c r="H32144" s="8" t="s">
        <v>364</v>
      </c>
    </row>
    <row r="32145">
      <c r="H32145" s="8" t="s">
        <v>364</v>
      </c>
    </row>
    <row r="32146">
      <c r="H32146" s="8" t="s">
        <v>364</v>
      </c>
    </row>
    <row r="32147">
      <c r="H32147" s="8" t="s">
        <v>364</v>
      </c>
    </row>
    <row r="32148">
      <c r="H32148" s="8" t="s">
        <v>364</v>
      </c>
    </row>
    <row r="32149">
      <c r="H32149" s="8" t="s">
        <v>364</v>
      </c>
    </row>
    <row r="32150">
      <c r="H32150" s="8" t="s">
        <v>364</v>
      </c>
    </row>
    <row r="32151">
      <c r="H32151" s="8" t="s">
        <v>364</v>
      </c>
    </row>
    <row r="32152">
      <c r="H32152" s="8" t="s">
        <v>364</v>
      </c>
    </row>
    <row r="32153">
      <c r="H32153" s="8" t="s">
        <v>364</v>
      </c>
    </row>
    <row r="32154">
      <c r="H32154" s="8" t="s">
        <v>364</v>
      </c>
    </row>
    <row r="32155">
      <c r="H32155" s="8" t="s">
        <v>364</v>
      </c>
    </row>
    <row r="32156">
      <c r="H32156" s="8" t="s">
        <v>364</v>
      </c>
    </row>
    <row r="32157">
      <c r="H32157" s="8" t="s">
        <v>364</v>
      </c>
    </row>
    <row r="32158">
      <c r="H32158" s="8" t="s">
        <v>364</v>
      </c>
    </row>
    <row r="32159">
      <c r="H32159" s="8" t="s">
        <v>364</v>
      </c>
    </row>
    <row r="32160">
      <c r="H32160" s="8" t="s">
        <v>364</v>
      </c>
    </row>
    <row r="32161">
      <c r="H32161" s="8" t="s">
        <v>364</v>
      </c>
    </row>
    <row r="32162">
      <c r="H32162" s="8" t="s">
        <v>364</v>
      </c>
    </row>
    <row r="32163">
      <c r="H32163" s="8" t="s">
        <v>364</v>
      </c>
    </row>
    <row r="32164">
      <c r="H32164" s="8" t="s">
        <v>364</v>
      </c>
    </row>
    <row r="32165">
      <c r="H32165" s="8" t="s">
        <v>364</v>
      </c>
    </row>
    <row r="32166">
      <c r="H32166" s="8" t="s">
        <v>364</v>
      </c>
    </row>
    <row r="32167">
      <c r="H32167" s="8" t="s">
        <v>364</v>
      </c>
    </row>
    <row r="32168">
      <c r="H32168" s="8" t="s">
        <v>364</v>
      </c>
    </row>
    <row r="32169">
      <c r="H32169" s="8" t="s">
        <v>364</v>
      </c>
    </row>
    <row r="32170">
      <c r="H32170" s="8" t="s">
        <v>364</v>
      </c>
    </row>
    <row r="32171">
      <c r="H32171" s="8" t="s">
        <v>364</v>
      </c>
    </row>
    <row r="32172">
      <c r="H32172" s="8" t="s">
        <v>364</v>
      </c>
    </row>
    <row r="32173">
      <c r="H32173" s="8" t="s">
        <v>364</v>
      </c>
    </row>
    <row r="32174">
      <c r="H32174" s="8" t="s">
        <v>364</v>
      </c>
    </row>
    <row r="32175">
      <c r="H32175" s="8" t="s">
        <v>364</v>
      </c>
    </row>
    <row r="32176">
      <c r="H32176" s="8" t="s">
        <v>364</v>
      </c>
    </row>
    <row r="32177">
      <c r="H32177" s="8" t="s">
        <v>364</v>
      </c>
    </row>
    <row r="32178">
      <c r="H32178" s="8" t="s">
        <v>364</v>
      </c>
    </row>
    <row r="32179">
      <c r="H32179" s="8" t="s">
        <v>364</v>
      </c>
    </row>
    <row r="32180">
      <c r="H32180" s="8" t="s">
        <v>364</v>
      </c>
    </row>
    <row r="32181">
      <c r="H32181" s="8" t="s">
        <v>364</v>
      </c>
    </row>
    <row r="32182">
      <c r="H32182" s="8" t="s">
        <v>364</v>
      </c>
    </row>
    <row r="32183">
      <c r="H32183" s="8" t="s">
        <v>364</v>
      </c>
    </row>
    <row r="32184">
      <c r="H32184" s="8" t="s">
        <v>364</v>
      </c>
    </row>
    <row r="32185">
      <c r="H32185" s="8" t="s">
        <v>364</v>
      </c>
    </row>
    <row r="32186">
      <c r="H32186" s="8" t="s">
        <v>364</v>
      </c>
    </row>
    <row r="32187">
      <c r="H32187" s="8" t="s">
        <v>364</v>
      </c>
    </row>
    <row r="32188">
      <c r="H32188" s="8" t="s">
        <v>364</v>
      </c>
    </row>
    <row r="32189">
      <c r="H32189" s="8" t="s">
        <v>364</v>
      </c>
    </row>
    <row r="32190">
      <c r="H32190" s="8" t="s">
        <v>364</v>
      </c>
    </row>
    <row r="32191">
      <c r="H32191" s="8" t="s">
        <v>364</v>
      </c>
    </row>
    <row r="32192">
      <c r="H32192" s="8" t="s">
        <v>364</v>
      </c>
    </row>
    <row r="32193">
      <c r="H32193" s="8" t="s">
        <v>364</v>
      </c>
    </row>
    <row r="32194">
      <c r="H32194" s="8" t="s">
        <v>364</v>
      </c>
    </row>
    <row r="32195">
      <c r="H32195" s="8" t="s">
        <v>364</v>
      </c>
    </row>
    <row r="32196">
      <c r="H32196" s="8" t="s">
        <v>364</v>
      </c>
    </row>
    <row r="32197">
      <c r="H32197" s="8" t="s">
        <v>364</v>
      </c>
    </row>
    <row r="32198">
      <c r="H32198" s="8" t="s">
        <v>364</v>
      </c>
    </row>
    <row r="32199">
      <c r="H32199" s="8" t="s">
        <v>364</v>
      </c>
    </row>
    <row r="32200">
      <c r="H32200" s="8" t="s">
        <v>364</v>
      </c>
    </row>
    <row r="32201">
      <c r="H32201" s="8" t="s">
        <v>364</v>
      </c>
    </row>
    <row r="32202">
      <c r="H32202" s="8" t="s">
        <v>364</v>
      </c>
    </row>
    <row r="32203">
      <c r="H32203" s="8" t="s">
        <v>364</v>
      </c>
    </row>
    <row r="32204">
      <c r="H32204" s="8" t="s">
        <v>364</v>
      </c>
    </row>
    <row r="32205">
      <c r="H32205" s="8" t="s">
        <v>364</v>
      </c>
    </row>
    <row r="32206">
      <c r="H32206" s="8" t="s">
        <v>364</v>
      </c>
    </row>
    <row r="32207">
      <c r="H32207" s="8" t="s">
        <v>364</v>
      </c>
    </row>
    <row r="32208">
      <c r="H32208" s="8" t="s">
        <v>364</v>
      </c>
    </row>
    <row r="32209">
      <c r="H32209" s="8" t="s">
        <v>364</v>
      </c>
    </row>
    <row r="32210">
      <c r="H32210" s="8" t="s">
        <v>364</v>
      </c>
    </row>
    <row r="32211">
      <c r="H32211" s="8" t="s">
        <v>364</v>
      </c>
    </row>
    <row r="32212">
      <c r="H32212" s="8" t="s">
        <v>364</v>
      </c>
    </row>
    <row r="32213">
      <c r="H32213" s="8" t="s">
        <v>364</v>
      </c>
    </row>
    <row r="32214">
      <c r="H32214" s="8" t="s">
        <v>364</v>
      </c>
    </row>
    <row r="32215">
      <c r="H32215" s="8" t="s">
        <v>364</v>
      </c>
    </row>
    <row r="32216">
      <c r="H32216" s="8" t="s">
        <v>364</v>
      </c>
    </row>
    <row r="32217">
      <c r="H32217" s="8" t="s">
        <v>364</v>
      </c>
    </row>
    <row r="32218">
      <c r="H32218" s="8" t="s">
        <v>364</v>
      </c>
    </row>
    <row r="32219">
      <c r="H32219" s="8" t="s">
        <v>364</v>
      </c>
    </row>
    <row r="32220">
      <c r="H32220" s="8" t="s">
        <v>364</v>
      </c>
    </row>
    <row r="32221">
      <c r="H32221" s="8" t="s">
        <v>364</v>
      </c>
    </row>
    <row r="32222">
      <c r="H32222" s="8" t="s">
        <v>364</v>
      </c>
    </row>
    <row r="32223">
      <c r="H32223" s="8" t="s">
        <v>364</v>
      </c>
    </row>
    <row r="32224">
      <c r="H32224" s="8" t="s">
        <v>364</v>
      </c>
    </row>
    <row r="32225">
      <c r="H32225" s="8" t="s">
        <v>364</v>
      </c>
    </row>
    <row r="32226">
      <c r="H32226" s="8" t="s">
        <v>364</v>
      </c>
    </row>
    <row r="32227">
      <c r="H32227" s="8" t="s">
        <v>364</v>
      </c>
    </row>
    <row r="32228">
      <c r="H32228" s="8" t="s">
        <v>364</v>
      </c>
    </row>
    <row r="32229">
      <c r="H32229" s="8" t="s">
        <v>364</v>
      </c>
    </row>
    <row r="32230">
      <c r="H32230" s="8" t="s">
        <v>364</v>
      </c>
    </row>
    <row r="32231">
      <c r="H32231" s="8" t="s">
        <v>364</v>
      </c>
    </row>
    <row r="32232">
      <c r="H32232" s="8" t="s">
        <v>364</v>
      </c>
    </row>
    <row r="32233">
      <c r="H32233" s="8" t="s">
        <v>364</v>
      </c>
    </row>
    <row r="32234">
      <c r="H32234" s="8" t="s">
        <v>364</v>
      </c>
    </row>
    <row r="32235">
      <c r="H32235" s="8" t="s">
        <v>364</v>
      </c>
    </row>
    <row r="32236">
      <c r="H32236" s="8" t="s">
        <v>364</v>
      </c>
    </row>
    <row r="32237">
      <c r="H32237" s="8" t="s">
        <v>364</v>
      </c>
    </row>
    <row r="32238">
      <c r="H32238" s="8" t="s">
        <v>364</v>
      </c>
    </row>
    <row r="32239">
      <c r="H32239" s="8" t="s">
        <v>364</v>
      </c>
    </row>
    <row r="32240">
      <c r="H32240" s="8" t="s">
        <v>364</v>
      </c>
    </row>
    <row r="32241">
      <c r="H32241" s="8" t="s">
        <v>364</v>
      </c>
    </row>
    <row r="32242">
      <c r="H32242" s="8" t="s">
        <v>364</v>
      </c>
    </row>
    <row r="32243">
      <c r="H32243" s="8" t="s">
        <v>364</v>
      </c>
    </row>
    <row r="32244">
      <c r="H32244" s="8" t="s">
        <v>364</v>
      </c>
    </row>
    <row r="32245">
      <c r="H32245" s="8" t="s">
        <v>364</v>
      </c>
    </row>
    <row r="32246">
      <c r="H32246" s="8" t="s">
        <v>364</v>
      </c>
    </row>
    <row r="32247">
      <c r="H32247" s="8" t="s">
        <v>364</v>
      </c>
    </row>
    <row r="32248">
      <c r="H32248" s="8" t="s">
        <v>364</v>
      </c>
    </row>
    <row r="32249">
      <c r="H32249" s="8" t="s">
        <v>364</v>
      </c>
    </row>
    <row r="32250">
      <c r="H32250" s="8" t="s">
        <v>364</v>
      </c>
    </row>
    <row r="32251">
      <c r="H32251" s="8" t="s">
        <v>364</v>
      </c>
    </row>
    <row r="32252">
      <c r="H32252" s="8" t="s">
        <v>364</v>
      </c>
    </row>
    <row r="32253">
      <c r="H32253" s="8" t="s">
        <v>364</v>
      </c>
    </row>
    <row r="32254">
      <c r="H32254" s="8" t="s">
        <v>364</v>
      </c>
    </row>
    <row r="32255">
      <c r="H32255" s="8" t="s">
        <v>364</v>
      </c>
    </row>
    <row r="32256">
      <c r="H32256" s="8" t="s">
        <v>364</v>
      </c>
    </row>
    <row r="32257">
      <c r="H32257" s="8" t="s">
        <v>364</v>
      </c>
    </row>
    <row r="32258">
      <c r="H32258" s="8" t="s">
        <v>364</v>
      </c>
    </row>
    <row r="32259">
      <c r="H32259" s="8" t="s">
        <v>364</v>
      </c>
    </row>
    <row r="32260">
      <c r="H32260" s="8" t="s">
        <v>364</v>
      </c>
    </row>
    <row r="32261">
      <c r="H32261" s="8" t="s">
        <v>364</v>
      </c>
    </row>
    <row r="32262">
      <c r="H32262" s="8" t="s">
        <v>364</v>
      </c>
    </row>
    <row r="32263">
      <c r="H32263" s="8" t="s">
        <v>364</v>
      </c>
    </row>
    <row r="32264">
      <c r="H32264" s="8" t="s">
        <v>364</v>
      </c>
    </row>
    <row r="32265">
      <c r="H32265" s="8" t="s">
        <v>364</v>
      </c>
    </row>
    <row r="32266">
      <c r="H32266" s="8" t="s">
        <v>364</v>
      </c>
    </row>
    <row r="32267">
      <c r="H32267" s="8" t="s">
        <v>364</v>
      </c>
    </row>
    <row r="32268">
      <c r="H32268" s="8" t="s">
        <v>364</v>
      </c>
    </row>
    <row r="32269">
      <c r="H32269" s="8" t="s">
        <v>364</v>
      </c>
    </row>
    <row r="32270">
      <c r="H32270" s="8" t="s">
        <v>364</v>
      </c>
    </row>
    <row r="32271">
      <c r="H32271" s="8" t="s">
        <v>364</v>
      </c>
    </row>
    <row r="32272">
      <c r="H32272" s="8" t="s">
        <v>364</v>
      </c>
    </row>
    <row r="32273">
      <c r="H32273" s="8" t="s">
        <v>364</v>
      </c>
    </row>
    <row r="32274">
      <c r="H32274" s="8" t="s">
        <v>364</v>
      </c>
    </row>
    <row r="32275">
      <c r="H32275" s="8" t="s">
        <v>364</v>
      </c>
    </row>
    <row r="32276">
      <c r="H32276" s="8" t="s">
        <v>364</v>
      </c>
    </row>
    <row r="32277">
      <c r="H32277" s="8" t="s">
        <v>364</v>
      </c>
    </row>
    <row r="32278">
      <c r="H32278" s="8" t="s">
        <v>364</v>
      </c>
    </row>
    <row r="32279">
      <c r="H32279" s="8" t="s">
        <v>364</v>
      </c>
    </row>
    <row r="32280">
      <c r="H32280" s="8" t="s">
        <v>364</v>
      </c>
    </row>
    <row r="32281">
      <c r="H32281" s="8" t="s">
        <v>364</v>
      </c>
    </row>
    <row r="32282">
      <c r="H32282" s="8" t="s">
        <v>364</v>
      </c>
    </row>
    <row r="32283">
      <c r="H32283" s="8" t="s">
        <v>364</v>
      </c>
    </row>
    <row r="32284">
      <c r="H32284" s="8" t="s">
        <v>364</v>
      </c>
    </row>
    <row r="32285">
      <c r="H32285" s="8" t="s">
        <v>364</v>
      </c>
    </row>
    <row r="32286">
      <c r="H32286" s="8" t="s">
        <v>364</v>
      </c>
    </row>
    <row r="32287">
      <c r="H32287" s="8" t="s">
        <v>364</v>
      </c>
    </row>
    <row r="32288">
      <c r="H32288" s="8" t="s">
        <v>364</v>
      </c>
    </row>
    <row r="32289">
      <c r="H32289" s="8" t="s">
        <v>364</v>
      </c>
    </row>
    <row r="32290">
      <c r="H32290" s="8" t="s">
        <v>364</v>
      </c>
    </row>
    <row r="32291">
      <c r="H32291" s="8" t="s">
        <v>364</v>
      </c>
    </row>
    <row r="32292">
      <c r="H32292" s="8" t="s">
        <v>364</v>
      </c>
    </row>
    <row r="32293">
      <c r="H32293" s="8" t="s">
        <v>364</v>
      </c>
    </row>
    <row r="32294">
      <c r="H32294" s="8" t="s">
        <v>364</v>
      </c>
    </row>
    <row r="32295">
      <c r="H32295" s="8" t="s">
        <v>364</v>
      </c>
    </row>
    <row r="32296">
      <c r="H32296" s="8" t="s">
        <v>364</v>
      </c>
    </row>
    <row r="32297">
      <c r="H32297" s="8" t="s">
        <v>364</v>
      </c>
    </row>
    <row r="32298">
      <c r="H32298" s="8" t="s">
        <v>364</v>
      </c>
    </row>
    <row r="32299">
      <c r="H32299" s="8" t="s">
        <v>364</v>
      </c>
    </row>
    <row r="32300">
      <c r="H32300" s="8" t="s">
        <v>364</v>
      </c>
    </row>
    <row r="32301">
      <c r="H32301" s="8" t="s">
        <v>364</v>
      </c>
    </row>
    <row r="32302">
      <c r="H32302" s="8" t="s">
        <v>364</v>
      </c>
    </row>
    <row r="32303">
      <c r="H32303" s="8" t="s">
        <v>364</v>
      </c>
    </row>
    <row r="32304">
      <c r="H32304" s="8" t="s">
        <v>364</v>
      </c>
    </row>
    <row r="32305">
      <c r="H32305" s="8" t="s">
        <v>364</v>
      </c>
    </row>
    <row r="32306">
      <c r="H32306" s="8" t="s">
        <v>364</v>
      </c>
    </row>
    <row r="32307">
      <c r="H32307" s="8" t="s">
        <v>364</v>
      </c>
    </row>
    <row r="32308">
      <c r="H32308" s="8" t="s">
        <v>364</v>
      </c>
    </row>
    <row r="32309">
      <c r="H32309" s="8" t="s">
        <v>364</v>
      </c>
    </row>
    <row r="32310">
      <c r="H32310" s="8" t="s">
        <v>364</v>
      </c>
    </row>
    <row r="32311">
      <c r="H32311" s="8" t="s">
        <v>364</v>
      </c>
    </row>
    <row r="32312">
      <c r="H32312" s="8" t="s">
        <v>364</v>
      </c>
    </row>
    <row r="32313">
      <c r="H32313" s="8" t="s">
        <v>364</v>
      </c>
    </row>
    <row r="32314">
      <c r="H32314" s="8" t="s">
        <v>364</v>
      </c>
    </row>
    <row r="32315">
      <c r="H32315" s="8" t="s">
        <v>364</v>
      </c>
    </row>
    <row r="32316">
      <c r="H32316" s="8" t="s">
        <v>364</v>
      </c>
    </row>
    <row r="32317">
      <c r="H32317" s="8" t="s">
        <v>364</v>
      </c>
    </row>
    <row r="32318">
      <c r="H32318" s="8" t="s">
        <v>364</v>
      </c>
    </row>
    <row r="32319">
      <c r="H32319" s="8" t="s">
        <v>364</v>
      </c>
    </row>
    <row r="32320">
      <c r="H32320" s="8" t="s">
        <v>364</v>
      </c>
    </row>
    <row r="32321">
      <c r="H32321" s="8" t="s">
        <v>364</v>
      </c>
    </row>
    <row r="32322">
      <c r="H32322" s="8" t="s">
        <v>364</v>
      </c>
    </row>
    <row r="32323">
      <c r="H32323" s="8" t="s">
        <v>364</v>
      </c>
    </row>
    <row r="32324">
      <c r="H32324" s="8" t="s">
        <v>364</v>
      </c>
    </row>
    <row r="32325">
      <c r="H32325" s="8" t="s">
        <v>364</v>
      </c>
    </row>
    <row r="32326">
      <c r="H32326" s="8" t="s">
        <v>364</v>
      </c>
    </row>
    <row r="32327">
      <c r="H32327" s="8" t="s">
        <v>364</v>
      </c>
    </row>
    <row r="32328">
      <c r="H32328" s="8" t="s">
        <v>364</v>
      </c>
    </row>
    <row r="32329">
      <c r="H32329" s="8" t="s">
        <v>364</v>
      </c>
    </row>
    <row r="32330">
      <c r="H32330" s="8" t="s">
        <v>364</v>
      </c>
    </row>
    <row r="32331">
      <c r="H32331" s="8" t="s">
        <v>364</v>
      </c>
    </row>
    <row r="32332">
      <c r="H32332" s="8" t="s">
        <v>364</v>
      </c>
    </row>
    <row r="32333">
      <c r="H32333" s="8" t="s">
        <v>364</v>
      </c>
    </row>
    <row r="32334">
      <c r="H32334" s="8" t="s">
        <v>364</v>
      </c>
    </row>
    <row r="32335">
      <c r="H32335" s="8" t="s">
        <v>364</v>
      </c>
    </row>
    <row r="32336">
      <c r="H32336" s="8" t="s">
        <v>364</v>
      </c>
    </row>
    <row r="32337">
      <c r="H32337" s="8" t="s">
        <v>364</v>
      </c>
    </row>
    <row r="32338">
      <c r="H32338" s="8" t="s">
        <v>364</v>
      </c>
    </row>
    <row r="32339">
      <c r="H32339" s="8" t="s">
        <v>364</v>
      </c>
    </row>
    <row r="32340">
      <c r="H32340" s="8" t="s">
        <v>364</v>
      </c>
    </row>
    <row r="32341">
      <c r="H32341" s="8" t="s">
        <v>364</v>
      </c>
    </row>
    <row r="32342">
      <c r="H32342" s="8" t="s">
        <v>364</v>
      </c>
    </row>
    <row r="32343">
      <c r="H32343" s="8" t="s">
        <v>364</v>
      </c>
    </row>
    <row r="32344">
      <c r="H32344" s="8" t="s">
        <v>364</v>
      </c>
    </row>
    <row r="32345">
      <c r="H32345" s="8" t="s">
        <v>364</v>
      </c>
    </row>
    <row r="32346">
      <c r="H32346" s="8" t="s">
        <v>364</v>
      </c>
    </row>
    <row r="32347">
      <c r="H32347" s="8" t="s">
        <v>364</v>
      </c>
    </row>
    <row r="32348">
      <c r="H32348" s="8" t="s">
        <v>364</v>
      </c>
    </row>
    <row r="32349">
      <c r="H32349" s="8" t="s">
        <v>364</v>
      </c>
    </row>
    <row r="32350">
      <c r="H32350" s="8" t="s">
        <v>364</v>
      </c>
    </row>
    <row r="32351">
      <c r="H32351" s="8" t="s">
        <v>364</v>
      </c>
    </row>
    <row r="32352">
      <c r="H32352" s="8" t="s">
        <v>364</v>
      </c>
    </row>
    <row r="32353">
      <c r="H32353" s="8" t="s">
        <v>364</v>
      </c>
    </row>
    <row r="32354">
      <c r="H32354" s="8" t="s">
        <v>364</v>
      </c>
    </row>
    <row r="32355">
      <c r="H32355" s="8" t="s">
        <v>364</v>
      </c>
    </row>
    <row r="32356">
      <c r="H32356" s="8" t="s">
        <v>364</v>
      </c>
    </row>
    <row r="32357">
      <c r="H32357" s="8" t="s">
        <v>364</v>
      </c>
    </row>
    <row r="32358">
      <c r="H32358" s="8" t="s">
        <v>364</v>
      </c>
    </row>
    <row r="32359">
      <c r="H32359" s="8" t="s">
        <v>364</v>
      </c>
    </row>
    <row r="32360">
      <c r="H32360" s="8" t="s">
        <v>364</v>
      </c>
    </row>
    <row r="32361">
      <c r="H32361" s="8" t="s">
        <v>364</v>
      </c>
    </row>
    <row r="32362">
      <c r="H32362" s="8" t="s">
        <v>364</v>
      </c>
    </row>
    <row r="32363">
      <c r="H32363" s="8" t="s">
        <v>364</v>
      </c>
    </row>
    <row r="32364">
      <c r="H32364" s="8" t="s">
        <v>364</v>
      </c>
    </row>
    <row r="32365">
      <c r="H32365" s="8" t="s">
        <v>364</v>
      </c>
    </row>
    <row r="32366">
      <c r="H32366" s="8" t="s">
        <v>364</v>
      </c>
    </row>
    <row r="32367">
      <c r="H32367" s="8" t="s">
        <v>364</v>
      </c>
    </row>
    <row r="32368">
      <c r="H32368" s="8" t="s">
        <v>364</v>
      </c>
    </row>
    <row r="32369">
      <c r="H32369" s="8" t="s">
        <v>364</v>
      </c>
    </row>
    <row r="32370">
      <c r="H32370" s="8" t="s">
        <v>364</v>
      </c>
    </row>
    <row r="32371">
      <c r="H32371" s="8" t="s">
        <v>364</v>
      </c>
    </row>
    <row r="32372">
      <c r="H32372" s="8" t="s">
        <v>364</v>
      </c>
    </row>
    <row r="32373">
      <c r="H32373" s="8" t="s">
        <v>364</v>
      </c>
    </row>
    <row r="32374">
      <c r="H32374" s="8" t="s">
        <v>364</v>
      </c>
    </row>
    <row r="32375">
      <c r="H32375" s="8" t="s">
        <v>364</v>
      </c>
    </row>
    <row r="32376">
      <c r="H32376" s="8" t="s">
        <v>364</v>
      </c>
    </row>
    <row r="32377">
      <c r="H32377" s="8" t="s">
        <v>364</v>
      </c>
    </row>
    <row r="32378">
      <c r="H32378" s="8" t="s">
        <v>364</v>
      </c>
    </row>
    <row r="32379">
      <c r="H32379" s="8" t="s">
        <v>364</v>
      </c>
    </row>
    <row r="32380">
      <c r="H32380" s="8" t="s">
        <v>364</v>
      </c>
    </row>
    <row r="32381">
      <c r="H32381" s="8" t="s">
        <v>364</v>
      </c>
    </row>
    <row r="32382">
      <c r="H32382" s="8" t="s">
        <v>364</v>
      </c>
    </row>
    <row r="32383">
      <c r="H32383" s="8" t="s">
        <v>364</v>
      </c>
    </row>
    <row r="32384">
      <c r="H32384" s="8" t="s">
        <v>364</v>
      </c>
    </row>
    <row r="32385">
      <c r="H32385" s="8" t="s">
        <v>364</v>
      </c>
    </row>
    <row r="32386">
      <c r="H32386" s="8" t="s">
        <v>364</v>
      </c>
    </row>
    <row r="32387">
      <c r="H32387" s="8" t="s">
        <v>364</v>
      </c>
    </row>
    <row r="32388">
      <c r="H32388" s="8" t="s">
        <v>364</v>
      </c>
    </row>
    <row r="32389">
      <c r="H32389" s="8" t="s">
        <v>364</v>
      </c>
    </row>
    <row r="32390">
      <c r="H32390" s="8" t="s">
        <v>364</v>
      </c>
    </row>
    <row r="32391">
      <c r="H32391" s="8" t="s">
        <v>364</v>
      </c>
    </row>
    <row r="32392">
      <c r="H32392" s="8" t="s">
        <v>364</v>
      </c>
    </row>
    <row r="32393">
      <c r="H32393" s="8" t="s">
        <v>364</v>
      </c>
    </row>
    <row r="32394">
      <c r="H32394" s="8" t="s">
        <v>364</v>
      </c>
    </row>
    <row r="32395">
      <c r="H32395" s="8" t="s">
        <v>364</v>
      </c>
    </row>
    <row r="32396">
      <c r="H32396" s="8" t="s">
        <v>364</v>
      </c>
    </row>
    <row r="32397">
      <c r="H32397" s="8" t="s">
        <v>364</v>
      </c>
    </row>
    <row r="32398">
      <c r="H32398" s="8" t="s">
        <v>364</v>
      </c>
    </row>
    <row r="32399">
      <c r="H32399" s="8" t="s">
        <v>364</v>
      </c>
    </row>
    <row r="32400">
      <c r="H32400" s="8" t="s">
        <v>364</v>
      </c>
    </row>
    <row r="32401">
      <c r="H32401" s="8" t="s">
        <v>364</v>
      </c>
    </row>
    <row r="32402">
      <c r="H32402" s="8" t="s">
        <v>364</v>
      </c>
    </row>
    <row r="32403">
      <c r="H32403" s="8" t="s">
        <v>364</v>
      </c>
    </row>
    <row r="32404">
      <c r="H32404" s="8" t="s">
        <v>364</v>
      </c>
    </row>
    <row r="32405">
      <c r="H32405" s="8" t="s">
        <v>364</v>
      </c>
    </row>
    <row r="32406">
      <c r="H32406" s="8" t="s">
        <v>364</v>
      </c>
    </row>
    <row r="32407">
      <c r="H32407" s="8" t="s">
        <v>364</v>
      </c>
    </row>
    <row r="32408">
      <c r="H32408" s="8" t="s">
        <v>364</v>
      </c>
    </row>
    <row r="32409">
      <c r="H32409" s="8" t="s">
        <v>364</v>
      </c>
    </row>
    <row r="32410">
      <c r="H32410" s="8" t="s">
        <v>364</v>
      </c>
    </row>
    <row r="32411">
      <c r="H32411" s="8" t="s">
        <v>364</v>
      </c>
    </row>
    <row r="32412">
      <c r="H32412" s="8" t="s">
        <v>364</v>
      </c>
    </row>
    <row r="32413">
      <c r="H32413" s="8" t="s">
        <v>364</v>
      </c>
    </row>
    <row r="32414">
      <c r="H32414" s="8" t="s">
        <v>364</v>
      </c>
    </row>
    <row r="32415">
      <c r="H32415" s="8" t="s">
        <v>364</v>
      </c>
    </row>
    <row r="32416">
      <c r="H32416" s="8" t="s">
        <v>364</v>
      </c>
    </row>
    <row r="32417">
      <c r="H32417" s="8" t="s">
        <v>364</v>
      </c>
    </row>
    <row r="32418">
      <c r="H32418" s="8" t="s">
        <v>364</v>
      </c>
    </row>
    <row r="32419">
      <c r="H32419" s="8" t="s">
        <v>364</v>
      </c>
    </row>
    <row r="32420">
      <c r="H32420" s="8" t="s">
        <v>364</v>
      </c>
    </row>
    <row r="32421">
      <c r="H32421" s="8" t="s">
        <v>364</v>
      </c>
    </row>
    <row r="32422">
      <c r="H32422" s="8" t="s">
        <v>364</v>
      </c>
    </row>
    <row r="32423">
      <c r="H32423" s="8" t="s">
        <v>364</v>
      </c>
    </row>
    <row r="32424">
      <c r="H32424" s="8" t="s">
        <v>364</v>
      </c>
    </row>
    <row r="32425">
      <c r="H32425" s="8" t="s">
        <v>364</v>
      </c>
    </row>
    <row r="32426">
      <c r="H32426" s="8" t="s">
        <v>364</v>
      </c>
    </row>
    <row r="32427">
      <c r="H32427" s="8" t="s">
        <v>364</v>
      </c>
    </row>
    <row r="32428">
      <c r="H32428" s="8" t="s">
        <v>364</v>
      </c>
    </row>
    <row r="32429">
      <c r="H32429" s="8" t="s">
        <v>364</v>
      </c>
    </row>
    <row r="32430">
      <c r="H32430" s="8" t="s">
        <v>364</v>
      </c>
    </row>
    <row r="32431">
      <c r="H32431" s="8" t="s">
        <v>364</v>
      </c>
    </row>
    <row r="32432">
      <c r="H32432" s="8" t="s">
        <v>364</v>
      </c>
    </row>
    <row r="32433">
      <c r="H32433" s="8" t="s">
        <v>364</v>
      </c>
    </row>
    <row r="32434">
      <c r="H32434" s="8" t="s">
        <v>364</v>
      </c>
    </row>
    <row r="32435">
      <c r="H32435" s="8" t="s">
        <v>364</v>
      </c>
    </row>
    <row r="32436">
      <c r="H32436" s="8" t="s">
        <v>364</v>
      </c>
    </row>
    <row r="32437">
      <c r="H32437" s="8" t="s">
        <v>364</v>
      </c>
    </row>
    <row r="32438">
      <c r="H32438" s="8" t="s">
        <v>364</v>
      </c>
    </row>
    <row r="32439">
      <c r="H32439" s="8" t="s">
        <v>364</v>
      </c>
    </row>
    <row r="32440">
      <c r="H32440" s="8" t="s">
        <v>364</v>
      </c>
    </row>
    <row r="32441">
      <c r="H32441" s="8" t="s">
        <v>364</v>
      </c>
    </row>
    <row r="32442">
      <c r="H32442" s="8" t="s">
        <v>364</v>
      </c>
    </row>
    <row r="32443">
      <c r="H32443" s="8" t="s">
        <v>364</v>
      </c>
    </row>
    <row r="32444">
      <c r="H32444" s="8" t="s">
        <v>364</v>
      </c>
    </row>
    <row r="32445">
      <c r="H32445" s="8" t="s">
        <v>364</v>
      </c>
    </row>
    <row r="32446">
      <c r="H32446" s="8" t="s">
        <v>364</v>
      </c>
    </row>
    <row r="32447">
      <c r="H32447" s="8" t="s">
        <v>364</v>
      </c>
    </row>
    <row r="32448">
      <c r="H32448" s="8" t="s">
        <v>364</v>
      </c>
    </row>
    <row r="32449">
      <c r="H32449" s="8" t="s">
        <v>364</v>
      </c>
    </row>
    <row r="32450">
      <c r="H32450" s="8" t="s">
        <v>364</v>
      </c>
    </row>
    <row r="32451">
      <c r="H32451" s="8" t="s">
        <v>364</v>
      </c>
    </row>
    <row r="32452">
      <c r="H32452" s="8" t="s">
        <v>364</v>
      </c>
    </row>
    <row r="32453">
      <c r="H32453" s="8" t="s">
        <v>364</v>
      </c>
    </row>
    <row r="32454">
      <c r="H32454" s="8" t="s">
        <v>364</v>
      </c>
    </row>
    <row r="32455">
      <c r="H32455" s="8" t="s">
        <v>364</v>
      </c>
    </row>
    <row r="32456">
      <c r="H32456" s="8" t="s">
        <v>364</v>
      </c>
    </row>
    <row r="32457">
      <c r="H32457" s="8" t="s">
        <v>364</v>
      </c>
    </row>
    <row r="32458">
      <c r="H32458" s="8" t="s">
        <v>364</v>
      </c>
    </row>
    <row r="32459">
      <c r="H32459" s="8" t="s">
        <v>364</v>
      </c>
    </row>
    <row r="32460">
      <c r="H32460" s="8" t="s">
        <v>364</v>
      </c>
    </row>
    <row r="32461">
      <c r="H32461" s="8" t="s">
        <v>364</v>
      </c>
    </row>
    <row r="32462">
      <c r="H32462" s="8" t="s">
        <v>364</v>
      </c>
    </row>
    <row r="32463">
      <c r="H32463" s="8" t="s">
        <v>364</v>
      </c>
    </row>
    <row r="32464">
      <c r="H32464" s="8" t="s">
        <v>364</v>
      </c>
    </row>
    <row r="32465">
      <c r="H32465" s="8" t="s">
        <v>364</v>
      </c>
    </row>
    <row r="32466">
      <c r="H32466" s="8" t="s">
        <v>364</v>
      </c>
    </row>
    <row r="32467">
      <c r="H32467" s="8" t="s">
        <v>364</v>
      </c>
    </row>
    <row r="32468">
      <c r="H32468" s="8" t="s">
        <v>364</v>
      </c>
    </row>
    <row r="32469">
      <c r="H32469" s="8" t="s">
        <v>364</v>
      </c>
    </row>
    <row r="32470">
      <c r="H32470" s="8" t="s">
        <v>364</v>
      </c>
    </row>
    <row r="32471">
      <c r="H32471" s="8" t="s">
        <v>364</v>
      </c>
    </row>
    <row r="32472">
      <c r="H32472" s="8" t="s">
        <v>364</v>
      </c>
    </row>
    <row r="32473">
      <c r="H32473" s="8" t="s">
        <v>364</v>
      </c>
    </row>
    <row r="32474">
      <c r="H32474" s="8" t="s">
        <v>364</v>
      </c>
    </row>
    <row r="32475">
      <c r="H32475" s="8" t="s">
        <v>364</v>
      </c>
    </row>
    <row r="32476">
      <c r="H32476" s="8" t="s">
        <v>364</v>
      </c>
    </row>
    <row r="32477">
      <c r="H32477" s="8" t="s">
        <v>364</v>
      </c>
    </row>
    <row r="32478">
      <c r="H32478" s="8" t="s">
        <v>364</v>
      </c>
    </row>
    <row r="32479">
      <c r="H32479" s="8" t="s">
        <v>364</v>
      </c>
    </row>
    <row r="32480">
      <c r="H32480" s="8" t="s">
        <v>364</v>
      </c>
    </row>
    <row r="32481">
      <c r="H32481" s="8" t="s">
        <v>364</v>
      </c>
    </row>
    <row r="32482">
      <c r="H32482" s="8" t="s">
        <v>364</v>
      </c>
    </row>
    <row r="32483">
      <c r="H32483" s="8" t="s">
        <v>364</v>
      </c>
    </row>
    <row r="32484">
      <c r="H32484" s="8" t="s">
        <v>364</v>
      </c>
    </row>
    <row r="32485">
      <c r="H32485" s="8" t="s">
        <v>364</v>
      </c>
    </row>
    <row r="32486">
      <c r="H32486" s="8" t="s">
        <v>364</v>
      </c>
    </row>
    <row r="32487">
      <c r="H32487" s="8" t="s">
        <v>364</v>
      </c>
    </row>
    <row r="32488">
      <c r="H32488" s="8" t="s">
        <v>364</v>
      </c>
    </row>
    <row r="32489">
      <c r="H32489" s="8" t="s">
        <v>364</v>
      </c>
    </row>
    <row r="32490">
      <c r="H32490" s="8" t="s">
        <v>364</v>
      </c>
    </row>
    <row r="32491">
      <c r="H32491" s="8" t="s">
        <v>364</v>
      </c>
    </row>
    <row r="32492">
      <c r="H32492" s="8" t="s">
        <v>364</v>
      </c>
    </row>
    <row r="32493">
      <c r="H32493" s="8" t="s">
        <v>364</v>
      </c>
    </row>
    <row r="32494">
      <c r="H32494" s="8" t="s">
        <v>364</v>
      </c>
    </row>
    <row r="32495">
      <c r="H32495" s="8" t="s">
        <v>364</v>
      </c>
    </row>
    <row r="32496">
      <c r="H32496" s="8" t="s">
        <v>364</v>
      </c>
    </row>
    <row r="32497">
      <c r="H32497" s="8" t="s">
        <v>364</v>
      </c>
    </row>
    <row r="32498">
      <c r="H32498" s="8" t="s">
        <v>364</v>
      </c>
    </row>
    <row r="32499">
      <c r="H32499" s="8" t="s">
        <v>364</v>
      </c>
    </row>
    <row r="32500">
      <c r="H32500" s="8" t="s">
        <v>364</v>
      </c>
    </row>
    <row r="32501">
      <c r="H32501" s="8" t="s">
        <v>364</v>
      </c>
    </row>
    <row r="32502">
      <c r="H32502" s="8" t="s">
        <v>364</v>
      </c>
    </row>
    <row r="32503">
      <c r="H32503" s="8" t="s">
        <v>364</v>
      </c>
    </row>
    <row r="32504">
      <c r="H32504" s="8" t="s">
        <v>364</v>
      </c>
    </row>
    <row r="32505">
      <c r="H32505" s="8" t="s">
        <v>364</v>
      </c>
    </row>
    <row r="32506">
      <c r="H32506" s="8" t="s">
        <v>364</v>
      </c>
    </row>
    <row r="32507">
      <c r="H32507" s="8" t="s">
        <v>364</v>
      </c>
    </row>
    <row r="32508">
      <c r="H32508" s="8" t="s">
        <v>364</v>
      </c>
    </row>
    <row r="32509">
      <c r="H32509" s="8" t="s">
        <v>364</v>
      </c>
    </row>
    <row r="32510">
      <c r="H32510" s="8" t="s">
        <v>364</v>
      </c>
    </row>
    <row r="32511">
      <c r="H32511" s="8" t="s">
        <v>364</v>
      </c>
    </row>
    <row r="32512">
      <c r="H32512" s="8" t="s">
        <v>364</v>
      </c>
    </row>
    <row r="32513">
      <c r="H32513" s="8" t="s">
        <v>364</v>
      </c>
    </row>
    <row r="32514">
      <c r="H32514" s="8" t="s">
        <v>364</v>
      </c>
    </row>
    <row r="32515">
      <c r="H32515" s="8" t="s">
        <v>364</v>
      </c>
    </row>
    <row r="32516">
      <c r="H32516" s="8" t="s">
        <v>364</v>
      </c>
    </row>
    <row r="32517">
      <c r="H32517" s="8" t="s">
        <v>364</v>
      </c>
    </row>
    <row r="32518">
      <c r="H32518" s="8" t="s">
        <v>364</v>
      </c>
    </row>
    <row r="32519">
      <c r="H32519" s="8" t="s">
        <v>364</v>
      </c>
    </row>
    <row r="32520">
      <c r="H32520" s="8" t="s">
        <v>364</v>
      </c>
    </row>
    <row r="32521">
      <c r="H32521" s="8" t="s">
        <v>364</v>
      </c>
    </row>
    <row r="32522">
      <c r="H32522" s="8" t="s">
        <v>364</v>
      </c>
    </row>
    <row r="32523">
      <c r="H32523" s="8" t="s">
        <v>364</v>
      </c>
    </row>
    <row r="32524">
      <c r="H32524" s="8" t="s">
        <v>364</v>
      </c>
    </row>
    <row r="32525">
      <c r="H32525" s="8" t="s">
        <v>364</v>
      </c>
    </row>
    <row r="32526">
      <c r="H32526" s="8" t="s">
        <v>364</v>
      </c>
    </row>
    <row r="32527">
      <c r="H32527" s="8" t="s">
        <v>364</v>
      </c>
    </row>
    <row r="32528">
      <c r="H32528" s="8" t="s">
        <v>364</v>
      </c>
    </row>
    <row r="32529">
      <c r="H32529" s="8" t="s">
        <v>364</v>
      </c>
    </row>
    <row r="32530">
      <c r="H32530" s="8" t="s">
        <v>364</v>
      </c>
    </row>
    <row r="32531">
      <c r="H32531" s="8" t="s">
        <v>364</v>
      </c>
    </row>
    <row r="32532">
      <c r="H32532" s="8" t="s">
        <v>364</v>
      </c>
    </row>
    <row r="32533">
      <c r="H32533" s="8" t="s">
        <v>364</v>
      </c>
    </row>
    <row r="32534">
      <c r="H32534" s="8" t="s">
        <v>364</v>
      </c>
    </row>
    <row r="32535">
      <c r="H32535" s="8" t="s">
        <v>364</v>
      </c>
    </row>
    <row r="32536">
      <c r="H32536" s="8" t="s">
        <v>364</v>
      </c>
    </row>
    <row r="32537">
      <c r="H32537" s="8" t="s">
        <v>364</v>
      </c>
    </row>
    <row r="32538">
      <c r="H32538" s="8" t="s">
        <v>364</v>
      </c>
    </row>
    <row r="32539">
      <c r="H32539" s="8" t="s">
        <v>364</v>
      </c>
    </row>
    <row r="32540">
      <c r="H32540" s="8" t="s">
        <v>364</v>
      </c>
    </row>
    <row r="32541">
      <c r="H32541" s="8" t="s">
        <v>364</v>
      </c>
    </row>
    <row r="32542">
      <c r="H32542" s="8" t="s">
        <v>364</v>
      </c>
    </row>
    <row r="32543">
      <c r="H32543" s="8" t="s">
        <v>364</v>
      </c>
    </row>
    <row r="32544">
      <c r="H32544" s="8" t="s">
        <v>364</v>
      </c>
    </row>
    <row r="32545">
      <c r="H32545" s="8" t="s">
        <v>364</v>
      </c>
    </row>
    <row r="32546">
      <c r="H32546" s="8" t="s">
        <v>364</v>
      </c>
    </row>
    <row r="32547">
      <c r="H32547" s="8" t="s">
        <v>364</v>
      </c>
    </row>
    <row r="32548">
      <c r="H32548" s="8" t="s">
        <v>364</v>
      </c>
    </row>
    <row r="32549">
      <c r="H32549" s="8" t="s">
        <v>364</v>
      </c>
    </row>
    <row r="32550">
      <c r="H32550" s="8" t="s">
        <v>364</v>
      </c>
    </row>
    <row r="32551">
      <c r="H32551" s="8" t="s">
        <v>364</v>
      </c>
    </row>
    <row r="32552">
      <c r="H32552" s="8" t="s">
        <v>364</v>
      </c>
    </row>
    <row r="32553">
      <c r="H32553" s="8" t="s">
        <v>364</v>
      </c>
    </row>
    <row r="32554">
      <c r="H32554" s="8" t="s">
        <v>364</v>
      </c>
    </row>
    <row r="32555">
      <c r="H32555" s="8" t="s">
        <v>364</v>
      </c>
    </row>
    <row r="32556">
      <c r="H32556" s="8" t="s">
        <v>364</v>
      </c>
    </row>
    <row r="32557">
      <c r="H32557" s="8" t="s">
        <v>364</v>
      </c>
    </row>
    <row r="32558">
      <c r="H32558" s="8" t="s">
        <v>364</v>
      </c>
    </row>
    <row r="32559">
      <c r="H32559" s="8" t="s">
        <v>364</v>
      </c>
    </row>
    <row r="32560">
      <c r="H32560" s="8" t="s">
        <v>364</v>
      </c>
    </row>
    <row r="32561">
      <c r="H32561" s="8" t="s">
        <v>364</v>
      </c>
    </row>
    <row r="32562">
      <c r="H32562" s="8" t="s">
        <v>364</v>
      </c>
    </row>
    <row r="32563">
      <c r="H32563" s="8" t="s">
        <v>364</v>
      </c>
    </row>
    <row r="32564">
      <c r="H32564" s="8" t="s">
        <v>364</v>
      </c>
    </row>
    <row r="32565">
      <c r="H32565" s="8" t="s">
        <v>364</v>
      </c>
    </row>
    <row r="32566">
      <c r="H32566" s="8" t="s">
        <v>364</v>
      </c>
    </row>
    <row r="32567">
      <c r="H32567" s="8" t="s">
        <v>364</v>
      </c>
    </row>
    <row r="32568">
      <c r="H32568" s="8" t="s">
        <v>364</v>
      </c>
    </row>
    <row r="32569">
      <c r="H32569" s="8" t="s">
        <v>364</v>
      </c>
    </row>
    <row r="32570">
      <c r="H32570" s="8" t="s">
        <v>364</v>
      </c>
    </row>
    <row r="32571">
      <c r="H32571" s="8" t="s">
        <v>364</v>
      </c>
    </row>
    <row r="32572">
      <c r="H32572" s="8" t="s">
        <v>364</v>
      </c>
    </row>
    <row r="32573">
      <c r="H32573" s="8" t="s">
        <v>364</v>
      </c>
    </row>
    <row r="32574">
      <c r="H32574" s="8" t="s">
        <v>364</v>
      </c>
    </row>
    <row r="32575">
      <c r="H32575" s="8" t="s">
        <v>364</v>
      </c>
    </row>
    <row r="32576">
      <c r="H32576" s="8" t="s">
        <v>364</v>
      </c>
    </row>
    <row r="32577">
      <c r="H32577" s="8" t="s">
        <v>364</v>
      </c>
    </row>
    <row r="32578">
      <c r="H32578" s="8" t="s">
        <v>364</v>
      </c>
    </row>
    <row r="32579">
      <c r="H32579" s="8" t="s">
        <v>364</v>
      </c>
    </row>
    <row r="32580">
      <c r="H32580" s="8" t="s">
        <v>364</v>
      </c>
    </row>
    <row r="32581">
      <c r="H32581" s="8" t="s">
        <v>364</v>
      </c>
    </row>
    <row r="32582">
      <c r="H32582" s="8" t="s">
        <v>364</v>
      </c>
    </row>
    <row r="32583">
      <c r="H32583" s="8" t="s">
        <v>364</v>
      </c>
    </row>
    <row r="32584">
      <c r="H32584" s="8" t="s">
        <v>364</v>
      </c>
    </row>
    <row r="32585">
      <c r="H32585" s="8" t="s">
        <v>364</v>
      </c>
    </row>
    <row r="32586">
      <c r="H32586" s="8" t="s">
        <v>364</v>
      </c>
    </row>
    <row r="32587">
      <c r="H32587" s="8" t="s">
        <v>364</v>
      </c>
    </row>
    <row r="32588">
      <c r="H32588" s="8" t="s">
        <v>364</v>
      </c>
    </row>
    <row r="32589">
      <c r="H32589" s="8" t="s">
        <v>364</v>
      </c>
    </row>
    <row r="32590">
      <c r="H32590" s="8" t="s">
        <v>364</v>
      </c>
    </row>
    <row r="32591">
      <c r="H32591" s="8" t="s">
        <v>364</v>
      </c>
    </row>
    <row r="32592">
      <c r="H32592" s="8" t="s">
        <v>364</v>
      </c>
    </row>
    <row r="32593">
      <c r="H32593" s="8" t="s">
        <v>364</v>
      </c>
    </row>
    <row r="32594">
      <c r="H32594" s="8" t="s">
        <v>364</v>
      </c>
    </row>
    <row r="32595">
      <c r="H32595" s="8" t="s">
        <v>364</v>
      </c>
    </row>
    <row r="32596">
      <c r="H32596" s="8" t="s">
        <v>364</v>
      </c>
    </row>
    <row r="32597">
      <c r="H32597" s="8" t="s">
        <v>364</v>
      </c>
    </row>
    <row r="32598">
      <c r="H32598" s="8" t="s">
        <v>364</v>
      </c>
    </row>
    <row r="32599">
      <c r="H32599" s="8" t="s">
        <v>364</v>
      </c>
    </row>
    <row r="32600">
      <c r="H32600" s="8" t="s">
        <v>364</v>
      </c>
    </row>
    <row r="32601">
      <c r="H32601" s="8" t="s">
        <v>364</v>
      </c>
    </row>
    <row r="32602">
      <c r="H32602" s="8" t="s">
        <v>364</v>
      </c>
    </row>
    <row r="32603">
      <c r="H32603" s="8" t="s">
        <v>364</v>
      </c>
    </row>
    <row r="32604">
      <c r="H32604" s="8" t="s">
        <v>364</v>
      </c>
    </row>
    <row r="32605">
      <c r="H32605" s="8" t="s">
        <v>364</v>
      </c>
    </row>
    <row r="32606">
      <c r="H32606" s="8" t="s">
        <v>364</v>
      </c>
    </row>
    <row r="32607">
      <c r="H32607" s="8" t="s">
        <v>364</v>
      </c>
    </row>
    <row r="32608">
      <c r="H32608" s="8" t="s">
        <v>364</v>
      </c>
    </row>
    <row r="32609">
      <c r="H32609" s="8" t="s">
        <v>364</v>
      </c>
    </row>
    <row r="32610">
      <c r="H32610" s="8" t="s">
        <v>364</v>
      </c>
    </row>
    <row r="32611">
      <c r="H32611" s="8" t="s">
        <v>364</v>
      </c>
    </row>
    <row r="32612">
      <c r="H32612" s="8" t="s">
        <v>364</v>
      </c>
    </row>
    <row r="32613">
      <c r="H32613" s="8" t="s">
        <v>364</v>
      </c>
    </row>
    <row r="32614">
      <c r="H32614" s="8" t="s">
        <v>364</v>
      </c>
    </row>
    <row r="32615">
      <c r="H32615" s="8" t="s">
        <v>364</v>
      </c>
    </row>
    <row r="32616">
      <c r="H32616" s="8" t="s">
        <v>364</v>
      </c>
    </row>
    <row r="32617">
      <c r="H32617" s="8" t="s">
        <v>364</v>
      </c>
    </row>
    <row r="32618">
      <c r="H32618" s="8" t="s">
        <v>364</v>
      </c>
    </row>
    <row r="32619">
      <c r="H32619" s="8" t="s">
        <v>364</v>
      </c>
    </row>
    <row r="32620">
      <c r="H32620" s="8" t="s">
        <v>364</v>
      </c>
    </row>
    <row r="32621">
      <c r="H32621" s="8" t="s">
        <v>364</v>
      </c>
    </row>
    <row r="32622">
      <c r="H32622" s="8" t="s">
        <v>364</v>
      </c>
    </row>
    <row r="32623">
      <c r="H32623" s="8" t="s">
        <v>364</v>
      </c>
    </row>
    <row r="32624">
      <c r="H32624" s="8" t="s">
        <v>364</v>
      </c>
    </row>
    <row r="32625">
      <c r="H32625" s="8" t="s">
        <v>364</v>
      </c>
    </row>
    <row r="32626">
      <c r="H32626" s="8" t="s">
        <v>364</v>
      </c>
    </row>
    <row r="32627">
      <c r="H32627" s="8" t="s">
        <v>364</v>
      </c>
    </row>
    <row r="32628">
      <c r="H32628" s="8" t="s">
        <v>364</v>
      </c>
    </row>
    <row r="32629">
      <c r="H32629" s="8" t="s">
        <v>364</v>
      </c>
    </row>
    <row r="32630">
      <c r="H32630" s="8" t="s">
        <v>364</v>
      </c>
    </row>
    <row r="32631">
      <c r="H32631" s="8" t="s">
        <v>364</v>
      </c>
    </row>
    <row r="32632">
      <c r="H32632" s="8" t="s">
        <v>364</v>
      </c>
    </row>
    <row r="32633">
      <c r="H32633" s="8" t="s">
        <v>364</v>
      </c>
    </row>
    <row r="32634">
      <c r="H32634" s="8" t="s">
        <v>364</v>
      </c>
    </row>
    <row r="32635">
      <c r="H32635" s="8" t="s">
        <v>364</v>
      </c>
    </row>
    <row r="32636">
      <c r="H32636" s="8" t="s">
        <v>364</v>
      </c>
    </row>
    <row r="32637">
      <c r="H32637" s="8" t="s">
        <v>364</v>
      </c>
    </row>
    <row r="32638">
      <c r="H32638" s="8" t="s">
        <v>364</v>
      </c>
    </row>
    <row r="32639">
      <c r="H32639" s="8" t="s">
        <v>364</v>
      </c>
    </row>
    <row r="32640">
      <c r="H32640" s="8" t="s">
        <v>364</v>
      </c>
    </row>
    <row r="32641">
      <c r="H32641" s="8" t="s">
        <v>364</v>
      </c>
    </row>
    <row r="32642">
      <c r="H32642" s="8" t="s">
        <v>364</v>
      </c>
    </row>
    <row r="32643">
      <c r="H32643" s="8" t="s">
        <v>364</v>
      </c>
    </row>
    <row r="32644">
      <c r="H32644" s="8" t="s">
        <v>364</v>
      </c>
    </row>
    <row r="32645">
      <c r="H32645" s="8" t="s">
        <v>364</v>
      </c>
    </row>
    <row r="32646">
      <c r="H32646" s="8" t="s">
        <v>364</v>
      </c>
    </row>
    <row r="32647">
      <c r="H32647" s="8" t="s">
        <v>364</v>
      </c>
    </row>
    <row r="32648">
      <c r="H32648" s="8" t="s">
        <v>364</v>
      </c>
    </row>
    <row r="32649">
      <c r="H32649" s="8" t="s">
        <v>364</v>
      </c>
    </row>
    <row r="32650">
      <c r="H32650" s="8" t="s">
        <v>364</v>
      </c>
    </row>
    <row r="32651">
      <c r="H32651" s="8" t="s">
        <v>364</v>
      </c>
    </row>
    <row r="32652">
      <c r="H32652" s="8" t="s">
        <v>364</v>
      </c>
    </row>
    <row r="32653">
      <c r="H32653" s="8" t="s">
        <v>364</v>
      </c>
    </row>
    <row r="32654">
      <c r="H32654" s="8" t="s">
        <v>364</v>
      </c>
    </row>
    <row r="32655">
      <c r="H32655" s="8" t="s">
        <v>364</v>
      </c>
    </row>
    <row r="32656">
      <c r="H32656" s="8" t="s">
        <v>364</v>
      </c>
    </row>
    <row r="32657">
      <c r="H32657" s="8" t="s">
        <v>364</v>
      </c>
    </row>
    <row r="32658">
      <c r="H32658" s="8" t="s">
        <v>364</v>
      </c>
    </row>
    <row r="32659">
      <c r="H32659" s="8" t="s">
        <v>364</v>
      </c>
    </row>
    <row r="32660">
      <c r="H32660" s="8" t="s">
        <v>364</v>
      </c>
    </row>
    <row r="32661">
      <c r="H32661" s="8" t="s">
        <v>364</v>
      </c>
    </row>
    <row r="32662">
      <c r="H32662" s="8" t="s">
        <v>364</v>
      </c>
    </row>
    <row r="32663">
      <c r="H32663" s="8" t="s">
        <v>364</v>
      </c>
    </row>
    <row r="32664">
      <c r="H32664" s="8" t="s">
        <v>364</v>
      </c>
    </row>
    <row r="32665">
      <c r="H32665" s="8" t="s">
        <v>364</v>
      </c>
    </row>
    <row r="32666">
      <c r="H32666" s="8" t="s">
        <v>364</v>
      </c>
    </row>
    <row r="32667">
      <c r="H32667" s="8" t="s">
        <v>364</v>
      </c>
    </row>
    <row r="32668">
      <c r="H32668" s="8" t="s">
        <v>364</v>
      </c>
    </row>
    <row r="32669">
      <c r="H32669" s="8" t="s">
        <v>364</v>
      </c>
    </row>
    <row r="32670">
      <c r="H32670" s="8" t="s">
        <v>364</v>
      </c>
    </row>
    <row r="32671">
      <c r="H32671" s="8" t="s">
        <v>364</v>
      </c>
    </row>
    <row r="32672">
      <c r="H32672" s="8" t="s">
        <v>364</v>
      </c>
    </row>
    <row r="32673">
      <c r="H32673" s="8" t="s">
        <v>364</v>
      </c>
    </row>
    <row r="32674">
      <c r="H32674" s="8" t="s">
        <v>364</v>
      </c>
    </row>
    <row r="32675">
      <c r="H32675" s="8" t="s">
        <v>364</v>
      </c>
    </row>
    <row r="32676">
      <c r="H32676" s="8" t="s">
        <v>364</v>
      </c>
    </row>
    <row r="32677">
      <c r="H32677" s="8" t="s">
        <v>364</v>
      </c>
    </row>
    <row r="32678">
      <c r="H32678" s="8" t="s">
        <v>364</v>
      </c>
    </row>
    <row r="32679">
      <c r="H32679" s="8" t="s">
        <v>364</v>
      </c>
    </row>
    <row r="32680">
      <c r="H32680" s="8" t="s">
        <v>364</v>
      </c>
    </row>
    <row r="32681">
      <c r="H32681" s="8" t="s">
        <v>364</v>
      </c>
    </row>
    <row r="32682">
      <c r="H32682" s="8" t="s">
        <v>364</v>
      </c>
    </row>
    <row r="32683">
      <c r="H32683" s="8" t="s">
        <v>364</v>
      </c>
    </row>
    <row r="32684">
      <c r="H32684" s="8" t="s">
        <v>364</v>
      </c>
    </row>
    <row r="32685">
      <c r="H32685" s="8" t="s">
        <v>364</v>
      </c>
    </row>
    <row r="32686">
      <c r="H32686" s="8" t="s">
        <v>364</v>
      </c>
    </row>
    <row r="32687">
      <c r="H32687" s="8" t="s">
        <v>364</v>
      </c>
    </row>
    <row r="32688">
      <c r="H32688" s="8" t="s">
        <v>364</v>
      </c>
    </row>
    <row r="32689">
      <c r="H32689" s="8" t="s">
        <v>364</v>
      </c>
    </row>
    <row r="32690">
      <c r="H32690" s="8" t="s">
        <v>364</v>
      </c>
    </row>
    <row r="32691">
      <c r="H32691" s="8" t="s">
        <v>364</v>
      </c>
    </row>
    <row r="32692">
      <c r="H32692" s="8" t="s">
        <v>364</v>
      </c>
    </row>
    <row r="32693">
      <c r="H32693" s="8" t="s">
        <v>364</v>
      </c>
    </row>
    <row r="32694">
      <c r="H32694" s="8" t="s">
        <v>364</v>
      </c>
    </row>
    <row r="32695">
      <c r="H32695" s="8" t="s">
        <v>364</v>
      </c>
    </row>
    <row r="32696">
      <c r="H32696" s="8" t="s">
        <v>364</v>
      </c>
    </row>
    <row r="32697">
      <c r="H32697" s="8" t="s">
        <v>364</v>
      </c>
    </row>
    <row r="32698">
      <c r="H32698" s="8" t="s">
        <v>364</v>
      </c>
    </row>
    <row r="32699">
      <c r="H32699" s="8" t="s">
        <v>364</v>
      </c>
    </row>
    <row r="32700">
      <c r="H32700" s="8" t="s">
        <v>364</v>
      </c>
    </row>
    <row r="32701">
      <c r="H32701" s="8" t="s">
        <v>364</v>
      </c>
    </row>
    <row r="32702">
      <c r="H32702" s="8" t="s">
        <v>364</v>
      </c>
    </row>
    <row r="32703">
      <c r="H32703" s="8" t="s">
        <v>364</v>
      </c>
    </row>
    <row r="32704">
      <c r="H32704" s="8" t="s">
        <v>364</v>
      </c>
    </row>
    <row r="32705">
      <c r="H32705" s="8" t="s">
        <v>364</v>
      </c>
    </row>
    <row r="32706">
      <c r="H32706" s="8" t="s">
        <v>364</v>
      </c>
    </row>
    <row r="32707">
      <c r="H32707" s="8" t="s">
        <v>364</v>
      </c>
    </row>
    <row r="32708">
      <c r="H32708" s="8" t="s">
        <v>364</v>
      </c>
    </row>
    <row r="32709">
      <c r="H32709" s="8" t="s">
        <v>364</v>
      </c>
    </row>
    <row r="32710">
      <c r="H32710" s="8" t="s">
        <v>364</v>
      </c>
    </row>
    <row r="32711">
      <c r="H32711" s="8" t="s">
        <v>364</v>
      </c>
    </row>
    <row r="32712">
      <c r="H32712" s="8" t="s">
        <v>364</v>
      </c>
    </row>
    <row r="32713">
      <c r="H32713" s="8" t="s">
        <v>364</v>
      </c>
    </row>
    <row r="32714">
      <c r="H32714" s="8" t="s">
        <v>364</v>
      </c>
    </row>
    <row r="32715">
      <c r="H32715" s="8" t="s">
        <v>364</v>
      </c>
    </row>
    <row r="32716">
      <c r="H32716" s="8" t="s">
        <v>364</v>
      </c>
    </row>
    <row r="32717">
      <c r="H32717" s="8" t="s">
        <v>364</v>
      </c>
    </row>
    <row r="32718">
      <c r="H32718" s="8" t="s">
        <v>364</v>
      </c>
    </row>
    <row r="32719">
      <c r="H32719" s="8" t="s">
        <v>364</v>
      </c>
    </row>
    <row r="32720">
      <c r="H32720" s="8" t="s">
        <v>364</v>
      </c>
    </row>
    <row r="32721">
      <c r="H32721" s="8" t="s">
        <v>364</v>
      </c>
    </row>
    <row r="32722">
      <c r="H32722" s="8" t="s">
        <v>364</v>
      </c>
    </row>
    <row r="32723">
      <c r="H32723" s="8" t="s">
        <v>364</v>
      </c>
    </row>
    <row r="32724">
      <c r="H32724" s="8" t="s">
        <v>364</v>
      </c>
    </row>
    <row r="32725">
      <c r="H32725" s="8" t="s">
        <v>364</v>
      </c>
    </row>
    <row r="32726">
      <c r="H32726" s="8" t="s">
        <v>364</v>
      </c>
    </row>
    <row r="32727">
      <c r="H32727" s="8" t="s">
        <v>364</v>
      </c>
    </row>
    <row r="32728">
      <c r="H32728" s="8" t="s">
        <v>364</v>
      </c>
    </row>
    <row r="32729">
      <c r="H32729" s="8" t="s">
        <v>364</v>
      </c>
    </row>
    <row r="32730">
      <c r="H32730" s="8" t="s">
        <v>364</v>
      </c>
    </row>
    <row r="32731">
      <c r="H32731" s="8" t="s">
        <v>364</v>
      </c>
    </row>
    <row r="32732">
      <c r="H32732" s="8" t="s">
        <v>364</v>
      </c>
    </row>
    <row r="32733">
      <c r="H32733" s="8" t="s">
        <v>364</v>
      </c>
    </row>
    <row r="32734">
      <c r="H32734" s="8" t="s">
        <v>364</v>
      </c>
    </row>
    <row r="32735">
      <c r="H32735" s="8" t="s">
        <v>364</v>
      </c>
    </row>
    <row r="32736">
      <c r="H32736" s="8" t="s">
        <v>364</v>
      </c>
    </row>
    <row r="32737">
      <c r="H32737" s="8" t="s">
        <v>364</v>
      </c>
    </row>
    <row r="32738">
      <c r="H32738" s="8" t="s">
        <v>364</v>
      </c>
    </row>
    <row r="32739">
      <c r="H32739" s="8" t="s">
        <v>364</v>
      </c>
    </row>
    <row r="32740">
      <c r="H32740" s="8" t="s">
        <v>364</v>
      </c>
    </row>
    <row r="32741">
      <c r="H32741" s="8" t="s">
        <v>364</v>
      </c>
    </row>
    <row r="32742">
      <c r="H32742" s="8" t="s">
        <v>364</v>
      </c>
    </row>
    <row r="32743">
      <c r="H32743" s="8" t="s">
        <v>364</v>
      </c>
    </row>
    <row r="32744">
      <c r="H32744" s="8" t="s">
        <v>364</v>
      </c>
    </row>
    <row r="32745">
      <c r="H32745" s="8" t="s">
        <v>364</v>
      </c>
    </row>
    <row r="32746">
      <c r="H32746" s="8" t="s">
        <v>364</v>
      </c>
    </row>
    <row r="32747">
      <c r="H32747" s="8" t="s">
        <v>364</v>
      </c>
    </row>
    <row r="32748">
      <c r="H32748" s="8" t="s">
        <v>364</v>
      </c>
    </row>
    <row r="32749">
      <c r="H32749" s="8" t="s">
        <v>364</v>
      </c>
    </row>
    <row r="32750">
      <c r="H32750" s="8" t="s">
        <v>364</v>
      </c>
    </row>
    <row r="32751">
      <c r="H32751" s="8" t="s">
        <v>364</v>
      </c>
    </row>
    <row r="32752">
      <c r="H32752" s="8" t="s">
        <v>364</v>
      </c>
    </row>
    <row r="32753">
      <c r="H32753" s="8" t="s">
        <v>364</v>
      </c>
    </row>
    <row r="32754">
      <c r="H32754" s="8" t="s">
        <v>364</v>
      </c>
    </row>
    <row r="32755">
      <c r="H32755" s="8" t="s">
        <v>364</v>
      </c>
    </row>
    <row r="32756">
      <c r="H32756" s="8" t="s">
        <v>364</v>
      </c>
    </row>
    <row r="32757">
      <c r="H32757" s="8" t="s">
        <v>364</v>
      </c>
    </row>
    <row r="32758">
      <c r="H32758" s="8" t="s">
        <v>364</v>
      </c>
    </row>
    <row r="32759">
      <c r="H32759" s="8" t="s">
        <v>364</v>
      </c>
    </row>
    <row r="32760">
      <c r="H32760" s="8" t="s">
        <v>364</v>
      </c>
    </row>
    <row r="32761">
      <c r="H32761" s="8" t="s">
        <v>364</v>
      </c>
    </row>
    <row r="32762">
      <c r="H32762" s="8" t="s">
        <v>364</v>
      </c>
    </row>
    <row r="32763">
      <c r="H32763" s="8" t="s">
        <v>364</v>
      </c>
    </row>
    <row r="32764">
      <c r="H32764" s="8" t="s">
        <v>364</v>
      </c>
    </row>
    <row r="32765">
      <c r="H32765" s="8" t="s">
        <v>364</v>
      </c>
    </row>
    <row r="32766">
      <c r="H32766" s="8" t="s">
        <v>364</v>
      </c>
    </row>
    <row r="32767">
      <c r="H32767" s="8" t="s">
        <v>364</v>
      </c>
    </row>
    <row r="32768">
      <c r="H32768" s="8" t="s">
        <v>364</v>
      </c>
    </row>
    <row r="32769">
      <c r="H32769" s="8" t="s">
        <v>364</v>
      </c>
    </row>
    <row r="32770">
      <c r="H32770" s="8" t="s">
        <v>364</v>
      </c>
    </row>
    <row r="32771">
      <c r="H32771" s="8" t="s">
        <v>364</v>
      </c>
    </row>
    <row r="32772">
      <c r="H32772" s="8" t="s">
        <v>364</v>
      </c>
    </row>
    <row r="32773">
      <c r="H32773" s="8" t="s">
        <v>364</v>
      </c>
    </row>
    <row r="32774">
      <c r="H32774" s="8" t="s">
        <v>364</v>
      </c>
    </row>
    <row r="32775">
      <c r="H32775" s="8" t="s">
        <v>364</v>
      </c>
    </row>
    <row r="32776">
      <c r="H32776" s="8" t="s">
        <v>364</v>
      </c>
    </row>
    <row r="32777">
      <c r="H32777" s="8" t="s">
        <v>364</v>
      </c>
    </row>
    <row r="32778">
      <c r="H32778" s="8" t="s">
        <v>364</v>
      </c>
    </row>
    <row r="32779">
      <c r="H32779" s="8" t="s">
        <v>364</v>
      </c>
    </row>
    <row r="32780">
      <c r="H32780" s="8" t="s">
        <v>364</v>
      </c>
    </row>
    <row r="32781">
      <c r="H32781" s="8" t="s">
        <v>364</v>
      </c>
    </row>
    <row r="32782">
      <c r="H32782" s="8" t="s">
        <v>364</v>
      </c>
    </row>
    <row r="32783">
      <c r="H32783" s="8" t="s">
        <v>364</v>
      </c>
    </row>
    <row r="32784">
      <c r="H32784" s="8" t="s">
        <v>364</v>
      </c>
    </row>
    <row r="32785">
      <c r="H32785" s="8" t="s">
        <v>364</v>
      </c>
    </row>
    <row r="32786">
      <c r="H32786" s="8" t="s">
        <v>364</v>
      </c>
    </row>
    <row r="32787">
      <c r="H32787" s="8" t="s">
        <v>364</v>
      </c>
    </row>
    <row r="32788">
      <c r="H32788" s="8" t="s">
        <v>364</v>
      </c>
    </row>
    <row r="32789">
      <c r="H32789" s="8" t="s">
        <v>364</v>
      </c>
    </row>
    <row r="32790">
      <c r="H32790" s="8" t="s">
        <v>364</v>
      </c>
    </row>
    <row r="32791">
      <c r="H32791" s="8" t="s">
        <v>364</v>
      </c>
    </row>
    <row r="32792">
      <c r="H32792" s="8" t="s">
        <v>364</v>
      </c>
    </row>
    <row r="32793">
      <c r="H32793" s="8" t="s">
        <v>364</v>
      </c>
    </row>
    <row r="32794">
      <c r="H32794" s="8" t="s">
        <v>364</v>
      </c>
    </row>
    <row r="32795">
      <c r="H32795" s="8" t="s">
        <v>364</v>
      </c>
    </row>
    <row r="32796">
      <c r="H32796" s="8" t="s">
        <v>364</v>
      </c>
    </row>
    <row r="32797">
      <c r="H32797" s="8" t="s">
        <v>364</v>
      </c>
    </row>
    <row r="32798">
      <c r="H32798" s="8" t="s">
        <v>364</v>
      </c>
    </row>
    <row r="32799">
      <c r="H32799" s="8" t="s">
        <v>364</v>
      </c>
    </row>
    <row r="32800">
      <c r="H32800" s="8" t="s">
        <v>364</v>
      </c>
    </row>
    <row r="32801">
      <c r="H32801" s="8" t="s">
        <v>364</v>
      </c>
    </row>
    <row r="32802">
      <c r="H32802" s="8" t="s">
        <v>364</v>
      </c>
    </row>
    <row r="32803">
      <c r="H32803" s="8" t="s">
        <v>364</v>
      </c>
    </row>
    <row r="32804">
      <c r="H32804" s="8" t="s">
        <v>364</v>
      </c>
    </row>
    <row r="32805">
      <c r="H32805" s="8" t="s">
        <v>364</v>
      </c>
    </row>
    <row r="32806">
      <c r="H32806" s="8" t="s">
        <v>364</v>
      </c>
    </row>
    <row r="32807">
      <c r="H32807" s="8" t="s">
        <v>364</v>
      </c>
    </row>
    <row r="32808">
      <c r="H32808" s="8" t="s">
        <v>364</v>
      </c>
    </row>
    <row r="32809">
      <c r="H32809" s="8" t="s">
        <v>364</v>
      </c>
    </row>
    <row r="32810">
      <c r="H32810" s="8" t="s">
        <v>364</v>
      </c>
    </row>
    <row r="32811">
      <c r="H32811" s="8" t="s">
        <v>364</v>
      </c>
    </row>
    <row r="32812">
      <c r="H32812" s="8" t="s">
        <v>364</v>
      </c>
    </row>
    <row r="32813">
      <c r="H32813" s="8" t="s">
        <v>364</v>
      </c>
    </row>
    <row r="32814">
      <c r="H32814" s="8" t="s">
        <v>364</v>
      </c>
    </row>
    <row r="32815">
      <c r="H32815" s="8" t="s">
        <v>364</v>
      </c>
    </row>
    <row r="32816">
      <c r="H32816" s="8" t="s">
        <v>364</v>
      </c>
    </row>
    <row r="32817">
      <c r="H32817" s="8" t="s">
        <v>364</v>
      </c>
    </row>
    <row r="32818">
      <c r="H32818" s="8" t="s">
        <v>364</v>
      </c>
    </row>
    <row r="32819">
      <c r="H32819" s="8" t="s">
        <v>364</v>
      </c>
    </row>
    <row r="32820">
      <c r="H32820" s="8" t="s">
        <v>364</v>
      </c>
    </row>
    <row r="32821">
      <c r="H32821" s="8" t="s">
        <v>364</v>
      </c>
    </row>
    <row r="32822">
      <c r="H32822" s="8" t="s">
        <v>364</v>
      </c>
    </row>
    <row r="32823">
      <c r="H32823" s="8" t="s">
        <v>364</v>
      </c>
    </row>
    <row r="32824">
      <c r="H32824" s="8" t="s">
        <v>364</v>
      </c>
    </row>
    <row r="32825">
      <c r="H32825" s="8" t="s">
        <v>364</v>
      </c>
    </row>
    <row r="32826">
      <c r="H32826" s="8" t="s">
        <v>364</v>
      </c>
    </row>
    <row r="32827">
      <c r="H32827" s="8" t="s">
        <v>364</v>
      </c>
    </row>
    <row r="32828">
      <c r="H32828" s="8" t="s">
        <v>364</v>
      </c>
    </row>
    <row r="32829">
      <c r="H32829" s="8" t="s">
        <v>364</v>
      </c>
    </row>
    <row r="32830">
      <c r="H32830" s="8" t="s">
        <v>364</v>
      </c>
    </row>
    <row r="32831">
      <c r="H32831" s="8" t="s">
        <v>364</v>
      </c>
    </row>
    <row r="32832">
      <c r="H32832" s="8" t="s">
        <v>364</v>
      </c>
    </row>
    <row r="32833">
      <c r="H32833" s="8" t="s">
        <v>364</v>
      </c>
    </row>
    <row r="32834">
      <c r="H32834" s="8" t="s">
        <v>364</v>
      </c>
    </row>
    <row r="32835">
      <c r="H32835" s="8" t="s">
        <v>364</v>
      </c>
    </row>
    <row r="32836">
      <c r="H32836" s="8" t="s">
        <v>364</v>
      </c>
    </row>
    <row r="32837">
      <c r="H32837" s="8" t="s">
        <v>364</v>
      </c>
    </row>
    <row r="32838">
      <c r="H32838" s="8" t="s">
        <v>364</v>
      </c>
    </row>
    <row r="32839">
      <c r="H32839" s="8" t="s">
        <v>364</v>
      </c>
    </row>
    <row r="32840">
      <c r="H32840" s="8" t="s">
        <v>364</v>
      </c>
    </row>
    <row r="32841">
      <c r="H32841" s="8" t="s">
        <v>364</v>
      </c>
    </row>
    <row r="32842">
      <c r="H32842" s="8" t="s">
        <v>364</v>
      </c>
    </row>
    <row r="32843">
      <c r="H32843" s="8" t="s">
        <v>364</v>
      </c>
    </row>
    <row r="32844">
      <c r="H32844" s="8" t="s">
        <v>364</v>
      </c>
    </row>
    <row r="32845">
      <c r="H32845" s="8" t="s">
        <v>364</v>
      </c>
    </row>
    <row r="32846">
      <c r="H32846" s="8" t="s">
        <v>364</v>
      </c>
    </row>
    <row r="32847">
      <c r="H32847" s="8" t="s">
        <v>364</v>
      </c>
    </row>
    <row r="32848">
      <c r="H32848" s="8" t="s">
        <v>364</v>
      </c>
    </row>
    <row r="32849">
      <c r="H32849" s="8" t="s">
        <v>364</v>
      </c>
    </row>
    <row r="32850">
      <c r="H32850" s="8" t="s">
        <v>364</v>
      </c>
    </row>
    <row r="32851">
      <c r="H32851" s="8" t="s">
        <v>364</v>
      </c>
    </row>
    <row r="32852">
      <c r="H32852" s="8" t="s">
        <v>364</v>
      </c>
    </row>
    <row r="32853">
      <c r="H32853" s="8" t="s">
        <v>364</v>
      </c>
    </row>
    <row r="32854">
      <c r="H32854" s="8" t="s">
        <v>364</v>
      </c>
    </row>
    <row r="32855">
      <c r="H32855" s="8" t="s">
        <v>364</v>
      </c>
    </row>
    <row r="32856">
      <c r="H32856" s="8" t="s">
        <v>364</v>
      </c>
    </row>
    <row r="32857">
      <c r="H32857" s="8" t="s">
        <v>364</v>
      </c>
    </row>
    <row r="32858">
      <c r="H32858" s="8" t="s">
        <v>364</v>
      </c>
    </row>
    <row r="32859">
      <c r="H32859" s="8" t="s">
        <v>364</v>
      </c>
    </row>
    <row r="32860">
      <c r="H32860" s="8" t="s">
        <v>364</v>
      </c>
    </row>
    <row r="32861">
      <c r="H32861" s="8" t="s">
        <v>364</v>
      </c>
    </row>
    <row r="32862">
      <c r="H32862" s="8" t="s">
        <v>364</v>
      </c>
    </row>
    <row r="32863">
      <c r="H32863" s="8" t="s">
        <v>364</v>
      </c>
    </row>
    <row r="32864">
      <c r="H32864" s="8" t="s">
        <v>364</v>
      </c>
    </row>
    <row r="32865">
      <c r="H32865" s="8" t="s">
        <v>364</v>
      </c>
    </row>
    <row r="32866">
      <c r="H32866" s="8" t="s">
        <v>364</v>
      </c>
    </row>
    <row r="32867">
      <c r="H32867" s="8" t="s">
        <v>364</v>
      </c>
    </row>
    <row r="32868">
      <c r="H32868" s="8" t="s">
        <v>364</v>
      </c>
    </row>
    <row r="32869">
      <c r="H32869" s="8" t="s">
        <v>364</v>
      </c>
    </row>
    <row r="32870">
      <c r="H32870" s="8" t="s">
        <v>364</v>
      </c>
    </row>
    <row r="32871">
      <c r="H32871" s="8" t="s">
        <v>364</v>
      </c>
    </row>
    <row r="32872">
      <c r="H32872" s="8" t="s">
        <v>364</v>
      </c>
    </row>
    <row r="32873">
      <c r="H32873" s="8" t="s">
        <v>364</v>
      </c>
    </row>
    <row r="32874">
      <c r="H32874" s="8" t="s">
        <v>364</v>
      </c>
    </row>
    <row r="32875">
      <c r="H32875" s="8" t="s">
        <v>364</v>
      </c>
    </row>
    <row r="32876">
      <c r="H32876" s="8" t="s">
        <v>364</v>
      </c>
    </row>
    <row r="32877">
      <c r="H32877" s="8" t="s">
        <v>364</v>
      </c>
    </row>
    <row r="32878">
      <c r="H32878" s="8" t="s">
        <v>364</v>
      </c>
    </row>
    <row r="32879">
      <c r="H32879" s="8" t="s">
        <v>364</v>
      </c>
    </row>
    <row r="32880">
      <c r="H32880" s="8" t="s">
        <v>364</v>
      </c>
    </row>
    <row r="32881">
      <c r="H32881" s="8" t="s">
        <v>364</v>
      </c>
    </row>
    <row r="32882">
      <c r="H32882" s="8" t="s">
        <v>364</v>
      </c>
    </row>
    <row r="32883">
      <c r="H32883" s="8" t="s">
        <v>364</v>
      </c>
    </row>
    <row r="32884">
      <c r="H32884" s="8" t="s">
        <v>364</v>
      </c>
    </row>
    <row r="32885">
      <c r="H32885" s="8" t="s">
        <v>364</v>
      </c>
    </row>
    <row r="32886">
      <c r="H32886" s="8" t="s">
        <v>364</v>
      </c>
    </row>
    <row r="32887">
      <c r="H32887" s="8" t="s">
        <v>364</v>
      </c>
    </row>
    <row r="32888">
      <c r="H32888" s="8" t="s">
        <v>364</v>
      </c>
    </row>
    <row r="32889">
      <c r="H32889" s="8" t="s">
        <v>364</v>
      </c>
    </row>
    <row r="32890">
      <c r="H32890" s="8" t="s">
        <v>364</v>
      </c>
    </row>
    <row r="32891">
      <c r="H32891" s="8" t="s">
        <v>364</v>
      </c>
    </row>
    <row r="32892">
      <c r="H32892" s="8" t="s">
        <v>364</v>
      </c>
    </row>
    <row r="32893">
      <c r="H32893" s="8" t="s">
        <v>364</v>
      </c>
    </row>
    <row r="32894">
      <c r="H32894" s="8" t="s">
        <v>364</v>
      </c>
    </row>
    <row r="32895">
      <c r="H32895" s="8" t="s">
        <v>364</v>
      </c>
    </row>
    <row r="32896">
      <c r="H32896" s="8" t="s">
        <v>364</v>
      </c>
    </row>
    <row r="32897">
      <c r="H32897" s="8" t="s">
        <v>364</v>
      </c>
    </row>
    <row r="32898">
      <c r="H32898" s="8" t="s">
        <v>364</v>
      </c>
    </row>
    <row r="32899">
      <c r="H32899" s="8" t="s">
        <v>364</v>
      </c>
    </row>
    <row r="32900">
      <c r="H32900" s="8" t="s">
        <v>364</v>
      </c>
    </row>
    <row r="32901">
      <c r="H32901" s="8" t="s">
        <v>364</v>
      </c>
    </row>
    <row r="32902">
      <c r="H32902" s="8" t="s">
        <v>364</v>
      </c>
    </row>
    <row r="32903">
      <c r="H32903" s="8" t="s">
        <v>364</v>
      </c>
    </row>
    <row r="32904">
      <c r="H32904" s="8" t="s">
        <v>364</v>
      </c>
    </row>
    <row r="32905">
      <c r="H32905" s="8" t="s">
        <v>364</v>
      </c>
    </row>
    <row r="32906">
      <c r="H32906" s="8" t="s">
        <v>364</v>
      </c>
    </row>
    <row r="32907">
      <c r="H32907" s="8" t="s">
        <v>364</v>
      </c>
    </row>
    <row r="32908">
      <c r="H32908" s="8" t="s">
        <v>364</v>
      </c>
    </row>
    <row r="32909">
      <c r="H32909" s="8" t="s">
        <v>364</v>
      </c>
    </row>
    <row r="32910">
      <c r="H32910" s="8" t="s">
        <v>364</v>
      </c>
    </row>
    <row r="32911">
      <c r="H32911" s="8" t="s">
        <v>364</v>
      </c>
    </row>
    <row r="32912">
      <c r="H32912" s="8" t="s">
        <v>364</v>
      </c>
    </row>
    <row r="32913">
      <c r="H32913" s="8" t="s">
        <v>364</v>
      </c>
    </row>
    <row r="32914">
      <c r="H32914" s="8" t="s">
        <v>364</v>
      </c>
    </row>
    <row r="32915">
      <c r="H32915" s="8" t="s">
        <v>364</v>
      </c>
    </row>
    <row r="32916">
      <c r="H32916" s="8" t="s">
        <v>364</v>
      </c>
    </row>
    <row r="32917">
      <c r="H32917" s="8" t="s">
        <v>364</v>
      </c>
    </row>
    <row r="32918">
      <c r="H32918" s="8" t="s">
        <v>364</v>
      </c>
    </row>
    <row r="32919">
      <c r="H32919" s="8" t="s">
        <v>364</v>
      </c>
    </row>
    <row r="32920">
      <c r="H32920" s="8" t="s">
        <v>364</v>
      </c>
    </row>
    <row r="32921">
      <c r="H32921" s="8" t="s">
        <v>364</v>
      </c>
    </row>
    <row r="32922">
      <c r="H32922" s="8" t="s">
        <v>364</v>
      </c>
    </row>
    <row r="32923">
      <c r="H32923" s="8" t="s">
        <v>364</v>
      </c>
    </row>
    <row r="32924">
      <c r="H32924" s="8" t="s">
        <v>364</v>
      </c>
    </row>
    <row r="32925">
      <c r="H32925" s="8" t="s">
        <v>364</v>
      </c>
    </row>
    <row r="32926">
      <c r="H32926" s="8" t="s">
        <v>364</v>
      </c>
    </row>
    <row r="32927">
      <c r="H32927" s="8" t="s">
        <v>364</v>
      </c>
    </row>
    <row r="32928">
      <c r="H32928" s="8" t="s">
        <v>364</v>
      </c>
    </row>
    <row r="32929">
      <c r="H32929" s="8" t="s">
        <v>364</v>
      </c>
    </row>
    <row r="32930">
      <c r="H32930" s="8" t="s">
        <v>364</v>
      </c>
    </row>
    <row r="32931">
      <c r="H32931" s="8" t="s">
        <v>364</v>
      </c>
    </row>
    <row r="32932">
      <c r="H32932" s="8" t="s">
        <v>364</v>
      </c>
    </row>
    <row r="32933">
      <c r="H32933" s="8" t="s">
        <v>364</v>
      </c>
    </row>
    <row r="32934">
      <c r="H32934" s="8" t="s">
        <v>364</v>
      </c>
    </row>
    <row r="32935">
      <c r="H32935" s="8" t="s">
        <v>364</v>
      </c>
    </row>
    <row r="32936">
      <c r="H32936" s="8" t="s">
        <v>364</v>
      </c>
    </row>
    <row r="32937">
      <c r="H32937" s="8" t="s">
        <v>364</v>
      </c>
    </row>
    <row r="32938">
      <c r="H32938" s="8" t="s">
        <v>364</v>
      </c>
    </row>
    <row r="32939">
      <c r="H32939" s="8" t="s">
        <v>364</v>
      </c>
    </row>
    <row r="32940">
      <c r="H32940" s="8" t="s">
        <v>364</v>
      </c>
    </row>
    <row r="32941">
      <c r="H32941" s="8" t="s">
        <v>364</v>
      </c>
    </row>
    <row r="32942">
      <c r="H32942" s="8" t="s">
        <v>364</v>
      </c>
    </row>
    <row r="32943">
      <c r="H32943" s="8" t="s">
        <v>364</v>
      </c>
    </row>
    <row r="32944">
      <c r="H32944" s="8" t="s">
        <v>364</v>
      </c>
    </row>
    <row r="32945">
      <c r="H32945" s="8" t="s">
        <v>364</v>
      </c>
    </row>
    <row r="32946">
      <c r="H32946" s="8" t="s">
        <v>364</v>
      </c>
    </row>
    <row r="32947">
      <c r="H32947" s="8" t="s">
        <v>364</v>
      </c>
    </row>
    <row r="32948">
      <c r="H32948" s="8" t="s">
        <v>364</v>
      </c>
    </row>
    <row r="32949">
      <c r="H32949" s="8" t="s">
        <v>364</v>
      </c>
    </row>
    <row r="32950">
      <c r="H32950" s="8" t="s">
        <v>364</v>
      </c>
    </row>
    <row r="32951">
      <c r="H32951" s="8" t="s">
        <v>364</v>
      </c>
    </row>
    <row r="32952">
      <c r="H32952" s="8" t="s">
        <v>364</v>
      </c>
    </row>
    <row r="32953">
      <c r="H32953" s="8" t="s">
        <v>364</v>
      </c>
    </row>
    <row r="32954">
      <c r="H32954" s="8" t="s">
        <v>364</v>
      </c>
    </row>
    <row r="32955">
      <c r="H32955" s="8" t="s">
        <v>364</v>
      </c>
    </row>
    <row r="32956">
      <c r="H32956" s="8" t="s">
        <v>364</v>
      </c>
    </row>
    <row r="32957">
      <c r="H32957" s="8" t="s">
        <v>364</v>
      </c>
    </row>
    <row r="32958">
      <c r="H32958" s="8" t="s">
        <v>364</v>
      </c>
    </row>
    <row r="32959">
      <c r="H32959" s="8" t="s">
        <v>364</v>
      </c>
    </row>
    <row r="32960">
      <c r="H32960" s="8" t="s">
        <v>364</v>
      </c>
    </row>
    <row r="32961">
      <c r="H32961" s="8" t="s">
        <v>364</v>
      </c>
    </row>
    <row r="32962">
      <c r="H32962" s="8" t="s">
        <v>364</v>
      </c>
    </row>
    <row r="32963">
      <c r="H32963" s="8" t="s">
        <v>364</v>
      </c>
    </row>
    <row r="32964">
      <c r="H32964" s="8" t="s">
        <v>364</v>
      </c>
    </row>
    <row r="32965">
      <c r="H32965" s="8" t="s">
        <v>364</v>
      </c>
    </row>
    <row r="32966">
      <c r="H32966" s="8" t="s">
        <v>364</v>
      </c>
    </row>
    <row r="32967">
      <c r="H32967" s="8" t="s">
        <v>364</v>
      </c>
    </row>
    <row r="32968">
      <c r="H32968" s="8" t="s">
        <v>364</v>
      </c>
    </row>
    <row r="32969">
      <c r="H32969" s="8" t="s">
        <v>364</v>
      </c>
    </row>
    <row r="32970">
      <c r="H32970" s="8" t="s">
        <v>364</v>
      </c>
    </row>
    <row r="32971">
      <c r="H32971" s="8" t="s">
        <v>364</v>
      </c>
    </row>
    <row r="32972">
      <c r="H32972" s="8" t="s">
        <v>364</v>
      </c>
    </row>
    <row r="32973">
      <c r="H32973" s="8" t="s">
        <v>364</v>
      </c>
    </row>
    <row r="32974">
      <c r="H32974" s="8" t="s">
        <v>364</v>
      </c>
    </row>
    <row r="32975">
      <c r="H32975" s="8" t="s">
        <v>364</v>
      </c>
    </row>
    <row r="32976">
      <c r="H32976" s="8" t="s">
        <v>364</v>
      </c>
    </row>
    <row r="32977">
      <c r="H32977" s="8" t="s">
        <v>364</v>
      </c>
    </row>
    <row r="32978">
      <c r="H32978" s="8" t="s">
        <v>364</v>
      </c>
    </row>
    <row r="32979">
      <c r="H32979" s="8" t="s">
        <v>364</v>
      </c>
    </row>
    <row r="32980">
      <c r="H32980" s="8" t="s">
        <v>364</v>
      </c>
    </row>
    <row r="32981">
      <c r="H32981" s="8" t="s">
        <v>364</v>
      </c>
    </row>
    <row r="32982">
      <c r="H32982" s="8" t="s">
        <v>364</v>
      </c>
    </row>
    <row r="32983">
      <c r="H32983" s="8" t="s">
        <v>364</v>
      </c>
    </row>
    <row r="32984">
      <c r="H32984" s="8" t="s">
        <v>364</v>
      </c>
    </row>
    <row r="32985">
      <c r="H32985" s="8" t="s">
        <v>364</v>
      </c>
    </row>
    <row r="32986">
      <c r="H32986" s="8" t="s">
        <v>364</v>
      </c>
    </row>
    <row r="32987">
      <c r="H32987" s="8" t="s">
        <v>364</v>
      </c>
    </row>
    <row r="32988">
      <c r="H32988" s="8" t="s">
        <v>364</v>
      </c>
    </row>
    <row r="32989">
      <c r="H32989" s="8" t="s">
        <v>364</v>
      </c>
    </row>
    <row r="32990">
      <c r="H32990" s="8" t="s">
        <v>364</v>
      </c>
    </row>
    <row r="32991">
      <c r="H32991" s="8" t="s">
        <v>364</v>
      </c>
    </row>
    <row r="32992">
      <c r="H32992" s="8" t="s">
        <v>364</v>
      </c>
    </row>
    <row r="32993">
      <c r="H32993" s="8" t="s">
        <v>364</v>
      </c>
    </row>
    <row r="32994">
      <c r="H32994" s="8" t="s">
        <v>364</v>
      </c>
    </row>
    <row r="32995">
      <c r="H32995" s="8" t="s">
        <v>364</v>
      </c>
    </row>
    <row r="32996">
      <c r="H32996" s="8" t="s">
        <v>364</v>
      </c>
    </row>
    <row r="32997">
      <c r="H32997" s="8" t="s">
        <v>364</v>
      </c>
    </row>
    <row r="32998">
      <c r="H32998" s="8" t="s">
        <v>364</v>
      </c>
    </row>
    <row r="32999">
      <c r="H32999" s="8" t="s">
        <v>364</v>
      </c>
    </row>
    <row r="33000">
      <c r="H33000" s="8" t="s">
        <v>364</v>
      </c>
    </row>
    <row r="33001">
      <c r="H33001" s="8" t="s">
        <v>364</v>
      </c>
    </row>
    <row r="33002">
      <c r="H33002" s="8" t="s">
        <v>364</v>
      </c>
    </row>
    <row r="33003">
      <c r="H33003" s="8" t="s">
        <v>364</v>
      </c>
    </row>
    <row r="33004">
      <c r="H33004" s="8" t="s">
        <v>364</v>
      </c>
    </row>
    <row r="33005">
      <c r="H33005" s="8" t="s">
        <v>364</v>
      </c>
    </row>
    <row r="33006">
      <c r="H33006" s="8" t="s">
        <v>364</v>
      </c>
    </row>
    <row r="33007">
      <c r="H33007" s="8" t="s">
        <v>364</v>
      </c>
    </row>
    <row r="33008">
      <c r="H33008" s="8" t="s">
        <v>364</v>
      </c>
    </row>
    <row r="33009">
      <c r="H33009" s="8" t="s">
        <v>364</v>
      </c>
    </row>
    <row r="33010">
      <c r="H33010" s="8" t="s">
        <v>364</v>
      </c>
    </row>
    <row r="33011">
      <c r="H33011" s="8" t="s">
        <v>364</v>
      </c>
    </row>
    <row r="33012">
      <c r="H33012" s="8" t="s">
        <v>364</v>
      </c>
    </row>
    <row r="33013">
      <c r="H33013" s="8" t="s">
        <v>364</v>
      </c>
    </row>
    <row r="33014">
      <c r="H33014" s="8" t="s">
        <v>364</v>
      </c>
    </row>
    <row r="33015">
      <c r="H33015" s="8" t="s">
        <v>364</v>
      </c>
    </row>
    <row r="33016">
      <c r="H33016" s="8" t="s">
        <v>364</v>
      </c>
    </row>
    <row r="33017">
      <c r="H33017" s="8" t="s">
        <v>364</v>
      </c>
    </row>
    <row r="33018">
      <c r="H33018" s="8" t="s">
        <v>364</v>
      </c>
    </row>
    <row r="33019">
      <c r="H33019" s="8" t="s">
        <v>364</v>
      </c>
    </row>
    <row r="33020">
      <c r="H33020" s="8" t="s">
        <v>364</v>
      </c>
    </row>
    <row r="33021">
      <c r="H33021" s="8" t="s">
        <v>364</v>
      </c>
    </row>
    <row r="33022">
      <c r="H33022" s="8" t="s">
        <v>364</v>
      </c>
    </row>
    <row r="33023">
      <c r="H33023" s="8" t="s">
        <v>364</v>
      </c>
    </row>
    <row r="33024">
      <c r="H33024" s="8" t="s">
        <v>364</v>
      </c>
    </row>
    <row r="33025">
      <c r="H33025" s="8" t="s">
        <v>364</v>
      </c>
    </row>
    <row r="33026">
      <c r="H33026" s="8" t="s">
        <v>364</v>
      </c>
    </row>
    <row r="33027">
      <c r="H33027" s="8" t="s">
        <v>364</v>
      </c>
    </row>
    <row r="33028">
      <c r="H33028" s="8" t="s">
        <v>364</v>
      </c>
    </row>
    <row r="33029">
      <c r="H33029" s="8" t="s">
        <v>364</v>
      </c>
    </row>
    <row r="33030">
      <c r="H33030" s="8" t="s">
        <v>364</v>
      </c>
    </row>
    <row r="33031">
      <c r="H33031" s="8" t="s">
        <v>364</v>
      </c>
    </row>
    <row r="33032">
      <c r="H33032" s="8" t="s">
        <v>364</v>
      </c>
    </row>
    <row r="33033">
      <c r="H33033" s="8" t="s">
        <v>364</v>
      </c>
    </row>
    <row r="33034">
      <c r="H33034" s="8" t="s">
        <v>364</v>
      </c>
    </row>
    <row r="33035">
      <c r="H33035" s="8" t="s">
        <v>364</v>
      </c>
    </row>
    <row r="33036">
      <c r="H33036" s="8" t="s">
        <v>364</v>
      </c>
    </row>
    <row r="33037">
      <c r="H33037" s="8" t="s">
        <v>364</v>
      </c>
    </row>
    <row r="33038">
      <c r="H33038" s="8" t="s">
        <v>364</v>
      </c>
    </row>
    <row r="33039">
      <c r="H33039" s="8" t="s">
        <v>364</v>
      </c>
    </row>
    <row r="33040">
      <c r="H33040" s="8" t="s">
        <v>364</v>
      </c>
    </row>
    <row r="33041">
      <c r="H33041" s="8" t="s">
        <v>364</v>
      </c>
    </row>
    <row r="33042">
      <c r="H33042" s="8" t="s">
        <v>364</v>
      </c>
    </row>
    <row r="33043">
      <c r="H33043" s="8" t="s">
        <v>364</v>
      </c>
    </row>
    <row r="33044">
      <c r="H33044" s="8" t="s">
        <v>364</v>
      </c>
    </row>
    <row r="33045">
      <c r="H33045" s="8" t="s">
        <v>364</v>
      </c>
    </row>
    <row r="33046">
      <c r="H33046" s="8" t="s">
        <v>364</v>
      </c>
    </row>
    <row r="33047">
      <c r="H33047" s="8" t="s">
        <v>364</v>
      </c>
    </row>
    <row r="33048">
      <c r="H33048" s="8" t="s">
        <v>364</v>
      </c>
    </row>
    <row r="33049">
      <c r="H33049" s="8" t="s">
        <v>364</v>
      </c>
    </row>
    <row r="33050">
      <c r="H33050" s="8" t="s">
        <v>364</v>
      </c>
    </row>
    <row r="33051">
      <c r="H33051" s="8" t="s">
        <v>364</v>
      </c>
    </row>
    <row r="33052">
      <c r="H33052" s="8" t="s">
        <v>364</v>
      </c>
    </row>
    <row r="33053">
      <c r="H33053" s="8" t="s">
        <v>364</v>
      </c>
    </row>
    <row r="33054">
      <c r="H33054" s="8" t="s">
        <v>364</v>
      </c>
    </row>
    <row r="33055">
      <c r="H33055" s="8" t="s">
        <v>364</v>
      </c>
    </row>
    <row r="33056">
      <c r="H33056" s="8" t="s">
        <v>364</v>
      </c>
    </row>
    <row r="33057">
      <c r="H33057" s="8" t="s">
        <v>364</v>
      </c>
    </row>
    <row r="33058">
      <c r="H33058" s="8" t="s">
        <v>364</v>
      </c>
    </row>
    <row r="33059">
      <c r="H33059" s="8" t="s">
        <v>364</v>
      </c>
    </row>
    <row r="33060">
      <c r="H33060" s="8" t="s">
        <v>364</v>
      </c>
    </row>
    <row r="33061">
      <c r="H33061" s="8" t="s">
        <v>364</v>
      </c>
    </row>
    <row r="33062">
      <c r="H33062" s="8" t="s">
        <v>364</v>
      </c>
    </row>
    <row r="33063">
      <c r="H33063" s="8" t="s">
        <v>364</v>
      </c>
    </row>
    <row r="33064">
      <c r="H33064" s="8" t="s">
        <v>364</v>
      </c>
    </row>
    <row r="33065">
      <c r="H33065" s="8" t="s">
        <v>364</v>
      </c>
    </row>
    <row r="33066">
      <c r="H33066" s="8" t="s">
        <v>364</v>
      </c>
    </row>
    <row r="33067">
      <c r="H33067" s="8" t="s">
        <v>364</v>
      </c>
    </row>
    <row r="33068">
      <c r="H33068" s="8" t="s">
        <v>364</v>
      </c>
    </row>
    <row r="33069">
      <c r="H33069" s="8" t="s">
        <v>364</v>
      </c>
    </row>
    <row r="33070">
      <c r="H33070" s="8" t="s">
        <v>364</v>
      </c>
    </row>
    <row r="33071">
      <c r="H33071" s="8" t="s">
        <v>364</v>
      </c>
    </row>
    <row r="33072">
      <c r="H33072" s="8" t="s">
        <v>364</v>
      </c>
    </row>
    <row r="33073">
      <c r="H33073" s="8" t="s">
        <v>364</v>
      </c>
    </row>
    <row r="33074">
      <c r="H33074" s="8" t="s">
        <v>364</v>
      </c>
    </row>
    <row r="33075">
      <c r="H33075" s="8" t="s">
        <v>364</v>
      </c>
    </row>
    <row r="33076">
      <c r="H33076" s="8" t="s">
        <v>364</v>
      </c>
    </row>
    <row r="33077">
      <c r="H33077" s="8" t="s">
        <v>364</v>
      </c>
    </row>
    <row r="33078">
      <c r="H33078" s="8" t="s">
        <v>364</v>
      </c>
    </row>
    <row r="33079">
      <c r="H33079" s="8" t="s">
        <v>364</v>
      </c>
    </row>
    <row r="33080">
      <c r="H33080" s="8" t="s">
        <v>364</v>
      </c>
    </row>
    <row r="33081">
      <c r="H33081" s="8" t="s">
        <v>364</v>
      </c>
    </row>
    <row r="33082">
      <c r="H33082" s="8" t="s">
        <v>364</v>
      </c>
    </row>
    <row r="33083">
      <c r="H33083" s="8" t="s">
        <v>364</v>
      </c>
    </row>
    <row r="33084">
      <c r="H33084" s="8" t="s">
        <v>364</v>
      </c>
    </row>
    <row r="33085">
      <c r="H33085" s="8" t="s">
        <v>364</v>
      </c>
    </row>
    <row r="33086">
      <c r="H33086" s="8" t="s">
        <v>364</v>
      </c>
    </row>
    <row r="33087">
      <c r="H33087" s="8" t="s">
        <v>364</v>
      </c>
    </row>
    <row r="33088">
      <c r="H33088" s="8" t="s">
        <v>364</v>
      </c>
    </row>
    <row r="33089">
      <c r="H33089" s="8" t="s">
        <v>364</v>
      </c>
    </row>
    <row r="33090">
      <c r="H33090" s="8" t="s">
        <v>364</v>
      </c>
    </row>
    <row r="33091">
      <c r="H33091" s="8" t="s">
        <v>364</v>
      </c>
    </row>
    <row r="33092">
      <c r="H33092" s="8" t="s">
        <v>364</v>
      </c>
    </row>
    <row r="33093">
      <c r="H33093" s="8" t="s">
        <v>364</v>
      </c>
    </row>
    <row r="33094">
      <c r="H33094" s="8" t="s">
        <v>364</v>
      </c>
    </row>
    <row r="33095">
      <c r="H33095" s="8" t="s">
        <v>364</v>
      </c>
    </row>
    <row r="33096">
      <c r="H33096" s="8" t="s">
        <v>364</v>
      </c>
    </row>
    <row r="33097">
      <c r="H33097" s="8" t="s">
        <v>364</v>
      </c>
    </row>
    <row r="33098">
      <c r="H33098" s="8" t="s">
        <v>364</v>
      </c>
    </row>
    <row r="33099">
      <c r="H33099" s="8" t="s">
        <v>364</v>
      </c>
    </row>
    <row r="33100">
      <c r="H33100" s="8" t="s">
        <v>364</v>
      </c>
    </row>
    <row r="33101">
      <c r="H33101" s="8" t="s">
        <v>364</v>
      </c>
    </row>
    <row r="33102">
      <c r="H33102" s="8" t="s">
        <v>364</v>
      </c>
    </row>
    <row r="33103">
      <c r="H33103" s="8" t="s">
        <v>364</v>
      </c>
    </row>
    <row r="33104">
      <c r="H33104" s="8" t="s">
        <v>364</v>
      </c>
    </row>
    <row r="33105">
      <c r="H33105" s="8" t="s">
        <v>364</v>
      </c>
    </row>
    <row r="33106">
      <c r="H33106" s="8" t="s">
        <v>364</v>
      </c>
    </row>
    <row r="33107">
      <c r="H33107" s="8" t="s">
        <v>364</v>
      </c>
    </row>
    <row r="33108">
      <c r="H33108" s="8" t="s">
        <v>364</v>
      </c>
    </row>
    <row r="33109">
      <c r="H33109" s="8" t="s">
        <v>364</v>
      </c>
    </row>
    <row r="33110">
      <c r="H33110" s="8" t="s">
        <v>364</v>
      </c>
    </row>
    <row r="33111">
      <c r="H33111" s="8" t="s">
        <v>364</v>
      </c>
    </row>
    <row r="33112">
      <c r="H33112" s="8" t="s">
        <v>364</v>
      </c>
    </row>
    <row r="33113">
      <c r="H33113" s="8" t="s">
        <v>364</v>
      </c>
    </row>
    <row r="33114">
      <c r="H33114" s="8" t="s">
        <v>364</v>
      </c>
    </row>
    <row r="33115">
      <c r="H33115" s="8" t="s">
        <v>364</v>
      </c>
    </row>
    <row r="33116">
      <c r="H33116" s="8" t="s">
        <v>364</v>
      </c>
    </row>
    <row r="33117">
      <c r="H33117" s="8" t="s">
        <v>364</v>
      </c>
    </row>
    <row r="33118">
      <c r="H33118" s="8" t="s">
        <v>364</v>
      </c>
    </row>
    <row r="33119">
      <c r="H33119" s="8" t="s">
        <v>364</v>
      </c>
    </row>
    <row r="33120">
      <c r="H33120" s="8" t="s">
        <v>364</v>
      </c>
    </row>
    <row r="33121">
      <c r="H33121" s="8" t="s">
        <v>364</v>
      </c>
    </row>
    <row r="33122">
      <c r="H33122" s="8" t="s">
        <v>364</v>
      </c>
    </row>
    <row r="33123">
      <c r="H33123" s="8" t="s">
        <v>364</v>
      </c>
    </row>
    <row r="33124">
      <c r="H33124" s="8" t="s">
        <v>364</v>
      </c>
    </row>
    <row r="33125">
      <c r="H33125" s="8" t="s">
        <v>364</v>
      </c>
    </row>
    <row r="33126">
      <c r="H33126" s="8" t="s">
        <v>364</v>
      </c>
    </row>
    <row r="33127">
      <c r="H33127" s="8" t="s">
        <v>364</v>
      </c>
    </row>
    <row r="33128">
      <c r="H33128" s="8" t="s">
        <v>364</v>
      </c>
    </row>
    <row r="33129">
      <c r="H33129" s="8" t="s">
        <v>364</v>
      </c>
    </row>
    <row r="33130">
      <c r="H33130" s="8" t="s">
        <v>364</v>
      </c>
    </row>
    <row r="33131">
      <c r="H33131" s="8" t="s">
        <v>364</v>
      </c>
    </row>
    <row r="33132">
      <c r="H33132" s="8" t="s">
        <v>364</v>
      </c>
    </row>
    <row r="33133">
      <c r="H33133" s="8" t="s">
        <v>364</v>
      </c>
    </row>
    <row r="33134">
      <c r="H33134" s="8" t="s">
        <v>364</v>
      </c>
    </row>
    <row r="33135">
      <c r="H33135" s="8" t="s">
        <v>364</v>
      </c>
    </row>
    <row r="33136">
      <c r="H33136" s="8" t="s">
        <v>364</v>
      </c>
    </row>
    <row r="33137">
      <c r="H33137" s="8" t="s">
        <v>364</v>
      </c>
    </row>
    <row r="33138">
      <c r="H33138" s="8" t="s">
        <v>364</v>
      </c>
    </row>
    <row r="33139">
      <c r="H33139" s="8" t="s">
        <v>364</v>
      </c>
    </row>
    <row r="33140">
      <c r="H33140" s="8" t="s">
        <v>364</v>
      </c>
    </row>
    <row r="33141">
      <c r="H33141" s="8" t="s">
        <v>364</v>
      </c>
    </row>
    <row r="33142">
      <c r="H33142" s="8" t="s">
        <v>364</v>
      </c>
    </row>
    <row r="33143">
      <c r="H33143" s="8" t="s">
        <v>364</v>
      </c>
    </row>
    <row r="33144">
      <c r="H33144" s="8" t="s">
        <v>364</v>
      </c>
    </row>
    <row r="33145">
      <c r="H33145" s="8" t="s">
        <v>364</v>
      </c>
    </row>
    <row r="33146">
      <c r="H33146" s="8" t="s">
        <v>364</v>
      </c>
    </row>
    <row r="33147">
      <c r="H33147" s="8" t="s">
        <v>364</v>
      </c>
    </row>
    <row r="33148">
      <c r="H33148" s="8" t="s">
        <v>364</v>
      </c>
    </row>
    <row r="33149">
      <c r="H33149" s="8" t="s">
        <v>364</v>
      </c>
    </row>
    <row r="33150">
      <c r="H33150" s="8" t="s">
        <v>364</v>
      </c>
    </row>
    <row r="33151">
      <c r="H33151" s="8" t="s">
        <v>364</v>
      </c>
    </row>
    <row r="33152">
      <c r="H33152" s="8" t="s">
        <v>364</v>
      </c>
    </row>
    <row r="33153">
      <c r="H33153" s="8" t="s">
        <v>364</v>
      </c>
    </row>
    <row r="33154">
      <c r="H33154" s="8" t="s">
        <v>364</v>
      </c>
    </row>
    <row r="33155">
      <c r="H33155" s="8" t="s">
        <v>364</v>
      </c>
    </row>
    <row r="33156">
      <c r="H33156" s="8" t="s">
        <v>364</v>
      </c>
    </row>
    <row r="33157">
      <c r="H33157" s="8" t="s">
        <v>364</v>
      </c>
    </row>
    <row r="33158">
      <c r="H33158" s="8" t="s">
        <v>364</v>
      </c>
    </row>
    <row r="33159">
      <c r="H33159" s="8" t="s">
        <v>364</v>
      </c>
    </row>
    <row r="33160">
      <c r="H33160" s="8" t="s">
        <v>364</v>
      </c>
    </row>
    <row r="33161">
      <c r="H33161" s="8" t="s">
        <v>364</v>
      </c>
    </row>
    <row r="33162">
      <c r="H33162" s="8" t="s">
        <v>364</v>
      </c>
    </row>
    <row r="33163">
      <c r="H33163" s="8" t="s">
        <v>364</v>
      </c>
    </row>
    <row r="33164">
      <c r="H33164" s="8" t="s">
        <v>364</v>
      </c>
    </row>
    <row r="33165">
      <c r="H33165" s="8" t="s">
        <v>364</v>
      </c>
    </row>
    <row r="33166">
      <c r="H33166" s="8" t="s">
        <v>364</v>
      </c>
    </row>
    <row r="33167">
      <c r="H33167" s="8" t="s">
        <v>364</v>
      </c>
    </row>
    <row r="33168">
      <c r="H33168" s="8" t="s">
        <v>364</v>
      </c>
    </row>
    <row r="33169">
      <c r="H33169" s="8" t="s">
        <v>364</v>
      </c>
    </row>
    <row r="33170">
      <c r="H33170" s="8" t="s">
        <v>364</v>
      </c>
    </row>
    <row r="33171">
      <c r="H33171" s="8" t="s">
        <v>364</v>
      </c>
    </row>
    <row r="33172">
      <c r="H33172" s="8" t="s">
        <v>364</v>
      </c>
    </row>
    <row r="33173">
      <c r="H33173" s="8" t="s">
        <v>364</v>
      </c>
    </row>
    <row r="33174">
      <c r="H33174" s="8" t="s">
        <v>364</v>
      </c>
    </row>
    <row r="33175">
      <c r="H33175" s="8" t="s">
        <v>364</v>
      </c>
    </row>
    <row r="33176">
      <c r="H33176" s="8" t="s">
        <v>364</v>
      </c>
    </row>
    <row r="33177">
      <c r="H33177" s="8" t="s">
        <v>364</v>
      </c>
    </row>
    <row r="33178">
      <c r="H33178" s="8" t="s">
        <v>364</v>
      </c>
    </row>
    <row r="33179">
      <c r="H33179" s="8" t="s">
        <v>364</v>
      </c>
    </row>
    <row r="33180">
      <c r="H33180" s="8" t="s">
        <v>364</v>
      </c>
    </row>
    <row r="33181">
      <c r="H33181" s="8" t="s">
        <v>364</v>
      </c>
    </row>
    <row r="33182">
      <c r="H33182" s="8" t="s">
        <v>364</v>
      </c>
    </row>
    <row r="33183">
      <c r="H33183" s="8" t="s">
        <v>364</v>
      </c>
    </row>
    <row r="33184">
      <c r="H33184" s="8" t="s">
        <v>364</v>
      </c>
    </row>
    <row r="33185">
      <c r="H33185" s="8" t="s">
        <v>364</v>
      </c>
    </row>
    <row r="33186">
      <c r="H33186" s="8" t="s">
        <v>364</v>
      </c>
    </row>
    <row r="33187">
      <c r="H33187" s="8" t="s">
        <v>364</v>
      </c>
    </row>
    <row r="33188">
      <c r="H33188" s="8" t="s">
        <v>364</v>
      </c>
    </row>
    <row r="33189">
      <c r="H33189" s="8" t="s">
        <v>364</v>
      </c>
    </row>
    <row r="33190">
      <c r="H33190" s="8" t="s">
        <v>364</v>
      </c>
    </row>
    <row r="33191">
      <c r="H33191" s="8" t="s">
        <v>364</v>
      </c>
    </row>
    <row r="33192">
      <c r="H33192" s="8" t="s">
        <v>364</v>
      </c>
    </row>
    <row r="33193">
      <c r="H33193" s="8" t="s">
        <v>364</v>
      </c>
    </row>
    <row r="33194">
      <c r="H33194" s="8" t="s">
        <v>364</v>
      </c>
    </row>
    <row r="33195">
      <c r="H33195" s="8" t="s">
        <v>364</v>
      </c>
    </row>
    <row r="33196">
      <c r="H33196" s="8" t="s">
        <v>364</v>
      </c>
    </row>
    <row r="33197">
      <c r="H33197" s="8" t="s">
        <v>364</v>
      </c>
    </row>
    <row r="33198">
      <c r="H33198" s="8" t="s">
        <v>364</v>
      </c>
    </row>
    <row r="33199">
      <c r="H33199" s="8" t="s">
        <v>364</v>
      </c>
    </row>
    <row r="33200">
      <c r="H33200" s="8" t="s">
        <v>364</v>
      </c>
    </row>
    <row r="33201">
      <c r="H33201" s="8" t="s">
        <v>364</v>
      </c>
    </row>
    <row r="33202">
      <c r="H33202" s="8" t="s">
        <v>364</v>
      </c>
    </row>
    <row r="33203">
      <c r="H33203" s="8" t="s">
        <v>364</v>
      </c>
    </row>
    <row r="33204">
      <c r="H33204" s="8" t="s">
        <v>364</v>
      </c>
    </row>
    <row r="33205">
      <c r="H33205" s="8" t="s">
        <v>364</v>
      </c>
    </row>
    <row r="33206">
      <c r="H33206" s="8" t="s">
        <v>364</v>
      </c>
    </row>
    <row r="33207">
      <c r="H33207" s="8" t="s">
        <v>364</v>
      </c>
    </row>
    <row r="33208">
      <c r="H33208" s="8" t="s">
        <v>364</v>
      </c>
    </row>
    <row r="33209">
      <c r="H33209" s="8" t="s">
        <v>364</v>
      </c>
    </row>
    <row r="33210">
      <c r="H33210" s="8" t="s">
        <v>364</v>
      </c>
    </row>
    <row r="33211">
      <c r="H33211" s="8" t="s">
        <v>364</v>
      </c>
    </row>
    <row r="33212">
      <c r="H33212" s="8" t="s">
        <v>364</v>
      </c>
    </row>
    <row r="33213">
      <c r="H33213" s="8" t="s">
        <v>364</v>
      </c>
    </row>
    <row r="33214">
      <c r="H33214" s="8" t="s">
        <v>364</v>
      </c>
    </row>
    <row r="33215">
      <c r="H33215" s="8" t="s">
        <v>364</v>
      </c>
    </row>
    <row r="33216">
      <c r="H33216" s="8" t="s">
        <v>364</v>
      </c>
    </row>
    <row r="33217">
      <c r="H33217" s="8" t="s">
        <v>364</v>
      </c>
    </row>
    <row r="33218">
      <c r="H33218" s="8" t="s">
        <v>364</v>
      </c>
    </row>
    <row r="33219">
      <c r="H33219" s="8" t="s">
        <v>364</v>
      </c>
    </row>
    <row r="33220">
      <c r="H33220" s="8" t="s">
        <v>364</v>
      </c>
    </row>
    <row r="33221">
      <c r="H33221" s="8" t="s">
        <v>364</v>
      </c>
    </row>
    <row r="33222">
      <c r="H33222" s="8" t="s">
        <v>364</v>
      </c>
    </row>
    <row r="33223">
      <c r="H33223" s="8" t="s">
        <v>364</v>
      </c>
    </row>
    <row r="33224">
      <c r="H33224" s="8" t="s">
        <v>364</v>
      </c>
    </row>
    <row r="33225">
      <c r="H33225" s="8" t="s">
        <v>364</v>
      </c>
    </row>
    <row r="33226">
      <c r="H33226" s="8" t="s">
        <v>364</v>
      </c>
    </row>
    <row r="33227">
      <c r="H33227" s="8" t="s">
        <v>364</v>
      </c>
    </row>
    <row r="33228">
      <c r="H33228" s="8" t="s">
        <v>364</v>
      </c>
    </row>
    <row r="33229">
      <c r="H33229" s="8" t="s">
        <v>364</v>
      </c>
    </row>
    <row r="33230">
      <c r="H33230" s="8" t="s">
        <v>364</v>
      </c>
    </row>
    <row r="33231">
      <c r="H33231" s="8" t="s">
        <v>364</v>
      </c>
    </row>
    <row r="33232">
      <c r="H33232" s="8" t="s">
        <v>364</v>
      </c>
    </row>
    <row r="33233">
      <c r="H33233" s="8" t="s">
        <v>364</v>
      </c>
    </row>
    <row r="33234">
      <c r="H33234" s="8" t="s">
        <v>364</v>
      </c>
    </row>
    <row r="33235">
      <c r="H33235" s="8" t="s">
        <v>364</v>
      </c>
    </row>
    <row r="33236">
      <c r="H33236" s="8" t="s">
        <v>364</v>
      </c>
    </row>
    <row r="33237">
      <c r="H33237" s="8" t="s">
        <v>364</v>
      </c>
    </row>
    <row r="33238">
      <c r="H33238" s="8" t="s">
        <v>364</v>
      </c>
    </row>
    <row r="33239">
      <c r="H33239" s="8" t="s">
        <v>364</v>
      </c>
    </row>
    <row r="33240">
      <c r="H33240" s="8" t="s">
        <v>364</v>
      </c>
    </row>
    <row r="33241">
      <c r="H33241" s="8" t="s">
        <v>364</v>
      </c>
    </row>
    <row r="33242">
      <c r="H33242" s="8" t="s">
        <v>364</v>
      </c>
    </row>
    <row r="33243">
      <c r="H33243" s="8" t="s">
        <v>364</v>
      </c>
    </row>
    <row r="33244">
      <c r="H33244" s="8" t="s">
        <v>364</v>
      </c>
    </row>
    <row r="33245">
      <c r="H33245" s="8" t="s">
        <v>364</v>
      </c>
    </row>
    <row r="33246">
      <c r="H33246" s="8" t="s">
        <v>364</v>
      </c>
    </row>
    <row r="33247">
      <c r="H33247" s="8" t="s">
        <v>364</v>
      </c>
    </row>
    <row r="33248">
      <c r="H33248" s="8" t="s">
        <v>364</v>
      </c>
    </row>
    <row r="33249">
      <c r="H33249" s="8" t="s">
        <v>364</v>
      </c>
    </row>
    <row r="33250">
      <c r="H33250" s="8" t="s">
        <v>364</v>
      </c>
    </row>
    <row r="33251">
      <c r="H33251" s="8" t="s">
        <v>364</v>
      </c>
    </row>
    <row r="33252">
      <c r="H33252" s="8" t="s">
        <v>364</v>
      </c>
    </row>
    <row r="33253">
      <c r="H33253" s="8" t="s">
        <v>364</v>
      </c>
    </row>
    <row r="33254">
      <c r="H33254" s="8" t="s">
        <v>364</v>
      </c>
    </row>
    <row r="33255">
      <c r="H33255" s="8" t="s">
        <v>364</v>
      </c>
    </row>
    <row r="33256">
      <c r="H33256" s="8" t="s">
        <v>364</v>
      </c>
    </row>
    <row r="33257">
      <c r="H33257" s="8" t="s">
        <v>364</v>
      </c>
    </row>
    <row r="33258">
      <c r="H33258" s="8" t="s">
        <v>364</v>
      </c>
    </row>
    <row r="33259">
      <c r="H33259" s="8" t="s">
        <v>364</v>
      </c>
    </row>
    <row r="33260">
      <c r="H33260" s="8" t="s">
        <v>364</v>
      </c>
    </row>
    <row r="33261">
      <c r="H33261" s="8" t="s">
        <v>364</v>
      </c>
    </row>
    <row r="33262">
      <c r="H33262" s="8" t="s">
        <v>364</v>
      </c>
    </row>
    <row r="33263">
      <c r="H33263" s="8" t="s">
        <v>364</v>
      </c>
    </row>
    <row r="33264">
      <c r="H33264" s="8" t="s">
        <v>364</v>
      </c>
    </row>
    <row r="33265">
      <c r="H33265" s="8" t="s">
        <v>364</v>
      </c>
    </row>
    <row r="33266">
      <c r="H33266" s="8" t="s">
        <v>364</v>
      </c>
    </row>
    <row r="33267">
      <c r="H33267" s="8" t="s">
        <v>364</v>
      </c>
    </row>
    <row r="33268">
      <c r="H33268" s="8" t="s">
        <v>364</v>
      </c>
    </row>
    <row r="33269">
      <c r="H33269" s="8" t="s">
        <v>364</v>
      </c>
    </row>
    <row r="33270">
      <c r="H33270" s="8" t="s">
        <v>364</v>
      </c>
    </row>
    <row r="33271">
      <c r="H33271" s="8" t="s">
        <v>364</v>
      </c>
    </row>
    <row r="33272">
      <c r="H33272" s="8" t="s">
        <v>364</v>
      </c>
    </row>
    <row r="33273">
      <c r="H33273" s="8" t="s">
        <v>364</v>
      </c>
    </row>
    <row r="33274">
      <c r="H33274" s="8" t="s">
        <v>364</v>
      </c>
    </row>
    <row r="33275">
      <c r="H33275" s="8" t="s">
        <v>364</v>
      </c>
    </row>
    <row r="33276">
      <c r="H33276" s="8" t="s">
        <v>364</v>
      </c>
    </row>
    <row r="33277">
      <c r="H33277" s="8" t="s">
        <v>364</v>
      </c>
    </row>
    <row r="33278">
      <c r="H33278" s="8" t="s">
        <v>364</v>
      </c>
    </row>
    <row r="33279">
      <c r="H33279" s="8" t="s">
        <v>364</v>
      </c>
    </row>
    <row r="33280">
      <c r="H33280" s="8" t="s">
        <v>364</v>
      </c>
    </row>
    <row r="33281">
      <c r="H33281" s="8" t="s">
        <v>364</v>
      </c>
    </row>
    <row r="33282">
      <c r="H33282" s="8" t="s">
        <v>364</v>
      </c>
    </row>
    <row r="33283">
      <c r="H33283" s="8" t="s">
        <v>364</v>
      </c>
    </row>
    <row r="33284">
      <c r="H33284" s="8" t="s">
        <v>364</v>
      </c>
    </row>
    <row r="33285">
      <c r="H33285" s="8" t="s">
        <v>364</v>
      </c>
    </row>
    <row r="33286">
      <c r="H33286" s="8" t="s">
        <v>364</v>
      </c>
    </row>
    <row r="33287">
      <c r="H33287" s="8" t="s">
        <v>364</v>
      </c>
    </row>
    <row r="33288">
      <c r="H33288" s="8" t="s">
        <v>364</v>
      </c>
    </row>
    <row r="33289">
      <c r="H33289" s="8" t="s">
        <v>364</v>
      </c>
    </row>
    <row r="33290">
      <c r="H33290" s="8" t="s">
        <v>364</v>
      </c>
    </row>
    <row r="33291">
      <c r="H33291" s="8" t="s">
        <v>364</v>
      </c>
    </row>
    <row r="33292">
      <c r="H33292" s="8" t="s">
        <v>364</v>
      </c>
    </row>
    <row r="33293">
      <c r="H33293" s="8" t="s">
        <v>364</v>
      </c>
    </row>
    <row r="33294">
      <c r="H33294" s="8" t="s">
        <v>364</v>
      </c>
    </row>
    <row r="33295">
      <c r="H33295" s="8" t="s">
        <v>364</v>
      </c>
    </row>
    <row r="33296">
      <c r="H33296" s="8" t="s">
        <v>364</v>
      </c>
    </row>
    <row r="33297">
      <c r="H33297" s="8" t="s">
        <v>364</v>
      </c>
    </row>
    <row r="33298">
      <c r="H33298" s="8" t="s">
        <v>364</v>
      </c>
    </row>
    <row r="33299">
      <c r="H33299" s="8" t="s">
        <v>364</v>
      </c>
    </row>
    <row r="33300">
      <c r="H33300" s="8" t="s">
        <v>364</v>
      </c>
    </row>
    <row r="33301">
      <c r="H33301" s="8" t="s">
        <v>364</v>
      </c>
    </row>
    <row r="33302">
      <c r="H33302" s="8" t="s">
        <v>364</v>
      </c>
    </row>
    <row r="33303">
      <c r="H33303" s="8" t="s">
        <v>364</v>
      </c>
    </row>
    <row r="33304">
      <c r="H33304" s="8" t="s">
        <v>364</v>
      </c>
    </row>
    <row r="33305">
      <c r="H33305" s="8" t="s">
        <v>364</v>
      </c>
    </row>
    <row r="33306">
      <c r="H33306" s="8" t="s">
        <v>364</v>
      </c>
    </row>
    <row r="33307">
      <c r="H33307" s="8" t="s">
        <v>364</v>
      </c>
    </row>
    <row r="33308">
      <c r="H33308" s="8" t="s">
        <v>364</v>
      </c>
    </row>
    <row r="33309">
      <c r="H33309" s="8" t="s">
        <v>364</v>
      </c>
    </row>
    <row r="33310">
      <c r="H33310" s="8" t="s">
        <v>364</v>
      </c>
    </row>
    <row r="33311">
      <c r="H33311" s="8" t="s">
        <v>364</v>
      </c>
    </row>
    <row r="33312">
      <c r="H33312" s="8" t="s">
        <v>364</v>
      </c>
    </row>
    <row r="33313">
      <c r="H33313" s="8" t="s">
        <v>364</v>
      </c>
    </row>
    <row r="33314">
      <c r="H33314" s="8" t="s">
        <v>364</v>
      </c>
    </row>
    <row r="33315">
      <c r="H33315" s="8" t="s">
        <v>364</v>
      </c>
    </row>
    <row r="33316">
      <c r="H33316" s="8" t="s">
        <v>364</v>
      </c>
    </row>
    <row r="33317">
      <c r="H33317" s="8" t="s">
        <v>364</v>
      </c>
    </row>
    <row r="33318">
      <c r="H33318" s="8" t="s">
        <v>364</v>
      </c>
    </row>
    <row r="33319">
      <c r="H33319" s="8" t="s">
        <v>364</v>
      </c>
    </row>
    <row r="33320">
      <c r="H33320" s="8" t="s">
        <v>364</v>
      </c>
    </row>
    <row r="33321">
      <c r="H33321" s="8" t="s">
        <v>364</v>
      </c>
    </row>
    <row r="33322">
      <c r="H33322" s="8" t="s">
        <v>364</v>
      </c>
    </row>
    <row r="33323">
      <c r="H33323" s="8" t="s">
        <v>364</v>
      </c>
    </row>
    <row r="33324">
      <c r="H33324" s="8" t="s">
        <v>364</v>
      </c>
    </row>
    <row r="33325">
      <c r="H33325" s="8" t="s">
        <v>364</v>
      </c>
    </row>
    <row r="33326">
      <c r="H33326" s="8" t="s">
        <v>364</v>
      </c>
    </row>
    <row r="33327">
      <c r="H33327" s="8" t="s">
        <v>364</v>
      </c>
    </row>
    <row r="33328">
      <c r="H33328" s="8" t="s">
        <v>364</v>
      </c>
    </row>
    <row r="33329">
      <c r="H33329" s="8" t="s">
        <v>364</v>
      </c>
    </row>
    <row r="33330">
      <c r="H33330" s="8" t="s">
        <v>364</v>
      </c>
    </row>
    <row r="33331">
      <c r="H33331" s="8" t="s">
        <v>364</v>
      </c>
    </row>
    <row r="33332">
      <c r="H33332" s="8" t="s">
        <v>364</v>
      </c>
    </row>
    <row r="33333">
      <c r="H33333" s="8" t="s">
        <v>364</v>
      </c>
    </row>
    <row r="33334">
      <c r="H33334" s="8" t="s">
        <v>364</v>
      </c>
    </row>
    <row r="33335">
      <c r="H33335" s="8" t="s">
        <v>364</v>
      </c>
    </row>
    <row r="33336">
      <c r="H33336" s="8" t="s">
        <v>364</v>
      </c>
    </row>
    <row r="33337">
      <c r="H33337" s="8" t="s">
        <v>364</v>
      </c>
    </row>
    <row r="33338">
      <c r="H33338" s="8" t="s">
        <v>364</v>
      </c>
    </row>
    <row r="33339">
      <c r="H33339" s="8" t="s">
        <v>364</v>
      </c>
    </row>
    <row r="33340">
      <c r="H33340" s="8" t="s">
        <v>364</v>
      </c>
    </row>
    <row r="33341">
      <c r="H33341" s="8" t="s">
        <v>364</v>
      </c>
    </row>
    <row r="33342">
      <c r="H33342" s="8" t="s">
        <v>364</v>
      </c>
    </row>
    <row r="33343">
      <c r="H33343" s="8" t="s">
        <v>364</v>
      </c>
    </row>
    <row r="33344">
      <c r="H33344" s="8" t="s">
        <v>364</v>
      </c>
    </row>
    <row r="33345">
      <c r="H33345" s="8" t="s">
        <v>364</v>
      </c>
    </row>
    <row r="33346">
      <c r="H33346" s="8" t="s">
        <v>364</v>
      </c>
    </row>
    <row r="33347">
      <c r="H33347" s="8" t="s">
        <v>364</v>
      </c>
    </row>
    <row r="33348">
      <c r="H33348" s="8" t="s">
        <v>364</v>
      </c>
    </row>
    <row r="33349">
      <c r="H33349" s="8" t="s">
        <v>364</v>
      </c>
    </row>
    <row r="33350">
      <c r="H33350" s="8" t="s">
        <v>364</v>
      </c>
    </row>
    <row r="33351">
      <c r="H33351" s="8" t="s">
        <v>364</v>
      </c>
    </row>
    <row r="33352">
      <c r="H33352" s="8" t="s">
        <v>364</v>
      </c>
    </row>
    <row r="33353">
      <c r="H33353" s="8" t="s">
        <v>364</v>
      </c>
    </row>
    <row r="33354">
      <c r="H33354" s="8" t="s">
        <v>364</v>
      </c>
    </row>
    <row r="33355">
      <c r="H33355" s="8" t="s">
        <v>364</v>
      </c>
    </row>
    <row r="33356">
      <c r="H33356" s="8" t="s">
        <v>364</v>
      </c>
    </row>
    <row r="33357">
      <c r="H33357" s="8" t="s">
        <v>364</v>
      </c>
    </row>
    <row r="33358">
      <c r="H33358" s="8" t="s">
        <v>364</v>
      </c>
    </row>
    <row r="33359">
      <c r="H33359" s="8" t="s">
        <v>364</v>
      </c>
    </row>
    <row r="33360">
      <c r="H33360" s="8" t="s">
        <v>364</v>
      </c>
    </row>
    <row r="33361">
      <c r="H33361" s="8" t="s">
        <v>364</v>
      </c>
    </row>
    <row r="33362">
      <c r="H33362" s="8" t="s">
        <v>364</v>
      </c>
    </row>
    <row r="33363">
      <c r="H33363" s="8" t="s">
        <v>364</v>
      </c>
    </row>
    <row r="33364">
      <c r="H33364" s="8" t="s">
        <v>364</v>
      </c>
    </row>
    <row r="33365">
      <c r="H33365" s="8" t="s">
        <v>364</v>
      </c>
    </row>
    <row r="33366">
      <c r="H33366" s="8" t="s">
        <v>364</v>
      </c>
    </row>
    <row r="33367">
      <c r="H33367" s="8" t="s">
        <v>364</v>
      </c>
    </row>
    <row r="33368">
      <c r="H33368" s="8" t="s">
        <v>364</v>
      </c>
    </row>
    <row r="33369">
      <c r="H33369" s="8" t="s">
        <v>364</v>
      </c>
    </row>
    <row r="33370">
      <c r="H33370" s="8" t="s">
        <v>364</v>
      </c>
    </row>
    <row r="33371">
      <c r="H33371" s="8" t="s">
        <v>364</v>
      </c>
    </row>
    <row r="33372">
      <c r="H33372" s="8" t="s">
        <v>364</v>
      </c>
    </row>
    <row r="33373">
      <c r="H33373" s="8" t="s">
        <v>364</v>
      </c>
    </row>
    <row r="33374">
      <c r="H33374" s="8" t="s">
        <v>364</v>
      </c>
    </row>
    <row r="33375">
      <c r="H33375" s="8" t="s">
        <v>364</v>
      </c>
    </row>
    <row r="33376">
      <c r="H33376" s="8" t="s">
        <v>364</v>
      </c>
    </row>
    <row r="33377">
      <c r="H33377" s="8" t="s">
        <v>364</v>
      </c>
    </row>
    <row r="33378">
      <c r="H33378" s="8" t="s">
        <v>364</v>
      </c>
    </row>
    <row r="33379">
      <c r="H33379" s="8" t="s">
        <v>364</v>
      </c>
    </row>
    <row r="33380">
      <c r="H33380" s="8" t="s">
        <v>364</v>
      </c>
    </row>
    <row r="33381">
      <c r="H33381" s="8" t="s">
        <v>364</v>
      </c>
    </row>
    <row r="33382">
      <c r="H33382" s="8" t="s">
        <v>364</v>
      </c>
    </row>
    <row r="33383">
      <c r="H33383" s="8" t="s">
        <v>364</v>
      </c>
    </row>
    <row r="33384">
      <c r="H33384" s="8" t="s">
        <v>364</v>
      </c>
    </row>
    <row r="33385">
      <c r="H33385" s="8" t="s">
        <v>364</v>
      </c>
    </row>
    <row r="33386">
      <c r="H33386" s="8" t="s">
        <v>364</v>
      </c>
    </row>
    <row r="33387">
      <c r="H33387" s="8" t="s">
        <v>364</v>
      </c>
    </row>
    <row r="33388">
      <c r="H33388" s="8" t="s">
        <v>364</v>
      </c>
    </row>
    <row r="33389">
      <c r="H33389" s="8" t="s">
        <v>364</v>
      </c>
    </row>
    <row r="33390">
      <c r="H33390" s="8" t="s">
        <v>364</v>
      </c>
    </row>
    <row r="33391">
      <c r="H33391" s="8" t="s">
        <v>364</v>
      </c>
    </row>
    <row r="33392">
      <c r="H33392" s="8" t="s">
        <v>364</v>
      </c>
    </row>
    <row r="33393">
      <c r="H33393" s="8" t="s">
        <v>364</v>
      </c>
    </row>
    <row r="33394">
      <c r="H33394" s="8" t="s">
        <v>364</v>
      </c>
    </row>
    <row r="33395">
      <c r="H33395" s="8" t="s">
        <v>364</v>
      </c>
    </row>
    <row r="33396">
      <c r="H33396" s="8" t="s">
        <v>364</v>
      </c>
    </row>
    <row r="33397">
      <c r="H33397" s="8" t="s">
        <v>364</v>
      </c>
    </row>
    <row r="33398">
      <c r="H33398" s="8" t="s">
        <v>364</v>
      </c>
    </row>
    <row r="33399">
      <c r="H33399" s="8" t="s">
        <v>364</v>
      </c>
    </row>
    <row r="33400">
      <c r="H33400" s="8" t="s">
        <v>364</v>
      </c>
    </row>
    <row r="33401">
      <c r="H33401" s="8" t="s">
        <v>364</v>
      </c>
    </row>
    <row r="33402">
      <c r="H33402" s="8" t="s">
        <v>364</v>
      </c>
    </row>
    <row r="33403">
      <c r="H33403" s="8" t="s">
        <v>364</v>
      </c>
    </row>
    <row r="33404">
      <c r="H33404" s="8" t="s">
        <v>364</v>
      </c>
    </row>
    <row r="33405">
      <c r="H33405" s="8" t="s">
        <v>364</v>
      </c>
    </row>
    <row r="33406">
      <c r="H33406" s="8" t="s">
        <v>364</v>
      </c>
    </row>
    <row r="33407">
      <c r="H33407" s="8" t="s">
        <v>364</v>
      </c>
    </row>
    <row r="33408">
      <c r="H33408" s="8" t="s">
        <v>364</v>
      </c>
    </row>
    <row r="33409">
      <c r="H33409" s="8" t="s">
        <v>364</v>
      </c>
    </row>
    <row r="33410">
      <c r="H33410" s="8" t="s">
        <v>364</v>
      </c>
    </row>
    <row r="33411">
      <c r="H33411" s="8" t="s">
        <v>364</v>
      </c>
    </row>
    <row r="33412">
      <c r="H33412" s="8" t="s">
        <v>364</v>
      </c>
    </row>
    <row r="33413">
      <c r="H33413" s="8" t="s">
        <v>364</v>
      </c>
    </row>
    <row r="33414">
      <c r="H33414" s="8" t="s">
        <v>364</v>
      </c>
    </row>
    <row r="33415">
      <c r="H33415" s="8" t="s">
        <v>364</v>
      </c>
    </row>
    <row r="33416">
      <c r="H33416" s="8" t="s">
        <v>364</v>
      </c>
    </row>
    <row r="33417">
      <c r="H33417" s="8" t="s">
        <v>364</v>
      </c>
    </row>
    <row r="33418">
      <c r="H33418" s="8" t="s">
        <v>364</v>
      </c>
    </row>
    <row r="33419">
      <c r="H33419" s="8" t="s">
        <v>364</v>
      </c>
    </row>
    <row r="33420">
      <c r="H33420" s="8" t="s">
        <v>364</v>
      </c>
    </row>
    <row r="33421">
      <c r="H33421" s="8" t="s">
        <v>364</v>
      </c>
    </row>
    <row r="33422">
      <c r="H33422" s="8" t="s">
        <v>364</v>
      </c>
    </row>
    <row r="33423">
      <c r="H33423" s="8" t="s">
        <v>364</v>
      </c>
    </row>
    <row r="33424">
      <c r="H33424" s="8" t="s">
        <v>364</v>
      </c>
    </row>
    <row r="33425">
      <c r="H33425" s="8" t="s">
        <v>364</v>
      </c>
    </row>
    <row r="33426">
      <c r="H33426" s="8" t="s">
        <v>364</v>
      </c>
    </row>
    <row r="33427">
      <c r="H33427" s="8" t="s">
        <v>364</v>
      </c>
    </row>
    <row r="33428">
      <c r="H33428" s="8" t="s">
        <v>364</v>
      </c>
    </row>
    <row r="33429">
      <c r="H33429" s="8" t="s">
        <v>364</v>
      </c>
    </row>
    <row r="33430">
      <c r="H33430" s="8" t="s">
        <v>364</v>
      </c>
    </row>
    <row r="33431">
      <c r="H33431" s="8" t="s">
        <v>364</v>
      </c>
    </row>
    <row r="33432">
      <c r="H33432" s="8" t="s">
        <v>364</v>
      </c>
    </row>
    <row r="33433">
      <c r="H33433" s="8" t="s">
        <v>364</v>
      </c>
    </row>
    <row r="33434">
      <c r="H33434" s="8" t="s">
        <v>364</v>
      </c>
    </row>
    <row r="33435">
      <c r="H33435" s="8" t="s">
        <v>364</v>
      </c>
    </row>
    <row r="33436">
      <c r="H33436" s="8" t="s">
        <v>364</v>
      </c>
    </row>
    <row r="33437">
      <c r="H33437" s="8" t="s">
        <v>364</v>
      </c>
    </row>
    <row r="33438">
      <c r="H33438" s="8" t="s">
        <v>364</v>
      </c>
    </row>
    <row r="33439">
      <c r="H33439" s="8" t="s">
        <v>364</v>
      </c>
    </row>
    <row r="33440">
      <c r="H33440" s="8" t="s">
        <v>364</v>
      </c>
    </row>
    <row r="33441">
      <c r="H33441" s="8" t="s">
        <v>364</v>
      </c>
    </row>
    <row r="33442">
      <c r="H33442" s="8" t="s">
        <v>364</v>
      </c>
    </row>
    <row r="33443">
      <c r="H33443" s="8" t="s">
        <v>364</v>
      </c>
    </row>
    <row r="33444">
      <c r="H33444" s="8" t="s">
        <v>364</v>
      </c>
    </row>
    <row r="33445">
      <c r="H33445" s="8" t="s">
        <v>364</v>
      </c>
    </row>
    <row r="33446">
      <c r="H33446" s="8" t="s">
        <v>364</v>
      </c>
    </row>
    <row r="33447">
      <c r="H33447" s="8" t="s">
        <v>364</v>
      </c>
    </row>
    <row r="33448">
      <c r="H33448" s="8" t="s">
        <v>364</v>
      </c>
    </row>
    <row r="33449">
      <c r="H33449" s="8" t="s">
        <v>364</v>
      </c>
    </row>
    <row r="33450">
      <c r="H33450" s="8" t="s">
        <v>364</v>
      </c>
    </row>
    <row r="33451">
      <c r="H33451" s="8" t="s">
        <v>364</v>
      </c>
    </row>
    <row r="33452">
      <c r="H33452" s="8" t="s">
        <v>364</v>
      </c>
    </row>
    <row r="33453">
      <c r="H33453" s="8" t="s">
        <v>364</v>
      </c>
    </row>
    <row r="33454">
      <c r="H33454" s="8" t="s">
        <v>364</v>
      </c>
    </row>
    <row r="33455">
      <c r="H33455" s="8" t="s">
        <v>364</v>
      </c>
    </row>
    <row r="33456">
      <c r="H33456" s="8" t="s">
        <v>364</v>
      </c>
    </row>
    <row r="33457">
      <c r="H33457" s="8" t="s">
        <v>364</v>
      </c>
    </row>
    <row r="33458">
      <c r="H33458" s="8" t="s">
        <v>364</v>
      </c>
    </row>
    <row r="33459">
      <c r="H33459" s="8" t="s">
        <v>364</v>
      </c>
    </row>
    <row r="33460">
      <c r="H33460" s="8" t="s">
        <v>364</v>
      </c>
    </row>
    <row r="33461">
      <c r="H33461" s="8" t="s">
        <v>364</v>
      </c>
    </row>
    <row r="33462">
      <c r="H33462" s="8" t="s">
        <v>364</v>
      </c>
    </row>
    <row r="33463">
      <c r="H33463" s="8" t="s">
        <v>364</v>
      </c>
    </row>
    <row r="33464">
      <c r="H33464" s="8" t="s">
        <v>364</v>
      </c>
    </row>
    <row r="33465">
      <c r="H33465" s="8" t="s">
        <v>364</v>
      </c>
    </row>
    <row r="33466">
      <c r="H33466" s="8" t="s">
        <v>364</v>
      </c>
    </row>
    <row r="33467">
      <c r="H33467" s="8" t="s">
        <v>364</v>
      </c>
    </row>
    <row r="33468">
      <c r="H33468" s="8" t="s">
        <v>364</v>
      </c>
    </row>
    <row r="33469">
      <c r="H33469" s="8" t="s">
        <v>364</v>
      </c>
    </row>
    <row r="33470">
      <c r="H33470" s="8" t="s">
        <v>364</v>
      </c>
    </row>
    <row r="33471">
      <c r="H33471" s="8" t="s">
        <v>364</v>
      </c>
    </row>
    <row r="33472">
      <c r="H33472" s="8" t="s">
        <v>364</v>
      </c>
    </row>
    <row r="33473">
      <c r="H33473" s="8" t="s">
        <v>364</v>
      </c>
    </row>
    <row r="33474">
      <c r="H33474" s="8" t="s">
        <v>364</v>
      </c>
    </row>
    <row r="33475">
      <c r="H33475" s="8" t="s">
        <v>364</v>
      </c>
    </row>
    <row r="33476">
      <c r="H33476" s="8" t="s">
        <v>364</v>
      </c>
    </row>
    <row r="33477">
      <c r="H33477" s="8" t="s">
        <v>364</v>
      </c>
    </row>
    <row r="33478">
      <c r="H33478" s="8" t="s">
        <v>364</v>
      </c>
    </row>
    <row r="33479">
      <c r="H33479" s="8" t="s">
        <v>364</v>
      </c>
    </row>
    <row r="33480">
      <c r="H33480" s="8" t="s">
        <v>364</v>
      </c>
    </row>
    <row r="33481">
      <c r="H33481" s="8" t="s">
        <v>364</v>
      </c>
    </row>
    <row r="33482">
      <c r="H33482" s="8" t="s">
        <v>364</v>
      </c>
    </row>
    <row r="33483">
      <c r="H33483" s="8" t="s">
        <v>364</v>
      </c>
    </row>
    <row r="33484">
      <c r="H33484" s="8" t="s">
        <v>364</v>
      </c>
    </row>
    <row r="33485">
      <c r="H33485" s="8" t="s">
        <v>364</v>
      </c>
    </row>
    <row r="33486">
      <c r="H33486" s="8" t="s">
        <v>364</v>
      </c>
    </row>
    <row r="33487">
      <c r="H33487" s="8" t="s">
        <v>364</v>
      </c>
    </row>
    <row r="33488">
      <c r="H33488" s="8" t="s">
        <v>364</v>
      </c>
    </row>
    <row r="33489">
      <c r="H33489" s="8" t="s">
        <v>364</v>
      </c>
    </row>
    <row r="33490">
      <c r="H33490" s="8" t="s">
        <v>364</v>
      </c>
    </row>
    <row r="33491">
      <c r="H33491" s="8" t="s">
        <v>364</v>
      </c>
    </row>
    <row r="33492">
      <c r="H33492" s="8" t="s">
        <v>364</v>
      </c>
    </row>
    <row r="33493">
      <c r="H33493" s="8" t="s">
        <v>364</v>
      </c>
    </row>
    <row r="33494">
      <c r="H33494" s="8" t="s">
        <v>364</v>
      </c>
    </row>
    <row r="33495">
      <c r="H33495" s="8" t="s">
        <v>364</v>
      </c>
    </row>
    <row r="33496">
      <c r="H33496" s="8" t="s">
        <v>364</v>
      </c>
    </row>
    <row r="33497">
      <c r="H33497" s="8" t="s">
        <v>364</v>
      </c>
    </row>
    <row r="33498">
      <c r="H33498" s="8" t="s">
        <v>364</v>
      </c>
    </row>
    <row r="33499">
      <c r="H33499" s="8" t="s">
        <v>364</v>
      </c>
    </row>
    <row r="33500">
      <c r="H33500" s="8" t="s">
        <v>364</v>
      </c>
    </row>
    <row r="33501">
      <c r="H33501" s="8" t="s">
        <v>364</v>
      </c>
    </row>
    <row r="33502">
      <c r="H33502" s="8" t="s">
        <v>364</v>
      </c>
    </row>
    <row r="33503">
      <c r="H33503" s="8" t="s">
        <v>364</v>
      </c>
    </row>
    <row r="33504">
      <c r="H33504" s="8" t="s">
        <v>364</v>
      </c>
    </row>
    <row r="33505">
      <c r="H33505" s="8" t="s">
        <v>364</v>
      </c>
    </row>
    <row r="33506">
      <c r="H33506" s="8" t="s">
        <v>364</v>
      </c>
    </row>
    <row r="33507">
      <c r="H33507" s="8" t="s">
        <v>364</v>
      </c>
    </row>
    <row r="33508">
      <c r="H33508" s="8" t="s">
        <v>364</v>
      </c>
    </row>
    <row r="33509">
      <c r="H33509" s="8" t="s">
        <v>364</v>
      </c>
    </row>
    <row r="33510">
      <c r="H33510" s="8" t="s">
        <v>364</v>
      </c>
    </row>
    <row r="33511">
      <c r="H33511" s="8" t="s">
        <v>364</v>
      </c>
    </row>
    <row r="33512">
      <c r="H33512" s="8" t="s">
        <v>364</v>
      </c>
    </row>
    <row r="33513">
      <c r="H33513" s="8" t="s">
        <v>364</v>
      </c>
    </row>
    <row r="33514">
      <c r="H33514" s="8" t="s">
        <v>364</v>
      </c>
    </row>
    <row r="33515">
      <c r="H33515" s="8" t="s">
        <v>364</v>
      </c>
    </row>
    <row r="33516">
      <c r="H33516" s="8" t="s">
        <v>364</v>
      </c>
    </row>
    <row r="33517">
      <c r="H33517" s="8" t="s">
        <v>364</v>
      </c>
    </row>
    <row r="33518">
      <c r="H33518" s="8" t="s">
        <v>364</v>
      </c>
    </row>
    <row r="33519">
      <c r="H33519" s="8" t="s">
        <v>364</v>
      </c>
    </row>
    <row r="33520">
      <c r="H33520" s="8" t="s">
        <v>364</v>
      </c>
    </row>
    <row r="33521">
      <c r="H33521" s="8" t="s">
        <v>364</v>
      </c>
    </row>
    <row r="33522">
      <c r="H33522" s="8" t="s">
        <v>364</v>
      </c>
    </row>
    <row r="33523">
      <c r="H33523" s="8" t="s">
        <v>364</v>
      </c>
    </row>
    <row r="33524">
      <c r="H33524" s="8" t="s">
        <v>364</v>
      </c>
    </row>
    <row r="33525">
      <c r="H33525" s="8" t="s">
        <v>364</v>
      </c>
    </row>
    <row r="33526">
      <c r="H33526" s="8" t="s">
        <v>364</v>
      </c>
    </row>
    <row r="33527">
      <c r="H33527" s="8" t="s">
        <v>364</v>
      </c>
    </row>
    <row r="33528">
      <c r="H33528" s="8" t="s">
        <v>364</v>
      </c>
    </row>
    <row r="33529">
      <c r="H33529" s="8" t="s">
        <v>364</v>
      </c>
    </row>
    <row r="33530">
      <c r="H33530" s="8" t="s">
        <v>364</v>
      </c>
    </row>
    <row r="33531">
      <c r="H33531" s="8" t="s">
        <v>364</v>
      </c>
    </row>
    <row r="33532">
      <c r="H33532" s="8" t="s">
        <v>364</v>
      </c>
    </row>
    <row r="33533">
      <c r="H33533" s="8" t="s">
        <v>364</v>
      </c>
    </row>
    <row r="33534">
      <c r="H33534" s="8" t="s">
        <v>364</v>
      </c>
    </row>
    <row r="33535">
      <c r="H33535" s="8" t="s">
        <v>364</v>
      </c>
    </row>
    <row r="33536">
      <c r="H33536" s="8" t="s">
        <v>364</v>
      </c>
    </row>
    <row r="33537">
      <c r="H33537" s="8" t="s">
        <v>364</v>
      </c>
    </row>
    <row r="33538">
      <c r="H33538" s="8" t="s">
        <v>364</v>
      </c>
    </row>
    <row r="33539">
      <c r="H33539" s="8" t="s">
        <v>364</v>
      </c>
    </row>
    <row r="33540">
      <c r="H33540" s="8" t="s">
        <v>364</v>
      </c>
    </row>
    <row r="33541">
      <c r="H33541" s="8" t="s">
        <v>364</v>
      </c>
    </row>
    <row r="33542">
      <c r="H33542" s="8" t="s">
        <v>364</v>
      </c>
    </row>
    <row r="33543">
      <c r="H33543" s="8" t="s">
        <v>364</v>
      </c>
    </row>
    <row r="33544">
      <c r="H33544" s="8" t="s">
        <v>364</v>
      </c>
    </row>
    <row r="33545">
      <c r="H33545" s="8" t="s">
        <v>364</v>
      </c>
    </row>
    <row r="33546">
      <c r="H33546" s="8" t="s">
        <v>364</v>
      </c>
    </row>
    <row r="33547">
      <c r="H33547" s="8" t="s">
        <v>364</v>
      </c>
    </row>
    <row r="33548">
      <c r="H33548" s="8" t="s">
        <v>364</v>
      </c>
    </row>
    <row r="33549">
      <c r="H33549" s="8" t="s">
        <v>364</v>
      </c>
    </row>
    <row r="33550">
      <c r="H33550" s="8" t="s">
        <v>364</v>
      </c>
    </row>
    <row r="33551">
      <c r="H33551" s="8" t="s">
        <v>364</v>
      </c>
    </row>
    <row r="33552">
      <c r="H33552" s="8" t="s">
        <v>364</v>
      </c>
    </row>
    <row r="33553">
      <c r="H33553" s="8" t="s">
        <v>364</v>
      </c>
    </row>
    <row r="33554">
      <c r="H33554" s="8" t="s">
        <v>364</v>
      </c>
    </row>
    <row r="33555">
      <c r="H33555" s="8" t="s">
        <v>364</v>
      </c>
    </row>
    <row r="33556">
      <c r="H33556" s="8" t="s">
        <v>364</v>
      </c>
    </row>
    <row r="33557">
      <c r="H33557" s="8" t="s">
        <v>364</v>
      </c>
    </row>
    <row r="33558">
      <c r="H33558" s="8" t="s">
        <v>364</v>
      </c>
    </row>
    <row r="33559">
      <c r="H33559" s="8" t="s">
        <v>364</v>
      </c>
    </row>
    <row r="33560">
      <c r="H33560" s="8" t="s">
        <v>364</v>
      </c>
    </row>
    <row r="33561">
      <c r="H33561" s="8" t="s">
        <v>364</v>
      </c>
    </row>
    <row r="33562">
      <c r="H33562" s="8" t="s">
        <v>364</v>
      </c>
    </row>
    <row r="33563">
      <c r="H33563" s="8" t="s">
        <v>364</v>
      </c>
    </row>
    <row r="33564">
      <c r="H33564" s="8" t="s">
        <v>364</v>
      </c>
    </row>
    <row r="33565">
      <c r="H33565" s="8" t="s">
        <v>364</v>
      </c>
    </row>
    <row r="33566">
      <c r="H33566" s="8" t="s">
        <v>364</v>
      </c>
    </row>
    <row r="33567">
      <c r="H33567" s="8" t="s">
        <v>364</v>
      </c>
    </row>
    <row r="33568">
      <c r="H33568" s="8" t="s">
        <v>364</v>
      </c>
    </row>
    <row r="33569">
      <c r="H33569" s="8" t="s">
        <v>364</v>
      </c>
    </row>
    <row r="33570">
      <c r="H33570" s="8" t="s">
        <v>364</v>
      </c>
    </row>
    <row r="33571">
      <c r="H33571" s="8" t="s">
        <v>364</v>
      </c>
    </row>
    <row r="33572">
      <c r="H33572" s="8" t="s">
        <v>364</v>
      </c>
    </row>
    <row r="33573">
      <c r="H33573" s="8" t="s">
        <v>364</v>
      </c>
    </row>
    <row r="33574">
      <c r="H33574" s="8" t="s">
        <v>364</v>
      </c>
    </row>
    <row r="33575">
      <c r="H33575" s="8" t="s">
        <v>364</v>
      </c>
    </row>
    <row r="33576">
      <c r="H33576" s="8" t="s">
        <v>364</v>
      </c>
    </row>
    <row r="33577">
      <c r="H33577" s="8" t="s">
        <v>364</v>
      </c>
    </row>
    <row r="33578">
      <c r="H33578" s="8" t="s">
        <v>364</v>
      </c>
    </row>
    <row r="33579">
      <c r="H33579" s="8" t="s">
        <v>364</v>
      </c>
    </row>
    <row r="33580">
      <c r="H33580" s="8" t="s">
        <v>364</v>
      </c>
    </row>
    <row r="33581">
      <c r="H33581" s="8" t="s">
        <v>364</v>
      </c>
    </row>
    <row r="33582">
      <c r="H33582" s="8" t="s">
        <v>364</v>
      </c>
    </row>
    <row r="33583">
      <c r="H33583" s="8" t="s">
        <v>364</v>
      </c>
    </row>
    <row r="33584">
      <c r="H33584" s="8" t="s">
        <v>364</v>
      </c>
    </row>
    <row r="33585">
      <c r="H33585" s="8" t="s">
        <v>364</v>
      </c>
    </row>
    <row r="33586">
      <c r="H33586" s="8" t="s">
        <v>364</v>
      </c>
    </row>
    <row r="33587">
      <c r="H33587" s="8" t="s">
        <v>364</v>
      </c>
    </row>
    <row r="33588">
      <c r="H33588" s="8" t="s">
        <v>364</v>
      </c>
    </row>
    <row r="33589">
      <c r="H33589" s="8" t="s">
        <v>364</v>
      </c>
    </row>
    <row r="33590">
      <c r="H33590" s="8" t="s">
        <v>364</v>
      </c>
    </row>
    <row r="33591">
      <c r="H33591" s="8" t="s">
        <v>364</v>
      </c>
    </row>
    <row r="33592">
      <c r="H33592" s="8" t="s">
        <v>364</v>
      </c>
    </row>
    <row r="33593">
      <c r="H33593" s="8" t="s">
        <v>364</v>
      </c>
    </row>
    <row r="33594">
      <c r="H33594" s="8" t="s">
        <v>364</v>
      </c>
    </row>
    <row r="33595">
      <c r="H33595" s="8" t="s">
        <v>364</v>
      </c>
    </row>
    <row r="33596">
      <c r="H33596" s="8" t="s">
        <v>364</v>
      </c>
    </row>
    <row r="33597">
      <c r="H33597" s="8" t="s">
        <v>364</v>
      </c>
    </row>
    <row r="33598">
      <c r="H33598" s="8" t="s">
        <v>364</v>
      </c>
    </row>
    <row r="33599">
      <c r="H33599" s="8" t="s">
        <v>364</v>
      </c>
    </row>
    <row r="33600">
      <c r="H33600" s="8" t="s">
        <v>364</v>
      </c>
    </row>
    <row r="33601">
      <c r="H33601" s="8" t="s">
        <v>364</v>
      </c>
    </row>
    <row r="33602">
      <c r="H33602" s="8" t="s">
        <v>364</v>
      </c>
    </row>
    <row r="33603">
      <c r="H33603" s="8" t="s">
        <v>364</v>
      </c>
    </row>
    <row r="33604">
      <c r="H33604" s="8" t="s">
        <v>364</v>
      </c>
    </row>
    <row r="33605">
      <c r="H33605" s="8" t="s">
        <v>364</v>
      </c>
    </row>
    <row r="33606">
      <c r="H33606" s="8" t="s">
        <v>364</v>
      </c>
    </row>
    <row r="33607">
      <c r="H33607" s="8" t="s">
        <v>364</v>
      </c>
    </row>
    <row r="33608">
      <c r="H33608" s="8" t="s">
        <v>364</v>
      </c>
    </row>
    <row r="33609">
      <c r="H33609" s="8" t="s">
        <v>364</v>
      </c>
    </row>
    <row r="33610">
      <c r="H33610" s="8" t="s">
        <v>364</v>
      </c>
    </row>
    <row r="33611">
      <c r="H33611" s="8" t="s">
        <v>364</v>
      </c>
    </row>
    <row r="33612">
      <c r="H33612" s="8" t="s">
        <v>364</v>
      </c>
    </row>
    <row r="33613">
      <c r="H33613" s="8" t="s">
        <v>364</v>
      </c>
    </row>
    <row r="33614">
      <c r="H33614" s="8" t="s">
        <v>364</v>
      </c>
    </row>
    <row r="33615">
      <c r="H33615" s="8" t="s">
        <v>364</v>
      </c>
    </row>
    <row r="33616">
      <c r="H33616" s="8" t="s">
        <v>364</v>
      </c>
    </row>
    <row r="33617">
      <c r="H33617" s="8" t="s">
        <v>364</v>
      </c>
    </row>
    <row r="33618">
      <c r="H33618" s="8" t="s">
        <v>364</v>
      </c>
    </row>
    <row r="33619">
      <c r="H33619" s="8" t="s">
        <v>364</v>
      </c>
    </row>
    <row r="33620">
      <c r="H33620" s="8" t="s">
        <v>364</v>
      </c>
    </row>
    <row r="33621">
      <c r="H33621" s="8" t="s">
        <v>364</v>
      </c>
    </row>
    <row r="33622">
      <c r="H33622" s="8" t="s">
        <v>364</v>
      </c>
    </row>
    <row r="33623">
      <c r="H33623" s="8" t="s">
        <v>364</v>
      </c>
    </row>
    <row r="33624">
      <c r="H33624" s="8" t="s">
        <v>364</v>
      </c>
    </row>
    <row r="33625">
      <c r="H33625" s="8" t="s">
        <v>364</v>
      </c>
    </row>
    <row r="33626">
      <c r="H33626" s="8" t="s">
        <v>364</v>
      </c>
    </row>
    <row r="33627">
      <c r="H33627" s="8" t="s">
        <v>364</v>
      </c>
    </row>
    <row r="33628">
      <c r="H33628" s="8" t="s">
        <v>364</v>
      </c>
    </row>
    <row r="33629">
      <c r="H33629" s="8" t="s">
        <v>364</v>
      </c>
    </row>
    <row r="33630">
      <c r="H33630" s="8" t="s">
        <v>364</v>
      </c>
    </row>
    <row r="33631">
      <c r="H33631" s="8" t="s">
        <v>364</v>
      </c>
    </row>
    <row r="33632">
      <c r="H33632" s="8" t="s">
        <v>364</v>
      </c>
    </row>
    <row r="33633">
      <c r="H33633" s="8" t="s">
        <v>364</v>
      </c>
    </row>
    <row r="33634">
      <c r="H33634" s="8" t="s">
        <v>364</v>
      </c>
    </row>
    <row r="33635">
      <c r="H33635" s="8" t="s">
        <v>364</v>
      </c>
    </row>
    <row r="33636">
      <c r="H33636" s="8" t="s">
        <v>364</v>
      </c>
    </row>
    <row r="33637">
      <c r="H33637" s="8" t="s">
        <v>364</v>
      </c>
    </row>
    <row r="33638">
      <c r="H33638" s="8" t="s">
        <v>364</v>
      </c>
    </row>
    <row r="33639">
      <c r="H33639" s="8" t="s">
        <v>364</v>
      </c>
    </row>
    <row r="33640">
      <c r="H33640" s="8" t="s">
        <v>364</v>
      </c>
    </row>
    <row r="33641">
      <c r="H33641" s="8" t="s">
        <v>364</v>
      </c>
    </row>
    <row r="33642">
      <c r="H33642" s="8" t="s">
        <v>364</v>
      </c>
    </row>
    <row r="33643">
      <c r="H33643" s="8" t="s">
        <v>364</v>
      </c>
    </row>
    <row r="33644">
      <c r="H33644" s="8" t="s">
        <v>364</v>
      </c>
    </row>
    <row r="33645">
      <c r="H33645" s="8" t="s">
        <v>364</v>
      </c>
    </row>
    <row r="33646">
      <c r="H33646" s="8" t="s">
        <v>364</v>
      </c>
    </row>
    <row r="33647">
      <c r="H33647" s="8" t="s">
        <v>364</v>
      </c>
    </row>
    <row r="33648">
      <c r="H33648" s="8" t="s">
        <v>364</v>
      </c>
    </row>
    <row r="33649">
      <c r="H33649" s="8" t="s">
        <v>364</v>
      </c>
    </row>
    <row r="33650">
      <c r="H33650" s="8" t="s">
        <v>364</v>
      </c>
    </row>
    <row r="33651">
      <c r="H33651" s="8" t="s">
        <v>364</v>
      </c>
    </row>
    <row r="33652">
      <c r="H33652" s="8" t="s">
        <v>364</v>
      </c>
    </row>
    <row r="33653">
      <c r="H33653" s="8" t="s">
        <v>364</v>
      </c>
    </row>
    <row r="33654">
      <c r="H33654" s="8" t="s">
        <v>364</v>
      </c>
    </row>
    <row r="33655">
      <c r="H33655" s="8" t="s">
        <v>364</v>
      </c>
    </row>
    <row r="33656">
      <c r="H33656" s="8" t="s">
        <v>364</v>
      </c>
    </row>
    <row r="33657">
      <c r="H33657" s="8" t="s">
        <v>364</v>
      </c>
    </row>
    <row r="33658">
      <c r="H33658" s="8" t="s">
        <v>364</v>
      </c>
    </row>
    <row r="33659">
      <c r="H33659" s="8" t="s">
        <v>364</v>
      </c>
    </row>
    <row r="33660">
      <c r="H33660" s="8" t="s">
        <v>364</v>
      </c>
    </row>
    <row r="33661">
      <c r="H33661" s="8" t="s">
        <v>364</v>
      </c>
    </row>
    <row r="33662">
      <c r="H33662" s="8" t="s">
        <v>364</v>
      </c>
    </row>
    <row r="33663">
      <c r="H33663" s="8" t="s">
        <v>364</v>
      </c>
    </row>
    <row r="33664">
      <c r="H33664" s="8" t="s">
        <v>364</v>
      </c>
    </row>
    <row r="33665">
      <c r="H33665" s="8" t="s">
        <v>364</v>
      </c>
    </row>
    <row r="33666">
      <c r="H33666" s="8" t="s">
        <v>364</v>
      </c>
    </row>
    <row r="33667">
      <c r="H33667" s="8" t="s">
        <v>364</v>
      </c>
    </row>
    <row r="33668">
      <c r="H33668" s="8" t="s">
        <v>364</v>
      </c>
    </row>
    <row r="33669">
      <c r="H33669" s="8" t="s">
        <v>364</v>
      </c>
    </row>
    <row r="33670">
      <c r="H33670" s="8" t="s">
        <v>364</v>
      </c>
    </row>
    <row r="33671">
      <c r="H33671" s="8" t="s">
        <v>364</v>
      </c>
    </row>
    <row r="33672">
      <c r="H33672" s="8" t="s">
        <v>364</v>
      </c>
    </row>
    <row r="33673">
      <c r="H33673" s="8" t="s">
        <v>364</v>
      </c>
    </row>
    <row r="33674">
      <c r="H33674" s="8" t="s">
        <v>364</v>
      </c>
    </row>
    <row r="33675">
      <c r="H33675" s="8" t="s">
        <v>364</v>
      </c>
    </row>
    <row r="33676">
      <c r="H33676" s="8" t="s">
        <v>364</v>
      </c>
    </row>
    <row r="33677">
      <c r="H33677" s="8" t="s">
        <v>364</v>
      </c>
    </row>
    <row r="33678">
      <c r="H33678" s="8" t="s">
        <v>364</v>
      </c>
    </row>
    <row r="33679">
      <c r="H33679" s="8" t="s">
        <v>364</v>
      </c>
    </row>
    <row r="33680">
      <c r="H33680" s="8" t="s">
        <v>364</v>
      </c>
    </row>
    <row r="33681">
      <c r="H33681" s="8" t="s">
        <v>364</v>
      </c>
    </row>
    <row r="33682">
      <c r="H33682" s="8" t="s">
        <v>364</v>
      </c>
    </row>
    <row r="33683">
      <c r="H33683" s="8" t="s">
        <v>364</v>
      </c>
    </row>
    <row r="33684">
      <c r="H33684" s="8" t="s">
        <v>364</v>
      </c>
    </row>
    <row r="33685">
      <c r="H33685" s="8" t="s">
        <v>364</v>
      </c>
    </row>
    <row r="33686">
      <c r="H33686" s="8" t="s">
        <v>364</v>
      </c>
    </row>
    <row r="33687">
      <c r="H33687" s="8" t="s">
        <v>364</v>
      </c>
    </row>
    <row r="33688">
      <c r="H33688" s="8" t="s">
        <v>364</v>
      </c>
    </row>
    <row r="33689">
      <c r="H33689" s="8" t="s">
        <v>364</v>
      </c>
    </row>
    <row r="33690">
      <c r="H33690" s="8" t="s">
        <v>364</v>
      </c>
    </row>
    <row r="33691">
      <c r="H33691" s="8" t="s">
        <v>364</v>
      </c>
    </row>
    <row r="33692">
      <c r="H33692" s="8" t="s">
        <v>364</v>
      </c>
    </row>
    <row r="33693">
      <c r="H33693" s="8" t="s">
        <v>364</v>
      </c>
    </row>
    <row r="33694">
      <c r="H33694" s="8" t="s">
        <v>364</v>
      </c>
    </row>
    <row r="33695">
      <c r="H33695" s="8" t="s">
        <v>364</v>
      </c>
    </row>
    <row r="33696">
      <c r="H33696" s="8" t="s">
        <v>364</v>
      </c>
    </row>
    <row r="33697">
      <c r="H33697" s="8" t="s">
        <v>364</v>
      </c>
    </row>
    <row r="33698">
      <c r="H33698" s="8" t="s">
        <v>364</v>
      </c>
    </row>
    <row r="33699">
      <c r="H33699" s="8" t="s">
        <v>364</v>
      </c>
    </row>
    <row r="33700">
      <c r="H33700" s="8" t="s">
        <v>364</v>
      </c>
    </row>
    <row r="33701">
      <c r="H33701" s="8" t="s">
        <v>364</v>
      </c>
    </row>
    <row r="33702">
      <c r="H33702" s="8" t="s">
        <v>364</v>
      </c>
    </row>
    <row r="33703">
      <c r="H33703" s="8" t="s">
        <v>364</v>
      </c>
    </row>
    <row r="33704">
      <c r="H33704" s="8" t="s">
        <v>364</v>
      </c>
    </row>
    <row r="33705">
      <c r="H33705" s="8" t="s">
        <v>364</v>
      </c>
    </row>
    <row r="33706">
      <c r="H33706" s="8" t="s">
        <v>364</v>
      </c>
    </row>
    <row r="33707">
      <c r="H33707" s="8" t="s">
        <v>364</v>
      </c>
    </row>
    <row r="33708">
      <c r="H33708" s="8" t="s">
        <v>364</v>
      </c>
    </row>
    <row r="33709">
      <c r="H33709" s="8" t="s">
        <v>364</v>
      </c>
    </row>
    <row r="33710">
      <c r="H33710" s="8" t="s">
        <v>364</v>
      </c>
    </row>
    <row r="33711">
      <c r="H33711" s="8" t="s">
        <v>364</v>
      </c>
    </row>
    <row r="33712">
      <c r="H33712" s="8" t="s">
        <v>364</v>
      </c>
    </row>
    <row r="33713">
      <c r="H33713" s="8" t="s">
        <v>364</v>
      </c>
    </row>
    <row r="33714">
      <c r="H33714" s="8" t="s">
        <v>364</v>
      </c>
    </row>
    <row r="33715">
      <c r="H33715" s="8" t="s">
        <v>364</v>
      </c>
    </row>
    <row r="33716">
      <c r="H33716" s="8" t="s">
        <v>364</v>
      </c>
    </row>
    <row r="33717">
      <c r="H33717" s="8" t="s">
        <v>364</v>
      </c>
    </row>
    <row r="33718">
      <c r="H33718" s="8" t="s">
        <v>364</v>
      </c>
    </row>
    <row r="33719">
      <c r="H33719" s="8" t="s">
        <v>364</v>
      </c>
    </row>
    <row r="33720">
      <c r="H33720" s="8" t="s">
        <v>364</v>
      </c>
    </row>
    <row r="33721">
      <c r="H33721" s="8" t="s">
        <v>364</v>
      </c>
    </row>
    <row r="33722">
      <c r="H33722" s="8" t="s">
        <v>364</v>
      </c>
    </row>
    <row r="33723">
      <c r="H33723" s="8" t="s">
        <v>364</v>
      </c>
    </row>
    <row r="33724">
      <c r="H33724" s="8" t="s">
        <v>364</v>
      </c>
    </row>
    <row r="33725">
      <c r="H33725" s="8" t="s">
        <v>364</v>
      </c>
    </row>
    <row r="33726">
      <c r="H33726" s="8" t="s">
        <v>364</v>
      </c>
    </row>
    <row r="33727">
      <c r="H33727" s="8" t="s">
        <v>364</v>
      </c>
    </row>
    <row r="33728">
      <c r="H33728" s="8" t="s">
        <v>364</v>
      </c>
    </row>
    <row r="33729">
      <c r="H33729" s="8" t="s">
        <v>364</v>
      </c>
    </row>
    <row r="33730">
      <c r="H33730" s="8" t="s">
        <v>364</v>
      </c>
    </row>
    <row r="33731">
      <c r="H33731" s="8" t="s">
        <v>364</v>
      </c>
    </row>
    <row r="33732">
      <c r="H33732" s="8" t="s">
        <v>364</v>
      </c>
    </row>
    <row r="33733">
      <c r="H33733" s="8" t="s">
        <v>364</v>
      </c>
    </row>
    <row r="33734">
      <c r="H33734" s="8" t="s">
        <v>364</v>
      </c>
    </row>
    <row r="33735">
      <c r="H33735" s="8" t="s">
        <v>364</v>
      </c>
    </row>
    <row r="33736">
      <c r="H33736" s="8" t="s">
        <v>364</v>
      </c>
    </row>
    <row r="33737">
      <c r="H33737" s="8" t="s">
        <v>364</v>
      </c>
    </row>
    <row r="33738">
      <c r="H33738" s="8" t="s">
        <v>364</v>
      </c>
    </row>
    <row r="33739">
      <c r="H33739" s="8" t="s">
        <v>364</v>
      </c>
    </row>
    <row r="33740">
      <c r="H33740" s="8" t="s">
        <v>364</v>
      </c>
    </row>
    <row r="33741">
      <c r="H33741" s="8" t="s">
        <v>364</v>
      </c>
    </row>
    <row r="33742">
      <c r="H33742" s="8" t="s">
        <v>364</v>
      </c>
    </row>
    <row r="33743">
      <c r="H33743" s="8" t="s">
        <v>364</v>
      </c>
    </row>
    <row r="33744">
      <c r="H33744" s="8" t="s">
        <v>364</v>
      </c>
    </row>
    <row r="33745">
      <c r="H33745" s="8" t="s">
        <v>364</v>
      </c>
    </row>
    <row r="33746">
      <c r="H33746" s="8" t="s">
        <v>364</v>
      </c>
    </row>
    <row r="33747">
      <c r="H33747" s="8" t="s">
        <v>364</v>
      </c>
    </row>
    <row r="33748">
      <c r="H33748" s="8" t="s">
        <v>364</v>
      </c>
    </row>
    <row r="33749">
      <c r="H33749" s="8" t="s">
        <v>364</v>
      </c>
    </row>
    <row r="33750">
      <c r="H33750" s="8" t="s">
        <v>364</v>
      </c>
    </row>
    <row r="33751">
      <c r="H33751" s="8" t="s">
        <v>364</v>
      </c>
    </row>
    <row r="33752">
      <c r="H33752" s="8" t="s">
        <v>364</v>
      </c>
    </row>
    <row r="33753">
      <c r="H33753" s="8" t="s">
        <v>364</v>
      </c>
    </row>
    <row r="33754">
      <c r="H33754" s="8" t="s">
        <v>364</v>
      </c>
    </row>
    <row r="33755">
      <c r="H33755" s="8" t="s">
        <v>364</v>
      </c>
    </row>
    <row r="33756">
      <c r="H33756" s="8" t="s">
        <v>364</v>
      </c>
    </row>
    <row r="33757">
      <c r="H33757" s="8" t="s">
        <v>364</v>
      </c>
    </row>
    <row r="33758">
      <c r="H33758" s="8" t="s">
        <v>364</v>
      </c>
    </row>
    <row r="33759">
      <c r="H33759" s="8" t="s">
        <v>364</v>
      </c>
    </row>
    <row r="33760">
      <c r="H33760" s="8" t="s">
        <v>364</v>
      </c>
    </row>
    <row r="33761">
      <c r="H33761" s="8" t="s">
        <v>364</v>
      </c>
    </row>
    <row r="33762">
      <c r="H33762" s="8" t="s">
        <v>364</v>
      </c>
    </row>
    <row r="33763">
      <c r="H33763" s="8" t="s">
        <v>364</v>
      </c>
    </row>
    <row r="33764">
      <c r="H33764" s="8" t="s">
        <v>364</v>
      </c>
    </row>
    <row r="33765">
      <c r="H33765" s="8" t="s">
        <v>364</v>
      </c>
    </row>
    <row r="33766">
      <c r="H33766" s="8" t="s">
        <v>364</v>
      </c>
    </row>
    <row r="33767">
      <c r="H33767" s="8" t="s">
        <v>364</v>
      </c>
    </row>
    <row r="33768">
      <c r="H33768" s="8" t="s">
        <v>364</v>
      </c>
    </row>
    <row r="33769">
      <c r="H33769" s="8" t="s">
        <v>364</v>
      </c>
    </row>
    <row r="33770">
      <c r="H33770" s="8" t="s">
        <v>364</v>
      </c>
    </row>
    <row r="33771">
      <c r="H33771" s="8" t="s">
        <v>364</v>
      </c>
    </row>
    <row r="33772">
      <c r="H33772" s="8" t="s">
        <v>364</v>
      </c>
    </row>
    <row r="33773">
      <c r="H33773" s="8" t="s">
        <v>364</v>
      </c>
    </row>
    <row r="33774">
      <c r="H33774" s="8" t="s">
        <v>364</v>
      </c>
    </row>
    <row r="33775">
      <c r="H33775" s="8" t="s">
        <v>364</v>
      </c>
    </row>
    <row r="33776">
      <c r="H33776" s="8" t="s">
        <v>364</v>
      </c>
    </row>
    <row r="33777">
      <c r="H33777" s="8" t="s">
        <v>364</v>
      </c>
    </row>
    <row r="33778">
      <c r="H33778" s="8" t="s">
        <v>364</v>
      </c>
    </row>
    <row r="33779">
      <c r="H33779" s="8" t="s">
        <v>364</v>
      </c>
    </row>
    <row r="33780">
      <c r="H33780" s="8" t="s">
        <v>364</v>
      </c>
    </row>
    <row r="33781">
      <c r="H33781" s="8" t="s">
        <v>364</v>
      </c>
    </row>
    <row r="33782">
      <c r="H33782" s="8" t="s">
        <v>364</v>
      </c>
    </row>
    <row r="33783">
      <c r="H33783" s="8" t="s">
        <v>364</v>
      </c>
    </row>
    <row r="33784">
      <c r="H33784" s="8" t="s">
        <v>364</v>
      </c>
    </row>
    <row r="33785">
      <c r="H33785" s="8" t="s">
        <v>364</v>
      </c>
    </row>
    <row r="33786">
      <c r="H33786" s="8" t="s">
        <v>364</v>
      </c>
    </row>
    <row r="33787">
      <c r="H33787" s="8" t="s">
        <v>364</v>
      </c>
    </row>
    <row r="33788">
      <c r="H33788" s="8" t="s">
        <v>364</v>
      </c>
    </row>
    <row r="33789">
      <c r="H33789" s="8" t="s">
        <v>364</v>
      </c>
    </row>
    <row r="33790">
      <c r="H33790" s="8" t="s">
        <v>364</v>
      </c>
    </row>
    <row r="33791">
      <c r="H33791" s="8" t="s">
        <v>364</v>
      </c>
    </row>
    <row r="33792">
      <c r="H33792" s="8" t="s">
        <v>364</v>
      </c>
    </row>
    <row r="33793">
      <c r="H33793" s="8" t="s">
        <v>364</v>
      </c>
    </row>
    <row r="33794">
      <c r="H33794" s="8" t="s">
        <v>364</v>
      </c>
    </row>
    <row r="33795">
      <c r="H33795" s="8" t="s">
        <v>364</v>
      </c>
    </row>
    <row r="33796">
      <c r="H33796" s="8" t="s">
        <v>364</v>
      </c>
    </row>
    <row r="33797">
      <c r="H33797" s="8" t="s">
        <v>364</v>
      </c>
    </row>
    <row r="33798">
      <c r="H33798" s="8" t="s">
        <v>364</v>
      </c>
    </row>
    <row r="33799">
      <c r="H33799" s="8" t="s">
        <v>364</v>
      </c>
    </row>
    <row r="33800">
      <c r="H33800" s="8" t="s">
        <v>364</v>
      </c>
    </row>
    <row r="33801">
      <c r="H33801" s="8" t="s">
        <v>364</v>
      </c>
    </row>
    <row r="33802">
      <c r="H33802" s="8" t="s">
        <v>364</v>
      </c>
    </row>
    <row r="33803">
      <c r="H33803" s="8" t="s">
        <v>364</v>
      </c>
    </row>
    <row r="33804">
      <c r="H33804" s="8" t="s">
        <v>364</v>
      </c>
    </row>
    <row r="33805">
      <c r="H33805" s="8" t="s">
        <v>364</v>
      </c>
    </row>
    <row r="33806">
      <c r="H33806" s="8" t="s">
        <v>364</v>
      </c>
    </row>
    <row r="33807">
      <c r="H33807" s="8" t="s">
        <v>364</v>
      </c>
    </row>
    <row r="33808">
      <c r="H33808" s="8" t="s">
        <v>364</v>
      </c>
    </row>
    <row r="33809">
      <c r="H33809" s="8" t="s">
        <v>364</v>
      </c>
    </row>
    <row r="33810">
      <c r="H33810" s="8" t="s">
        <v>364</v>
      </c>
    </row>
    <row r="33811">
      <c r="H33811" s="8" t="s">
        <v>364</v>
      </c>
    </row>
    <row r="33812">
      <c r="H33812" s="8" t="s">
        <v>364</v>
      </c>
    </row>
    <row r="33813">
      <c r="H33813" s="8" t="s">
        <v>364</v>
      </c>
    </row>
    <row r="33814">
      <c r="H33814" s="8" t="s">
        <v>364</v>
      </c>
    </row>
    <row r="33815">
      <c r="H33815" s="8" t="s">
        <v>364</v>
      </c>
    </row>
    <row r="33816">
      <c r="H33816" s="8" t="s">
        <v>364</v>
      </c>
    </row>
    <row r="33817">
      <c r="H33817" s="8" t="s">
        <v>364</v>
      </c>
    </row>
    <row r="33818">
      <c r="H33818" s="8" t="s">
        <v>364</v>
      </c>
    </row>
    <row r="33819">
      <c r="H33819" s="8" t="s">
        <v>364</v>
      </c>
    </row>
    <row r="33820">
      <c r="H33820" s="8" t="s">
        <v>364</v>
      </c>
    </row>
    <row r="33821">
      <c r="H33821" s="8" t="s">
        <v>364</v>
      </c>
    </row>
    <row r="33822">
      <c r="H33822" s="8" t="s">
        <v>364</v>
      </c>
    </row>
    <row r="33823">
      <c r="H33823" s="8" t="s">
        <v>364</v>
      </c>
    </row>
    <row r="33824">
      <c r="H33824" s="8" t="s">
        <v>364</v>
      </c>
    </row>
    <row r="33825">
      <c r="H33825" s="8" t="s">
        <v>364</v>
      </c>
    </row>
    <row r="33826">
      <c r="H33826" s="8" t="s">
        <v>364</v>
      </c>
    </row>
    <row r="33827">
      <c r="H33827" s="8" t="s">
        <v>364</v>
      </c>
    </row>
    <row r="33828">
      <c r="H33828" s="8" t="s">
        <v>364</v>
      </c>
    </row>
    <row r="33829">
      <c r="H33829" s="8" t="s">
        <v>364</v>
      </c>
    </row>
    <row r="33830">
      <c r="H33830" s="8" t="s">
        <v>364</v>
      </c>
    </row>
    <row r="33831">
      <c r="H33831" s="8" t="s">
        <v>364</v>
      </c>
    </row>
    <row r="33832">
      <c r="H33832" s="8" t="s">
        <v>364</v>
      </c>
    </row>
    <row r="33833">
      <c r="H33833" s="8" t="s">
        <v>364</v>
      </c>
    </row>
    <row r="33834">
      <c r="H33834" s="8" t="s">
        <v>364</v>
      </c>
    </row>
    <row r="33835">
      <c r="H33835" s="8" t="s">
        <v>364</v>
      </c>
    </row>
    <row r="33836">
      <c r="H33836" s="8" t="s">
        <v>364</v>
      </c>
    </row>
    <row r="33837">
      <c r="H33837" s="8" t="s">
        <v>364</v>
      </c>
    </row>
    <row r="33838">
      <c r="H33838" s="8" t="s">
        <v>364</v>
      </c>
    </row>
    <row r="33839">
      <c r="H33839" s="8" t="s">
        <v>364</v>
      </c>
    </row>
    <row r="33840">
      <c r="H33840" s="8" t="s">
        <v>364</v>
      </c>
    </row>
    <row r="33841">
      <c r="H33841" s="8" t="s">
        <v>364</v>
      </c>
    </row>
    <row r="33842">
      <c r="H33842" s="8" t="s">
        <v>364</v>
      </c>
    </row>
    <row r="33843">
      <c r="H33843" s="8" t="s">
        <v>364</v>
      </c>
    </row>
    <row r="33844">
      <c r="H33844" s="8" t="s">
        <v>364</v>
      </c>
    </row>
    <row r="33845">
      <c r="H33845" s="8" t="s">
        <v>364</v>
      </c>
    </row>
    <row r="33846">
      <c r="H33846" s="8" t="s">
        <v>364</v>
      </c>
    </row>
    <row r="33847">
      <c r="H33847" s="8" t="s">
        <v>364</v>
      </c>
    </row>
    <row r="33848">
      <c r="H33848" s="8" t="s">
        <v>364</v>
      </c>
    </row>
    <row r="33849">
      <c r="H33849" s="8" t="s">
        <v>364</v>
      </c>
    </row>
    <row r="33850">
      <c r="H33850" s="8" t="s">
        <v>364</v>
      </c>
    </row>
    <row r="33851">
      <c r="H33851" s="8" t="s">
        <v>364</v>
      </c>
    </row>
    <row r="33852">
      <c r="H33852" s="8" t="s">
        <v>364</v>
      </c>
    </row>
    <row r="33853">
      <c r="H33853" s="8" t="s">
        <v>364</v>
      </c>
    </row>
    <row r="33854">
      <c r="H33854" s="8" t="s">
        <v>364</v>
      </c>
    </row>
    <row r="33855">
      <c r="H33855" s="8" t="s">
        <v>364</v>
      </c>
    </row>
    <row r="33856">
      <c r="H33856" s="8" t="s">
        <v>364</v>
      </c>
    </row>
    <row r="33857">
      <c r="H33857" s="8" t="s">
        <v>364</v>
      </c>
    </row>
    <row r="33858">
      <c r="H33858" s="8" t="s">
        <v>364</v>
      </c>
    </row>
    <row r="33859">
      <c r="H33859" s="8" t="s">
        <v>364</v>
      </c>
    </row>
    <row r="33860">
      <c r="H33860" s="8" t="s">
        <v>364</v>
      </c>
    </row>
    <row r="33861">
      <c r="H33861" s="8" t="s">
        <v>364</v>
      </c>
    </row>
    <row r="33862">
      <c r="H33862" s="8" t="s">
        <v>364</v>
      </c>
    </row>
    <row r="33863">
      <c r="H33863" s="8" t="s">
        <v>364</v>
      </c>
    </row>
    <row r="33864">
      <c r="H33864" s="8" t="s">
        <v>364</v>
      </c>
    </row>
    <row r="33865">
      <c r="H33865" s="8" t="s">
        <v>364</v>
      </c>
    </row>
    <row r="33866">
      <c r="H33866" s="8" t="s">
        <v>364</v>
      </c>
    </row>
    <row r="33867">
      <c r="H33867" s="8" t="s">
        <v>364</v>
      </c>
    </row>
    <row r="33868">
      <c r="H33868" s="8" t="s">
        <v>364</v>
      </c>
    </row>
    <row r="33869">
      <c r="H33869" s="8" t="s">
        <v>364</v>
      </c>
    </row>
    <row r="33870">
      <c r="H33870" s="8" t="s">
        <v>364</v>
      </c>
    </row>
    <row r="33871">
      <c r="H33871" s="8" t="s">
        <v>364</v>
      </c>
    </row>
    <row r="33872">
      <c r="H33872" s="8" t="s">
        <v>364</v>
      </c>
    </row>
    <row r="33873">
      <c r="H33873" s="8" t="s">
        <v>364</v>
      </c>
    </row>
    <row r="33874">
      <c r="H33874" s="8" t="s">
        <v>364</v>
      </c>
    </row>
    <row r="33875">
      <c r="H33875" s="8" t="s">
        <v>364</v>
      </c>
    </row>
    <row r="33876">
      <c r="H33876" s="8" t="s">
        <v>364</v>
      </c>
    </row>
    <row r="33877">
      <c r="H33877" s="8" t="s">
        <v>364</v>
      </c>
    </row>
    <row r="33878">
      <c r="H33878" s="8" t="s">
        <v>364</v>
      </c>
    </row>
    <row r="33879">
      <c r="H33879" s="8" t="s">
        <v>364</v>
      </c>
    </row>
    <row r="33880">
      <c r="H33880" s="8" t="s">
        <v>364</v>
      </c>
    </row>
    <row r="33881">
      <c r="H33881" s="8" t="s">
        <v>364</v>
      </c>
    </row>
    <row r="33882">
      <c r="H33882" s="8" t="s">
        <v>364</v>
      </c>
    </row>
    <row r="33883">
      <c r="H33883" s="8" t="s">
        <v>364</v>
      </c>
    </row>
    <row r="33884">
      <c r="H33884" s="8" t="s">
        <v>364</v>
      </c>
    </row>
    <row r="33885">
      <c r="H33885" s="8" t="s">
        <v>364</v>
      </c>
    </row>
    <row r="33886">
      <c r="H33886" s="8" t="s">
        <v>364</v>
      </c>
    </row>
    <row r="33887">
      <c r="H33887" s="8" t="s">
        <v>364</v>
      </c>
    </row>
    <row r="33888">
      <c r="H33888" s="8" t="s">
        <v>364</v>
      </c>
    </row>
    <row r="33889">
      <c r="H33889" s="8" t="s">
        <v>364</v>
      </c>
    </row>
    <row r="33890">
      <c r="H33890" s="8" t="s">
        <v>364</v>
      </c>
    </row>
    <row r="33891">
      <c r="H33891" s="8" t="s">
        <v>364</v>
      </c>
    </row>
    <row r="33892">
      <c r="H33892" s="8" t="s">
        <v>364</v>
      </c>
    </row>
    <row r="33893">
      <c r="H33893" s="8" t="s">
        <v>364</v>
      </c>
    </row>
    <row r="33894">
      <c r="H33894" s="8" t="s">
        <v>364</v>
      </c>
    </row>
    <row r="33895">
      <c r="H33895" s="8" t="s">
        <v>364</v>
      </c>
    </row>
    <row r="33896">
      <c r="H33896" s="8" t="s">
        <v>364</v>
      </c>
    </row>
    <row r="33897">
      <c r="H33897" s="8" t="s">
        <v>364</v>
      </c>
    </row>
    <row r="33898">
      <c r="H33898" s="8" t="s">
        <v>364</v>
      </c>
    </row>
    <row r="33899">
      <c r="H33899" s="8" t="s">
        <v>364</v>
      </c>
    </row>
    <row r="33900">
      <c r="H33900" s="8" t="s">
        <v>364</v>
      </c>
    </row>
    <row r="33901">
      <c r="H33901" s="8" t="s">
        <v>364</v>
      </c>
    </row>
    <row r="33902">
      <c r="H33902" s="8" t="s">
        <v>364</v>
      </c>
    </row>
    <row r="33903">
      <c r="H33903" s="8" t="s">
        <v>364</v>
      </c>
    </row>
    <row r="33904">
      <c r="H33904" s="8" t="s">
        <v>364</v>
      </c>
    </row>
    <row r="33905">
      <c r="H33905" s="8" t="s">
        <v>364</v>
      </c>
    </row>
    <row r="33906">
      <c r="H33906" s="8" t="s">
        <v>364</v>
      </c>
    </row>
    <row r="33907">
      <c r="H33907" s="8" t="s">
        <v>364</v>
      </c>
    </row>
    <row r="33908">
      <c r="H33908" s="8" t="s">
        <v>364</v>
      </c>
    </row>
    <row r="33909">
      <c r="H33909" s="8" t="s">
        <v>364</v>
      </c>
    </row>
    <row r="33910">
      <c r="H33910" s="8" t="s">
        <v>364</v>
      </c>
    </row>
    <row r="33911">
      <c r="H33911" s="8" t="s">
        <v>364</v>
      </c>
    </row>
    <row r="33912">
      <c r="H33912" s="8" t="s">
        <v>364</v>
      </c>
    </row>
    <row r="33913">
      <c r="H33913" s="8" t="s">
        <v>364</v>
      </c>
    </row>
    <row r="33914">
      <c r="H33914" s="8" t="s">
        <v>364</v>
      </c>
    </row>
    <row r="33915">
      <c r="H33915" s="8" t="s">
        <v>364</v>
      </c>
    </row>
    <row r="33916">
      <c r="H33916" s="8" t="s">
        <v>364</v>
      </c>
    </row>
    <row r="33917">
      <c r="H33917" s="8" t="s">
        <v>364</v>
      </c>
    </row>
    <row r="33918">
      <c r="H33918" s="8" t="s">
        <v>364</v>
      </c>
    </row>
    <row r="33919">
      <c r="H33919" s="8" t="s">
        <v>364</v>
      </c>
    </row>
    <row r="33920">
      <c r="H33920" s="8" t="s">
        <v>364</v>
      </c>
    </row>
    <row r="33921">
      <c r="H33921" s="8" t="s">
        <v>364</v>
      </c>
    </row>
    <row r="33922">
      <c r="H33922" s="8" t="s">
        <v>364</v>
      </c>
    </row>
    <row r="33923">
      <c r="H33923" s="8" t="s">
        <v>364</v>
      </c>
    </row>
    <row r="33924">
      <c r="H33924" s="8" t="s">
        <v>364</v>
      </c>
    </row>
    <row r="33925">
      <c r="H33925" s="8" t="s">
        <v>364</v>
      </c>
    </row>
    <row r="33926">
      <c r="H33926" s="8" t="s">
        <v>364</v>
      </c>
    </row>
    <row r="33927">
      <c r="H33927" s="8" t="s">
        <v>364</v>
      </c>
    </row>
    <row r="33928">
      <c r="H33928" s="8" t="s">
        <v>364</v>
      </c>
    </row>
    <row r="33929">
      <c r="H33929" s="8" t="s">
        <v>364</v>
      </c>
    </row>
    <row r="33930">
      <c r="H33930" s="8" t="s">
        <v>364</v>
      </c>
    </row>
    <row r="33931">
      <c r="H33931" s="8" t="s">
        <v>364</v>
      </c>
    </row>
    <row r="33932">
      <c r="H33932" s="8" t="s">
        <v>364</v>
      </c>
    </row>
    <row r="33933">
      <c r="H33933" s="8" t="s">
        <v>364</v>
      </c>
    </row>
    <row r="33934">
      <c r="H33934" s="8" t="s">
        <v>364</v>
      </c>
    </row>
    <row r="33935">
      <c r="H33935" s="8" t="s">
        <v>364</v>
      </c>
    </row>
    <row r="33936">
      <c r="H33936" s="8" t="s">
        <v>364</v>
      </c>
    </row>
    <row r="33937">
      <c r="H33937" s="8" t="s">
        <v>364</v>
      </c>
    </row>
    <row r="33938">
      <c r="H33938" s="8" t="s">
        <v>364</v>
      </c>
    </row>
    <row r="33939">
      <c r="H33939" s="8" t="s">
        <v>364</v>
      </c>
    </row>
    <row r="33940">
      <c r="H33940" s="8" t="s">
        <v>364</v>
      </c>
    </row>
    <row r="33941">
      <c r="H33941" s="8" t="s">
        <v>364</v>
      </c>
    </row>
    <row r="33942">
      <c r="H33942" s="8" t="s">
        <v>364</v>
      </c>
    </row>
    <row r="33943">
      <c r="H33943" s="8" t="s">
        <v>364</v>
      </c>
    </row>
    <row r="33944">
      <c r="H33944" s="8" t="s">
        <v>364</v>
      </c>
    </row>
    <row r="33945">
      <c r="H33945" s="8" t="s">
        <v>364</v>
      </c>
    </row>
    <row r="33946">
      <c r="H33946" s="8" t="s">
        <v>364</v>
      </c>
    </row>
    <row r="33947">
      <c r="H33947" s="8" t="s">
        <v>364</v>
      </c>
    </row>
    <row r="33948">
      <c r="H33948" s="8" t="s">
        <v>364</v>
      </c>
    </row>
    <row r="33949">
      <c r="H33949" s="8" t="s">
        <v>364</v>
      </c>
    </row>
    <row r="33950">
      <c r="H33950" s="8" t="s">
        <v>364</v>
      </c>
    </row>
    <row r="33951">
      <c r="H33951" s="8" t="s">
        <v>364</v>
      </c>
    </row>
    <row r="33952">
      <c r="H33952" s="8" t="s">
        <v>364</v>
      </c>
    </row>
    <row r="33953">
      <c r="H33953" s="8" t="s">
        <v>364</v>
      </c>
    </row>
    <row r="33954">
      <c r="H33954" s="8" t="s">
        <v>364</v>
      </c>
    </row>
    <row r="33955">
      <c r="H33955" s="8" t="s">
        <v>364</v>
      </c>
    </row>
    <row r="33956">
      <c r="H33956" s="8" t="s">
        <v>364</v>
      </c>
    </row>
    <row r="33957">
      <c r="H33957" s="8" t="s">
        <v>364</v>
      </c>
    </row>
    <row r="33958">
      <c r="H33958" s="8" t="s">
        <v>364</v>
      </c>
    </row>
    <row r="33959">
      <c r="H33959" s="8" t="s">
        <v>364</v>
      </c>
    </row>
    <row r="33960">
      <c r="H33960" s="8" t="s">
        <v>364</v>
      </c>
    </row>
    <row r="33961">
      <c r="H33961" s="8" t="s">
        <v>364</v>
      </c>
    </row>
    <row r="33962">
      <c r="H33962" s="8" t="s">
        <v>364</v>
      </c>
    </row>
    <row r="33963">
      <c r="H33963" s="8" t="s">
        <v>364</v>
      </c>
    </row>
    <row r="33964">
      <c r="H33964" s="8" t="s">
        <v>364</v>
      </c>
    </row>
    <row r="33965">
      <c r="H33965" s="8" t="s">
        <v>364</v>
      </c>
    </row>
    <row r="33966">
      <c r="H33966" s="8" t="s">
        <v>364</v>
      </c>
    </row>
    <row r="33967">
      <c r="H33967" s="8" t="s">
        <v>364</v>
      </c>
    </row>
    <row r="33968">
      <c r="H33968" s="8" t="s">
        <v>364</v>
      </c>
    </row>
    <row r="33969">
      <c r="H33969" s="8" t="s">
        <v>364</v>
      </c>
    </row>
    <row r="33970">
      <c r="H33970" s="8" t="s">
        <v>364</v>
      </c>
    </row>
    <row r="33971">
      <c r="H33971" s="8" t="s">
        <v>364</v>
      </c>
    </row>
    <row r="33972">
      <c r="H33972" s="8" t="s">
        <v>364</v>
      </c>
    </row>
    <row r="33973">
      <c r="H33973" s="8" t="s">
        <v>364</v>
      </c>
    </row>
    <row r="33974">
      <c r="H33974" s="8" t="s">
        <v>364</v>
      </c>
    </row>
    <row r="33975">
      <c r="H33975" s="8" t="s">
        <v>364</v>
      </c>
    </row>
    <row r="33976">
      <c r="H33976" s="8" t="s">
        <v>364</v>
      </c>
    </row>
    <row r="33977">
      <c r="H33977" s="8" t="s">
        <v>364</v>
      </c>
    </row>
    <row r="33978">
      <c r="H33978" s="8" t="s">
        <v>364</v>
      </c>
    </row>
    <row r="33979">
      <c r="H33979" s="8" t="s">
        <v>364</v>
      </c>
    </row>
    <row r="33980">
      <c r="H33980" s="8" t="s">
        <v>364</v>
      </c>
    </row>
    <row r="33981">
      <c r="H33981" s="8" t="s">
        <v>364</v>
      </c>
    </row>
    <row r="33982">
      <c r="H33982" s="8" t="s">
        <v>364</v>
      </c>
    </row>
    <row r="33983">
      <c r="H33983" s="8" t="s">
        <v>364</v>
      </c>
    </row>
    <row r="33984">
      <c r="H33984" s="8" t="s">
        <v>364</v>
      </c>
    </row>
    <row r="33985">
      <c r="H33985" s="8" t="s">
        <v>364</v>
      </c>
    </row>
    <row r="33986">
      <c r="H33986" s="8" t="s">
        <v>364</v>
      </c>
    </row>
    <row r="33987">
      <c r="H33987" s="8" t="s">
        <v>364</v>
      </c>
    </row>
    <row r="33988">
      <c r="H33988" s="8" t="s">
        <v>364</v>
      </c>
    </row>
    <row r="33989">
      <c r="H33989" s="8" t="s">
        <v>364</v>
      </c>
    </row>
    <row r="33990">
      <c r="H33990" s="8" t="s">
        <v>364</v>
      </c>
    </row>
    <row r="33991">
      <c r="H33991" s="8" t="s">
        <v>364</v>
      </c>
    </row>
    <row r="33992">
      <c r="H33992" s="8" t="s">
        <v>364</v>
      </c>
    </row>
    <row r="33993">
      <c r="H33993" s="8" t="s">
        <v>364</v>
      </c>
    </row>
    <row r="33994">
      <c r="H33994" s="8" t="s">
        <v>364</v>
      </c>
    </row>
    <row r="33995">
      <c r="H33995" s="8" t="s">
        <v>364</v>
      </c>
    </row>
    <row r="33996">
      <c r="H33996" s="8" t="s">
        <v>364</v>
      </c>
    </row>
    <row r="33997">
      <c r="H33997" s="8" t="s">
        <v>364</v>
      </c>
    </row>
    <row r="33998">
      <c r="H33998" s="8" t="s">
        <v>364</v>
      </c>
    </row>
    <row r="33999">
      <c r="H33999" s="8" t="s">
        <v>364</v>
      </c>
    </row>
    <row r="34000">
      <c r="H34000" s="8" t="s">
        <v>364</v>
      </c>
    </row>
    <row r="34001">
      <c r="H34001" s="8" t="s">
        <v>364</v>
      </c>
    </row>
    <row r="34002">
      <c r="H34002" s="8" t="s">
        <v>364</v>
      </c>
    </row>
    <row r="34003">
      <c r="H34003" s="8" t="s">
        <v>364</v>
      </c>
    </row>
    <row r="34004">
      <c r="H34004" s="8" t="s">
        <v>364</v>
      </c>
    </row>
    <row r="34005">
      <c r="H34005" s="8" t="s">
        <v>364</v>
      </c>
    </row>
    <row r="34006">
      <c r="H34006" s="8" t="s">
        <v>364</v>
      </c>
    </row>
    <row r="34007">
      <c r="H34007" s="8" t="s">
        <v>364</v>
      </c>
    </row>
    <row r="34008">
      <c r="H34008" s="8" t="s">
        <v>364</v>
      </c>
    </row>
    <row r="34009">
      <c r="H34009" s="8" t="s">
        <v>364</v>
      </c>
    </row>
    <row r="34010">
      <c r="H34010" s="8" t="s">
        <v>364</v>
      </c>
    </row>
    <row r="34011">
      <c r="H34011" s="8" t="s">
        <v>364</v>
      </c>
    </row>
    <row r="34012">
      <c r="H34012" s="8" t="s">
        <v>364</v>
      </c>
    </row>
    <row r="34013">
      <c r="H34013" s="8" t="s">
        <v>364</v>
      </c>
    </row>
    <row r="34014">
      <c r="H34014" s="8" t="s">
        <v>364</v>
      </c>
    </row>
    <row r="34015">
      <c r="H34015" s="8" t="s">
        <v>364</v>
      </c>
    </row>
    <row r="34016">
      <c r="H34016" s="8" t="s">
        <v>364</v>
      </c>
    </row>
    <row r="34017">
      <c r="H34017" s="8" t="s">
        <v>364</v>
      </c>
    </row>
    <row r="34018">
      <c r="H34018" s="8" t="s">
        <v>364</v>
      </c>
    </row>
    <row r="34019">
      <c r="H34019" s="8" t="s">
        <v>364</v>
      </c>
    </row>
    <row r="34020">
      <c r="H34020" s="8" t="s">
        <v>364</v>
      </c>
    </row>
    <row r="34021">
      <c r="H34021" s="8" t="s">
        <v>364</v>
      </c>
    </row>
    <row r="34022">
      <c r="H34022" s="8" t="s">
        <v>364</v>
      </c>
    </row>
    <row r="34023">
      <c r="H34023" s="8" t="s">
        <v>364</v>
      </c>
    </row>
    <row r="34024">
      <c r="H34024" s="8" t="s">
        <v>364</v>
      </c>
    </row>
    <row r="34025">
      <c r="H34025" s="8" t="s">
        <v>364</v>
      </c>
    </row>
    <row r="34026">
      <c r="H34026" s="8" t="s">
        <v>364</v>
      </c>
    </row>
    <row r="34027">
      <c r="H34027" s="8" t="s">
        <v>364</v>
      </c>
    </row>
    <row r="34028">
      <c r="H34028" s="8" t="s">
        <v>364</v>
      </c>
    </row>
    <row r="34029">
      <c r="H34029" s="8" t="s">
        <v>364</v>
      </c>
    </row>
    <row r="34030">
      <c r="H34030" s="8" t="s">
        <v>364</v>
      </c>
    </row>
    <row r="34031">
      <c r="H34031" s="8" t="s">
        <v>364</v>
      </c>
    </row>
    <row r="34032">
      <c r="H34032" s="8" t="s">
        <v>364</v>
      </c>
    </row>
    <row r="34033">
      <c r="H34033" s="8" t="s">
        <v>364</v>
      </c>
    </row>
    <row r="34034">
      <c r="H34034" s="8" t="s">
        <v>364</v>
      </c>
    </row>
    <row r="34035">
      <c r="H34035" s="8" t="s">
        <v>364</v>
      </c>
    </row>
    <row r="34036">
      <c r="H34036" s="8" t="s">
        <v>364</v>
      </c>
    </row>
    <row r="34037">
      <c r="H34037" s="8" t="s">
        <v>364</v>
      </c>
    </row>
    <row r="34038">
      <c r="H34038" s="8" t="s">
        <v>364</v>
      </c>
    </row>
    <row r="34039">
      <c r="H34039" s="8" t="s">
        <v>364</v>
      </c>
    </row>
    <row r="34040">
      <c r="H34040" s="8" t="s">
        <v>364</v>
      </c>
    </row>
    <row r="34041">
      <c r="H34041" s="8" t="s">
        <v>364</v>
      </c>
    </row>
    <row r="34042">
      <c r="H34042" s="8" t="s">
        <v>364</v>
      </c>
    </row>
    <row r="34043">
      <c r="H34043" s="8" t="s">
        <v>364</v>
      </c>
    </row>
    <row r="34044">
      <c r="H34044" s="8" t="s">
        <v>364</v>
      </c>
    </row>
    <row r="34045">
      <c r="H34045" s="8" t="s">
        <v>364</v>
      </c>
    </row>
    <row r="34046">
      <c r="H34046" s="8" t="s">
        <v>364</v>
      </c>
    </row>
    <row r="34047">
      <c r="H34047" s="8" t="s">
        <v>364</v>
      </c>
    </row>
    <row r="34048">
      <c r="H34048" s="8" t="s">
        <v>364</v>
      </c>
    </row>
    <row r="34049">
      <c r="H34049" s="8" t="s">
        <v>364</v>
      </c>
    </row>
    <row r="34050">
      <c r="H34050" s="8" t="s">
        <v>364</v>
      </c>
    </row>
    <row r="34051">
      <c r="H34051" s="8" t="s">
        <v>364</v>
      </c>
    </row>
    <row r="34052">
      <c r="H34052" s="8" t="s">
        <v>364</v>
      </c>
    </row>
    <row r="34053">
      <c r="H34053" s="8" t="s">
        <v>364</v>
      </c>
    </row>
    <row r="34054">
      <c r="H34054" s="8" t="s">
        <v>364</v>
      </c>
    </row>
    <row r="34055">
      <c r="H34055" s="8" t="s">
        <v>364</v>
      </c>
    </row>
    <row r="34056">
      <c r="H34056" s="8" t="s">
        <v>364</v>
      </c>
    </row>
    <row r="34057">
      <c r="H34057" s="8" t="s">
        <v>364</v>
      </c>
    </row>
    <row r="34058">
      <c r="H34058" s="8" t="s">
        <v>364</v>
      </c>
    </row>
    <row r="34059">
      <c r="H34059" s="8" t="s">
        <v>364</v>
      </c>
    </row>
    <row r="34060">
      <c r="H34060" s="8" t="s">
        <v>364</v>
      </c>
    </row>
    <row r="34061">
      <c r="H34061" s="8" t="s">
        <v>364</v>
      </c>
    </row>
    <row r="34062">
      <c r="H34062" s="8" t="s">
        <v>364</v>
      </c>
    </row>
    <row r="34063">
      <c r="H34063" s="8" t="s">
        <v>364</v>
      </c>
    </row>
    <row r="34064">
      <c r="H34064" s="8" t="s">
        <v>364</v>
      </c>
    </row>
    <row r="34065">
      <c r="H34065" s="8" t="s">
        <v>364</v>
      </c>
    </row>
    <row r="34066">
      <c r="H34066" s="8" t="s">
        <v>364</v>
      </c>
    </row>
    <row r="34067">
      <c r="H34067" s="8" t="s">
        <v>364</v>
      </c>
    </row>
    <row r="34068">
      <c r="H34068" s="8" t="s">
        <v>364</v>
      </c>
    </row>
    <row r="34069">
      <c r="H34069" s="8" t="s">
        <v>364</v>
      </c>
    </row>
    <row r="34070">
      <c r="H34070" s="8" t="s">
        <v>364</v>
      </c>
    </row>
    <row r="34071">
      <c r="H34071" s="8" t="s">
        <v>364</v>
      </c>
    </row>
    <row r="34072">
      <c r="H34072" s="8" t="s">
        <v>364</v>
      </c>
    </row>
    <row r="34073">
      <c r="H34073" s="8" t="s">
        <v>364</v>
      </c>
    </row>
    <row r="34074">
      <c r="H34074" s="8" t="s">
        <v>364</v>
      </c>
    </row>
    <row r="34075">
      <c r="H34075" s="8" t="s">
        <v>364</v>
      </c>
    </row>
    <row r="34076">
      <c r="H34076" s="8" t="s">
        <v>364</v>
      </c>
    </row>
    <row r="34077">
      <c r="H34077" s="8" t="s">
        <v>364</v>
      </c>
    </row>
    <row r="34078">
      <c r="H34078" s="8" t="s">
        <v>364</v>
      </c>
    </row>
    <row r="34079">
      <c r="H34079" s="8" t="s">
        <v>364</v>
      </c>
    </row>
    <row r="34080">
      <c r="H34080" s="8" t="s">
        <v>364</v>
      </c>
    </row>
    <row r="34081">
      <c r="H34081" s="8" t="s">
        <v>364</v>
      </c>
    </row>
    <row r="34082">
      <c r="H34082" s="8" t="s">
        <v>364</v>
      </c>
    </row>
    <row r="34083">
      <c r="H34083" s="8" t="s">
        <v>364</v>
      </c>
    </row>
    <row r="34084">
      <c r="H34084" s="8" t="s">
        <v>364</v>
      </c>
    </row>
    <row r="34085">
      <c r="H34085" s="8" t="s">
        <v>364</v>
      </c>
    </row>
    <row r="34086">
      <c r="H34086" s="8" t="s">
        <v>364</v>
      </c>
    </row>
    <row r="34087">
      <c r="H34087" s="8" t="s">
        <v>364</v>
      </c>
    </row>
    <row r="34088">
      <c r="H34088" s="8" t="s">
        <v>364</v>
      </c>
    </row>
    <row r="34089">
      <c r="H34089" s="8" t="s">
        <v>364</v>
      </c>
    </row>
    <row r="34090">
      <c r="H34090" s="8" t="s">
        <v>364</v>
      </c>
    </row>
    <row r="34091">
      <c r="H34091" s="8" t="s">
        <v>364</v>
      </c>
    </row>
    <row r="34092">
      <c r="H34092" s="8" t="s">
        <v>364</v>
      </c>
    </row>
    <row r="34093">
      <c r="H34093" s="8" t="s">
        <v>364</v>
      </c>
    </row>
    <row r="34094">
      <c r="H34094" s="8" t="s">
        <v>364</v>
      </c>
    </row>
    <row r="34095">
      <c r="H34095" s="8" t="s">
        <v>364</v>
      </c>
    </row>
    <row r="34096">
      <c r="H34096" s="8" t="s">
        <v>364</v>
      </c>
    </row>
    <row r="34097">
      <c r="H34097" s="8" t="s">
        <v>364</v>
      </c>
    </row>
    <row r="34098">
      <c r="H34098" s="8" t="s">
        <v>364</v>
      </c>
    </row>
    <row r="34099">
      <c r="H34099" s="8" t="s">
        <v>364</v>
      </c>
    </row>
    <row r="34100">
      <c r="H34100" s="8" t="s">
        <v>364</v>
      </c>
    </row>
    <row r="34101">
      <c r="H34101" s="8" t="s">
        <v>364</v>
      </c>
    </row>
    <row r="34102">
      <c r="H34102" s="8" t="s">
        <v>364</v>
      </c>
    </row>
    <row r="34103">
      <c r="H34103" s="8" t="s">
        <v>364</v>
      </c>
    </row>
    <row r="34104">
      <c r="H34104" s="8" t="s">
        <v>364</v>
      </c>
    </row>
    <row r="34105">
      <c r="H34105" s="8" t="s">
        <v>364</v>
      </c>
    </row>
    <row r="34106">
      <c r="H34106" s="8" t="s">
        <v>364</v>
      </c>
    </row>
    <row r="34107">
      <c r="H34107" s="8" t="s">
        <v>364</v>
      </c>
    </row>
    <row r="34108">
      <c r="H34108" s="8" t="s">
        <v>364</v>
      </c>
    </row>
    <row r="34109">
      <c r="H34109" s="8" t="s">
        <v>364</v>
      </c>
    </row>
    <row r="34110">
      <c r="H34110" s="8" t="s">
        <v>364</v>
      </c>
    </row>
    <row r="34111">
      <c r="H34111" s="8" t="s">
        <v>364</v>
      </c>
    </row>
    <row r="34112">
      <c r="H34112" s="8" t="s">
        <v>364</v>
      </c>
    </row>
    <row r="34113">
      <c r="H34113" s="8" t="s">
        <v>364</v>
      </c>
    </row>
    <row r="34114">
      <c r="H34114" s="8" t="s">
        <v>364</v>
      </c>
    </row>
    <row r="34115">
      <c r="H34115" s="8" t="s">
        <v>364</v>
      </c>
    </row>
    <row r="34116">
      <c r="H34116" s="8" t="s">
        <v>364</v>
      </c>
    </row>
    <row r="34117">
      <c r="H34117" s="8" t="s">
        <v>364</v>
      </c>
    </row>
    <row r="34118">
      <c r="H34118" s="8" t="s">
        <v>364</v>
      </c>
    </row>
    <row r="34119">
      <c r="H34119" s="8" t="s">
        <v>364</v>
      </c>
    </row>
    <row r="34120">
      <c r="H34120" s="8" t="s">
        <v>364</v>
      </c>
    </row>
    <row r="34121">
      <c r="H34121" s="8" t="s">
        <v>364</v>
      </c>
    </row>
    <row r="34122">
      <c r="H34122" s="8" t="s">
        <v>364</v>
      </c>
    </row>
    <row r="34123">
      <c r="H34123" s="8" t="s">
        <v>364</v>
      </c>
    </row>
    <row r="34124">
      <c r="H34124" s="8" t="s">
        <v>364</v>
      </c>
    </row>
    <row r="34125">
      <c r="H34125" s="8" t="s">
        <v>364</v>
      </c>
    </row>
    <row r="34126">
      <c r="H34126" s="8" t="s">
        <v>364</v>
      </c>
    </row>
    <row r="34127">
      <c r="H34127" s="8" t="s">
        <v>364</v>
      </c>
    </row>
    <row r="34128">
      <c r="H34128" s="8" t="s">
        <v>364</v>
      </c>
    </row>
    <row r="34129">
      <c r="H34129" s="8" t="s">
        <v>364</v>
      </c>
    </row>
    <row r="34130">
      <c r="H34130" s="8" t="s">
        <v>364</v>
      </c>
    </row>
    <row r="34131">
      <c r="H34131" s="8" t="s">
        <v>364</v>
      </c>
    </row>
    <row r="34132">
      <c r="H34132" s="8" t="s">
        <v>364</v>
      </c>
    </row>
    <row r="34133">
      <c r="H34133" s="8" t="s">
        <v>364</v>
      </c>
    </row>
    <row r="34134">
      <c r="H34134" s="8" t="s">
        <v>364</v>
      </c>
    </row>
    <row r="34135">
      <c r="H34135" s="8" t="s">
        <v>364</v>
      </c>
    </row>
    <row r="34136">
      <c r="H34136" s="8" t="s">
        <v>364</v>
      </c>
    </row>
    <row r="34137">
      <c r="H34137" s="8" t="s">
        <v>364</v>
      </c>
    </row>
    <row r="34138">
      <c r="H34138" s="8" t="s">
        <v>364</v>
      </c>
    </row>
    <row r="34139">
      <c r="H34139" s="8" t="s">
        <v>364</v>
      </c>
    </row>
    <row r="34140">
      <c r="H34140" s="8" t="s">
        <v>364</v>
      </c>
    </row>
    <row r="34141">
      <c r="H34141" s="8" t="s">
        <v>364</v>
      </c>
    </row>
    <row r="34142">
      <c r="H34142" s="8" t="s">
        <v>364</v>
      </c>
    </row>
    <row r="34143">
      <c r="H34143" s="8" t="s">
        <v>364</v>
      </c>
    </row>
    <row r="34144">
      <c r="H34144" s="8" t="s">
        <v>364</v>
      </c>
    </row>
    <row r="34145">
      <c r="H34145" s="8" t="s">
        <v>364</v>
      </c>
    </row>
    <row r="34146">
      <c r="H34146" s="8" t="s">
        <v>364</v>
      </c>
    </row>
    <row r="34147">
      <c r="H34147" s="8" t="s">
        <v>364</v>
      </c>
    </row>
    <row r="34148">
      <c r="H34148" s="8" t="s">
        <v>364</v>
      </c>
    </row>
    <row r="34149">
      <c r="H34149" s="8" t="s">
        <v>364</v>
      </c>
    </row>
    <row r="34150">
      <c r="H34150" s="8" t="s">
        <v>364</v>
      </c>
    </row>
    <row r="34151">
      <c r="H34151" s="8" t="s">
        <v>364</v>
      </c>
    </row>
    <row r="34152">
      <c r="H34152" s="8" t="s">
        <v>364</v>
      </c>
    </row>
    <row r="34153">
      <c r="H34153" s="8" t="s">
        <v>364</v>
      </c>
    </row>
    <row r="34154">
      <c r="H34154" s="8" t="s">
        <v>364</v>
      </c>
    </row>
    <row r="34155">
      <c r="H34155" s="8" t="s">
        <v>364</v>
      </c>
    </row>
    <row r="34156">
      <c r="H34156" s="8" t="s">
        <v>364</v>
      </c>
    </row>
    <row r="34157">
      <c r="H34157" s="8" t="s">
        <v>364</v>
      </c>
    </row>
    <row r="34158">
      <c r="H34158" s="8" t="s">
        <v>364</v>
      </c>
    </row>
    <row r="34159">
      <c r="H34159" s="8" t="s">
        <v>364</v>
      </c>
    </row>
    <row r="34160">
      <c r="H34160" s="8" t="s">
        <v>364</v>
      </c>
    </row>
    <row r="34161">
      <c r="H34161" s="8" t="s">
        <v>364</v>
      </c>
    </row>
    <row r="34162">
      <c r="H34162" s="8" t="s">
        <v>364</v>
      </c>
    </row>
    <row r="34163">
      <c r="H34163" s="8" t="s">
        <v>364</v>
      </c>
    </row>
    <row r="34164">
      <c r="H34164" s="8" t="s">
        <v>364</v>
      </c>
    </row>
    <row r="34165">
      <c r="H34165" s="8" t="s">
        <v>364</v>
      </c>
    </row>
    <row r="34166">
      <c r="H34166" s="8" t="s">
        <v>364</v>
      </c>
    </row>
    <row r="34167">
      <c r="H34167" s="8" t="s">
        <v>364</v>
      </c>
    </row>
    <row r="34168">
      <c r="H34168" s="8" t="s">
        <v>364</v>
      </c>
    </row>
    <row r="34169">
      <c r="H34169" s="8" t="s">
        <v>364</v>
      </c>
    </row>
    <row r="34170">
      <c r="H34170" s="8" t="s">
        <v>364</v>
      </c>
    </row>
    <row r="34171">
      <c r="H34171" s="8" t="s">
        <v>364</v>
      </c>
    </row>
    <row r="34172">
      <c r="H34172" s="8" t="s">
        <v>364</v>
      </c>
    </row>
    <row r="34173">
      <c r="H34173" s="8" t="s">
        <v>364</v>
      </c>
    </row>
    <row r="34174">
      <c r="H34174" s="8" t="s">
        <v>364</v>
      </c>
    </row>
    <row r="34175">
      <c r="H34175" s="8" t="s">
        <v>364</v>
      </c>
    </row>
    <row r="34176">
      <c r="H34176" s="8" t="s">
        <v>364</v>
      </c>
    </row>
    <row r="34177">
      <c r="H34177" s="8" t="s">
        <v>364</v>
      </c>
    </row>
    <row r="34178">
      <c r="H34178" s="8" t="s">
        <v>364</v>
      </c>
    </row>
    <row r="34179">
      <c r="H34179" s="8" t="s">
        <v>364</v>
      </c>
    </row>
    <row r="34180">
      <c r="H34180" s="8" t="s">
        <v>364</v>
      </c>
    </row>
    <row r="34181">
      <c r="H34181" s="8" t="s">
        <v>364</v>
      </c>
    </row>
    <row r="34182">
      <c r="H34182" s="8" t="s">
        <v>364</v>
      </c>
    </row>
    <row r="34183">
      <c r="H34183" s="8" t="s">
        <v>364</v>
      </c>
    </row>
    <row r="34184">
      <c r="H34184" s="8" t="s">
        <v>364</v>
      </c>
    </row>
    <row r="34185">
      <c r="H34185" s="8" t="s">
        <v>364</v>
      </c>
    </row>
    <row r="34186">
      <c r="H34186" s="8" t="s">
        <v>364</v>
      </c>
    </row>
    <row r="34187">
      <c r="H34187" s="8" t="s">
        <v>364</v>
      </c>
    </row>
    <row r="34188">
      <c r="H34188" s="8" t="s">
        <v>364</v>
      </c>
    </row>
    <row r="34189">
      <c r="H34189" s="8" t="s">
        <v>364</v>
      </c>
    </row>
    <row r="34190">
      <c r="H34190" s="8" t="s">
        <v>364</v>
      </c>
    </row>
    <row r="34191">
      <c r="H34191" s="8" t="s">
        <v>364</v>
      </c>
    </row>
    <row r="34192">
      <c r="H34192" s="8" t="s">
        <v>364</v>
      </c>
    </row>
    <row r="34193">
      <c r="H34193" s="8" t="s">
        <v>364</v>
      </c>
    </row>
    <row r="34194">
      <c r="H34194" s="8" t="s">
        <v>364</v>
      </c>
    </row>
    <row r="34195">
      <c r="H34195" s="8" t="s">
        <v>364</v>
      </c>
    </row>
    <row r="34196">
      <c r="H34196" s="8" t="s">
        <v>364</v>
      </c>
    </row>
    <row r="34197">
      <c r="H34197" s="8" t="s">
        <v>364</v>
      </c>
    </row>
    <row r="34198">
      <c r="H34198" s="8" t="s">
        <v>364</v>
      </c>
    </row>
    <row r="34199">
      <c r="H34199" s="8" t="s">
        <v>364</v>
      </c>
    </row>
    <row r="34200">
      <c r="H34200" s="8" t="s">
        <v>364</v>
      </c>
    </row>
    <row r="34201">
      <c r="H34201" s="8" t="s">
        <v>364</v>
      </c>
    </row>
    <row r="34202">
      <c r="H34202" s="8" t="s">
        <v>364</v>
      </c>
    </row>
    <row r="34203">
      <c r="H34203" s="8" t="s">
        <v>364</v>
      </c>
    </row>
    <row r="34204">
      <c r="H34204" s="8" t="s">
        <v>364</v>
      </c>
    </row>
    <row r="34205">
      <c r="H34205" s="8" t="s">
        <v>364</v>
      </c>
    </row>
    <row r="34206">
      <c r="H34206" s="8" t="s">
        <v>364</v>
      </c>
    </row>
    <row r="34207">
      <c r="H34207" s="8" t="s">
        <v>364</v>
      </c>
    </row>
    <row r="34208">
      <c r="H34208" s="8" t="s">
        <v>364</v>
      </c>
    </row>
    <row r="34209">
      <c r="H34209" s="8" t="s">
        <v>364</v>
      </c>
    </row>
    <row r="34210">
      <c r="H34210" s="8" t="s">
        <v>364</v>
      </c>
    </row>
    <row r="34211">
      <c r="H34211" s="8" t="s">
        <v>364</v>
      </c>
    </row>
    <row r="34212">
      <c r="H34212" s="8" t="s">
        <v>364</v>
      </c>
    </row>
    <row r="34213">
      <c r="H34213" s="8" t="s">
        <v>364</v>
      </c>
    </row>
    <row r="34214">
      <c r="H34214" s="8" t="s">
        <v>364</v>
      </c>
    </row>
    <row r="34215">
      <c r="H34215" s="8" t="s">
        <v>364</v>
      </c>
    </row>
    <row r="34216">
      <c r="H34216" s="8" t="s">
        <v>364</v>
      </c>
    </row>
    <row r="34217">
      <c r="H34217" s="8" t="s">
        <v>364</v>
      </c>
    </row>
    <row r="34218">
      <c r="H34218" s="8" t="s">
        <v>364</v>
      </c>
    </row>
    <row r="34219">
      <c r="H34219" s="8" t="s">
        <v>364</v>
      </c>
    </row>
    <row r="34220">
      <c r="H34220" s="8" t="s">
        <v>364</v>
      </c>
    </row>
    <row r="34221">
      <c r="H34221" s="8" t="s">
        <v>364</v>
      </c>
    </row>
    <row r="34222">
      <c r="H34222" s="8" t="s">
        <v>364</v>
      </c>
    </row>
    <row r="34223">
      <c r="H34223" s="8" t="s">
        <v>364</v>
      </c>
    </row>
    <row r="34224">
      <c r="H34224" s="8" t="s">
        <v>364</v>
      </c>
    </row>
    <row r="34225">
      <c r="H34225" s="8" t="s">
        <v>364</v>
      </c>
    </row>
    <row r="34226">
      <c r="H34226" s="8" t="s">
        <v>364</v>
      </c>
    </row>
    <row r="34227">
      <c r="H34227" s="8" t="s">
        <v>364</v>
      </c>
    </row>
    <row r="34228">
      <c r="H34228" s="8" t="s">
        <v>364</v>
      </c>
    </row>
    <row r="34229">
      <c r="H34229" s="8" t="s">
        <v>364</v>
      </c>
    </row>
    <row r="34230">
      <c r="H34230" s="8" t="s">
        <v>364</v>
      </c>
    </row>
    <row r="34231">
      <c r="H34231" s="8" t="s">
        <v>364</v>
      </c>
    </row>
    <row r="34232">
      <c r="H34232" s="8" t="s">
        <v>364</v>
      </c>
    </row>
    <row r="34233">
      <c r="H34233" s="8" t="s">
        <v>364</v>
      </c>
    </row>
    <row r="34234">
      <c r="H34234" s="8" t="s">
        <v>364</v>
      </c>
    </row>
    <row r="34235">
      <c r="H34235" s="8" t="s">
        <v>364</v>
      </c>
    </row>
    <row r="34236">
      <c r="H34236" s="8" t="s">
        <v>364</v>
      </c>
    </row>
    <row r="34237">
      <c r="H34237" s="8" t="s">
        <v>364</v>
      </c>
    </row>
    <row r="34238">
      <c r="H34238" s="8" t="s">
        <v>364</v>
      </c>
    </row>
    <row r="34239">
      <c r="H34239" s="8" t="s">
        <v>364</v>
      </c>
    </row>
    <row r="34240">
      <c r="H34240" s="8" t="s">
        <v>364</v>
      </c>
    </row>
    <row r="34241">
      <c r="H34241" s="8" t="s">
        <v>364</v>
      </c>
    </row>
    <row r="34242">
      <c r="H34242" s="8" t="s">
        <v>364</v>
      </c>
    </row>
    <row r="34243">
      <c r="H34243" s="8" t="s">
        <v>364</v>
      </c>
    </row>
    <row r="34244">
      <c r="H34244" s="8" t="s">
        <v>364</v>
      </c>
    </row>
    <row r="34245">
      <c r="H34245" s="8" t="s">
        <v>364</v>
      </c>
    </row>
    <row r="34246">
      <c r="H34246" s="8" t="s">
        <v>364</v>
      </c>
    </row>
    <row r="34247">
      <c r="H34247" s="8" t="s">
        <v>364</v>
      </c>
    </row>
    <row r="34248">
      <c r="H34248" s="8" t="s">
        <v>364</v>
      </c>
    </row>
    <row r="34249">
      <c r="H34249" s="8" t="s">
        <v>364</v>
      </c>
    </row>
    <row r="34250">
      <c r="H34250" s="8" t="s">
        <v>364</v>
      </c>
    </row>
    <row r="34251">
      <c r="H34251" s="8" t="s">
        <v>364</v>
      </c>
    </row>
    <row r="34252">
      <c r="H34252" s="8" t="s">
        <v>364</v>
      </c>
    </row>
    <row r="34253">
      <c r="H34253" s="8" t="s">
        <v>364</v>
      </c>
    </row>
    <row r="34254">
      <c r="H34254" s="8" t="s">
        <v>364</v>
      </c>
    </row>
    <row r="34255">
      <c r="H34255" s="8" t="s">
        <v>364</v>
      </c>
    </row>
    <row r="34256">
      <c r="H34256" s="8" t="s">
        <v>364</v>
      </c>
    </row>
    <row r="34257">
      <c r="H34257" s="8" t="s">
        <v>364</v>
      </c>
    </row>
    <row r="34258">
      <c r="H34258" s="8" t="s">
        <v>364</v>
      </c>
    </row>
    <row r="34259">
      <c r="H34259" s="8" t="s">
        <v>364</v>
      </c>
    </row>
    <row r="34260">
      <c r="H34260" s="8" t="s">
        <v>364</v>
      </c>
    </row>
    <row r="34261">
      <c r="H34261" s="8" t="s">
        <v>364</v>
      </c>
    </row>
    <row r="34262">
      <c r="H34262" s="8" t="s">
        <v>364</v>
      </c>
    </row>
    <row r="34263">
      <c r="H34263" s="8" t="s">
        <v>364</v>
      </c>
    </row>
    <row r="34264">
      <c r="H34264" s="8" t="s">
        <v>364</v>
      </c>
    </row>
    <row r="34265">
      <c r="H34265" s="8" t="s">
        <v>364</v>
      </c>
    </row>
    <row r="34266">
      <c r="H34266" s="8" t="s">
        <v>364</v>
      </c>
    </row>
    <row r="34267">
      <c r="H34267" s="8" t="s">
        <v>364</v>
      </c>
    </row>
    <row r="34268">
      <c r="H34268" s="8" t="s">
        <v>364</v>
      </c>
    </row>
    <row r="34269">
      <c r="H34269" s="8" t="s">
        <v>364</v>
      </c>
    </row>
    <row r="34270">
      <c r="H34270" s="8" t="s">
        <v>364</v>
      </c>
    </row>
    <row r="34271">
      <c r="H34271" s="8" t="s">
        <v>364</v>
      </c>
    </row>
    <row r="34272">
      <c r="H34272" s="8" t="s">
        <v>364</v>
      </c>
    </row>
    <row r="34273">
      <c r="H34273" s="8" t="s">
        <v>364</v>
      </c>
    </row>
    <row r="34274">
      <c r="H34274" s="8" t="s">
        <v>364</v>
      </c>
    </row>
    <row r="34275">
      <c r="H34275" s="8" t="s">
        <v>364</v>
      </c>
    </row>
    <row r="34276">
      <c r="H34276" s="8" t="s">
        <v>364</v>
      </c>
    </row>
    <row r="34277">
      <c r="H34277" s="8" t="s">
        <v>364</v>
      </c>
    </row>
    <row r="34278">
      <c r="H34278" s="8" t="s">
        <v>364</v>
      </c>
    </row>
    <row r="34279">
      <c r="H34279" s="8" t="s">
        <v>364</v>
      </c>
    </row>
    <row r="34280">
      <c r="H34280" s="8" t="s">
        <v>364</v>
      </c>
    </row>
    <row r="34281">
      <c r="H34281" s="8" t="s">
        <v>364</v>
      </c>
    </row>
    <row r="34282">
      <c r="H34282" s="8" t="s">
        <v>364</v>
      </c>
    </row>
    <row r="34283">
      <c r="H34283" s="8" t="s">
        <v>364</v>
      </c>
    </row>
    <row r="34284">
      <c r="H34284" s="8" t="s">
        <v>364</v>
      </c>
    </row>
    <row r="34285">
      <c r="H34285" s="8" t="s">
        <v>364</v>
      </c>
    </row>
    <row r="34286">
      <c r="H34286" s="8" t="s">
        <v>364</v>
      </c>
    </row>
    <row r="34287">
      <c r="H34287" s="8" t="s">
        <v>364</v>
      </c>
    </row>
    <row r="34288">
      <c r="H34288" s="8" t="s">
        <v>364</v>
      </c>
    </row>
    <row r="34289">
      <c r="H34289" s="8" t="s">
        <v>364</v>
      </c>
    </row>
    <row r="34290">
      <c r="H34290" s="8" t="s">
        <v>364</v>
      </c>
    </row>
    <row r="34291">
      <c r="H34291" s="8" t="s">
        <v>364</v>
      </c>
    </row>
    <row r="34292">
      <c r="H34292" s="8" t="s">
        <v>364</v>
      </c>
    </row>
    <row r="34293">
      <c r="H34293" s="8" t="s">
        <v>364</v>
      </c>
    </row>
    <row r="34294">
      <c r="H34294" s="8" t="s">
        <v>364</v>
      </c>
    </row>
    <row r="34295">
      <c r="H34295" s="8" t="s">
        <v>364</v>
      </c>
    </row>
    <row r="34296">
      <c r="H34296" s="8" t="s">
        <v>364</v>
      </c>
    </row>
    <row r="34297">
      <c r="H34297" s="8" t="s">
        <v>364</v>
      </c>
    </row>
    <row r="34298">
      <c r="H34298" s="8" t="s">
        <v>364</v>
      </c>
    </row>
    <row r="34299">
      <c r="H34299" s="8" t="s">
        <v>364</v>
      </c>
    </row>
    <row r="34300">
      <c r="H34300" s="8" t="s">
        <v>364</v>
      </c>
    </row>
    <row r="34301">
      <c r="H34301" s="8" t="s">
        <v>364</v>
      </c>
    </row>
    <row r="34302">
      <c r="H34302" s="8" t="s">
        <v>364</v>
      </c>
    </row>
    <row r="34303">
      <c r="H34303" s="8" t="s">
        <v>364</v>
      </c>
    </row>
    <row r="34304">
      <c r="H34304" s="8" t="s">
        <v>364</v>
      </c>
    </row>
    <row r="34305">
      <c r="H34305" s="8" t="s">
        <v>364</v>
      </c>
    </row>
    <row r="34306">
      <c r="H34306" s="8" t="s">
        <v>364</v>
      </c>
    </row>
    <row r="34307">
      <c r="H34307" s="8" t="s">
        <v>364</v>
      </c>
    </row>
    <row r="34308">
      <c r="H34308" s="8" t="s">
        <v>364</v>
      </c>
    </row>
    <row r="34309">
      <c r="H34309" s="8" t="s">
        <v>364</v>
      </c>
    </row>
    <row r="34310">
      <c r="H34310" s="8" t="s">
        <v>364</v>
      </c>
    </row>
    <row r="34311">
      <c r="H34311" s="8" t="s">
        <v>364</v>
      </c>
    </row>
    <row r="34312">
      <c r="H34312" s="8" t="s">
        <v>364</v>
      </c>
    </row>
    <row r="34313">
      <c r="H34313" s="8" t="s">
        <v>364</v>
      </c>
    </row>
    <row r="34314">
      <c r="H34314" s="8" t="s">
        <v>364</v>
      </c>
    </row>
    <row r="34315">
      <c r="H34315" s="8" t="s">
        <v>364</v>
      </c>
    </row>
    <row r="34316">
      <c r="H34316" s="8" t="s">
        <v>364</v>
      </c>
    </row>
    <row r="34317">
      <c r="H34317" s="8" t="s">
        <v>364</v>
      </c>
    </row>
    <row r="34318">
      <c r="H34318" s="8" t="s">
        <v>364</v>
      </c>
    </row>
    <row r="34319">
      <c r="H34319" s="8" t="s">
        <v>364</v>
      </c>
    </row>
    <row r="34320">
      <c r="H34320" s="8" t="s">
        <v>364</v>
      </c>
    </row>
    <row r="34321">
      <c r="H34321" s="8" t="s">
        <v>364</v>
      </c>
    </row>
    <row r="34322">
      <c r="H34322" s="8" t="s">
        <v>364</v>
      </c>
    </row>
    <row r="34323">
      <c r="H34323" s="8" t="s">
        <v>364</v>
      </c>
    </row>
    <row r="34324">
      <c r="H34324" s="8" t="s">
        <v>364</v>
      </c>
    </row>
    <row r="34325">
      <c r="H34325" s="8" t="s">
        <v>364</v>
      </c>
    </row>
    <row r="34326">
      <c r="H34326" s="8" t="s">
        <v>364</v>
      </c>
    </row>
    <row r="34327">
      <c r="H34327" s="8" t="s">
        <v>364</v>
      </c>
    </row>
    <row r="34328">
      <c r="H34328" s="8" t="s">
        <v>364</v>
      </c>
    </row>
    <row r="34329">
      <c r="H34329" s="8" t="s">
        <v>364</v>
      </c>
    </row>
    <row r="34330">
      <c r="H34330" s="8" t="s">
        <v>364</v>
      </c>
    </row>
    <row r="34331">
      <c r="H34331" s="8" t="s">
        <v>364</v>
      </c>
    </row>
    <row r="34332">
      <c r="H34332" s="8" t="s">
        <v>364</v>
      </c>
    </row>
    <row r="34333">
      <c r="H34333" s="8" t="s">
        <v>364</v>
      </c>
    </row>
    <row r="34334">
      <c r="H34334" s="8" t="s">
        <v>364</v>
      </c>
    </row>
    <row r="34335">
      <c r="H34335" s="8" t="s">
        <v>364</v>
      </c>
    </row>
    <row r="34336">
      <c r="H34336" s="8" t="s">
        <v>364</v>
      </c>
    </row>
    <row r="34337">
      <c r="H34337" s="8" t="s">
        <v>364</v>
      </c>
    </row>
    <row r="34338">
      <c r="H34338" s="8" t="s">
        <v>364</v>
      </c>
    </row>
    <row r="34339">
      <c r="H34339" s="8" t="s">
        <v>364</v>
      </c>
    </row>
    <row r="34340">
      <c r="H34340" s="8" t="s">
        <v>364</v>
      </c>
    </row>
    <row r="34341">
      <c r="H34341" s="8" t="s">
        <v>364</v>
      </c>
    </row>
    <row r="34342">
      <c r="H34342" s="8" t="s">
        <v>364</v>
      </c>
    </row>
    <row r="34343">
      <c r="H34343" s="8" t="s">
        <v>364</v>
      </c>
    </row>
    <row r="34344">
      <c r="H34344" s="8" t="s">
        <v>364</v>
      </c>
    </row>
    <row r="34345">
      <c r="H34345" s="8" t="s">
        <v>364</v>
      </c>
    </row>
    <row r="34346">
      <c r="H34346" s="8" t="s">
        <v>364</v>
      </c>
    </row>
    <row r="34347">
      <c r="H34347" s="8" t="s">
        <v>364</v>
      </c>
    </row>
    <row r="34348">
      <c r="H34348" s="8" t="s">
        <v>364</v>
      </c>
    </row>
    <row r="34349">
      <c r="H34349" s="8" t="s">
        <v>364</v>
      </c>
    </row>
    <row r="34350">
      <c r="H34350" s="8" t="s">
        <v>364</v>
      </c>
    </row>
    <row r="34351">
      <c r="H34351" s="8" t="s">
        <v>364</v>
      </c>
    </row>
    <row r="34352">
      <c r="H34352" s="8" t="s">
        <v>364</v>
      </c>
    </row>
    <row r="34353">
      <c r="H34353" s="8" t="s">
        <v>364</v>
      </c>
    </row>
    <row r="34354">
      <c r="H34354" s="8" t="s">
        <v>364</v>
      </c>
    </row>
    <row r="34355">
      <c r="H34355" s="8" t="s">
        <v>364</v>
      </c>
    </row>
    <row r="34356">
      <c r="H34356" s="8" t="s">
        <v>364</v>
      </c>
    </row>
    <row r="34357">
      <c r="H34357" s="8" t="s">
        <v>364</v>
      </c>
    </row>
    <row r="34358">
      <c r="H34358" s="8" t="s">
        <v>364</v>
      </c>
    </row>
    <row r="34359">
      <c r="H34359" s="8" t="s">
        <v>364</v>
      </c>
    </row>
    <row r="34360">
      <c r="H34360" s="8" t="s">
        <v>364</v>
      </c>
    </row>
    <row r="34361">
      <c r="H34361" s="8" t="s">
        <v>364</v>
      </c>
    </row>
    <row r="34362">
      <c r="H34362" s="8" t="s">
        <v>364</v>
      </c>
    </row>
    <row r="34363">
      <c r="H34363" s="8" t="s">
        <v>364</v>
      </c>
    </row>
    <row r="34364">
      <c r="H34364" s="8" t="s">
        <v>364</v>
      </c>
    </row>
    <row r="34365">
      <c r="H34365" s="8" t="s">
        <v>364</v>
      </c>
    </row>
    <row r="34366">
      <c r="H34366" s="8" t="s">
        <v>364</v>
      </c>
    </row>
    <row r="34367">
      <c r="H34367" s="8" t="s">
        <v>364</v>
      </c>
    </row>
    <row r="34368">
      <c r="H34368" s="8" t="s">
        <v>364</v>
      </c>
    </row>
    <row r="34369">
      <c r="H34369" s="8" t="s">
        <v>364</v>
      </c>
    </row>
    <row r="34370">
      <c r="H34370" s="8" t="s">
        <v>364</v>
      </c>
    </row>
    <row r="34371">
      <c r="H34371" s="8" t="s">
        <v>364</v>
      </c>
    </row>
    <row r="34372">
      <c r="H34372" s="8" t="s">
        <v>364</v>
      </c>
    </row>
    <row r="34373">
      <c r="H34373" s="8" t="s">
        <v>364</v>
      </c>
    </row>
    <row r="34374">
      <c r="H34374" s="8" t="s">
        <v>364</v>
      </c>
    </row>
    <row r="34375">
      <c r="H34375" s="8" t="s">
        <v>364</v>
      </c>
    </row>
    <row r="34376">
      <c r="H34376" s="8" t="s">
        <v>364</v>
      </c>
    </row>
    <row r="34377">
      <c r="H34377" s="8" t="s">
        <v>364</v>
      </c>
    </row>
    <row r="34378">
      <c r="H34378" s="8" t="s">
        <v>364</v>
      </c>
    </row>
    <row r="34379">
      <c r="H34379" s="8" t="s">
        <v>364</v>
      </c>
    </row>
    <row r="34380">
      <c r="H34380" s="8" t="s">
        <v>364</v>
      </c>
    </row>
    <row r="34381">
      <c r="H34381" s="8" t="s">
        <v>364</v>
      </c>
    </row>
    <row r="34382">
      <c r="H34382" s="8" t="s">
        <v>364</v>
      </c>
    </row>
    <row r="34383">
      <c r="H34383" s="8" t="s">
        <v>364</v>
      </c>
    </row>
    <row r="34384">
      <c r="H34384" s="8" t="s">
        <v>364</v>
      </c>
    </row>
    <row r="34385">
      <c r="H34385" s="8" t="s">
        <v>364</v>
      </c>
    </row>
    <row r="34386">
      <c r="H34386" s="8" t="s">
        <v>364</v>
      </c>
    </row>
    <row r="34387">
      <c r="H34387" s="8" t="s">
        <v>364</v>
      </c>
    </row>
    <row r="34388">
      <c r="H34388" s="8" t="s">
        <v>364</v>
      </c>
    </row>
    <row r="34389">
      <c r="H34389" s="8" t="s">
        <v>364</v>
      </c>
    </row>
    <row r="34390">
      <c r="H34390" s="8" t="s">
        <v>364</v>
      </c>
    </row>
    <row r="34391">
      <c r="H34391" s="8" t="s">
        <v>364</v>
      </c>
    </row>
    <row r="34392">
      <c r="H34392" s="8" t="s">
        <v>364</v>
      </c>
    </row>
    <row r="34393">
      <c r="H34393" s="8" t="s">
        <v>364</v>
      </c>
    </row>
    <row r="34394">
      <c r="H34394" s="8" t="s">
        <v>364</v>
      </c>
    </row>
    <row r="34395">
      <c r="H34395" s="8" t="s">
        <v>364</v>
      </c>
    </row>
    <row r="34396">
      <c r="H34396" s="8" t="s">
        <v>364</v>
      </c>
    </row>
    <row r="34397">
      <c r="H34397" s="8" t="s">
        <v>364</v>
      </c>
    </row>
    <row r="34398">
      <c r="H34398" s="8" t="s">
        <v>364</v>
      </c>
    </row>
    <row r="34399">
      <c r="H34399" s="8" t="s">
        <v>364</v>
      </c>
    </row>
    <row r="34400">
      <c r="H34400" s="8" t="s">
        <v>364</v>
      </c>
    </row>
    <row r="34401">
      <c r="H34401" s="8" t="s">
        <v>364</v>
      </c>
    </row>
    <row r="34402">
      <c r="H34402" s="8" t="s">
        <v>364</v>
      </c>
    </row>
    <row r="34403">
      <c r="H34403" s="8" t="s">
        <v>364</v>
      </c>
    </row>
    <row r="34404">
      <c r="H34404" s="8" t="s">
        <v>364</v>
      </c>
    </row>
    <row r="34405">
      <c r="H34405" s="8" t="s">
        <v>364</v>
      </c>
    </row>
    <row r="34406">
      <c r="H34406" s="8" t="s">
        <v>364</v>
      </c>
    </row>
    <row r="34407">
      <c r="H34407" s="8" t="s">
        <v>364</v>
      </c>
    </row>
    <row r="34408">
      <c r="H34408" s="8" t="s">
        <v>364</v>
      </c>
    </row>
    <row r="34409">
      <c r="H34409" s="8" t="s">
        <v>364</v>
      </c>
    </row>
    <row r="34410">
      <c r="H34410" s="8" t="s">
        <v>364</v>
      </c>
    </row>
    <row r="34411">
      <c r="H34411" s="8" t="s">
        <v>364</v>
      </c>
    </row>
    <row r="34412">
      <c r="H34412" s="8" t="s">
        <v>364</v>
      </c>
    </row>
    <row r="34413">
      <c r="H34413" s="8" t="s">
        <v>364</v>
      </c>
    </row>
    <row r="34414">
      <c r="H34414" s="8" t="s">
        <v>364</v>
      </c>
    </row>
    <row r="34415">
      <c r="H34415" s="8" t="s">
        <v>364</v>
      </c>
    </row>
    <row r="34416">
      <c r="H34416" s="8" t="s">
        <v>364</v>
      </c>
    </row>
    <row r="34417">
      <c r="H34417" s="8" t="s">
        <v>364</v>
      </c>
    </row>
    <row r="34418">
      <c r="H34418" s="8" t="s">
        <v>364</v>
      </c>
    </row>
    <row r="34419">
      <c r="H34419" s="8" t="s">
        <v>364</v>
      </c>
    </row>
    <row r="34420">
      <c r="H34420" s="8" t="s">
        <v>364</v>
      </c>
    </row>
    <row r="34421">
      <c r="H34421" s="8" t="s">
        <v>364</v>
      </c>
    </row>
    <row r="34422">
      <c r="H34422" s="8" t="s">
        <v>364</v>
      </c>
    </row>
    <row r="34423">
      <c r="H34423" s="8" t="s">
        <v>364</v>
      </c>
    </row>
    <row r="34424">
      <c r="H34424" s="8" t="s">
        <v>364</v>
      </c>
    </row>
    <row r="34425">
      <c r="H34425" s="8" t="s">
        <v>364</v>
      </c>
    </row>
    <row r="34426">
      <c r="H34426" s="8" t="s">
        <v>364</v>
      </c>
    </row>
    <row r="34427">
      <c r="H34427" s="8" t="s">
        <v>364</v>
      </c>
    </row>
    <row r="34428">
      <c r="H34428" s="8" t="s">
        <v>364</v>
      </c>
    </row>
    <row r="34429">
      <c r="H34429" s="8" t="s">
        <v>364</v>
      </c>
    </row>
    <row r="34430">
      <c r="H34430" s="8" t="s">
        <v>364</v>
      </c>
    </row>
    <row r="34431">
      <c r="H34431" s="8" t="s">
        <v>364</v>
      </c>
    </row>
    <row r="34432">
      <c r="H34432" s="8" t="s">
        <v>364</v>
      </c>
    </row>
    <row r="34433">
      <c r="H34433" s="8" t="s">
        <v>364</v>
      </c>
    </row>
    <row r="34434">
      <c r="H34434" s="8" t="s">
        <v>364</v>
      </c>
    </row>
    <row r="34435">
      <c r="H34435" s="8" t="s">
        <v>364</v>
      </c>
    </row>
    <row r="34436">
      <c r="H34436" s="8" t="s">
        <v>364</v>
      </c>
    </row>
    <row r="34437">
      <c r="H34437" s="8" t="s">
        <v>364</v>
      </c>
    </row>
    <row r="34438">
      <c r="H34438" s="8" t="s">
        <v>364</v>
      </c>
    </row>
    <row r="34439">
      <c r="H34439" s="8" t="s">
        <v>364</v>
      </c>
    </row>
    <row r="34440">
      <c r="H34440" s="8" t="s">
        <v>364</v>
      </c>
    </row>
    <row r="34441">
      <c r="H34441" s="8" t="s">
        <v>364</v>
      </c>
    </row>
    <row r="34442">
      <c r="H34442" s="8" t="s">
        <v>364</v>
      </c>
    </row>
    <row r="34443">
      <c r="H34443" s="8" t="s">
        <v>364</v>
      </c>
    </row>
    <row r="34444">
      <c r="H34444" s="8" t="s">
        <v>364</v>
      </c>
    </row>
    <row r="34445">
      <c r="H34445" s="8" t="s">
        <v>364</v>
      </c>
    </row>
    <row r="34446">
      <c r="H34446" s="8" t="s">
        <v>364</v>
      </c>
    </row>
    <row r="34447">
      <c r="H34447" s="8" t="s">
        <v>364</v>
      </c>
    </row>
    <row r="34448">
      <c r="H34448" s="8" t="s">
        <v>364</v>
      </c>
    </row>
    <row r="34449">
      <c r="H34449" s="8" t="s">
        <v>364</v>
      </c>
    </row>
    <row r="34450">
      <c r="H34450" s="8" t="s">
        <v>364</v>
      </c>
    </row>
    <row r="34451">
      <c r="H34451" s="8" t="s">
        <v>364</v>
      </c>
    </row>
    <row r="34452">
      <c r="H34452" s="8" t="s">
        <v>364</v>
      </c>
    </row>
    <row r="34453">
      <c r="H34453" s="8" t="s">
        <v>364</v>
      </c>
    </row>
    <row r="34454">
      <c r="H34454" s="8" t="s">
        <v>364</v>
      </c>
    </row>
    <row r="34455">
      <c r="H34455" s="8" t="s">
        <v>364</v>
      </c>
    </row>
    <row r="34456">
      <c r="H34456" s="8" t="s">
        <v>364</v>
      </c>
    </row>
    <row r="34457">
      <c r="H34457" s="8" t="s">
        <v>364</v>
      </c>
    </row>
    <row r="34458">
      <c r="H34458" s="8" t="s">
        <v>364</v>
      </c>
    </row>
    <row r="34459">
      <c r="H34459" s="8" t="s">
        <v>364</v>
      </c>
    </row>
    <row r="34460">
      <c r="H34460" s="8" t="s">
        <v>364</v>
      </c>
    </row>
    <row r="34461">
      <c r="H34461" s="8" t="s">
        <v>364</v>
      </c>
    </row>
    <row r="34462">
      <c r="H34462" s="8" t="s">
        <v>364</v>
      </c>
    </row>
    <row r="34463">
      <c r="H34463" s="8" t="s">
        <v>364</v>
      </c>
    </row>
    <row r="34464">
      <c r="H34464" s="8" t="s">
        <v>364</v>
      </c>
    </row>
    <row r="34465">
      <c r="H34465" s="8" t="s">
        <v>364</v>
      </c>
    </row>
    <row r="34466">
      <c r="H34466" s="8" t="s">
        <v>364</v>
      </c>
    </row>
    <row r="34467">
      <c r="H34467" s="8" t="s">
        <v>364</v>
      </c>
    </row>
    <row r="34468">
      <c r="H34468" s="8" t="s">
        <v>364</v>
      </c>
    </row>
    <row r="34469">
      <c r="H34469" s="8" t="s">
        <v>364</v>
      </c>
    </row>
    <row r="34470">
      <c r="H34470" s="8" t="s">
        <v>364</v>
      </c>
    </row>
    <row r="34471">
      <c r="H34471" s="8" t="s">
        <v>364</v>
      </c>
    </row>
    <row r="34472">
      <c r="H34472" s="8" t="s">
        <v>364</v>
      </c>
    </row>
    <row r="34473">
      <c r="H34473" s="8" t="s">
        <v>364</v>
      </c>
    </row>
    <row r="34474">
      <c r="H34474" s="8" t="s">
        <v>364</v>
      </c>
    </row>
    <row r="34475">
      <c r="H34475" s="8" t="s">
        <v>364</v>
      </c>
    </row>
    <row r="34476">
      <c r="H34476" s="8" t="s">
        <v>364</v>
      </c>
    </row>
    <row r="34477">
      <c r="H34477" s="8" t="s">
        <v>364</v>
      </c>
    </row>
    <row r="34478">
      <c r="H34478" s="8" t="s">
        <v>364</v>
      </c>
    </row>
    <row r="34479">
      <c r="H34479" s="8" t="s">
        <v>364</v>
      </c>
    </row>
    <row r="34480">
      <c r="H34480" s="8" t="s">
        <v>364</v>
      </c>
    </row>
    <row r="34481">
      <c r="H34481" s="8" t="s">
        <v>364</v>
      </c>
    </row>
    <row r="34482">
      <c r="H34482" s="8" t="s">
        <v>364</v>
      </c>
    </row>
    <row r="34483">
      <c r="H34483" s="8" t="s">
        <v>364</v>
      </c>
    </row>
    <row r="34484">
      <c r="H34484" s="8" t="s">
        <v>364</v>
      </c>
    </row>
    <row r="34485">
      <c r="H34485" s="8" t="s">
        <v>364</v>
      </c>
    </row>
    <row r="34486">
      <c r="H34486" s="8" t="s">
        <v>364</v>
      </c>
    </row>
    <row r="34487">
      <c r="H34487" s="8" t="s">
        <v>364</v>
      </c>
    </row>
    <row r="34488">
      <c r="H34488" s="8" t="s">
        <v>364</v>
      </c>
    </row>
    <row r="34489">
      <c r="H34489" s="8" t="s">
        <v>364</v>
      </c>
    </row>
    <row r="34490">
      <c r="H34490" s="8" t="s">
        <v>364</v>
      </c>
    </row>
    <row r="34491">
      <c r="H34491" s="8" t="s">
        <v>364</v>
      </c>
    </row>
    <row r="34492">
      <c r="H34492" s="8" t="s">
        <v>364</v>
      </c>
    </row>
    <row r="34493">
      <c r="H34493" s="8" t="s">
        <v>364</v>
      </c>
    </row>
    <row r="34494">
      <c r="H34494" s="8" t="s">
        <v>364</v>
      </c>
    </row>
    <row r="34495">
      <c r="H34495" s="8" t="s">
        <v>364</v>
      </c>
    </row>
    <row r="34496">
      <c r="H34496" s="8" t="s">
        <v>364</v>
      </c>
    </row>
    <row r="34497">
      <c r="H34497" s="8" t="s">
        <v>364</v>
      </c>
    </row>
    <row r="34498">
      <c r="H34498" s="8" t="s">
        <v>364</v>
      </c>
    </row>
    <row r="34499">
      <c r="H34499" s="8" t="s">
        <v>364</v>
      </c>
    </row>
    <row r="34500">
      <c r="H34500" s="8" t="s">
        <v>364</v>
      </c>
    </row>
    <row r="34501">
      <c r="H34501" s="8" t="s">
        <v>364</v>
      </c>
    </row>
    <row r="34502">
      <c r="H34502" s="8" t="s">
        <v>364</v>
      </c>
    </row>
    <row r="34503">
      <c r="H34503" s="8" t="s">
        <v>364</v>
      </c>
    </row>
    <row r="34504">
      <c r="H34504" s="8" t="s">
        <v>364</v>
      </c>
    </row>
    <row r="34505">
      <c r="H34505" s="8" t="s">
        <v>364</v>
      </c>
    </row>
    <row r="34506">
      <c r="H34506" s="8" t="s">
        <v>364</v>
      </c>
    </row>
    <row r="34507">
      <c r="H34507" s="8" t="s">
        <v>364</v>
      </c>
    </row>
    <row r="34508">
      <c r="H34508" s="8" t="s">
        <v>364</v>
      </c>
    </row>
    <row r="34509">
      <c r="H34509" s="8" t="s">
        <v>364</v>
      </c>
    </row>
    <row r="34510">
      <c r="H34510" s="8" t="s">
        <v>364</v>
      </c>
    </row>
    <row r="34511">
      <c r="H34511" s="8" t="s">
        <v>364</v>
      </c>
    </row>
    <row r="34512">
      <c r="H34512" s="8" t="s">
        <v>364</v>
      </c>
    </row>
    <row r="34513">
      <c r="H34513" s="8" t="s">
        <v>364</v>
      </c>
    </row>
    <row r="34514">
      <c r="H34514" s="8" t="s">
        <v>364</v>
      </c>
    </row>
    <row r="34515">
      <c r="H34515" s="8" t="s">
        <v>364</v>
      </c>
    </row>
    <row r="34516">
      <c r="H34516" s="8" t="s">
        <v>364</v>
      </c>
    </row>
    <row r="34517">
      <c r="H34517" s="8" t="s">
        <v>364</v>
      </c>
    </row>
    <row r="34518">
      <c r="H34518" s="8" t="s">
        <v>364</v>
      </c>
    </row>
    <row r="34519">
      <c r="H34519" s="8" t="s">
        <v>364</v>
      </c>
    </row>
    <row r="34520">
      <c r="H34520" s="8" t="s">
        <v>364</v>
      </c>
    </row>
    <row r="34521">
      <c r="H34521" s="8" t="s">
        <v>364</v>
      </c>
    </row>
    <row r="34522">
      <c r="H34522" s="8" t="s">
        <v>364</v>
      </c>
    </row>
    <row r="34523">
      <c r="H34523" s="8" t="s">
        <v>364</v>
      </c>
    </row>
    <row r="34524">
      <c r="H34524" s="8" t="s">
        <v>364</v>
      </c>
    </row>
    <row r="34525">
      <c r="H34525" s="8" t="s">
        <v>364</v>
      </c>
    </row>
    <row r="34526">
      <c r="H34526" s="8" t="s">
        <v>364</v>
      </c>
    </row>
    <row r="34527">
      <c r="H34527" s="8" t="s">
        <v>364</v>
      </c>
    </row>
    <row r="34528">
      <c r="H34528" s="8" t="s">
        <v>364</v>
      </c>
    </row>
    <row r="34529">
      <c r="H34529" s="8" t="s">
        <v>364</v>
      </c>
    </row>
    <row r="34530">
      <c r="H34530" s="8" t="s">
        <v>364</v>
      </c>
    </row>
    <row r="34531">
      <c r="H34531" s="8" t="s">
        <v>364</v>
      </c>
    </row>
    <row r="34532">
      <c r="H34532" s="8" t="s">
        <v>364</v>
      </c>
    </row>
    <row r="34533">
      <c r="H34533" s="8" t="s">
        <v>364</v>
      </c>
    </row>
    <row r="34534">
      <c r="H34534" s="8" t="s">
        <v>364</v>
      </c>
    </row>
    <row r="34535">
      <c r="H34535" s="8" t="s">
        <v>364</v>
      </c>
    </row>
    <row r="34536">
      <c r="H34536" s="8" t="s">
        <v>364</v>
      </c>
    </row>
    <row r="34537">
      <c r="H34537" s="8" t="s">
        <v>364</v>
      </c>
    </row>
    <row r="34538">
      <c r="H34538" s="8" t="s">
        <v>364</v>
      </c>
    </row>
    <row r="34539">
      <c r="H34539" s="8" t="s">
        <v>364</v>
      </c>
    </row>
    <row r="34540">
      <c r="H34540" s="8" t="s">
        <v>364</v>
      </c>
    </row>
    <row r="34541">
      <c r="H34541" s="8" t="s">
        <v>364</v>
      </c>
    </row>
    <row r="34542">
      <c r="H34542" s="8" t="s">
        <v>364</v>
      </c>
    </row>
    <row r="34543">
      <c r="H34543" s="8" t="s">
        <v>364</v>
      </c>
    </row>
    <row r="34544">
      <c r="H34544" s="8" t="s">
        <v>364</v>
      </c>
    </row>
    <row r="34545">
      <c r="H34545" s="8" t="s">
        <v>364</v>
      </c>
    </row>
    <row r="34546">
      <c r="H34546" s="8" t="s">
        <v>364</v>
      </c>
    </row>
    <row r="34547">
      <c r="H34547" s="8" t="s">
        <v>364</v>
      </c>
    </row>
    <row r="34548">
      <c r="H34548" s="8" t="s">
        <v>364</v>
      </c>
    </row>
    <row r="34549">
      <c r="H34549" s="8" t="s">
        <v>364</v>
      </c>
    </row>
    <row r="34550">
      <c r="H34550" s="8" t="s">
        <v>364</v>
      </c>
    </row>
    <row r="34551">
      <c r="H34551" s="8" t="s">
        <v>364</v>
      </c>
    </row>
    <row r="34552">
      <c r="H34552" s="8" t="s">
        <v>364</v>
      </c>
    </row>
    <row r="34553">
      <c r="H34553" s="8" t="s">
        <v>364</v>
      </c>
    </row>
    <row r="34554">
      <c r="H34554" s="8" t="s">
        <v>364</v>
      </c>
    </row>
    <row r="34555">
      <c r="H34555" s="8" t="s">
        <v>364</v>
      </c>
    </row>
    <row r="34556">
      <c r="H34556" s="8" t="s">
        <v>364</v>
      </c>
    </row>
    <row r="34557">
      <c r="H34557" s="8" t="s">
        <v>364</v>
      </c>
    </row>
    <row r="34558">
      <c r="H34558" s="8" t="s">
        <v>364</v>
      </c>
    </row>
    <row r="34559">
      <c r="H34559" s="8" t="s">
        <v>364</v>
      </c>
    </row>
    <row r="34560">
      <c r="H34560" s="8" t="s">
        <v>364</v>
      </c>
    </row>
    <row r="34561">
      <c r="H34561" s="8" t="s">
        <v>364</v>
      </c>
    </row>
    <row r="34562">
      <c r="H34562" s="8" t="s">
        <v>364</v>
      </c>
    </row>
    <row r="34563">
      <c r="H34563" s="8" t="s">
        <v>364</v>
      </c>
    </row>
    <row r="34564">
      <c r="H34564" s="8" t="s">
        <v>364</v>
      </c>
    </row>
    <row r="34565">
      <c r="H34565" s="8" t="s">
        <v>364</v>
      </c>
    </row>
    <row r="34566">
      <c r="H34566" s="8" t="s">
        <v>364</v>
      </c>
    </row>
    <row r="34567">
      <c r="H34567" s="8" t="s">
        <v>364</v>
      </c>
    </row>
    <row r="34568">
      <c r="H34568" s="8" t="s">
        <v>364</v>
      </c>
    </row>
    <row r="34569">
      <c r="H34569" s="8" t="s">
        <v>364</v>
      </c>
    </row>
    <row r="34570">
      <c r="H34570" s="8" t="s">
        <v>364</v>
      </c>
    </row>
    <row r="34571">
      <c r="H34571" s="8" t="s">
        <v>364</v>
      </c>
    </row>
    <row r="34572">
      <c r="H34572" s="8" t="s">
        <v>364</v>
      </c>
    </row>
    <row r="34573">
      <c r="H34573" s="8" t="s">
        <v>364</v>
      </c>
    </row>
    <row r="34574">
      <c r="H34574" s="8" t="s">
        <v>364</v>
      </c>
    </row>
    <row r="34575">
      <c r="H34575" s="8" t="s">
        <v>364</v>
      </c>
    </row>
    <row r="34576">
      <c r="H34576" s="8" t="s">
        <v>364</v>
      </c>
    </row>
    <row r="34577">
      <c r="H34577" s="8" t="s">
        <v>364</v>
      </c>
    </row>
    <row r="34578">
      <c r="H34578" s="8" t="s">
        <v>364</v>
      </c>
    </row>
    <row r="34579">
      <c r="H34579" s="8" t="s">
        <v>364</v>
      </c>
    </row>
    <row r="34580">
      <c r="H34580" s="8" t="s">
        <v>364</v>
      </c>
    </row>
    <row r="34581">
      <c r="H34581" s="8" t="s">
        <v>364</v>
      </c>
    </row>
    <row r="34582">
      <c r="H34582" s="8" t="s">
        <v>364</v>
      </c>
    </row>
    <row r="34583">
      <c r="H34583" s="8" t="s">
        <v>364</v>
      </c>
    </row>
    <row r="34584">
      <c r="H34584" s="8" t="s">
        <v>364</v>
      </c>
    </row>
    <row r="34585">
      <c r="H34585" s="8" t="s">
        <v>364</v>
      </c>
    </row>
    <row r="34586">
      <c r="H34586" s="8" t="s">
        <v>364</v>
      </c>
    </row>
    <row r="34587">
      <c r="H34587" s="8" t="s">
        <v>364</v>
      </c>
    </row>
    <row r="34588">
      <c r="H34588" s="8" t="s">
        <v>364</v>
      </c>
    </row>
    <row r="34589">
      <c r="H34589" s="8" t="s">
        <v>364</v>
      </c>
    </row>
    <row r="34590">
      <c r="H34590" s="8" t="s">
        <v>364</v>
      </c>
    </row>
    <row r="34591">
      <c r="H34591" s="8" t="s">
        <v>364</v>
      </c>
    </row>
    <row r="34592">
      <c r="H34592" s="8" t="s">
        <v>364</v>
      </c>
    </row>
    <row r="34593">
      <c r="H34593" s="8" t="s">
        <v>364</v>
      </c>
    </row>
    <row r="34594">
      <c r="H34594" s="8" t="s">
        <v>364</v>
      </c>
    </row>
    <row r="34595">
      <c r="H34595" s="8" t="s">
        <v>364</v>
      </c>
    </row>
    <row r="34596">
      <c r="H34596" s="8" t="s">
        <v>364</v>
      </c>
    </row>
    <row r="34597">
      <c r="H34597" s="8" t="s">
        <v>364</v>
      </c>
    </row>
    <row r="34598">
      <c r="H34598" s="8" t="s">
        <v>364</v>
      </c>
    </row>
    <row r="34599">
      <c r="H34599" s="8" t="s">
        <v>364</v>
      </c>
    </row>
    <row r="34600">
      <c r="H34600" s="8" t="s">
        <v>364</v>
      </c>
    </row>
    <row r="34601">
      <c r="H34601" s="8" t="s">
        <v>364</v>
      </c>
    </row>
    <row r="34602">
      <c r="H34602" s="8" t="s">
        <v>364</v>
      </c>
    </row>
    <row r="34603">
      <c r="H34603" s="8" t="s">
        <v>364</v>
      </c>
    </row>
    <row r="34604">
      <c r="H34604" s="8" t="s">
        <v>364</v>
      </c>
    </row>
    <row r="34605">
      <c r="H34605" s="8" t="s">
        <v>364</v>
      </c>
    </row>
    <row r="34606">
      <c r="H34606" s="8" t="s">
        <v>364</v>
      </c>
    </row>
    <row r="34607">
      <c r="H34607" s="8" t="s">
        <v>364</v>
      </c>
    </row>
    <row r="34608">
      <c r="H34608" s="8" t="s">
        <v>364</v>
      </c>
    </row>
    <row r="34609">
      <c r="H34609" s="8" t="s">
        <v>364</v>
      </c>
    </row>
    <row r="34610">
      <c r="H34610" s="8" t="s">
        <v>364</v>
      </c>
    </row>
    <row r="34611">
      <c r="H34611" s="8" t="s">
        <v>364</v>
      </c>
    </row>
    <row r="34612">
      <c r="H34612" s="8" t="s">
        <v>364</v>
      </c>
    </row>
    <row r="34613">
      <c r="H34613" s="8" t="s">
        <v>364</v>
      </c>
    </row>
    <row r="34614">
      <c r="H34614" s="8" t="s">
        <v>364</v>
      </c>
    </row>
    <row r="34615">
      <c r="H34615" s="8" t="s">
        <v>364</v>
      </c>
    </row>
    <row r="34616">
      <c r="H34616" s="8" t="s">
        <v>364</v>
      </c>
    </row>
    <row r="34617">
      <c r="H34617" s="8" t="s">
        <v>364</v>
      </c>
    </row>
    <row r="34618">
      <c r="H34618" s="8" t="s">
        <v>364</v>
      </c>
    </row>
    <row r="34619">
      <c r="H34619" s="8" t="s">
        <v>364</v>
      </c>
    </row>
    <row r="34620">
      <c r="H34620" s="8" t="s">
        <v>364</v>
      </c>
    </row>
    <row r="34621">
      <c r="H34621" s="8" t="s">
        <v>364</v>
      </c>
    </row>
    <row r="34622">
      <c r="H34622" s="8" t="s">
        <v>364</v>
      </c>
    </row>
    <row r="34623">
      <c r="H34623" s="8" t="s">
        <v>364</v>
      </c>
    </row>
    <row r="34624">
      <c r="H34624" s="8" t="s">
        <v>364</v>
      </c>
    </row>
    <row r="34625">
      <c r="H34625" s="8" t="s">
        <v>364</v>
      </c>
    </row>
    <row r="34626">
      <c r="H34626" s="8" t="s">
        <v>364</v>
      </c>
    </row>
    <row r="34627">
      <c r="H34627" s="8" t="s">
        <v>364</v>
      </c>
    </row>
    <row r="34628">
      <c r="H34628" s="8" t="s">
        <v>364</v>
      </c>
    </row>
    <row r="34629">
      <c r="H34629" s="8" t="s">
        <v>364</v>
      </c>
    </row>
    <row r="34630">
      <c r="H34630" s="8" t="s">
        <v>364</v>
      </c>
    </row>
    <row r="34631">
      <c r="H34631" s="8" t="s">
        <v>364</v>
      </c>
    </row>
    <row r="34632">
      <c r="H34632" s="8" t="s">
        <v>364</v>
      </c>
    </row>
    <row r="34633">
      <c r="H34633" s="8" t="s">
        <v>364</v>
      </c>
    </row>
    <row r="34634">
      <c r="H34634" s="8" t="s">
        <v>364</v>
      </c>
    </row>
    <row r="34635">
      <c r="H34635" s="8" t="s">
        <v>364</v>
      </c>
    </row>
    <row r="34636">
      <c r="H34636" s="8" t="s">
        <v>364</v>
      </c>
    </row>
    <row r="34637">
      <c r="H34637" s="8" t="s">
        <v>364</v>
      </c>
    </row>
    <row r="34638">
      <c r="H34638" s="8" t="s">
        <v>364</v>
      </c>
    </row>
    <row r="34639">
      <c r="H34639" s="8" t="s">
        <v>364</v>
      </c>
    </row>
    <row r="34640">
      <c r="H34640" s="8" t="s">
        <v>364</v>
      </c>
    </row>
    <row r="34641">
      <c r="H34641" s="8" t="s">
        <v>364</v>
      </c>
    </row>
    <row r="34642">
      <c r="H34642" s="8" t="s">
        <v>364</v>
      </c>
    </row>
    <row r="34643">
      <c r="H34643" s="8" t="s">
        <v>364</v>
      </c>
    </row>
    <row r="34644">
      <c r="H34644" s="8" t="s">
        <v>364</v>
      </c>
    </row>
    <row r="34645">
      <c r="H34645" s="8" t="s">
        <v>364</v>
      </c>
    </row>
    <row r="34646">
      <c r="H34646" s="8" t="s">
        <v>364</v>
      </c>
    </row>
    <row r="34647">
      <c r="H34647" s="8" t="s">
        <v>364</v>
      </c>
    </row>
    <row r="34648">
      <c r="H34648" s="8" t="s">
        <v>364</v>
      </c>
    </row>
    <row r="34649">
      <c r="H34649" s="8" t="s">
        <v>364</v>
      </c>
    </row>
    <row r="34650">
      <c r="H34650" s="8" t="s">
        <v>364</v>
      </c>
    </row>
    <row r="34651">
      <c r="H34651" s="8" t="s">
        <v>364</v>
      </c>
    </row>
    <row r="34652">
      <c r="H34652" s="8" t="s">
        <v>364</v>
      </c>
    </row>
    <row r="34653">
      <c r="H34653" s="8" t="s">
        <v>364</v>
      </c>
    </row>
    <row r="34654">
      <c r="H34654" s="8" t="s">
        <v>364</v>
      </c>
    </row>
    <row r="34655">
      <c r="H34655" s="8" t="s">
        <v>364</v>
      </c>
    </row>
    <row r="34656">
      <c r="H34656" s="8" t="s">
        <v>364</v>
      </c>
    </row>
    <row r="34657">
      <c r="H34657" s="8" t="s">
        <v>364</v>
      </c>
    </row>
    <row r="34658">
      <c r="H34658" s="8" t="s">
        <v>364</v>
      </c>
    </row>
    <row r="34659">
      <c r="H34659" s="8" t="s">
        <v>364</v>
      </c>
    </row>
    <row r="34660">
      <c r="H34660" s="8" t="s">
        <v>364</v>
      </c>
    </row>
    <row r="34661">
      <c r="H34661" s="8" t="s">
        <v>364</v>
      </c>
    </row>
    <row r="34662">
      <c r="H34662" s="8" t="s">
        <v>364</v>
      </c>
    </row>
    <row r="34663">
      <c r="H34663" s="8" t="s">
        <v>364</v>
      </c>
    </row>
    <row r="34664">
      <c r="H34664" s="8" t="s">
        <v>364</v>
      </c>
    </row>
    <row r="34665">
      <c r="H34665" s="8" t="s">
        <v>364</v>
      </c>
    </row>
    <row r="34666">
      <c r="H34666" s="8" t="s">
        <v>364</v>
      </c>
    </row>
    <row r="34667">
      <c r="H34667" s="8" t="s">
        <v>364</v>
      </c>
    </row>
    <row r="34668">
      <c r="H34668" s="8" t="s">
        <v>364</v>
      </c>
    </row>
    <row r="34669">
      <c r="H34669" s="8" t="s">
        <v>364</v>
      </c>
    </row>
    <row r="34670">
      <c r="H34670" s="8" t="s">
        <v>364</v>
      </c>
    </row>
    <row r="34671">
      <c r="H34671" s="8" t="s">
        <v>364</v>
      </c>
    </row>
    <row r="34672">
      <c r="H34672" s="8" t="s">
        <v>364</v>
      </c>
    </row>
    <row r="34673">
      <c r="H34673" s="8" t="s">
        <v>364</v>
      </c>
    </row>
    <row r="34674">
      <c r="H34674" s="8" t="s">
        <v>364</v>
      </c>
    </row>
    <row r="34675">
      <c r="H34675" s="8" t="s">
        <v>364</v>
      </c>
    </row>
    <row r="34676">
      <c r="H34676" s="8" t="s">
        <v>364</v>
      </c>
    </row>
    <row r="34677">
      <c r="H34677" s="8" t="s">
        <v>364</v>
      </c>
    </row>
    <row r="34678">
      <c r="H34678" s="8" t="s">
        <v>364</v>
      </c>
    </row>
    <row r="34679">
      <c r="H34679" s="8" t="s">
        <v>364</v>
      </c>
    </row>
    <row r="34680">
      <c r="H34680" s="8" t="s">
        <v>364</v>
      </c>
    </row>
    <row r="34681">
      <c r="H34681" s="8" t="s">
        <v>364</v>
      </c>
    </row>
    <row r="34682">
      <c r="H34682" s="8" t="s">
        <v>364</v>
      </c>
    </row>
    <row r="34683">
      <c r="H34683" s="8" t="s">
        <v>364</v>
      </c>
    </row>
    <row r="34684">
      <c r="H34684" s="8" t="s">
        <v>364</v>
      </c>
    </row>
    <row r="34685">
      <c r="H34685" s="8" t="s">
        <v>364</v>
      </c>
    </row>
    <row r="34686">
      <c r="H34686" s="8" t="s">
        <v>364</v>
      </c>
    </row>
    <row r="34687">
      <c r="H34687" s="8" t="s">
        <v>364</v>
      </c>
    </row>
    <row r="34688">
      <c r="H34688" s="8" t="s">
        <v>364</v>
      </c>
    </row>
    <row r="34689">
      <c r="H34689" s="8" t="s">
        <v>364</v>
      </c>
    </row>
    <row r="34690">
      <c r="H34690" s="8" t="s">
        <v>364</v>
      </c>
    </row>
    <row r="34691">
      <c r="H34691" s="8" t="s">
        <v>364</v>
      </c>
    </row>
    <row r="34692">
      <c r="H34692" s="8" t="s">
        <v>364</v>
      </c>
    </row>
    <row r="34693">
      <c r="H34693" s="8" t="s">
        <v>364</v>
      </c>
    </row>
    <row r="34694">
      <c r="H34694" s="8" t="s">
        <v>364</v>
      </c>
    </row>
    <row r="34695">
      <c r="H34695" s="8" t="s">
        <v>364</v>
      </c>
    </row>
    <row r="34696">
      <c r="H34696" s="8" t="s">
        <v>364</v>
      </c>
    </row>
    <row r="34697">
      <c r="H34697" s="8" t="s">
        <v>364</v>
      </c>
    </row>
    <row r="34698">
      <c r="H34698" s="8" t="s">
        <v>364</v>
      </c>
    </row>
    <row r="34699">
      <c r="H34699" s="8" t="s">
        <v>364</v>
      </c>
    </row>
    <row r="34700">
      <c r="H34700" s="8" t="s">
        <v>364</v>
      </c>
    </row>
    <row r="34701">
      <c r="H34701" s="8" t="s">
        <v>364</v>
      </c>
    </row>
    <row r="34702">
      <c r="H34702" s="8" t="s">
        <v>364</v>
      </c>
    </row>
    <row r="34703">
      <c r="H34703" s="8" t="s">
        <v>364</v>
      </c>
    </row>
    <row r="34704">
      <c r="H34704" s="8" t="s">
        <v>364</v>
      </c>
    </row>
    <row r="34705">
      <c r="H34705" s="8" t="s">
        <v>364</v>
      </c>
    </row>
    <row r="34706">
      <c r="H34706" s="8" t="s">
        <v>364</v>
      </c>
    </row>
    <row r="34707">
      <c r="H34707" s="8" t="s">
        <v>364</v>
      </c>
    </row>
    <row r="34708">
      <c r="H34708" s="8" t="s">
        <v>364</v>
      </c>
    </row>
    <row r="34709">
      <c r="H34709" s="8" t="s">
        <v>364</v>
      </c>
    </row>
    <row r="34710">
      <c r="H34710" s="8" t="s">
        <v>364</v>
      </c>
    </row>
    <row r="34711">
      <c r="H34711" s="8" t="s">
        <v>364</v>
      </c>
    </row>
    <row r="34712">
      <c r="H34712" s="8" t="s">
        <v>364</v>
      </c>
    </row>
    <row r="34713">
      <c r="H34713" s="8" t="s">
        <v>364</v>
      </c>
    </row>
    <row r="34714">
      <c r="H34714" s="8" t="s">
        <v>364</v>
      </c>
    </row>
    <row r="34715">
      <c r="H34715" s="8" t="s">
        <v>364</v>
      </c>
    </row>
    <row r="34716">
      <c r="H34716" s="8" t="s">
        <v>364</v>
      </c>
    </row>
    <row r="34717">
      <c r="H34717" s="8" t="s">
        <v>364</v>
      </c>
    </row>
    <row r="34718">
      <c r="H34718" s="8" t="s">
        <v>364</v>
      </c>
    </row>
    <row r="34719">
      <c r="H34719" s="8" t="s">
        <v>364</v>
      </c>
    </row>
    <row r="34720">
      <c r="H34720" s="8" t="s">
        <v>364</v>
      </c>
    </row>
    <row r="34721">
      <c r="H34721" s="8" t="s">
        <v>364</v>
      </c>
    </row>
    <row r="34722">
      <c r="H34722" s="8" t="s">
        <v>364</v>
      </c>
    </row>
    <row r="34723">
      <c r="H34723" s="8" t="s">
        <v>364</v>
      </c>
    </row>
    <row r="34724">
      <c r="H34724" s="8" t="s">
        <v>364</v>
      </c>
    </row>
    <row r="34725">
      <c r="H34725" s="8" t="s">
        <v>364</v>
      </c>
    </row>
    <row r="34726">
      <c r="H34726" s="8" t="s">
        <v>364</v>
      </c>
    </row>
    <row r="34727">
      <c r="H34727" s="8" t="s">
        <v>364</v>
      </c>
    </row>
    <row r="34728">
      <c r="H34728" s="8" t="s">
        <v>364</v>
      </c>
    </row>
    <row r="34729">
      <c r="H34729" s="8" t="s">
        <v>364</v>
      </c>
    </row>
    <row r="34730">
      <c r="H34730" s="8" t="s">
        <v>364</v>
      </c>
    </row>
    <row r="34731">
      <c r="H34731" s="8" t="s">
        <v>364</v>
      </c>
    </row>
    <row r="34732">
      <c r="H34732" s="8" t="s">
        <v>364</v>
      </c>
    </row>
    <row r="34733">
      <c r="H34733" s="8" t="s">
        <v>364</v>
      </c>
    </row>
    <row r="34734">
      <c r="H34734" s="8" t="s">
        <v>364</v>
      </c>
    </row>
    <row r="34735">
      <c r="H34735" s="8" t="s">
        <v>364</v>
      </c>
    </row>
    <row r="34736">
      <c r="H34736" s="8" t="s">
        <v>364</v>
      </c>
    </row>
    <row r="34737">
      <c r="H34737" s="8" t="s">
        <v>364</v>
      </c>
    </row>
    <row r="34738">
      <c r="H34738" s="8" t="s">
        <v>364</v>
      </c>
    </row>
    <row r="34739">
      <c r="H34739" s="8" t="s">
        <v>364</v>
      </c>
    </row>
    <row r="34740">
      <c r="H34740" s="8" t="s">
        <v>364</v>
      </c>
    </row>
    <row r="34741">
      <c r="H34741" s="8" t="s">
        <v>364</v>
      </c>
    </row>
    <row r="34742">
      <c r="H34742" s="8" t="s">
        <v>364</v>
      </c>
    </row>
    <row r="34743">
      <c r="H34743" s="8" t="s">
        <v>364</v>
      </c>
    </row>
    <row r="34744">
      <c r="H34744" s="8" t="s">
        <v>364</v>
      </c>
    </row>
    <row r="34745">
      <c r="H34745" s="8" t="s">
        <v>364</v>
      </c>
    </row>
    <row r="34746">
      <c r="H34746" s="8" t="s">
        <v>364</v>
      </c>
    </row>
    <row r="34747">
      <c r="H34747" s="8" t="s">
        <v>364</v>
      </c>
    </row>
    <row r="34748">
      <c r="H34748" s="8" t="s">
        <v>364</v>
      </c>
    </row>
    <row r="34749">
      <c r="H34749" s="8" t="s">
        <v>364</v>
      </c>
    </row>
    <row r="34750">
      <c r="H34750" s="8" t="s">
        <v>364</v>
      </c>
    </row>
    <row r="34751">
      <c r="H34751" s="8" t="s">
        <v>364</v>
      </c>
    </row>
    <row r="34752">
      <c r="H34752" s="8" t="s">
        <v>364</v>
      </c>
    </row>
    <row r="34753">
      <c r="H34753" s="8" t="s">
        <v>364</v>
      </c>
    </row>
    <row r="34754">
      <c r="H34754" s="8" t="s">
        <v>364</v>
      </c>
    </row>
    <row r="34755">
      <c r="H34755" s="8" t="s">
        <v>364</v>
      </c>
    </row>
    <row r="34756">
      <c r="H34756" s="8" t="s">
        <v>364</v>
      </c>
    </row>
    <row r="34757">
      <c r="H34757" s="8" t="s">
        <v>364</v>
      </c>
    </row>
    <row r="34758">
      <c r="H34758" s="8" t="s">
        <v>364</v>
      </c>
    </row>
    <row r="34759">
      <c r="H34759" s="8" t="s">
        <v>364</v>
      </c>
    </row>
    <row r="34760">
      <c r="H34760" s="8" t="s">
        <v>364</v>
      </c>
    </row>
    <row r="34761">
      <c r="H34761" s="8" t="s">
        <v>364</v>
      </c>
    </row>
    <row r="34762">
      <c r="H34762" s="8" t="s">
        <v>364</v>
      </c>
    </row>
    <row r="34763">
      <c r="H34763" s="8" t="s">
        <v>364</v>
      </c>
    </row>
    <row r="34764">
      <c r="H34764" s="8" t="s">
        <v>364</v>
      </c>
    </row>
    <row r="34765">
      <c r="H34765" s="8" t="s">
        <v>364</v>
      </c>
    </row>
    <row r="34766">
      <c r="H34766" s="8" t="s">
        <v>364</v>
      </c>
    </row>
    <row r="34767">
      <c r="H34767" s="8" t="s">
        <v>364</v>
      </c>
    </row>
    <row r="34768">
      <c r="H34768" s="8" t="s">
        <v>364</v>
      </c>
    </row>
    <row r="34769">
      <c r="H34769" s="8" t="s">
        <v>364</v>
      </c>
    </row>
    <row r="34770">
      <c r="H34770" s="8" t="s">
        <v>364</v>
      </c>
    </row>
    <row r="34771">
      <c r="H34771" s="8" t="s">
        <v>364</v>
      </c>
    </row>
    <row r="34772">
      <c r="H34772" s="8" t="s">
        <v>364</v>
      </c>
    </row>
    <row r="34773">
      <c r="H34773" s="8" t="s">
        <v>364</v>
      </c>
    </row>
    <row r="34774">
      <c r="H34774" s="8" t="s">
        <v>364</v>
      </c>
    </row>
    <row r="34775">
      <c r="H34775" s="8" t="s">
        <v>364</v>
      </c>
    </row>
    <row r="34776">
      <c r="H34776" s="8" t="s">
        <v>364</v>
      </c>
    </row>
    <row r="34777">
      <c r="H34777" s="8" t="s">
        <v>364</v>
      </c>
    </row>
    <row r="34778">
      <c r="H34778" s="8" t="s">
        <v>364</v>
      </c>
    </row>
    <row r="34779">
      <c r="H34779" s="8" t="s">
        <v>364</v>
      </c>
    </row>
    <row r="34780">
      <c r="H34780" s="8" t="s">
        <v>364</v>
      </c>
    </row>
    <row r="34781">
      <c r="H34781" s="8" t="s">
        <v>364</v>
      </c>
    </row>
    <row r="34782">
      <c r="H34782" s="8" t="s">
        <v>364</v>
      </c>
    </row>
    <row r="34783">
      <c r="H34783" s="8" t="s">
        <v>364</v>
      </c>
    </row>
    <row r="34784">
      <c r="H34784" s="8" t="s">
        <v>364</v>
      </c>
    </row>
    <row r="34785">
      <c r="H34785" s="8" t="s">
        <v>364</v>
      </c>
    </row>
    <row r="34786">
      <c r="H34786" s="8" t="s">
        <v>364</v>
      </c>
    </row>
    <row r="34787">
      <c r="H34787" s="8" t="s">
        <v>364</v>
      </c>
    </row>
    <row r="34788">
      <c r="H34788" s="8" t="s">
        <v>364</v>
      </c>
    </row>
    <row r="34789">
      <c r="H34789" s="8" t="s">
        <v>364</v>
      </c>
    </row>
    <row r="34790">
      <c r="H34790" s="8" t="s">
        <v>364</v>
      </c>
    </row>
    <row r="34791">
      <c r="H34791" s="8" t="s">
        <v>364</v>
      </c>
    </row>
    <row r="34792">
      <c r="H34792" s="8" t="s">
        <v>364</v>
      </c>
    </row>
    <row r="34793">
      <c r="H34793" s="8" t="s">
        <v>364</v>
      </c>
    </row>
    <row r="34794">
      <c r="H34794" s="8" t="s">
        <v>364</v>
      </c>
    </row>
    <row r="34795">
      <c r="H34795" s="8" t="s">
        <v>364</v>
      </c>
    </row>
    <row r="34796">
      <c r="H34796" s="8" t="s">
        <v>364</v>
      </c>
    </row>
    <row r="34797">
      <c r="H34797" s="8" t="s">
        <v>364</v>
      </c>
    </row>
    <row r="34798">
      <c r="H34798" s="8" t="s">
        <v>364</v>
      </c>
    </row>
    <row r="34799">
      <c r="H34799" s="8" t="s">
        <v>364</v>
      </c>
    </row>
    <row r="34800">
      <c r="H34800" s="8" t="s">
        <v>364</v>
      </c>
    </row>
    <row r="34801">
      <c r="H34801" s="8" t="s">
        <v>364</v>
      </c>
    </row>
    <row r="34802">
      <c r="H34802" s="8" t="s">
        <v>364</v>
      </c>
    </row>
    <row r="34803">
      <c r="H34803" s="8" t="s">
        <v>364</v>
      </c>
    </row>
    <row r="34804">
      <c r="H34804" s="8" t="s">
        <v>364</v>
      </c>
    </row>
    <row r="34805">
      <c r="H34805" s="8" t="s">
        <v>364</v>
      </c>
    </row>
    <row r="34806">
      <c r="H34806" s="8" t="s">
        <v>364</v>
      </c>
    </row>
    <row r="34807">
      <c r="H34807" s="8" t="s">
        <v>364</v>
      </c>
    </row>
    <row r="34808">
      <c r="H34808" s="8" t="s">
        <v>364</v>
      </c>
    </row>
    <row r="34809">
      <c r="H34809" s="8" t="s">
        <v>364</v>
      </c>
    </row>
    <row r="34810">
      <c r="H34810" s="8" t="s">
        <v>364</v>
      </c>
    </row>
    <row r="34811">
      <c r="H34811" s="8" t="s">
        <v>364</v>
      </c>
    </row>
    <row r="34812">
      <c r="H34812" s="8" t="s">
        <v>364</v>
      </c>
    </row>
    <row r="34813">
      <c r="H34813" s="8" t="s">
        <v>364</v>
      </c>
    </row>
    <row r="34814">
      <c r="H34814" s="8" t="s">
        <v>364</v>
      </c>
    </row>
    <row r="34815">
      <c r="H34815" s="8" t="s">
        <v>364</v>
      </c>
    </row>
    <row r="34816">
      <c r="H34816" s="8" t="s">
        <v>364</v>
      </c>
    </row>
    <row r="34817">
      <c r="H34817" s="8" t="s">
        <v>364</v>
      </c>
    </row>
    <row r="34818">
      <c r="H34818" s="8" t="s">
        <v>364</v>
      </c>
    </row>
    <row r="34819">
      <c r="H34819" s="8" t="s">
        <v>364</v>
      </c>
    </row>
    <row r="34820">
      <c r="H34820" s="8" t="s">
        <v>364</v>
      </c>
    </row>
    <row r="34821">
      <c r="H34821" s="8" t="s">
        <v>364</v>
      </c>
    </row>
    <row r="34822">
      <c r="H34822" s="8" t="s">
        <v>364</v>
      </c>
    </row>
    <row r="34823">
      <c r="H34823" s="8" t="s">
        <v>364</v>
      </c>
    </row>
    <row r="34824">
      <c r="H34824" s="8" t="s">
        <v>364</v>
      </c>
    </row>
    <row r="34825">
      <c r="H34825" s="8" t="s">
        <v>364</v>
      </c>
    </row>
    <row r="34826">
      <c r="H34826" s="8" t="s">
        <v>364</v>
      </c>
    </row>
    <row r="34827">
      <c r="H34827" s="8" t="s">
        <v>364</v>
      </c>
    </row>
    <row r="34828">
      <c r="H34828" s="8" t="s">
        <v>364</v>
      </c>
    </row>
    <row r="34829">
      <c r="H34829" s="8" t="s">
        <v>364</v>
      </c>
    </row>
    <row r="34830">
      <c r="H34830" s="8" t="s">
        <v>364</v>
      </c>
    </row>
    <row r="34831">
      <c r="H34831" s="8" t="s">
        <v>364</v>
      </c>
    </row>
    <row r="34832">
      <c r="H34832" s="8" t="s">
        <v>364</v>
      </c>
    </row>
    <row r="34833">
      <c r="H34833" s="8" t="s">
        <v>364</v>
      </c>
    </row>
    <row r="34834">
      <c r="H34834" s="8" t="s">
        <v>364</v>
      </c>
    </row>
    <row r="34835">
      <c r="H34835" s="8" t="s">
        <v>364</v>
      </c>
    </row>
    <row r="34836">
      <c r="H34836" s="8" t="s">
        <v>364</v>
      </c>
    </row>
    <row r="34837">
      <c r="H34837" s="8" t="s">
        <v>364</v>
      </c>
    </row>
    <row r="34838">
      <c r="H34838" s="8" t="s">
        <v>364</v>
      </c>
    </row>
    <row r="34839">
      <c r="H34839" s="8" t="s">
        <v>364</v>
      </c>
    </row>
    <row r="34840">
      <c r="H34840" s="8" t="s">
        <v>364</v>
      </c>
    </row>
    <row r="34841">
      <c r="H34841" s="8" t="s">
        <v>364</v>
      </c>
    </row>
    <row r="34842">
      <c r="H34842" s="8" t="s">
        <v>364</v>
      </c>
    </row>
    <row r="34843">
      <c r="H34843" s="8" t="s">
        <v>364</v>
      </c>
    </row>
    <row r="34844">
      <c r="H34844" s="8" t="s">
        <v>364</v>
      </c>
    </row>
    <row r="34845">
      <c r="H34845" s="8" t="s">
        <v>364</v>
      </c>
    </row>
    <row r="34846">
      <c r="H34846" s="8" t="s">
        <v>364</v>
      </c>
    </row>
    <row r="34847">
      <c r="H34847" s="8" t="s">
        <v>364</v>
      </c>
    </row>
    <row r="34848">
      <c r="H34848" s="8" t="s">
        <v>364</v>
      </c>
    </row>
    <row r="34849">
      <c r="H34849" s="8" t="s">
        <v>364</v>
      </c>
    </row>
    <row r="34850">
      <c r="H34850" s="8" t="s">
        <v>364</v>
      </c>
    </row>
    <row r="34851">
      <c r="H34851" s="8" t="s">
        <v>364</v>
      </c>
    </row>
    <row r="34852">
      <c r="H34852" s="8" t="s">
        <v>364</v>
      </c>
    </row>
    <row r="34853">
      <c r="H34853" s="8" t="s">
        <v>364</v>
      </c>
    </row>
    <row r="34854">
      <c r="H34854" s="8" t="s">
        <v>364</v>
      </c>
    </row>
    <row r="34855">
      <c r="H34855" s="8" t="s">
        <v>364</v>
      </c>
    </row>
    <row r="34856">
      <c r="H34856" s="8" t="s">
        <v>364</v>
      </c>
    </row>
    <row r="34857">
      <c r="H34857" s="8" t="s">
        <v>364</v>
      </c>
    </row>
    <row r="34858">
      <c r="H34858" s="8" t="s">
        <v>364</v>
      </c>
    </row>
    <row r="34859">
      <c r="H34859" s="8" t="s">
        <v>364</v>
      </c>
    </row>
    <row r="34860">
      <c r="H34860" s="8" t="s">
        <v>364</v>
      </c>
    </row>
    <row r="34861">
      <c r="H34861" s="8" t="s">
        <v>364</v>
      </c>
    </row>
    <row r="34862">
      <c r="H34862" s="8" t="s">
        <v>364</v>
      </c>
    </row>
    <row r="34863">
      <c r="H34863" s="8" t="s">
        <v>364</v>
      </c>
    </row>
    <row r="34864">
      <c r="H34864" s="8" t="s">
        <v>364</v>
      </c>
    </row>
    <row r="34865">
      <c r="H34865" s="8" t="s">
        <v>364</v>
      </c>
    </row>
    <row r="34866">
      <c r="H34866" s="8" t="s">
        <v>364</v>
      </c>
    </row>
    <row r="34867">
      <c r="H34867" s="8" t="s">
        <v>364</v>
      </c>
    </row>
    <row r="34868">
      <c r="H34868" s="8" t="s">
        <v>364</v>
      </c>
    </row>
    <row r="34869">
      <c r="H34869" s="8" t="s">
        <v>364</v>
      </c>
    </row>
    <row r="34870">
      <c r="H34870" s="8" t="s">
        <v>364</v>
      </c>
    </row>
    <row r="34871">
      <c r="H34871" s="8" t="s">
        <v>364</v>
      </c>
    </row>
    <row r="34872">
      <c r="H34872" s="8" t="s">
        <v>364</v>
      </c>
    </row>
    <row r="34873">
      <c r="H34873" s="8" t="s">
        <v>364</v>
      </c>
    </row>
    <row r="34874">
      <c r="H34874" s="8" t="s">
        <v>364</v>
      </c>
    </row>
    <row r="34875">
      <c r="H34875" s="8" t="s">
        <v>364</v>
      </c>
    </row>
    <row r="34876">
      <c r="H34876" s="8" t="s">
        <v>364</v>
      </c>
    </row>
    <row r="34877">
      <c r="H34877" s="8" t="s">
        <v>364</v>
      </c>
    </row>
    <row r="34878">
      <c r="H34878" s="8" t="s">
        <v>364</v>
      </c>
    </row>
    <row r="34879">
      <c r="H34879" s="8" t="s">
        <v>364</v>
      </c>
    </row>
    <row r="34880">
      <c r="H34880" s="8" t="s">
        <v>364</v>
      </c>
    </row>
    <row r="34881">
      <c r="H34881" s="8" t="s">
        <v>364</v>
      </c>
    </row>
    <row r="34882">
      <c r="H34882" s="8" t="s">
        <v>364</v>
      </c>
    </row>
    <row r="34883">
      <c r="H34883" s="8" t="s">
        <v>364</v>
      </c>
    </row>
    <row r="34884">
      <c r="H34884" s="8" t="s">
        <v>364</v>
      </c>
    </row>
    <row r="34885">
      <c r="H34885" s="8" t="s">
        <v>364</v>
      </c>
    </row>
    <row r="34886">
      <c r="H34886" s="8" t="s">
        <v>364</v>
      </c>
    </row>
    <row r="34887">
      <c r="H34887" s="8" t="s">
        <v>364</v>
      </c>
    </row>
    <row r="34888">
      <c r="H34888" s="8" t="s">
        <v>364</v>
      </c>
    </row>
    <row r="34889">
      <c r="H34889" s="8" t="s">
        <v>364</v>
      </c>
    </row>
    <row r="34890">
      <c r="H34890" s="8" t="s">
        <v>364</v>
      </c>
    </row>
    <row r="34891">
      <c r="H34891" s="8" t="s">
        <v>364</v>
      </c>
    </row>
    <row r="34892">
      <c r="H34892" s="8" t="s">
        <v>364</v>
      </c>
    </row>
    <row r="34893">
      <c r="H34893" s="8" t="s">
        <v>364</v>
      </c>
    </row>
    <row r="34894">
      <c r="H34894" s="8" t="s">
        <v>364</v>
      </c>
    </row>
    <row r="34895">
      <c r="H34895" s="8" t="s">
        <v>364</v>
      </c>
    </row>
    <row r="34896">
      <c r="H34896" s="8" t="s">
        <v>364</v>
      </c>
    </row>
    <row r="34897">
      <c r="H34897" s="8" t="s">
        <v>364</v>
      </c>
    </row>
    <row r="34898">
      <c r="H34898" s="8" t="s">
        <v>364</v>
      </c>
    </row>
    <row r="34899">
      <c r="H34899" s="8" t="s">
        <v>364</v>
      </c>
    </row>
    <row r="34900">
      <c r="H34900" s="8" t="s">
        <v>364</v>
      </c>
    </row>
    <row r="34901">
      <c r="H34901" s="8" t="s">
        <v>364</v>
      </c>
    </row>
    <row r="34902">
      <c r="H34902" s="8" t="s">
        <v>364</v>
      </c>
    </row>
    <row r="34903">
      <c r="H34903" s="8" t="s">
        <v>364</v>
      </c>
    </row>
    <row r="34904">
      <c r="H34904" s="8" t="s">
        <v>364</v>
      </c>
    </row>
    <row r="34905">
      <c r="H34905" s="8" t="s">
        <v>364</v>
      </c>
    </row>
    <row r="34906">
      <c r="H34906" s="8" t="s">
        <v>364</v>
      </c>
    </row>
    <row r="34907">
      <c r="H34907" s="8" t="s">
        <v>364</v>
      </c>
    </row>
    <row r="34908">
      <c r="H34908" s="8" t="s">
        <v>364</v>
      </c>
    </row>
    <row r="34909">
      <c r="H34909" s="8" t="s">
        <v>364</v>
      </c>
    </row>
    <row r="34910">
      <c r="H34910" s="8" t="s">
        <v>364</v>
      </c>
    </row>
    <row r="34911">
      <c r="H34911" s="8" t="s">
        <v>364</v>
      </c>
    </row>
    <row r="34912">
      <c r="H34912" s="8" t="s">
        <v>364</v>
      </c>
    </row>
    <row r="34913">
      <c r="H34913" s="8" t="s">
        <v>364</v>
      </c>
    </row>
    <row r="34914">
      <c r="H34914" s="8" t="s">
        <v>364</v>
      </c>
    </row>
    <row r="34915">
      <c r="H34915" s="8" t="s">
        <v>364</v>
      </c>
    </row>
    <row r="34916">
      <c r="H34916" s="8" t="s">
        <v>364</v>
      </c>
    </row>
    <row r="34917">
      <c r="H34917" s="8" t="s">
        <v>364</v>
      </c>
    </row>
    <row r="34918">
      <c r="H34918" s="8" t="s">
        <v>364</v>
      </c>
    </row>
    <row r="34919">
      <c r="H34919" s="8" t="s">
        <v>364</v>
      </c>
    </row>
    <row r="34920">
      <c r="H34920" s="8" t="s">
        <v>364</v>
      </c>
    </row>
    <row r="34921">
      <c r="H34921" s="8" t="s">
        <v>364</v>
      </c>
    </row>
    <row r="34922">
      <c r="H34922" s="8" t="s">
        <v>364</v>
      </c>
    </row>
    <row r="34923">
      <c r="H34923" s="8" t="s">
        <v>364</v>
      </c>
    </row>
    <row r="34924">
      <c r="H34924" s="8" t="s">
        <v>364</v>
      </c>
    </row>
    <row r="34925">
      <c r="H34925" s="8" t="s">
        <v>364</v>
      </c>
    </row>
    <row r="34926">
      <c r="H34926" s="8" t="s">
        <v>364</v>
      </c>
    </row>
    <row r="34927">
      <c r="H34927" s="8" t="s">
        <v>364</v>
      </c>
    </row>
    <row r="34928">
      <c r="H34928" s="8" t="s">
        <v>364</v>
      </c>
    </row>
    <row r="34929">
      <c r="H34929" s="8" t="s">
        <v>364</v>
      </c>
    </row>
    <row r="34930">
      <c r="H34930" s="8" t="s">
        <v>364</v>
      </c>
    </row>
    <row r="34931">
      <c r="H34931" s="8" t="s">
        <v>364</v>
      </c>
    </row>
    <row r="34932">
      <c r="H34932" s="8" t="s">
        <v>364</v>
      </c>
    </row>
    <row r="34933">
      <c r="H34933" s="8" t="s">
        <v>364</v>
      </c>
    </row>
    <row r="34934">
      <c r="H34934" s="8" t="s">
        <v>364</v>
      </c>
    </row>
    <row r="34935">
      <c r="H34935" s="8" t="s">
        <v>364</v>
      </c>
    </row>
    <row r="34936">
      <c r="H34936" s="8" t="s">
        <v>364</v>
      </c>
    </row>
    <row r="34937">
      <c r="H34937" s="8" t="s">
        <v>364</v>
      </c>
    </row>
    <row r="34938">
      <c r="H34938" s="8" t="s">
        <v>364</v>
      </c>
    </row>
    <row r="34939">
      <c r="H34939" s="8" t="s">
        <v>364</v>
      </c>
    </row>
    <row r="34940">
      <c r="H34940" s="8" t="s">
        <v>364</v>
      </c>
    </row>
    <row r="34941">
      <c r="H34941" s="8" t="s">
        <v>364</v>
      </c>
    </row>
    <row r="34942">
      <c r="H34942" s="8" t="s">
        <v>364</v>
      </c>
    </row>
    <row r="34943">
      <c r="H34943" s="8" t="s">
        <v>364</v>
      </c>
    </row>
    <row r="34944">
      <c r="H34944" s="8" t="s">
        <v>364</v>
      </c>
    </row>
    <row r="34945">
      <c r="H34945" s="8" t="s">
        <v>364</v>
      </c>
    </row>
    <row r="34946">
      <c r="H34946" s="8" t="s">
        <v>364</v>
      </c>
    </row>
    <row r="34947">
      <c r="H34947" s="8" t="s">
        <v>364</v>
      </c>
    </row>
    <row r="34948">
      <c r="H34948" s="8" t="s">
        <v>364</v>
      </c>
    </row>
    <row r="34949">
      <c r="H34949" s="8" t="s">
        <v>364</v>
      </c>
    </row>
    <row r="34950">
      <c r="H34950" s="8" t="s">
        <v>364</v>
      </c>
    </row>
    <row r="34951">
      <c r="H34951" s="8" t="s">
        <v>364</v>
      </c>
    </row>
    <row r="34952">
      <c r="H34952" s="8" t="s">
        <v>364</v>
      </c>
    </row>
    <row r="34953">
      <c r="H34953" s="8" t="s">
        <v>364</v>
      </c>
    </row>
    <row r="34954">
      <c r="H34954" s="8" t="s">
        <v>364</v>
      </c>
    </row>
    <row r="34955">
      <c r="H34955" s="8" t="s">
        <v>364</v>
      </c>
    </row>
    <row r="34956">
      <c r="H34956" s="8" t="s">
        <v>364</v>
      </c>
    </row>
    <row r="34957">
      <c r="H34957" s="8" t="s">
        <v>364</v>
      </c>
    </row>
    <row r="34958">
      <c r="H34958" s="8" t="s">
        <v>364</v>
      </c>
    </row>
    <row r="34959">
      <c r="H34959" s="8" t="s">
        <v>364</v>
      </c>
    </row>
    <row r="34960">
      <c r="H34960" s="8" t="s">
        <v>364</v>
      </c>
    </row>
    <row r="34961">
      <c r="H34961" s="8" t="s">
        <v>364</v>
      </c>
    </row>
    <row r="34962">
      <c r="H34962" s="8" t="s">
        <v>364</v>
      </c>
    </row>
    <row r="34963">
      <c r="H34963" s="8" t="s">
        <v>364</v>
      </c>
    </row>
    <row r="34964">
      <c r="H34964" s="8" t="s">
        <v>364</v>
      </c>
    </row>
    <row r="34965">
      <c r="H34965" s="8" t="s">
        <v>364</v>
      </c>
    </row>
    <row r="34966">
      <c r="H34966" s="8" t="s">
        <v>364</v>
      </c>
    </row>
    <row r="34967">
      <c r="H34967" s="8" t="s">
        <v>364</v>
      </c>
    </row>
    <row r="34968">
      <c r="H34968" s="8" t="s">
        <v>364</v>
      </c>
    </row>
    <row r="34969">
      <c r="H34969" s="8" t="s">
        <v>364</v>
      </c>
    </row>
    <row r="34970">
      <c r="H34970" s="8" t="s">
        <v>364</v>
      </c>
    </row>
    <row r="34971">
      <c r="H34971" s="8" t="s">
        <v>364</v>
      </c>
    </row>
    <row r="34972">
      <c r="H34972" s="8" t="s">
        <v>364</v>
      </c>
    </row>
    <row r="34973">
      <c r="H34973" s="8" t="s">
        <v>364</v>
      </c>
    </row>
    <row r="34974">
      <c r="H34974" s="8" t="s">
        <v>364</v>
      </c>
    </row>
    <row r="34975">
      <c r="H34975" s="8" t="s">
        <v>364</v>
      </c>
    </row>
    <row r="34976">
      <c r="H34976" s="8" t="s">
        <v>364</v>
      </c>
    </row>
    <row r="34977">
      <c r="H34977" s="8" t="s">
        <v>364</v>
      </c>
    </row>
    <row r="34978">
      <c r="H34978" s="8" t="s">
        <v>364</v>
      </c>
    </row>
    <row r="34979">
      <c r="H34979" s="8" t="s">
        <v>364</v>
      </c>
    </row>
    <row r="34980">
      <c r="H34980" s="8" t="s">
        <v>364</v>
      </c>
    </row>
    <row r="34981">
      <c r="H34981" s="8" t="s">
        <v>364</v>
      </c>
    </row>
    <row r="34982">
      <c r="H34982" s="8" t="s">
        <v>364</v>
      </c>
    </row>
    <row r="34983">
      <c r="H34983" s="8" t="s">
        <v>364</v>
      </c>
    </row>
    <row r="34984">
      <c r="H34984" s="8" t="s">
        <v>364</v>
      </c>
    </row>
    <row r="34985">
      <c r="H34985" s="8" t="s">
        <v>364</v>
      </c>
    </row>
    <row r="34986">
      <c r="H34986" s="8" t="s">
        <v>364</v>
      </c>
    </row>
    <row r="34987">
      <c r="H34987" s="8" t="s">
        <v>364</v>
      </c>
    </row>
    <row r="34988">
      <c r="H34988" s="8" t="s">
        <v>364</v>
      </c>
    </row>
    <row r="34989">
      <c r="H34989" s="8" t="s">
        <v>364</v>
      </c>
    </row>
    <row r="34990">
      <c r="H34990" s="8" t="s">
        <v>364</v>
      </c>
    </row>
    <row r="34991">
      <c r="H34991" s="8" t="s">
        <v>364</v>
      </c>
    </row>
    <row r="34992">
      <c r="H34992" s="8" t="s">
        <v>364</v>
      </c>
    </row>
    <row r="34993">
      <c r="H34993" s="8" t="s">
        <v>364</v>
      </c>
    </row>
    <row r="34994">
      <c r="H34994" s="8" t="s">
        <v>364</v>
      </c>
    </row>
    <row r="34995">
      <c r="H34995" s="8" t="s">
        <v>364</v>
      </c>
    </row>
    <row r="34996">
      <c r="H34996" s="8" t="s">
        <v>364</v>
      </c>
    </row>
    <row r="34997">
      <c r="H34997" s="8" t="s">
        <v>364</v>
      </c>
    </row>
    <row r="34998">
      <c r="H34998" s="8" t="s">
        <v>364</v>
      </c>
    </row>
    <row r="34999">
      <c r="H34999" s="8" t="s">
        <v>364</v>
      </c>
    </row>
    <row r="35000">
      <c r="H35000" s="8" t="s">
        <v>364</v>
      </c>
    </row>
    <row r="35001">
      <c r="H35001" s="8" t="s">
        <v>364</v>
      </c>
    </row>
    <row r="35002">
      <c r="H35002" s="8" t="s">
        <v>364</v>
      </c>
    </row>
    <row r="35003">
      <c r="H35003" s="8" t="s">
        <v>364</v>
      </c>
    </row>
    <row r="35004">
      <c r="H35004" s="8" t="s">
        <v>364</v>
      </c>
    </row>
    <row r="35005">
      <c r="H35005" s="8" t="s">
        <v>364</v>
      </c>
    </row>
    <row r="35006">
      <c r="H35006" s="8" t="s">
        <v>364</v>
      </c>
    </row>
    <row r="35007">
      <c r="H35007" s="8" t="s">
        <v>364</v>
      </c>
    </row>
    <row r="35008">
      <c r="H35008" s="8" t="s">
        <v>364</v>
      </c>
    </row>
    <row r="35009">
      <c r="H35009" s="8" t="s">
        <v>364</v>
      </c>
    </row>
    <row r="35010">
      <c r="H35010" s="8" t="s">
        <v>364</v>
      </c>
    </row>
    <row r="35011">
      <c r="H35011" s="8" t="s">
        <v>364</v>
      </c>
    </row>
    <row r="35012">
      <c r="H35012" s="8" t="s">
        <v>364</v>
      </c>
    </row>
    <row r="35013">
      <c r="H35013" s="8" t="s">
        <v>364</v>
      </c>
    </row>
    <row r="35014">
      <c r="H35014" s="8" t="s">
        <v>364</v>
      </c>
    </row>
    <row r="35015">
      <c r="H35015" s="8" t="s">
        <v>364</v>
      </c>
    </row>
    <row r="35016">
      <c r="H35016" s="8" t="s">
        <v>364</v>
      </c>
    </row>
    <row r="35017">
      <c r="H35017" s="8" t="s">
        <v>364</v>
      </c>
    </row>
    <row r="35018">
      <c r="H35018" s="8" t="s">
        <v>364</v>
      </c>
    </row>
    <row r="35019">
      <c r="H35019" s="8" t="s">
        <v>364</v>
      </c>
    </row>
    <row r="35020">
      <c r="H35020" s="8" t="s">
        <v>364</v>
      </c>
    </row>
    <row r="35021">
      <c r="H35021" s="8" t="s">
        <v>364</v>
      </c>
    </row>
    <row r="35022">
      <c r="H35022" s="8" t="s">
        <v>364</v>
      </c>
    </row>
    <row r="35023">
      <c r="H35023" s="8" t="s">
        <v>364</v>
      </c>
    </row>
    <row r="35024">
      <c r="H35024" s="8" t="s">
        <v>364</v>
      </c>
    </row>
    <row r="35025">
      <c r="H35025" s="8" t="s">
        <v>364</v>
      </c>
    </row>
    <row r="35026">
      <c r="H35026" s="8" t="s">
        <v>364</v>
      </c>
    </row>
    <row r="35027">
      <c r="H35027" s="8" t="s">
        <v>364</v>
      </c>
    </row>
    <row r="35028">
      <c r="H35028" s="8" t="s">
        <v>364</v>
      </c>
    </row>
    <row r="35029">
      <c r="H35029" s="8" t="s">
        <v>364</v>
      </c>
    </row>
    <row r="35030">
      <c r="H35030" s="8" t="s">
        <v>364</v>
      </c>
    </row>
    <row r="35031">
      <c r="H35031" s="8" t="s">
        <v>364</v>
      </c>
    </row>
    <row r="35032">
      <c r="H35032" s="8" t="s">
        <v>364</v>
      </c>
    </row>
    <row r="35033">
      <c r="H35033" s="8" t="s">
        <v>364</v>
      </c>
    </row>
    <row r="35034">
      <c r="H35034" s="8" t="s">
        <v>364</v>
      </c>
    </row>
    <row r="35035">
      <c r="H35035" s="8" t="s">
        <v>364</v>
      </c>
    </row>
    <row r="35036">
      <c r="H35036" s="8" t="s">
        <v>364</v>
      </c>
    </row>
    <row r="35037">
      <c r="H35037" s="8" t="s">
        <v>364</v>
      </c>
    </row>
    <row r="35038">
      <c r="H35038" s="8" t="s">
        <v>364</v>
      </c>
    </row>
    <row r="35039">
      <c r="H35039" s="8" t="s">
        <v>364</v>
      </c>
    </row>
    <row r="35040">
      <c r="H35040" s="8" t="s">
        <v>364</v>
      </c>
    </row>
    <row r="35041">
      <c r="H35041" s="8" t="s">
        <v>364</v>
      </c>
    </row>
    <row r="35042">
      <c r="H35042" s="8" t="s">
        <v>364</v>
      </c>
    </row>
    <row r="35043">
      <c r="H35043" s="8" t="s">
        <v>364</v>
      </c>
    </row>
    <row r="35044">
      <c r="H35044" s="8" t="s">
        <v>364</v>
      </c>
    </row>
    <row r="35045">
      <c r="H35045" s="8" t="s">
        <v>364</v>
      </c>
    </row>
    <row r="35046">
      <c r="H35046" s="8" t="s">
        <v>364</v>
      </c>
    </row>
    <row r="35047">
      <c r="H35047" s="8" t="s">
        <v>364</v>
      </c>
    </row>
    <row r="35048">
      <c r="H35048" s="8" t="s">
        <v>364</v>
      </c>
    </row>
    <row r="35049">
      <c r="H35049" s="8" t="s">
        <v>364</v>
      </c>
    </row>
    <row r="35050">
      <c r="H35050" s="8" t="s">
        <v>364</v>
      </c>
    </row>
    <row r="35051">
      <c r="H35051" s="8" t="s">
        <v>364</v>
      </c>
    </row>
    <row r="35052">
      <c r="H35052" s="8" t="s">
        <v>364</v>
      </c>
    </row>
    <row r="35053">
      <c r="H35053" s="8" t="s">
        <v>364</v>
      </c>
    </row>
    <row r="35054">
      <c r="H35054" s="8" t="s">
        <v>364</v>
      </c>
    </row>
    <row r="35055">
      <c r="H35055" s="8" t="s">
        <v>364</v>
      </c>
    </row>
    <row r="35056">
      <c r="H35056" s="8" t="s">
        <v>364</v>
      </c>
    </row>
    <row r="35057">
      <c r="H35057" s="8" t="s">
        <v>364</v>
      </c>
    </row>
    <row r="35058">
      <c r="H35058" s="8" t="s">
        <v>364</v>
      </c>
    </row>
    <row r="35059">
      <c r="H35059" s="8" t="s">
        <v>364</v>
      </c>
    </row>
    <row r="35060">
      <c r="H35060" s="8" t="s">
        <v>364</v>
      </c>
    </row>
    <row r="35061">
      <c r="H35061" s="8" t="s">
        <v>364</v>
      </c>
    </row>
    <row r="35062">
      <c r="H35062" s="8" t="s">
        <v>364</v>
      </c>
    </row>
    <row r="35063">
      <c r="H35063" s="8" t="s">
        <v>364</v>
      </c>
    </row>
    <row r="35064">
      <c r="H35064" s="8" t="s">
        <v>364</v>
      </c>
    </row>
    <row r="35065">
      <c r="H35065" s="8" t="s">
        <v>364</v>
      </c>
    </row>
    <row r="35066">
      <c r="H35066" s="8" t="s">
        <v>364</v>
      </c>
    </row>
    <row r="35067">
      <c r="H35067" s="8" t="s">
        <v>364</v>
      </c>
    </row>
    <row r="35068">
      <c r="H35068" s="8" t="s">
        <v>364</v>
      </c>
    </row>
    <row r="35069">
      <c r="H35069" s="8" t="s">
        <v>364</v>
      </c>
    </row>
    <row r="35070">
      <c r="H35070" s="8" t="s">
        <v>364</v>
      </c>
    </row>
    <row r="35071">
      <c r="H35071" s="8" t="s">
        <v>364</v>
      </c>
    </row>
    <row r="35072">
      <c r="H35072" s="8" t="s">
        <v>364</v>
      </c>
    </row>
    <row r="35073">
      <c r="H35073" s="8" t="s">
        <v>364</v>
      </c>
    </row>
    <row r="35074">
      <c r="H35074" s="8" t="s">
        <v>364</v>
      </c>
    </row>
    <row r="35075">
      <c r="H35075" s="8" t="s">
        <v>364</v>
      </c>
    </row>
    <row r="35076">
      <c r="H35076" s="8" t="s">
        <v>364</v>
      </c>
    </row>
    <row r="35077">
      <c r="H35077" s="8" t="s">
        <v>364</v>
      </c>
    </row>
    <row r="35078">
      <c r="H35078" s="8" t="s">
        <v>364</v>
      </c>
    </row>
    <row r="35079">
      <c r="H35079" s="8" t="s">
        <v>364</v>
      </c>
    </row>
    <row r="35080">
      <c r="H35080" s="8" t="s">
        <v>364</v>
      </c>
    </row>
    <row r="35081">
      <c r="H35081" s="8" t="s">
        <v>364</v>
      </c>
    </row>
    <row r="35082">
      <c r="H35082" s="8" t="s">
        <v>364</v>
      </c>
    </row>
    <row r="35083">
      <c r="H35083" s="8" t="s">
        <v>364</v>
      </c>
    </row>
    <row r="35084">
      <c r="H35084" s="8" t="s">
        <v>364</v>
      </c>
    </row>
    <row r="35085">
      <c r="H35085" s="8" t="s">
        <v>364</v>
      </c>
    </row>
    <row r="35086">
      <c r="H35086" s="8" t="s">
        <v>364</v>
      </c>
    </row>
    <row r="35087">
      <c r="H35087" s="8" t="s">
        <v>364</v>
      </c>
    </row>
    <row r="35088">
      <c r="H35088" s="8" t="s">
        <v>364</v>
      </c>
    </row>
    <row r="35089">
      <c r="H35089" s="8" t="s">
        <v>364</v>
      </c>
    </row>
    <row r="35090">
      <c r="H35090" s="8" t="s">
        <v>364</v>
      </c>
    </row>
    <row r="35091">
      <c r="H35091" s="8" t="s">
        <v>364</v>
      </c>
    </row>
    <row r="35092">
      <c r="H35092" s="8" t="s">
        <v>364</v>
      </c>
    </row>
    <row r="35093">
      <c r="H35093" s="8" t="s">
        <v>364</v>
      </c>
    </row>
    <row r="35094">
      <c r="H35094" s="8" t="s">
        <v>364</v>
      </c>
    </row>
    <row r="35095">
      <c r="H35095" s="8" t="s">
        <v>364</v>
      </c>
    </row>
    <row r="35096">
      <c r="H35096" s="8" t="s">
        <v>364</v>
      </c>
    </row>
    <row r="35097">
      <c r="H35097" s="8" t="s">
        <v>364</v>
      </c>
    </row>
    <row r="35098">
      <c r="H35098" s="8" t="s">
        <v>364</v>
      </c>
    </row>
    <row r="35099">
      <c r="H35099" s="8" t="s">
        <v>364</v>
      </c>
    </row>
    <row r="35100">
      <c r="H35100" s="8" t="s">
        <v>364</v>
      </c>
    </row>
    <row r="35101">
      <c r="H35101" s="8" t="s">
        <v>364</v>
      </c>
    </row>
    <row r="35102">
      <c r="H35102" s="8" t="s">
        <v>364</v>
      </c>
    </row>
    <row r="35103">
      <c r="H35103" s="8" t="s">
        <v>364</v>
      </c>
    </row>
    <row r="35104">
      <c r="H35104" s="8" t="s">
        <v>364</v>
      </c>
    </row>
    <row r="35105">
      <c r="H35105" s="8" t="s">
        <v>364</v>
      </c>
    </row>
    <row r="35106">
      <c r="H35106" s="8" t="s">
        <v>364</v>
      </c>
    </row>
    <row r="35107">
      <c r="H35107" s="8" t="s">
        <v>364</v>
      </c>
    </row>
    <row r="35108">
      <c r="H35108" s="8" t="s">
        <v>364</v>
      </c>
    </row>
    <row r="35109">
      <c r="H35109" s="8" t="s">
        <v>364</v>
      </c>
    </row>
    <row r="35110">
      <c r="H35110" s="8" t="s">
        <v>364</v>
      </c>
    </row>
    <row r="35111">
      <c r="H35111" s="8" t="s">
        <v>364</v>
      </c>
    </row>
    <row r="35112">
      <c r="H35112" s="8" t="s">
        <v>364</v>
      </c>
    </row>
    <row r="35113">
      <c r="H35113" s="8" t="s">
        <v>364</v>
      </c>
    </row>
    <row r="35114">
      <c r="H35114" s="8" t="s">
        <v>364</v>
      </c>
    </row>
    <row r="35115">
      <c r="H35115" s="8" t="s">
        <v>364</v>
      </c>
    </row>
    <row r="35116">
      <c r="H35116" s="8" t="s">
        <v>364</v>
      </c>
    </row>
    <row r="35117">
      <c r="H35117" s="8" t="s">
        <v>364</v>
      </c>
    </row>
    <row r="35118">
      <c r="H35118" s="8" t="s">
        <v>364</v>
      </c>
    </row>
    <row r="35119">
      <c r="H35119" s="8" t="s">
        <v>364</v>
      </c>
    </row>
    <row r="35120">
      <c r="H35120" s="8" t="s">
        <v>364</v>
      </c>
    </row>
    <row r="35121">
      <c r="H35121" s="8" t="s">
        <v>364</v>
      </c>
    </row>
    <row r="35122">
      <c r="H35122" s="8" t="s">
        <v>364</v>
      </c>
    </row>
    <row r="35123">
      <c r="H35123" s="8" t="s">
        <v>364</v>
      </c>
    </row>
    <row r="35124">
      <c r="H35124" s="8" t="s">
        <v>364</v>
      </c>
    </row>
    <row r="35125">
      <c r="H35125" s="8" t="s">
        <v>364</v>
      </c>
    </row>
    <row r="35126">
      <c r="H35126" s="8" t="s">
        <v>364</v>
      </c>
    </row>
    <row r="35127">
      <c r="H35127" s="8" t="s">
        <v>364</v>
      </c>
    </row>
    <row r="35128">
      <c r="H35128" s="8" t="s">
        <v>364</v>
      </c>
    </row>
    <row r="35129">
      <c r="H35129" s="8" t="s">
        <v>364</v>
      </c>
    </row>
    <row r="35130">
      <c r="H35130" s="8" t="s">
        <v>364</v>
      </c>
    </row>
    <row r="35131">
      <c r="H35131" s="8" t="s">
        <v>364</v>
      </c>
    </row>
    <row r="35132">
      <c r="H35132" s="8" t="s">
        <v>364</v>
      </c>
    </row>
    <row r="35133">
      <c r="H35133" s="8" t="s">
        <v>364</v>
      </c>
    </row>
    <row r="35134">
      <c r="H35134" s="8" t="s">
        <v>364</v>
      </c>
    </row>
    <row r="35135">
      <c r="H35135" s="8" t="s">
        <v>364</v>
      </c>
    </row>
    <row r="35136">
      <c r="H35136" s="8" t="s">
        <v>364</v>
      </c>
    </row>
    <row r="35137">
      <c r="H35137" s="8" t="s">
        <v>364</v>
      </c>
    </row>
    <row r="35138">
      <c r="H35138" s="8" t="s">
        <v>364</v>
      </c>
    </row>
    <row r="35139">
      <c r="H35139" s="8" t="s">
        <v>364</v>
      </c>
    </row>
    <row r="35140">
      <c r="H35140" s="8" t="s">
        <v>364</v>
      </c>
    </row>
    <row r="35141">
      <c r="H35141" s="8" t="s">
        <v>364</v>
      </c>
    </row>
    <row r="35142">
      <c r="H35142" s="8" t="s">
        <v>364</v>
      </c>
    </row>
    <row r="35143">
      <c r="H35143" s="8" t="s">
        <v>364</v>
      </c>
    </row>
    <row r="35144">
      <c r="H35144" s="8" t="s">
        <v>364</v>
      </c>
    </row>
    <row r="35145">
      <c r="H35145" s="8" t="s">
        <v>364</v>
      </c>
    </row>
    <row r="35146">
      <c r="H35146" s="8" t="s">
        <v>364</v>
      </c>
    </row>
    <row r="35147">
      <c r="H35147" s="8" t="s">
        <v>364</v>
      </c>
    </row>
    <row r="35148">
      <c r="H35148" s="8" t="s">
        <v>364</v>
      </c>
    </row>
    <row r="35149">
      <c r="H35149" s="8" t="s">
        <v>364</v>
      </c>
    </row>
    <row r="35150">
      <c r="H35150" s="8" t="s">
        <v>364</v>
      </c>
    </row>
    <row r="35151">
      <c r="H35151" s="8" t="s">
        <v>364</v>
      </c>
    </row>
    <row r="35152">
      <c r="H35152" s="8" t="s">
        <v>364</v>
      </c>
    </row>
    <row r="35153">
      <c r="H35153" s="8" t="s">
        <v>364</v>
      </c>
    </row>
    <row r="35154">
      <c r="H35154" s="8" t="s">
        <v>364</v>
      </c>
    </row>
    <row r="35155">
      <c r="H35155" s="8" t="s">
        <v>364</v>
      </c>
    </row>
    <row r="35156">
      <c r="H35156" s="8" t="s">
        <v>364</v>
      </c>
    </row>
    <row r="35157">
      <c r="H35157" s="8" t="s">
        <v>364</v>
      </c>
    </row>
    <row r="35158">
      <c r="H35158" s="8" t="s">
        <v>364</v>
      </c>
    </row>
    <row r="35159">
      <c r="H35159" s="8" t="s">
        <v>364</v>
      </c>
    </row>
    <row r="35160">
      <c r="H35160" s="8" t="s">
        <v>364</v>
      </c>
    </row>
    <row r="35161">
      <c r="H35161" s="8" t="s">
        <v>364</v>
      </c>
    </row>
    <row r="35162">
      <c r="H35162" s="8" t="s">
        <v>364</v>
      </c>
    </row>
    <row r="35163">
      <c r="H35163" s="8" t="s">
        <v>364</v>
      </c>
    </row>
    <row r="35164">
      <c r="H35164" s="8" t="s">
        <v>364</v>
      </c>
    </row>
    <row r="35165">
      <c r="H35165" s="8" t="s">
        <v>364</v>
      </c>
    </row>
    <row r="35166">
      <c r="H35166" s="8" t="s">
        <v>364</v>
      </c>
    </row>
    <row r="35167">
      <c r="H35167" s="8" t="s">
        <v>364</v>
      </c>
    </row>
    <row r="35168">
      <c r="H35168" s="8" t="s">
        <v>364</v>
      </c>
    </row>
    <row r="35169">
      <c r="H35169" s="8" t="s">
        <v>364</v>
      </c>
    </row>
    <row r="35170">
      <c r="H35170" s="8" t="s">
        <v>364</v>
      </c>
    </row>
    <row r="35171">
      <c r="H35171" s="8" t="s">
        <v>364</v>
      </c>
    </row>
    <row r="35172">
      <c r="H35172" s="8" t="s">
        <v>364</v>
      </c>
    </row>
    <row r="35173">
      <c r="H35173" s="8" t="s">
        <v>364</v>
      </c>
    </row>
    <row r="35174">
      <c r="H35174" s="8" t="s">
        <v>364</v>
      </c>
    </row>
    <row r="35175">
      <c r="H35175" s="8" t="s">
        <v>364</v>
      </c>
    </row>
    <row r="35176">
      <c r="H35176" s="8" t="s">
        <v>364</v>
      </c>
    </row>
    <row r="35177">
      <c r="H35177" s="8" t="s">
        <v>364</v>
      </c>
    </row>
    <row r="35178">
      <c r="H35178" s="8" t="s">
        <v>364</v>
      </c>
    </row>
    <row r="35179">
      <c r="H35179" s="8" t="s">
        <v>364</v>
      </c>
    </row>
    <row r="35180">
      <c r="H35180" s="8" t="s">
        <v>364</v>
      </c>
    </row>
    <row r="35181">
      <c r="H35181" s="8" t="s">
        <v>364</v>
      </c>
    </row>
    <row r="35182">
      <c r="H35182" s="8" t="s">
        <v>364</v>
      </c>
    </row>
    <row r="35183">
      <c r="H35183" s="8" t="s">
        <v>364</v>
      </c>
    </row>
    <row r="35184">
      <c r="H35184" s="8" t="s">
        <v>364</v>
      </c>
    </row>
    <row r="35185">
      <c r="H35185" s="8" t="s">
        <v>364</v>
      </c>
    </row>
    <row r="35186">
      <c r="H35186" s="8" t="s">
        <v>364</v>
      </c>
    </row>
    <row r="35187">
      <c r="H35187" s="8" t="s">
        <v>364</v>
      </c>
    </row>
    <row r="35188">
      <c r="H35188" s="8" t="s">
        <v>364</v>
      </c>
    </row>
    <row r="35189">
      <c r="H35189" s="8" t="s">
        <v>364</v>
      </c>
    </row>
    <row r="35190">
      <c r="H35190" s="8" t="s">
        <v>364</v>
      </c>
    </row>
    <row r="35191">
      <c r="H35191" s="8" t="s">
        <v>364</v>
      </c>
    </row>
    <row r="35192">
      <c r="H35192" s="8" t="s">
        <v>364</v>
      </c>
    </row>
    <row r="35193">
      <c r="H35193" s="8" t="s">
        <v>364</v>
      </c>
    </row>
    <row r="35194">
      <c r="H35194" s="8" t="s">
        <v>364</v>
      </c>
    </row>
    <row r="35195">
      <c r="H35195" s="8" t="s">
        <v>364</v>
      </c>
    </row>
    <row r="35196">
      <c r="H35196" s="8" t="s">
        <v>364</v>
      </c>
    </row>
    <row r="35197">
      <c r="H35197" s="8" t="s">
        <v>364</v>
      </c>
    </row>
    <row r="35198">
      <c r="H35198" s="8" t="s">
        <v>364</v>
      </c>
    </row>
    <row r="35199">
      <c r="H35199" s="8" t="s">
        <v>364</v>
      </c>
    </row>
    <row r="35200">
      <c r="H35200" s="8" t="s">
        <v>364</v>
      </c>
    </row>
    <row r="35201">
      <c r="H35201" s="8" t="s">
        <v>364</v>
      </c>
    </row>
    <row r="35202">
      <c r="H35202" s="8" t="s">
        <v>364</v>
      </c>
    </row>
    <row r="35203">
      <c r="H35203" s="8" t="s">
        <v>364</v>
      </c>
    </row>
    <row r="35204">
      <c r="H35204" s="8" t="s">
        <v>364</v>
      </c>
    </row>
    <row r="35205">
      <c r="H35205" s="8" t="s">
        <v>364</v>
      </c>
    </row>
    <row r="35206">
      <c r="H35206" s="8" t="s">
        <v>364</v>
      </c>
    </row>
    <row r="35207">
      <c r="H35207" s="8" t="s">
        <v>364</v>
      </c>
    </row>
    <row r="35208">
      <c r="H35208" s="8" t="s">
        <v>364</v>
      </c>
    </row>
    <row r="35209">
      <c r="H35209" s="8" t="s">
        <v>364</v>
      </c>
    </row>
    <row r="35210">
      <c r="H35210" s="8" t="s">
        <v>364</v>
      </c>
    </row>
    <row r="35211">
      <c r="H35211" s="8" t="s">
        <v>364</v>
      </c>
    </row>
    <row r="35212">
      <c r="H35212" s="8" t="s">
        <v>364</v>
      </c>
    </row>
    <row r="35213">
      <c r="H35213" s="8" t="s">
        <v>364</v>
      </c>
    </row>
    <row r="35214">
      <c r="H35214" s="8" t="s">
        <v>364</v>
      </c>
    </row>
    <row r="35215">
      <c r="H35215" s="8" t="s">
        <v>364</v>
      </c>
    </row>
    <row r="35216">
      <c r="H35216" s="8" t="s">
        <v>364</v>
      </c>
    </row>
    <row r="35217">
      <c r="H35217" s="8" t="s">
        <v>364</v>
      </c>
    </row>
    <row r="35218">
      <c r="H35218" s="8" t="s">
        <v>364</v>
      </c>
    </row>
    <row r="35219">
      <c r="H35219" s="8" t="s">
        <v>364</v>
      </c>
    </row>
    <row r="35220">
      <c r="H35220" s="8" t="s">
        <v>364</v>
      </c>
    </row>
    <row r="35221">
      <c r="H35221" s="8" t="s">
        <v>364</v>
      </c>
    </row>
    <row r="35222">
      <c r="H35222" s="8" t="s">
        <v>364</v>
      </c>
    </row>
    <row r="35223">
      <c r="H35223" s="8" t="s">
        <v>364</v>
      </c>
    </row>
    <row r="35224">
      <c r="H35224" s="8" t="s">
        <v>364</v>
      </c>
    </row>
    <row r="35225">
      <c r="H35225" s="8" t="s">
        <v>364</v>
      </c>
    </row>
    <row r="35226">
      <c r="H35226" s="8" t="s">
        <v>364</v>
      </c>
    </row>
    <row r="35227">
      <c r="H35227" s="8" t="s">
        <v>364</v>
      </c>
    </row>
    <row r="35228">
      <c r="H35228" s="8" t="s">
        <v>364</v>
      </c>
    </row>
    <row r="35229">
      <c r="H35229" s="8" t="s">
        <v>364</v>
      </c>
    </row>
    <row r="35230">
      <c r="H35230" s="8" t="s">
        <v>364</v>
      </c>
    </row>
    <row r="35231">
      <c r="H35231" s="8" t="s">
        <v>364</v>
      </c>
    </row>
    <row r="35232">
      <c r="H35232" s="8" t="s">
        <v>364</v>
      </c>
    </row>
    <row r="35233">
      <c r="H35233" s="8" t="s">
        <v>364</v>
      </c>
    </row>
    <row r="35234">
      <c r="H35234" s="8" t="s">
        <v>364</v>
      </c>
    </row>
    <row r="35235">
      <c r="H35235" s="8" t="s">
        <v>364</v>
      </c>
    </row>
    <row r="35236">
      <c r="H35236" s="8" t="s">
        <v>364</v>
      </c>
    </row>
    <row r="35237">
      <c r="H35237" s="8" t="s">
        <v>364</v>
      </c>
    </row>
    <row r="35238">
      <c r="H35238" s="8" t="s">
        <v>364</v>
      </c>
    </row>
    <row r="35239">
      <c r="H35239" s="8" t="s">
        <v>364</v>
      </c>
    </row>
    <row r="35240">
      <c r="H35240" s="8" t="s">
        <v>364</v>
      </c>
    </row>
    <row r="35241">
      <c r="H35241" s="8" t="s">
        <v>364</v>
      </c>
    </row>
    <row r="35242">
      <c r="H35242" s="8" t="s">
        <v>364</v>
      </c>
    </row>
    <row r="35243">
      <c r="H35243" s="8" t="s">
        <v>364</v>
      </c>
    </row>
    <row r="35244">
      <c r="H35244" s="8" t="s">
        <v>364</v>
      </c>
    </row>
    <row r="35245">
      <c r="H35245" s="8" t="s">
        <v>364</v>
      </c>
    </row>
    <row r="35246">
      <c r="H35246" s="8" t="s">
        <v>364</v>
      </c>
    </row>
    <row r="35247">
      <c r="H35247" s="8" t="s">
        <v>364</v>
      </c>
    </row>
    <row r="35248">
      <c r="H35248" s="8" t="s">
        <v>364</v>
      </c>
    </row>
    <row r="35249">
      <c r="H35249" s="8" t="s">
        <v>364</v>
      </c>
    </row>
    <row r="35250">
      <c r="H35250" s="8" t="s">
        <v>364</v>
      </c>
    </row>
    <row r="35251">
      <c r="H35251" s="8" t="s">
        <v>364</v>
      </c>
    </row>
    <row r="35252">
      <c r="H35252" s="8" t="s">
        <v>364</v>
      </c>
    </row>
    <row r="35253">
      <c r="H35253" s="8" t="s">
        <v>364</v>
      </c>
    </row>
    <row r="35254">
      <c r="H35254" s="8" t="s">
        <v>364</v>
      </c>
    </row>
    <row r="35255">
      <c r="H35255" s="8" t="s">
        <v>364</v>
      </c>
    </row>
    <row r="35256">
      <c r="H35256" s="8" t="s">
        <v>364</v>
      </c>
    </row>
    <row r="35257">
      <c r="H35257" s="8" t="s">
        <v>364</v>
      </c>
    </row>
    <row r="35258">
      <c r="H35258" s="8" t="s">
        <v>364</v>
      </c>
    </row>
    <row r="35259">
      <c r="H35259" s="8" t="s">
        <v>364</v>
      </c>
    </row>
    <row r="35260">
      <c r="H35260" s="8" t="s">
        <v>364</v>
      </c>
    </row>
    <row r="35261">
      <c r="H35261" s="8" t="s">
        <v>364</v>
      </c>
    </row>
    <row r="35262">
      <c r="H35262" s="8" t="s">
        <v>364</v>
      </c>
    </row>
    <row r="35263">
      <c r="H35263" s="8" t="s">
        <v>364</v>
      </c>
    </row>
    <row r="35264">
      <c r="H35264" s="8" t="s">
        <v>364</v>
      </c>
    </row>
    <row r="35265">
      <c r="H35265" s="8" t="s">
        <v>364</v>
      </c>
    </row>
    <row r="35266">
      <c r="H35266" s="8" t="s">
        <v>364</v>
      </c>
    </row>
    <row r="35267">
      <c r="H35267" s="8" t="s">
        <v>364</v>
      </c>
    </row>
    <row r="35268">
      <c r="H35268" s="8" t="s">
        <v>364</v>
      </c>
    </row>
    <row r="35269">
      <c r="H35269" s="8" t="s">
        <v>364</v>
      </c>
    </row>
    <row r="35270">
      <c r="H35270" s="8" t="s">
        <v>364</v>
      </c>
    </row>
    <row r="35271">
      <c r="H35271" s="8" t="s">
        <v>364</v>
      </c>
    </row>
    <row r="35272">
      <c r="H35272" s="8" t="s">
        <v>364</v>
      </c>
    </row>
    <row r="35273">
      <c r="H35273" s="8" t="s">
        <v>364</v>
      </c>
    </row>
    <row r="35274">
      <c r="H35274" s="8" t="s">
        <v>364</v>
      </c>
    </row>
    <row r="35275">
      <c r="H35275" s="8" t="s">
        <v>364</v>
      </c>
    </row>
    <row r="35276">
      <c r="H35276" s="8" t="s">
        <v>364</v>
      </c>
    </row>
    <row r="35277">
      <c r="H35277" s="8" t="s">
        <v>364</v>
      </c>
    </row>
    <row r="35278">
      <c r="H35278" s="8" t="s">
        <v>364</v>
      </c>
    </row>
    <row r="35279">
      <c r="H35279" s="8" t="s">
        <v>364</v>
      </c>
    </row>
    <row r="35280">
      <c r="H35280" s="8" t="s">
        <v>364</v>
      </c>
    </row>
    <row r="35281">
      <c r="H35281" s="8" t="s">
        <v>364</v>
      </c>
    </row>
    <row r="35282">
      <c r="H35282" s="8" t="s">
        <v>364</v>
      </c>
    </row>
    <row r="35283">
      <c r="H35283" s="8" t="s">
        <v>364</v>
      </c>
    </row>
    <row r="35284">
      <c r="H35284" s="8" t="s">
        <v>364</v>
      </c>
    </row>
    <row r="35285">
      <c r="H35285" s="8" t="s">
        <v>364</v>
      </c>
    </row>
    <row r="35286">
      <c r="H35286" s="8" t="s">
        <v>364</v>
      </c>
    </row>
    <row r="35287">
      <c r="H35287" s="8" t="s">
        <v>364</v>
      </c>
    </row>
    <row r="35288">
      <c r="H35288" s="8" t="s">
        <v>364</v>
      </c>
    </row>
    <row r="35289">
      <c r="H35289" s="8" t="s">
        <v>364</v>
      </c>
    </row>
    <row r="35290">
      <c r="H35290" s="8" t="s">
        <v>364</v>
      </c>
    </row>
    <row r="35291">
      <c r="H35291" s="8" t="s">
        <v>364</v>
      </c>
    </row>
    <row r="35292">
      <c r="H35292" s="8" t="s">
        <v>364</v>
      </c>
    </row>
    <row r="35293">
      <c r="H35293" s="8" t="s">
        <v>364</v>
      </c>
    </row>
    <row r="35294">
      <c r="H35294" s="8" t="s">
        <v>364</v>
      </c>
    </row>
    <row r="35295">
      <c r="H35295" s="8" t="s">
        <v>364</v>
      </c>
    </row>
    <row r="35296">
      <c r="H35296" s="8" t="s">
        <v>364</v>
      </c>
    </row>
    <row r="35297">
      <c r="H35297" s="8" t="s">
        <v>364</v>
      </c>
    </row>
    <row r="35298">
      <c r="H35298" s="8" t="s">
        <v>364</v>
      </c>
    </row>
    <row r="35299">
      <c r="H35299" s="8" t="s">
        <v>364</v>
      </c>
    </row>
    <row r="35300">
      <c r="H35300" s="8" t="s">
        <v>364</v>
      </c>
    </row>
    <row r="35301">
      <c r="H35301" s="8" t="s">
        <v>364</v>
      </c>
    </row>
    <row r="35302">
      <c r="H35302" s="8" t="s">
        <v>364</v>
      </c>
    </row>
    <row r="35303">
      <c r="H35303" s="8" t="s">
        <v>364</v>
      </c>
    </row>
    <row r="35304">
      <c r="H35304" s="8" t="s">
        <v>364</v>
      </c>
    </row>
    <row r="35305">
      <c r="H35305" s="8" t="s">
        <v>364</v>
      </c>
    </row>
    <row r="35306">
      <c r="H35306" s="8" t="s">
        <v>364</v>
      </c>
    </row>
    <row r="35307">
      <c r="H35307" s="8" t="s">
        <v>364</v>
      </c>
    </row>
    <row r="35308">
      <c r="H35308" s="8" t="s">
        <v>364</v>
      </c>
    </row>
    <row r="35309">
      <c r="H35309" s="8" t="s">
        <v>364</v>
      </c>
    </row>
    <row r="35310">
      <c r="H35310" s="8" t="s">
        <v>364</v>
      </c>
    </row>
    <row r="35311">
      <c r="H35311" s="8" t="s">
        <v>364</v>
      </c>
    </row>
    <row r="35312">
      <c r="H35312" s="8" t="s">
        <v>364</v>
      </c>
    </row>
    <row r="35313">
      <c r="H35313" s="8" t="s">
        <v>364</v>
      </c>
    </row>
    <row r="35314">
      <c r="H35314" s="8" t="s">
        <v>364</v>
      </c>
    </row>
    <row r="35315">
      <c r="H35315" s="8" t="s">
        <v>364</v>
      </c>
    </row>
    <row r="35316">
      <c r="H35316" s="8" t="s">
        <v>364</v>
      </c>
    </row>
    <row r="35317">
      <c r="H35317" s="8" t="s">
        <v>364</v>
      </c>
    </row>
    <row r="35318">
      <c r="H35318" s="8" t="s">
        <v>364</v>
      </c>
    </row>
    <row r="35319">
      <c r="H35319" s="8" t="s">
        <v>364</v>
      </c>
    </row>
    <row r="35320">
      <c r="H35320" s="8" t="s">
        <v>364</v>
      </c>
    </row>
    <row r="35321">
      <c r="H35321" s="8" t="s">
        <v>364</v>
      </c>
    </row>
    <row r="35322">
      <c r="H35322" s="8" t="s">
        <v>364</v>
      </c>
    </row>
    <row r="35323">
      <c r="H35323" s="8" t="s">
        <v>364</v>
      </c>
    </row>
    <row r="35324">
      <c r="H35324" s="8" t="s">
        <v>364</v>
      </c>
    </row>
    <row r="35325">
      <c r="H35325" s="8" t="s">
        <v>364</v>
      </c>
    </row>
    <row r="35326">
      <c r="H35326" s="8" t="s">
        <v>364</v>
      </c>
    </row>
    <row r="35327">
      <c r="H35327" s="8" t="s">
        <v>364</v>
      </c>
    </row>
    <row r="35328">
      <c r="H35328" s="8" t="s">
        <v>364</v>
      </c>
    </row>
    <row r="35329">
      <c r="H35329" s="8" t="s">
        <v>364</v>
      </c>
    </row>
    <row r="35330">
      <c r="H35330" s="8" t="s">
        <v>364</v>
      </c>
    </row>
    <row r="35331">
      <c r="H35331" s="8" t="s">
        <v>364</v>
      </c>
    </row>
    <row r="35332">
      <c r="H35332" s="8" t="s">
        <v>364</v>
      </c>
    </row>
    <row r="35333">
      <c r="H35333" s="8" t="s">
        <v>364</v>
      </c>
    </row>
    <row r="35334">
      <c r="H35334" s="8" t="s">
        <v>364</v>
      </c>
    </row>
    <row r="35335">
      <c r="H35335" s="8" t="s">
        <v>364</v>
      </c>
    </row>
    <row r="35336">
      <c r="H35336" s="8" t="s">
        <v>364</v>
      </c>
    </row>
    <row r="35337">
      <c r="H35337" s="8" t="s">
        <v>364</v>
      </c>
    </row>
    <row r="35338">
      <c r="H35338" s="8" t="s">
        <v>364</v>
      </c>
    </row>
    <row r="35339">
      <c r="H35339" s="8" t="s">
        <v>364</v>
      </c>
    </row>
    <row r="35340">
      <c r="H35340" s="8" t="s">
        <v>364</v>
      </c>
    </row>
    <row r="35341">
      <c r="H35341" s="8" t="s">
        <v>364</v>
      </c>
    </row>
    <row r="35342">
      <c r="H35342" s="8" t="s">
        <v>364</v>
      </c>
    </row>
    <row r="35343">
      <c r="H35343" s="8" t="s">
        <v>364</v>
      </c>
    </row>
    <row r="35344">
      <c r="H35344" s="8" t="s">
        <v>364</v>
      </c>
    </row>
    <row r="35345">
      <c r="H35345" s="8" t="s">
        <v>364</v>
      </c>
    </row>
    <row r="35346">
      <c r="H35346" s="8" t="s">
        <v>364</v>
      </c>
    </row>
    <row r="35347">
      <c r="H35347" s="8" t="s">
        <v>364</v>
      </c>
    </row>
    <row r="35348">
      <c r="H35348" s="8" t="s">
        <v>364</v>
      </c>
    </row>
    <row r="35349">
      <c r="H35349" s="8" t="s">
        <v>364</v>
      </c>
    </row>
    <row r="35350">
      <c r="H35350" s="8" t="s">
        <v>364</v>
      </c>
    </row>
    <row r="35351">
      <c r="H35351" s="8" t="s">
        <v>364</v>
      </c>
    </row>
    <row r="35352">
      <c r="H35352" s="8" t="s">
        <v>364</v>
      </c>
    </row>
    <row r="35353">
      <c r="H35353" s="8" t="s">
        <v>364</v>
      </c>
    </row>
    <row r="35354">
      <c r="H35354" s="8" t="s">
        <v>364</v>
      </c>
    </row>
    <row r="35355">
      <c r="H35355" s="8" t="s">
        <v>364</v>
      </c>
    </row>
    <row r="35356">
      <c r="H35356" s="8" t="s">
        <v>364</v>
      </c>
    </row>
    <row r="35357">
      <c r="H35357" s="8" t="s">
        <v>364</v>
      </c>
    </row>
    <row r="35358">
      <c r="H35358" s="8" t="s">
        <v>364</v>
      </c>
    </row>
    <row r="35359">
      <c r="H35359" s="8" t="s">
        <v>364</v>
      </c>
    </row>
    <row r="35360">
      <c r="H35360" s="8" t="s">
        <v>364</v>
      </c>
    </row>
    <row r="35361">
      <c r="H35361" s="8" t="s">
        <v>364</v>
      </c>
    </row>
    <row r="35362">
      <c r="H35362" s="8" t="s">
        <v>364</v>
      </c>
    </row>
    <row r="35363">
      <c r="H35363" s="8" t="s">
        <v>364</v>
      </c>
    </row>
    <row r="35364">
      <c r="H35364" s="8" t="s">
        <v>364</v>
      </c>
    </row>
    <row r="35365">
      <c r="H35365" s="8" t="s">
        <v>364</v>
      </c>
    </row>
    <row r="35366">
      <c r="H35366" s="8" t="s">
        <v>364</v>
      </c>
    </row>
    <row r="35367">
      <c r="H35367" s="8" t="s">
        <v>364</v>
      </c>
    </row>
    <row r="35368">
      <c r="H35368" s="8" t="s">
        <v>364</v>
      </c>
    </row>
    <row r="35369">
      <c r="H35369" s="8" t="s">
        <v>364</v>
      </c>
    </row>
    <row r="35370">
      <c r="H35370" s="8" t="s">
        <v>364</v>
      </c>
    </row>
    <row r="35371">
      <c r="H35371" s="8" t="s">
        <v>364</v>
      </c>
    </row>
    <row r="35372">
      <c r="H35372" s="8" t="s">
        <v>364</v>
      </c>
    </row>
    <row r="35373">
      <c r="H35373" s="8" t="s">
        <v>364</v>
      </c>
    </row>
    <row r="35374">
      <c r="H35374" s="8" t="s">
        <v>364</v>
      </c>
    </row>
    <row r="35375">
      <c r="H35375" s="8" t="s">
        <v>364</v>
      </c>
    </row>
    <row r="35376">
      <c r="H35376" s="8" t="s">
        <v>364</v>
      </c>
    </row>
    <row r="35377">
      <c r="H35377" s="8" t="s">
        <v>364</v>
      </c>
    </row>
    <row r="35378">
      <c r="H35378" s="8" t="s">
        <v>364</v>
      </c>
    </row>
    <row r="35379">
      <c r="H35379" s="8" t="s">
        <v>364</v>
      </c>
    </row>
    <row r="35380">
      <c r="H35380" s="8" t="s">
        <v>364</v>
      </c>
    </row>
    <row r="35381">
      <c r="H35381" s="8" t="s">
        <v>364</v>
      </c>
    </row>
    <row r="35382">
      <c r="H35382" s="8" t="s">
        <v>364</v>
      </c>
    </row>
    <row r="35383">
      <c r="H35383" s="8" t="s">
        <v>364</v>
      </c>
    </row>
    <row r="35384">
      <c r="H35384" s="8" t="s">
        <v>364</v>
      </c>
    </row>
    <row r="35385">
      <c r="H35385" s="8" t="s">
        <v>364</v>
      </c>
    </row>
    <row r="35386">
      <c r="H35386" s="8" t="s">
        <v>364</v>
      </c>
    </row>
    <row r="35387">
      <c r="H35387" s="8" t="s">
        <v>364</v>
      </c>
    </row>
    <row r="35388">
      <c r="H35388" s="8" t="s">
        <v>364</v>
      </c>
    </row>
    <row r="35389">
      <c r="H35389" s="8" t="s">
        <v>364</v>
      </c>
    </row>
    <row r="35390">
      <c r="H35390" s="8" t="s">
        <v>364</v>
      </c>
    </row>
    <row r="35391">
      <c r="H35391" s="8" t="s">
        <v>364</v>
      </c>
    </row>
    <row r="35392">
      <c r="H35392" s="8" t="s">
        <v>364</v>
      </c>
    </row>
    <row r="35393">
      <c r="H35393" s="8" t="s">
        <v>364</v>
      </c>
    </row>
    <row r="35394">
      <c r="H35394" s="8" t="s">
        <v>364</v>
      </c>
    </row>
    <row r="35395">
      <c r="H35395" s="8" t="s">
        <v>364</v>
      </c>
    </row>
    <row r="35396">
      <c r="H35396" s="8" t="s">
        <v>364</v>
      </c>
    </row>
    <row r="35397">
      <c r="H35397" s="8" t="s">
        <v>364</v>
      </c>
    </row>
    <row r="35398">
      <c r="H35398" s="8" t="s">
        <v>364</v>
      </c>
    </row>
    <row r="35399">
      <c r="H35399" s="8" t="s">
        <v>364</v>
      </c>
    </row>
    <row r="35400">
      <c r="H35400" s="8" t="s">
        <v>364</v>
      </c>
    </row>
    <row r="35401">
      <c r="H35401" s="8" t="s">
        <v>364</v>
      </c>
    </row>
    <row r="35402">
      <c r="H35402" s="8" t="s">
        <v>364</v>
      </c>
    </row>
    <row r="35403">
      <c r="H35403" s="8" t="s">
        <v>364</v>
      </c>
    </row>
    <row r="35404">
      <c r="H35404" s="8" t="s">
        <v>364</v>
      </c>
    </row>
    <row r="35405">
      <c r="H35405" s="8" t="s">
        <v>364</v>
      </c>
    </row>
    <row r="35406">
      <c r="H35406" s="8" t="s">
        <v>364</v>
      </c>
    </row>
    <row r="35407">
      <c r="H35407" s="8" t="s">
        <v>364</v>
      </c>
    </row>
    <row r="35408">
      <c r="H35408" s="8" t="s">
        <v>364</v>
      </c>
    </row>
    <row r="35409">
      <c r="H35409" s="8" t="s">
        <v>364</v>
      </c>
    </row>
    <row r="35410">
      <c r="H35410" s="8" t="s">
        <v>364</v>
      </c>
    </row>
    <row r="35411">
      <c r="H35411" s="8" t="s">
        <v>364</v>
      </c>
    </row>
    <row r="35412">
      <c r="H35412" s="8" t="s">
        <v>364</v>
      </c>
    </row>
    <row r="35413">
      <c r="H35413" s="8" t="s">
        <v>364</v>
      </c>
    </row>
    <row r="35414">
      <c r="H35414" s="8" t="s">
        <v>364</v>
      </c>
    </row>
    <row r="35415">
      <c r="H35415" s="8" t="s">
        <v>364</v>
      </c>
    </row>
    <row r="35416">
      <c r="H35416" s="8" t="s">
        <v>364</v>
      </c>
    </row>
    <row r="35417">
      <c r="H35417" s="8" t="s">
        <v>364</v>
      </c>
    </row>
    <row r="35418">
      <c r="H35418" s="8" t="s">
        <v>364</v>
      </c>
    </row>
    <row r="35419">
      <c r="H35419" s="8" t="s">
        <v>364</v>
      </c>
    </row>
    <row r="35420">
      <c r="H35420" s="8" t="s">
        <v>364</v>
      </c>
    </row>
    <row r="35421">
      <c r="H35421" s="8" t="s">
        <v>364</v>
      </c>
    </row>
    <row r="35422">
      <c r="H35422" s="8" t="s">
        <v>364</v>
      </c>
    </row>
    <row r="35423">
      <c r="H35423" s="8" t="s">
        <v>364</v>
      </c>
    </row>
    <row r="35424">
      <c r="H35424" s="8" t="s">
        <v>364</v>
      </c>
    </row>
    <row r="35425">
      <c r="H35425" s="8" t="s">
        <v>364</v>
      </c>
    </row>
    <row r="35426">
      <c r="H35426" s="8" t="s">
        <v>364</v>
      </c>
    </row>
    <row r="35427">
      <c r="H35427" s="8" t="s">
        <v>364</v>
      </c>
    </row>
    <row r="35428">
      <c r="H35428" s="8" t="s">
        <v>364</v>
      </c>
    </row>
    <row r="35429">
      <c r="H35429" s="8" t="s">
        <v>364</v>
      </c>
    </row>
    <row r="35430">
      <c r="H35430" s="8" t="s">
        <v>364</v>
      </c>
    </row>
    <row r="35431">
      <c r="H35431" s="8" t="s">
        <v>364</v>
      </c>
    </row>
    <row r="35432">
      <c r="H35432" s="8" t="s">
        <v>364</v>
      </c>
    </row>
    <row r="35433">
      <c r="H35433" s="8" t="s">
        <v>364</v>
      </c>
    </row>
    <row r="35434">
      <c r="H35434" s="8" t="s">
        <v>364</v>
      </c>
    </row>
    <row r="35435">
      <c r="H35435" s="8" t="s">
        <v>364</v>
      </c>
    </row>
    <row r="35436">
      <c r="H35436" s="8" t="s">
        <v>364</v>
      </c>
    </row>
    <row r="35437">
      <c r="H35437" s="8" t="s">
        <v>364</v>
      </c>
    </row>
    <row r="35438">
      <c r="H35438" s="8" t="s">
        <v>364</v>
      </c>
    </row>
    <row r="35439">
      <c r="H35439" s="8" t="s">
        <v>364</v>
      </c>
    </row>
    <row r="35440">
      <c r="H35440" s="8" t="s">
        <v>364</v>
      </c>
    </row>
    <row r="35441">
      <c r="H35441" s="8" t="s">
        <v>364</v>
      </c>
    </row>
    <row r="35442">
      <c r="H35442" s="8" t="s">
        <v>364</v>
      </c>
    </row>
    <row r="35443">
      <c r="H35443" s="8" t="s">
        <v>364</v>
      </c>
    </row>
    <row r="35444">
      <c r="H35444" s="8" t="s">
        <v>364</v>
      </c>
    </row>
    <row r="35445">
      <c r="H35445" s="8" t="s">
        <v>364</v>
      </c>
    </row>
    <row r="35446">
      <c r="H35446" s="8" t="s">
        <v>364</v>
      </c>
    </row>
    <row r="35447">
      <c r="H35447" s="8" t="s">
        <v>364</v>
      </c>
    </row>
    <row r="35448">
      <c r="H35448" s="8" t="s">
        <v>364</v>
      </c>
    </row>
    <row r="35449">
      <c r="H35449" s="8" t="s">
        <v>364</v>
      </c>
    </row>
    <row r="35450">
      <c r="H35450" s="8" t="s">
        <v>364</v>
      </c>
    </row>
    <row r="35451">
      <c r="H35451" s="8" t="s">
        <v>364</v>
      </c>
    </row>
    <row r="35452">
      <c r="H35452" s="8" t="s">
        <v>364</v>
      </c>
    </row>
    <row r="35453">
      <c r="H35453" s="8" t="s">
        <v>364</v>
      </c>
    </row>
    <row r="35454">
      <c r="H35454" s="8" t="s">
        <v>364</v>
      </c>
    </row>
    <row r="35455">
      <c r="H35455" s="8" t="s">
        <v>364</v>
      </c>
    </row>
    <row r="35456">
      <c r="H35456" s="8" t="s">
        <v>364</v>
      </c>
    </row>
    <row r="35457">
      <c r="H35457" s="8" t="s">
        <v>364</v>
      </c>
    </row>
    <row r="35458">
      <c r="H35458" s="8" t="s">
        <v>364</v>
      </c>
    </row>
    <row r="35459">
      <c r="H35459" s="8" t="s">
        <v>364</v>
      </c>
    </row>
    <row r="35460">
      <c r="H35460" s="8" t="s">
        <v>364</v>
      </c>
    </row>
    <row r="35461">
      <c r="H35461" s="8" t="s">
        <v>364</v>
      </c>
    </row>
    <row r="35462">
      <c r="H35462" s="8" t="s">
        <v>364</v>
      </c>
    </row>
    <row r="35463">
      <c r="H35463" s="8" t="s">
        <v>364</v>
      </c>
    </row>
    <row r="35464">
      <c r="H35464" s="8" t="s">
        <v>364</v>
      </c>
    </row>
    <row r="35465">
      <c r="H35465" s="8" t="s">
        <v>364</v>
      </c>
    </row>
    <row r="35466">
      <c r="H35466" s="8" t="s">
        <v>364</v>
      </c>
    </row>
    <row r="35467">
      <c r="H35467" s="8" t="s">
        <v>364</v>
      </c>
    </row>
    <row r="35468">
      <c r="H35468" s="8" t="s">
        <v>364</v>
      </c>
    </row>
    <row r="35469">
      <c r="H35469" s="8" t="s">
        <v>364</v>
      </c>
    </row>
    <row r="35470">
      <c r="H35470" s="8" t="s">
        <v>364</v>
      </c>
    </row>
    <row r="35471">
      <c r="H35471" s="8" t="s">
        <v>364</v>
      </c>
    </row>
    <row r="35472">
      <c r="H35472" s="8" t="s">
        <v>364</v>
      </c>
    </row>
    <row r="35473">
      <c r="H35473" s="8" t="s">
        <v>364</v>
      </c>
    </row>
    <row r="35474">
      <c r="H35474" s="8" t="s">
        <v>364</v>
      </c>
    </row>
    <row r="35475">
      <c r="H35475" s="8" t="s">
        <v>364</v>
      </c>
    </row>
    <row r="35476">
      <c r="H35476" s="8" t="s">
        <v>364</v>
      </c>
    </row>
    <row r="35477">
      <c r="H35477" s="8" t="s">
        <v>364</v>
      </c>
    </row>
    <row r="35478">
      <c r="H35478" s="8" t="s">
        <v>364</v>
      </c>
    </row>
    <row r="35479">
      <c r="H35479" s="8" t="s">
        <v>364</v>
      </c>
    </row>
    <row r="35480">
      <c r="H35480" s="8" t="s">
        <v>364</v>
      </c>
    </row>
    <row r="35481">
      <c r="H35481" s="8" t="s">
        <v>364</v>
      </c>
    </row>
    <row r="35482">
      <c r="H35482" s="8" t="s">
        <v>364</v>
      </c>
    </row>
    <row r="35483">
      <c r="H35483" s="8" t="s">
        <v>364</v>
      </c>
    </row>
    <row r="35484">
      <c r="H35484" s="8" t="s">
        <v>364</v>
      </c>
    </row>
    <row r="35485">
      <c r="H35485" s="8" t="s">
        <v>364</v>
      </c>
    </row>
    <row r="35486">
      <c r="H35486" s="8" t="s">
        <v>364</v>
      </c>
    </row>
    <row r="35487">
      <c r="H35487" s="8" t="s">
        <v>364</v>
      </c>
    </row>
    <row r="35488">
      <c r="H35488" s="8" t="s">
        <v>364</v>
      </c>
    </row>
    <row r="35489">
      <c r="H35489" s="8" t="s">
        <v>364</v>
      </c>
    </row>
    <row r="35490">
      <c r="H35490" s="8" t="s">
        <v>364</v>
      </c>
    </row>
    <row r="35491">
      <c r="H35491" s="8" t="s">
        <v>364</v>
      </c>
    </row>
    <row r="35492">
      <c r="H35492" s="8" t="s">
        <v>364</v>
      </c>
    </row>
    <row r="35493">
      <c r="H35493" s="8" t="s">
        <v>364</v>
      </c>
    </row>
    <row r="35494">
      <c r="H35494" s="8" t="s">
        <v>364</v>
      </c>
    </row>
    <row r="35495">
      <c r="H35495" s="8" t="s">
        <v>364</v>
      </c>
    </row>
    <row r="35496">
      <c r="H35496" s="8" t="s">
        <v>364</v>
      </c>
    </row>
    <row r="35497">
      <c r="H35497" s="8" t="s">
        <v>364</v>
      </c>
    </row>
    <row r="35498">
      <c r="H35498" s="8" t="s">
        <v>364</v>
      </c>
    </row>
    <row r="35499">
      <c r="H35499" s="8" t="s">
        <v>364</v>
      </c>
    </row>
    <row r="35500">
      <c r="H35500" s="8" t="s">
        <v>364</v>
      </c>
    </row>
    <row r="35501">
      <c r="H35501" s="8" t="s">
        <v>364</v>
      </c>
    </row>
    <row r="35502">
      <c r="H35502" s="8" t="s">
        <v>364</v>
      </c>
    </row>
    <row r="35503">
      <c r="H35503" s="8" t="s">
        <v>364</v>
      </c>
    </row>
    <row r="35504">
      <c r="H35504" s="8" t="s">
        <v>364</v>
      </c>
    </row>
    <row r="35505">
      <c r="H35505" s="8" t="s">
        <v>364</v>
      </c>
    </row>
    <row r="35506">
      <c r="H35506" s="8" t="s">
        <v>364</v>
      </c>
    </row>
    <row r="35507">
      <c r="H35507" s="8" t="s">
        <v>364</v>
      </c>
    </row>
    <row r="35508">
      <c r="H35508" s="8" t="s">
        <v>364</v>
      </c>
    </row>
    <row r="35509">
      <c r="H35509" s="8" t="s">
        <v>364</v>
      </c>
    </row>
    <row r="35510">
      <c r="H35510" s="8" t="s">
        <v>364</v>
      </c>
    </row>
    <row r="35511">
      <c r="H35511" s="8" t="s">
        <v>364</v>
      </c>
    </row>
    <row r="35512">
      <c r="H35512" s="8" t="s">
        <v>364</v>
      </c>
    </row>
    <row r="35513">
      <c r="H35513" s="8" t="s">
        <v>364</v>
      </c>
    </row>
    <row r="35514">
      <c r="H35514" s="8" t="s">
        <v>364</v>
      </c>
    </row>
    <row r="35515">
      <c r="H35515" s="8" t="s">
        <v>364</v>
      </c>
    </row>
    <row r="35516">
      <c r="H35516" s="8" t="s">
        <v>364</v>
      </c>
    </row>
    <row r="35517">
      <c r="H35517" s="8" t="s">
        <v>364</v>
      </c>
    </row>
    <row r="35518">
      <c r="H35518" s="8" t="s">
        <v>364</v>
      </c>
    </row>
    <row r="35519">
      <c r="H35519" s="8" t="s">
        <v>364</v>
      </c>
    </row>
    <row r="35520">
      <c r="H35520" s="8" t="s">
        <v>364</v>
      </c>
    </row>
    <row r="35521">
      <c r="H35521" s="8" t="s">
        <v>364</v>
      </c>
    </row>
    <row r="35522">
      <c r="H35522" s="8" t="s">
        <v>364</v>
      </c>
    </row>
    <row r="35523">
      <c r="H35523" s="8" t="s">
        <v>364</v>
      </c>
    </row>
    <row r="35524">
      <c r="H35524" s="8" t="s">
        <v>364</v>
      </c>
    </row>
    <row r="35525">
      <c r="H35525" s="8" t="s">
        <v>364</v>
      </c>
    </row>
    <row r="35526">
      <c r="H35526" s="8" t="s">
        <v>364</v>
      </c>
    </row>
    <row r="35527">
      <c r="H35527" s="8" t="s">
        <v>364</v>
      </c>
    </row>
    <row r="35528">
      <c r="H35528" s="8" t="s">
        <v>364</v>
      </c>
    </row>
    <row r="35529">
      <c r="H35529" s="8" t="s">
        <v>364</v>
      </c>
    </row>
    <row r="35530">
      <c r="H35530" s="8" t="s">
        <v>364</v>
      </c>
    </row>
    <row r="35531">
      <c r="H35531" s="8" t="s">
        <v>364</v>
      </c>
    </row>
    <row r="35532">
      <c r="H35532" s="8" t="s">
        <v>364</v>
      </c>
    </row>
    <row r="35533">
      <c r="H35533" s="8" t="s">
        <v>364</v>
      </c>
    </row>
    <row r="35534">
      <c r="H35534" s="8" t="s">
        <v>364</v>
      </c>
    </row>
    <row r="35535">
      <c r="H35535" s="8" t="s">
        <v>364</v>
      </c>
    </row>
    <row r="35536">
      <c r="H35536" s="8" t="s">
        <v>364</v>
      </c>
    </row>
    <row r="35537">
      <c r="H35537" s="8" t="s">
        <v>364</v>
      </c>
    </row>
    <row r="35538">
      <c r="H35538" s="8" t="s">
        <v>364</v>
      </c>
    </row>
    <row r="35539">
      <c r="H35539" s="8" t="s">
        <v>364</v>
      </c>
    </row>
    <row r="35540">
      <c r="H35540" s="8" t="s">
        <v>364</v>
      </c>
    </row>
    <row r="35541">
      <c r="H35541" s="8" t="s">
        <v>364</v>
      </c>
    </row>
    <row r="35542">
      <c r="H35542" s="8" t="s">
        <v>364</v>
      </c>
    </row>
    <row r="35543">
      <c r="H35543" s="8" t="s">
        <v>364</v>
      </c>
    </row>
    <row r="35544">
      <c r="H35544" s="8" t="s">
        <v>364</v>
      </c>
    </row>
    <row r="35545">
      <c r="H35545" s="8" t="s">
        <v>364</v>
      </c>
    </row>
    <row r="35546">
      <c r="H35546" s="8" t="s">
        <v>364</v>
      </c>
    </row>
    <row r="35547">
      <c r="H35547" s="8" t="s">
        <v>364</v>
      </c>
    </row>
    <row r="35548">
      <c r="H35548" s="8" t="s">
        <v>364</v>
      </c>
    </row>
    <row r="35549">
      <c r="H35549" s="8" t="s">
        <v>364</v>
      </c>
    </row>
    <row r="35550">
      <c r="H35550" s="8" t="s">
        <v>364</v>
      </c>
    </row>
    <row r="35551">
      <c r="H35551" s="8" t="s">
        <v>364</v>
      </c>
    </row>
    <row r="35552">
      <c r="H35552" s="8" t="s">
        <v>364</v>
      </c>
    </row>
    <row r="35553">
      <c r="H35553" s="8" t="s">
        <v>364</v>
      </c>
    </row>
    <row r="35554">
      <c r="H35554" s="8" t="s">
        <v>364</v>
      </c>
    </row>
    <row r="35555">
      <c r="H35555" s="8" t="s">
        <v>364</v>
      </c>
    </row>
    <row r="35556">
      <c r="H35556" s="8" t="s">
        <v>364</v>
      </c>
    </row>
    <row r="35557">
      <c r="H35557" s="8" t="s">
        <v>364</v>
      </c>
    </row>
    <row r="35558">
      <c r="H35558" s="8" t="s">
        <v>364</v>
      </c>
    </row>
    <row r="35559">
      <c r="H35559" s="8" t="s">
        <v>364</v>
      </c>
    </row>
    <row r="35560">
      <c r="H35560" s="8" t="s">
        <v>364</v>
      </c>
    </row>
    <row r="35561">
      <c r="H35561" s="8" t="s">
        <v>364</v>
      </c>
    </row>
    <row r="35562">
      <c r="H35562" s="8" t="s">
        <v>364</v>
      </c>
    </row>
    <row r="35563">
      <c r="H35563" s="8" t="s">
        <v>364</v>
      </c>
    </row>
    <row r="35564">
      <c r="H35564" s="8" t="s">
        <v>364</v>
      </c>
    </row>
    <row r="35565">
      <c r="H35565" s="8" t="s">
        <v>364</v>
      </c>
    </row>
    <row r="35566">
      <c r="H35566" s="8" t="s">
        <v>364</v>
      </c>
    </row>
    <row r="35567">
      <c r="H35567" s="8" t="s">
        <v>364</v>
      </c>
    </row>
    <row r="35568">
      <c r="H35568" s="8" t="s">
        <v>364</v>
      </c>
    </row>
    <row r="35569">
      <c r="H35569" s="8" t="s">
        <v>364</v>
      </c>
    </row>
    <row r="35570">
      <c r="H35570" s="8" t="s">
        <v>364</v>
      </c>
    </row>
    <row r="35571">
      <c r="H35571" s="8" t="s">
        <v>364</v>
      </c>
    </row>
    <row r="35572">
      <c r="H35572" s="8" t="s">
        <v>364</v>
      </c>
    </row>
    <row r="35573">
      <c r="H35573" s="8" t="s">
        <v>364</v>
      </c>
    </row>
    <row r="35574">
      <c r="H35574" s="8" t="s">
        <v>364</v>
      </c>
    </row>
    <row r="35575">
      <c r="H35575" s="8" t="s">
        <v>364</v>
      </c>
    </row>
    <row r="35576">
      <c r="H35576" s="8" t="s">
        <v>364</v>
      </c>
    </row>
    <row r="35577">
      <c r="H35577" s="8" t="s">
        <v>364</v>
      </c>
    </row>
    <row r="35578">
      <c r="H35578" s="8" t="s">
        <v>364</v>
      </c>
    </row>
    <row r="35579">
      <c r="H35579" s="8" t="s">
        <v>364</v>
      </c>
    </row>
    <row r="35580">
      <c r="H35580" s="8" t="s">
        <v>364</v>
      </c>
    </row>
    <row r="35581">
      <c r="H35581" s="8" t="s">
        <v>364</v>
      </c>
    </row>
    <row r="35582">
      <c r="H35582" s="8" t="s">
        <v>364</v>
      </c>
    </row>
    <row r="35583">
      <c r="H35583" s="8" t="s">
        <v>364</v>
      </c>
    </row>
    <row r="35584">
      <c r="H35584" s="8" t="s">
        <v>364</v>
      </c>
    </row>
    <row r="35585">
      <c r="H35585" s="8" t="s">
        <v>364</v>
      </c>
    </row>
    <row r="35586">
      <c r="H35586" s="8" t="s">
        <v>364</v>
      </c>
    </row>
    <row r="35587">
      <c r="H35587" s="8" t="s">
        <v>364</v>
      </c>
    </row>
    <row r="35588">
      <c r="H35588" s="8" t="s">
        <v>364</v>
      </c>
    </row>
    <row r="35589">
      <c r="H35589" s="8" t="s">
        <v>364</v>
      </c>
    </row>
    <row r="35590">
      <c r="H35590" s="8" t="s">
        <v>364</v>
      </c>
    </row>
    <row r="35591">
      <c r="H35591" s="8" t="s">
        <v>364</v>
      </c>
    </row>
    <row r="35592">
      <c r="H35592" s="8" t="s">
        <v>364</v>
      </c>
    </row>
    <row r="35593">
      <c r="H35593" s="8" t="s">
        <v>364</v>
      </c>
    </row>
    <row r="35594">
      <c r="H35594" s="8" t="s">
        <v>364</v>
      </c>
    </row>
    <row r="35595">
      <c r="H35595" s="8" t="s">
        <v>364</v>
      </c>
    </row>
    <row r="35596">
      <c r="H35596" s="8" t="s">
        <v>364</v>
      </c>
    </row>
    <row r="35597">
      <c r="H35597" s="8" t="s">
        <v>364</v>
      </c>
    </row>
    <row r="35598">
      <c r="H35598" s="8" t="s">
        <v>364</v>
      </c>
    </row>
    <row r="35599">
      <c r="H35599" s="8" t="s">
        <v>364</v>
      </c>
    </row>
    <row r="35600">
      <c r="H35600" s="8" t="s">
        <v>364</v>
      </c>
    </row>
    <row r="35601">
      <c r="H35601" s="8" t="s">
        <v>364</v>
      </c>
    </row>
    <row r="35602">
      <c r="H35602" s="8" t="s">
        <v>364</v>
      </c>
    </row>
    <row r="35603">
      <c r="H35603" s="8" t="s">
        <v>364</v>
      </c>
    </row>
    <row r="35604">
      <c r="H35604" s="8" t="s">
        <v>364</v>
      </c>
    </row>
    <row r="35605">
      <c r="H35605" s="8" t="s">
        <v>364</v>
      </c>
    </row>
    <row r="35606">
      <c r="H35606" s="8" t="s">
        <v>364</v>
      </c>
    </row>
    <row r="35607">
      <c r="H35607" s="8" t="s">
        <v>364</v>
      </c>
    </row>
    <row r="35608">
      <c r="H35608" s="8" t="s">
        <v>364</v>
      </c>
    </row>
    <row r="35609">
      <c r="H35609" s="8" t="s">
        <v>364</v>
      </c>
    </row>
    <row r="35610">
      <c r="H35610" s="8" t="s">
        <v>364</v>
      </c>
    </row>
    <row r="35611">
      <c r="H35611" s="8" t="s">
        <v>364</v>
      </c>
    </row>
    <row r="35612">
      <c r="H35612" s="8" t="s">
        <v>364</v>
      </c>
    </row>
    <row r="35613">
      <c r="H35613" s="8" t="s">
        <v>364</v>
      </c>
    </row>
    <row r="35614">
      <c r="H35614" s="8" t="s">
        <v>364</v>
      </c>
    </row>
    <row r="35615">
      <c r="H35615" s="8" t="s">
        <v>364</v>
      </c>
    </row>
    <row r="35616">
      <c r="H35616" s="8" t="s">
        <v>364</v>
      </c>
    </row>
    <row r="35617">
      <c r="H35617" s="8" t="s">
        <v>364</v>
      </c>
    </row>
    <row r="35618">
      <c r="H35618" s="8" t="s">
        <v>364</v>
      </c>
    </row>
    <row r="35619">
      <c r="H35619" s="8" t="s">
        <v>364</v>
      </c>
    </row>
    <row r="35620">
      <c r="H35620" s="8" t="s">
        <v>364</v>
      </c>
    </row>
    <row r="35621">
      <c r="H35621" s="8" t="s">
        <v>364</v>
      </c>
    </row>
    <row r="35622">
      <c r="H35622" s="8" t="s">
        <v>364</v>
      </c>
    </row>
    <row r="35623">
      <c r="H35623" s="8" t="s">
        <v>364</v>
      </c>
    </row>
    <row r="35624">
      <c r="H35624" s="8" t="s">
        <v>364</v>
      </c>
    </row>
    <row r="35625">
      <c r="H35625" s="8" t="s">
        <v>364</v>
      </c>
    </row>
    <row r="35626">
      <c r="H35626" s="8" t="s">
        <v>364</v>
      </c>
    </row>
    <row r="35627">
      <c r="H35627" s="8" t="s">
        <v>364</v>
      </c>
    </row>
    <row r="35628">
      <c r="H35628" s="8" t="s">
        <v>364</v>
      </c>
    </row>
    <row r="35629">
      <c r="H35629" s="8" t="s">
        <v>364</v>
      </c>
    </row>
    <row r="35630">
      <c r="H35630" s="8" t="s">
        <v>364</v>
      </c>
    </row>
    <row r="35631">
      <c r="H35631" s="8" t="s">
        <v>364</v>
      </c>
    </row>
    <row r="35632">
      <c r="H35632" s="8" t="s">
        <v>364</v>
      </c>
    </row>
    <row r="35633">
      <c r="H35633" s="8" t="s">
        <v>364</v>
      </c>
    </row>
    <row r="35634">
      <c r="H35634" s="8" t="s">
        <v>364</v>
      </c>
    </row>
    <row r="35635">
      <c r="H35635" s="8" t="s">
        <v>364</v>
      </c>
    </row>
    <row r="35636">
      <c r="H35636" s="8" t="s">
        <v>364</v>
      </c>
    </row>
    <row r="35637">
      <c r="H35637" s="8" t="s">
        <v>364</v>
      </c>
    </row>
    <row r="35638">
      <c r="H35638" s="8" t="s">
        <v>364</v>
      </c>
    </row>
    <row r="35639">
      <c r="H35639" s="8" t="s">
        <v>364</v>
      </c>
    </row>
    <row r="35640">
      <c r="H35640" s="8" t="s">
        <v>364</v>
      </c>
    </row>
    <row r="35641">
      <c r="H35641" s="8" t="s">
        <v>364</v>
      </c>
    </row>
    <row r="35642">
      <c r="H35642" s="8" t="s">
        <v>364</v>
      </c>
    </row>
    <row r="35643">
      <c r="H35643" s="8" t="s">
        <v>364</v>
      </c>
    </row>
    <row r="35644">
      <c r="H35644" s="8" t="s">
        <v>364</v>
      </c>
    </row>
    <row r="35645">
      <c r="H35645" s="8" t="s">
        <v>364</v>
      </c>
    </row>
    <row r="35646">
      <c r="H35646" s="8" t="s">
        <v>364</v>
      </c>
    </row>
    <row r="35647">
      <c r="H35647" s="8" t="s">
        <v>364</v>
      </c>
    </row>
    <row r="35648">
      <c r="H35648" s="8" t="s">
        <v>364</v>
      </c>
    </row>
    <row r="35649">
      <c r="H35649" s="8" t="s">
        <v>364</v>
      </c>
    </row>
    <row r="35650">
      <c r="H35650" s="8" t="s">
        <v>364</v>
      </c>
    </row>
    <row r="35651">
      <c r="H35651" s="8" t="s">
        <v>364</v>
      </c>
    </row>
    <row r="35652">
      <c r="H35652" s="8" t="s">
        <v>364</v>
      </c>
    </row>
    <row r="35653">
      <c r="H35653" s="8" t="s">
        <v>364</v>
      </c>
    </row>
    <row r="35654">
      <c r="H35654" s="8" t="s">
        <v>364</v>
      </c>
    </row>
    <row r="35655">
      <c r="H35655" s="8" t="s">
        <v>364</v>
      </c>
    </row>
    <row r="35656">
      <c r="H35656" s="8" t="s">
        <v>364</v>
      </c>
    </row>
    <row r="35657">
      <c r="H35657" s="8" t="s">
        <v>364</v>
      </c>
    </row>
    <row r="35658">
      <c r="H35658" s="8" t="s">
        <v>364</v>
      </c>
    </row>
    <row r="35659">
      <c r="H35659" s="8" t="s">
        <v>364</v>
      </c>
    </row>
    <row r="35660">
      <c r="H35660" s="8" t="s">
        <v>364</v>
      </c>
    </row>
    <row r="35661">
      <c r="H35661" s="8" t="s">
        <v>364</v>
      </c>
    </row>
    <row r="35662">
      <c r="H35662" s="8" t="s">
        <v>364</v>
      </c>
    </row>
    <row r="35663">
      <c r="H35663" s="8" t="s">
        <v>364</v>
      </c>
    </row>
    <row r="35664">
      <c r="H35664" s="8" t="s">
        <v>364</v>
      </c>
    </row>
    <row r="35665">
      <c r="H35665" s="8" t="s">
        <v>364</v>
      </c>
    </row>
    <row r="35666">
      <c r="H35666" s="8" t="s">
        <v>364</v>
      </c>
    </row>
    <row r="35667">
      <c r="H35667" s="8" t="s">
        <v>364</v>
      </c>
    </row>
    <row r="35668">
      <c r="H35668" s="8" t="s">
        <v>364</v>
      </c>
    </row>
    <row r="35669">
      <c r="H35669" s="8" t="s">
        <v>364</v>
      </c>
    </row>
    <row r="35670">
      <c r="H35670" s="8" t="s">
        <v>364</v>
      </c>
    </row>
    <row r="35671">
      <c r="H35671" s="8" t="s">
        <v>364</v>
      </c>
    </row>
    <row r="35672">
      <c r="H35672" s="8" t="s">
        <v>364</v>
      </c>
    </row>
    <row r="35673">
      <c r="H35673" s="8" t="s">
        <v>364</v>
      </c>
    </row>
    <row r="35674">
      <c r="H35674" s="8" t="s">
        <v>364</v>
      </c>
    </row>
    <row r="35675">
      <c r="H35675" s="8" t="s">
        <v>364</v>
      </c>
    </row>
    <row r="35676">
      <c r="H35676" s="8" t="s">
        <v>364</v>
      </c>
    </row>
    <row r="35677">
      <c r="H35677" s="8" t="s">
        <v>364</v>
      </c>
    </row>
    <row r="35678">
      <c r="H35678" s="8" t="s">
        <v>364</v>
      </c>
    </row>
    <row r="35679">
      <c r="H35679" s="8" t="s">
        <v>364</v>
      </c>
    </row>
    <row r="35680">
      <c r="H35680" s="8" t="s">
        <v>364</v>
      </c>
    </row>
    <row r="35681">
      <c r="H35681" s="8" t="s">
        <v>364</v>
      </c>
    </row>
    <row r="35682">
      <c r="H35682" s="8" t="s">
        <v>364</v>
      </c>
    </row>
    <row r="35683">
      <c r="H35683" s="8" t="s">
        <v>364</v>
      </c>
    </row>
    <row r="35684">
      <c r="H35684" s="8" t="s">
        <v>364</v>
      </c>
    </row>
    <row r="35685">
      <c r="H35685" s="8" t="s">
        <v>364</v>
      </c>
    </row>
    <row r="35686">
      <c r="H35686" s="8" t="s">
        <v>364</v>
      </c>
    </row>
    <row r="35687">
      <c r="H35687" s="8" t="s">
        <v>364</v>
      </c>
    </row>
    <row r="35688">
      <c r="H35688" s="8" t="s">
        <v>364</v>
      </c>
    </row>
    <row r="35689">
      <c r="H35689" s="8" t="s">
        <v>364</v>
      </c>
    </row>
    <row r="35690">
      <c r="H35690" s="8" t="s">
        <v>364</v>
      </c>
    </row>
    <row r="35691">
      <c r="H35691" s="8" t="s">
        <v>364</v>
      </c>
    </row>
    <row r="35692">
      <c r="H35692" s="8" t="s">
        <v>364</v>
      </c>
    </row>
    <row r="35693">
      <c r="H35693" s="8" t="s">
        <v>364</v>
      </c>
    </row>
    <row r="35694">
      <c r="H35694" s="8" t="s">
        <v>364</v>
      </c>
    </row>
    <row r="35695">
      <c r="H35695" s="8" t="s">
        <v>364</v>
      </c>
    </row>
    <row r="35696">
      <c r="H35696" s="8" t="s">
        <v>364</v>
      </c>
    </row>
    <row r="35697">
      <c r="H35697" s="8" t="s">
        <v>364</v>
      </c>
    </row>
    <row r="35698">
      <c r="H35698" s="8" t="s">
        <v>364</v>
      </c>
    </row>
    <row r="35699">
      <c r="H35699" s="8" t="s">
        <v>364</v>
      </c>
    </row>
    <row r="35700">
      <c r="H35700" s="8" t="s">
        <v>364</v>
      </c>
    </row>
    <row r="35701">
      <c r="H35701" s="8" t="s">
        <v>364</v>
      </c>
    </row>
    <row r="35702">
      <c r="H35702" s="8" t="s">
        <v>364</v>
      </c>
    </row>
    <row r="35703">
      <c r="H35703" s="8" t="s">
        <v>364</v>
      </c>
    </row>
    <row r="35704">
      <c r="H35704" s="8" t="s">
        <v>364</v>
      </c>
    </row>
    <row r="35705">
      <c r="H35705" s="8" t="s">
        <v>364</v>
      </c>
    </row>
    <row r="35706">
      <c r="H35706" s="8" t="s">
        <v>364</v>
      </c>
    </row>
    <row r="35707">
      <c r="H35707" s="8" t="s">
        <v>364</v>
      </c>
    </row>
    <row r="35708">
      <c r="H35708" s="8" t="s">
        <v>364</v>
      </c>
    </row>
    <row r="35709">
      <c r="H35709" s="8" t="s">
        <v>364</v>
      </c>
    </row>
    <row r="35710">
      <c r="H35710" s="8" t="s">
        <v>364</v>
      </c>
    </row>
    <row r="35711">
      <c r="H35711" s="8" t="s">
        <v>364</v>
      </c>
    </row>
    <row r="35712">
      <c r="H35712" s="8" t="s">
        <v>364</v>
      </c>
    </row>
    <row r="35713">
      <c r="H35713" s="8" t="s">
        <v>364</v>
      </c>
    </row>
    <row r="35714">
      <c r="H35714" s="8" t="s">
        <v>364</v>
      </c>
    </row>
    <row r="35715">
      <c r="H35715" s="8" t="s">
        <v>364</v>
      </c>
    </row>
    <row r="35716">
      <c r="H35716" s="8" t="s">
        <v>364</v>
      </c>
    </row>
    <row r="35717">
      <c r="H35717" s="8" t="s">
        <v>364</v>
      </c>
    </row>
    <row r="35718">
      <c r="H35718" s="8" t="s">
        <v>364</v>
      </c>
    </row>
    <row r="35719">
      <c r="H35719" s="8" t="s">
        <v>364</v>
      </c>
    </row>
    <row r="35720">
      <c r="H35720" s="8" t="s">
        <v>364</v>
      </c>
    </row>
    <row r="35721">
      <c r="H35721" s="8" t="s">
        <v>364</v>
      </c>
    </row>
    <row r="35722">
      <c r="H35722" s="8" t="s">
        <v>364</v>
      </c>
    </row>
    <row r="35723">
      <c r="H35723" s="8" t="s">
        <v>364</v>
      </c>
    </row>
    <row r="35724">
      <c r="H35724" s="8" t="s">
        <v>364</v>
      </c>
    </row>
    <row r="35725">
      <c r="H35725" s="8" t="s">
        <v>364</v>
      </c>
    </row>
    <row r="35726">
      <c r="H35726" s="8" t="s">
        <v>364</v>
      </c>
    </row>
    <row r="35727">
      <c r="H35727" s="8" t="s">
        <v>364</v>
      </c>
    </row>
    <row r="35728">
      <c r="H35728" s="8" t="s">
        <v>364</v>
      </c>
    </row>
    <row r="35729">
      <c r="H35729" s="8" t="s">
        <v>364</v>
      </c>
    </row>
    <row r="35730">
      <c r="H35730" s="8" t="s">
        <v>364</v>
      </c>
    </row>
    <row r="35731">
      <c r="H35731" s="8" t="s">
        <v>364</v>
      </c>
    </row>
    <row r="35732">
      <c r="H35732" s="8" t="s">
        <v>364</v>
      </c>
    </row>
    <row r="35733">
      <c r="H35733" s="8" t="s">
        <v>364</v>
      </c>
    </row>
    <row r="35734">
      <c r="H35734" s="8" t="s">
        <v>364</v>
      </c>
    </row>
    <row r="35735">
      <c r="H35735" s="8" t="s">
        <v>364</v>
      </c>
    </row>
    <row r="35736">
      <c r="H35736" s="8" t="s">
        <v>364</v>
      </c>
    </row>
    <row r="35737">
      <c r="H35737" s="8" t="s">
        <v>364</v>
      </c>
    </row>
    <row r="35738">
      <c r="H35738" s="8" t="s">
        <v>364</v>
      </c>
    </row>
    <row r="35739">
      <c r="H35739" s="8" t="s">
        <v>364</v>
      </c>
    </row>
    <row r="35740">
      <c r="H35740" s="8" t="s">
        <v>364</v>
      </c>
    </row>
    <row r="35741">
      <c r="H35741" s="8" t="s">
        <v>364</v>
      </c>
    </row>
    <row r="35742">
      <c r="H35742" s="8" t="s">
        <v>364</v>
      </c>
    </row>
    <row r="35743">
      <c r="H35743" s="8" t="s">
        <v>364</v>
      </c>
    </row>
    <row r="35744">
      <c r="H35744" s="8" t="s">
        <v>364</v>
      </c>
    </row>
    <row r="35745">
      <c r="H35745" s="8" t="s">
        <v>364</v>
      </c>
    </row>
    <row r="35746">
      <c r="H35746" s="8" t="s">
        <v>364</v>
      </c>
    </row>
    <row r="35747">
      <c r="H35747" s="8" t="s">
        <v>364</v>
      </c>
    </row>
    <row r="35748">
      <c r="H35748" s="8" t="s">
        <v>364</v>
      </c>
    </row>
    <row r="35749">
      <c r="H35749" s="8" t="s">
        <v>364</v>
      </c>
    </row>
    <row r="35750">
      <c r="H35750" s="8" t="s">
        <v>364</v>
      </c>
    </row>
    <row r="35751">
      <c r="H35751" s="8" t="s">
        <v>364</v>
      </c>
    </row>
    <row r="35752">
      <c r="H35752" s="8" t="s">
        <v>364</v>
      </c>
    </row>
    <row r="35753">
      <c r="H35753" s="8" t="s">
        <v>364</v>
      </c>
    </row>
    <row r="35754">
      <c r="H35754" s="8" t="s">
        <v>364</v>
      </c>
    </row>
    <row r="35755">
      <c r="H35755" s="8" t="s">
        <v>364</v>
      </c>
    </row>
    <row r="35756">
      <c r="H35756" s="8" t="s">
        <v>364</v>
      </c>
    </row>
    <row r="35757">
      <c r="H35757" s="8" t="s">
        <v>364</v>
      </c>
    </row>
    <row r="35758">
      <c r="H35758" s="8" t="s">
        <v>364</v>
      </c>
    </row>
    <row r="35759">
      <c r="H35759" s="8" t="s">
        <v>364</v>
      </c>
    </row>
    <row r="35760">
      <c r="H35760" s="8" t="s">
        <v>364</v>
      </c>
    </row>
    <row r="35761">
      <c r="H35761" s="8" t="s">
        <v>364</v>
      </c>
    </row>
    <row r="35762">
      <c r="H35762" s="8" t="s">
        <v>364</v>
      </c>
    </row>
    <row r="35763">
      <c r="H35763" s="8" t="s">
        <v>364</v>
      </c>
    </row>
    <row r="35764">
      <c r="H35764" s="8" t="s">
        <v>364</v>
      </c>
    </row>
    <row r="35765">
      <c r="H35765" s="8" t="s">
        <v>364</v>
      </c>
    </row>
    <row r="35766">
      <c r="H35766" s="8" t="s">
        <v>364</v>
      </c>
    </row>
    <row r="35767">
      <c r="H35767" s="8" t="s">
        <v>364</v>
      </c>
    </row>
    <row r="35768">
      <c r="H35768" s="8" t="s">
        <v>364</v>
      </c>
    </row>
    <row r="35769">
      <c r="H35769" s="8" t="s">
        <v>364</v>
      </c>
    </row>
    <row r="35770">
      <c r="H35770" s="8" t="s">
        <v>364</v>
      </c>
    </row>
    <row r="35771">
      <c r="H35771" s="8" t="s">
        <v>364</v>
      </c>
    </row>
    <row r="35772">
      <c r="H35772" s="8" t="s">
        <v>364</v>
      </c>
    </row>
    <row r="35773">
      <c r="H35773" s="8" t="s">
        <v>364</v>
      </c>
    </row>
    <row r="35774">
      <c r="H35774" s="8" t="s">
        <v>364</v>
      </c>
    </row>
    <row r="35775">
      <c r="H35775" s="8" t="s">
        <v>364</v>
      </c>
    </row>
    <row r="35776">
      <c r="H35776" s="8" t="s">
        <v>364</v>
      </c>
    </row>
    <row r="35777">
      <c r="H35777" s="8" t="s">
        <v>364</v>
      </c>
    </row>
    <row r="35778">
      <c r="H35778" s="8" t="s">
        <v>364</v>
      </c>
    </row>
    <row r="35779">
      <c r="H35779" s="8" t="s">
        <v>364</v>
      </c>
    </row>
    <row r="35780">
      <c r="H35780" s="8" t="s">
        <v>364</v>
      </c>
    </row>
    <row r="35781">
      <c r="H35781" s="8" t="s">
        <v>364</v>
      </c>
    </row>
    <row r="35782">
      <c r="H35782" s="8" t="s">
        <v>364</v>
      </c>
    </row>
    <row r="35783">
      <c r="H35783" s="8" t="s">
        <v>364</v>
      </c>
    </row>
    <row r="35784">
      <c r="H35784" s="8" t="s">
        <v>364</v>
      </c>
    </row>
    <row r="35785">
      <c r="H35785" s="8" t="s">
        <v>364</v>
      </c>
    </row>
    <row r="35786">
      <c r="H35786" s="8" t="s">
        <v>364</v>
      </c>
    </row>
    <row r="35787">
      <c r="H35787" s="8" t="s">
        <v>364</v>
      </c>
    </row>
    <row r="35788">
      <c r="H35788" s="8" t="s">
        <v>364</v>
      </c>
    </row>
    <row r="35789">
      <c r="H35789" s="8" t="s">
        <v>364</v>
      </c>
    </row>
    <row r="35790">
      <c r="H35790" s="8" t="s">
        <v>364</v>
      </c>
    </row>
    <row r="35791">
      <c r="H35791" s="8" t="s">
        <v>364</v>
      </c>
    </row>
    <row r="35792">
      <c r="H35792" s="8" t="s">
        <v>364</v>
      </c>
    </row>
    <row r="35793">
      <c r="H35793" s="8" t="s">
        <v>364</v>
      </c>
    </row>
    <row r="35794">
      <c r="H35794" s="8" t="s">
        <v>364</v>
      </c>
    </row>
    <row r="35795">
      <c r="H35795" s="8" t="s">
        <v>364</v>
      </c>
    </row>
    <row r="35796">
      <c r="H35796" s="8" t="s">
        <v>364</v>
      </c>
    </row>
    <row r="35797">
      <c r="H35797" s="8" t="s">
        <v>364</v>
      </c>
    </row>
    <row r="35798">
      <c r="H35798" s="8" t="s">
        <v>364</v>
      </c>
    </row>
    <row r="35799">
      <c r="H35799" s="8" t="s">
        <v>364</v>
      </c>
    </row>
    <row r="35800">
      <c r="H35800" s="8" t="s">
        <v>364</v>
      </c>
    </row>
    <row r="35801">
      <c r="H35801" s="8" t="s">
        <v>364</v>
      </c>
    </row>
    <row r="35802">
      <c r="H35802" s="8" t="s">
        <v>364</v>
      </c>
    </row>
    <row r="35803">
      <c r="H35803" s="8" t="s">
        <v>364</v>
      </c>
    </row>
    <row r="35804">
      <c r="H35804" s="8" t="s">
        <v>364</v>
      </c>
    </row>
    <row r="35805">
      <c r="H35805" s="8" t="s">
        <v>364</v>
      </c>
    </row>
    <row r="35806">
      <c r="H35806" s="8" t="s">
        <v>364</v>
      </c>
    </row>
    <row r="35807">
      <c r="H35807" s="8" t="s">
        <v>364</v>
      </c>
    </row>
    <row r="35808">
      <c r="H35808" s="8" t="s">
        <v>364</v>
      </c>
    </row>
    <row r="35809">
      <c r="H35809" s="8" t="s">
        <v>364</v>
      </c>
    </row>
    <row r="35810">
      <c r="H35810" s="8" t="s">
        <v>364</v>
      </c>
    </row>
    <row r="35811">
      <c r="H35811" s="8" t="s">
        <v>364</v>
      </c>
    </row>
    <row r="35812">
      <c r="H35812" s="8" t="s">
        <v>364</v>
      </c>
    </row>
    <row r="35813">
      <c r="H35813" s="8" t="s">
        <v>364</v>
      </c>
    </row>
    <row r="35814">
      <c r="H35814" s="8" t="s">
        <v>364</v>
      </c>
    </row>
    <row r="35815">
      <c r="H35815" s="8" t="s">
        <v>364</v>
      </c>
    </row>
    <row r="35816">
      <c r="H35816" s="8" t="s">
        <v>364</v>
      </c>
    </row>
    <row r="35817">
      <c r="H35817" s="8" t="s">
        <v>364</v>
      </c>
    </row>
    <row r="35818">
      <c r="H35818" s="8" t="s">
        <v>364</v>
      </c>
    </row>
    <row r="35819">
      <c r="H35819" s="8" t="s">
        <v>364</v>
      </c>
    </row>
    <row r="35820">
      <c r="H35820" s="8" t="s">
        <v>364</v>
      </c>
    </row>
    <row r="35821">
      <c r="H35821" s="8" t="s">
        <v>364</v>
      </c>
    </row>
    <row r="35822">
      <c r="H35822" s="8" t="s">
        <v>364</v>
      </c>
    </row>
    <row r="35823">
      <c r="H35823" s="8" t="s">
        <v>364</v>
      </c>
    </row>
    <row r="35824">
      <c r="H35824" s="8" t="s">
        <v>364</v>
      </c>
    </row>
    <row r="35825">
      <c r="H35825" s="8" t="s">
        <v>364</v>
      </c>
    </row>
    <row r="35826">
      <c r="H35826" s="8" t="s">
        <v>364</v>
      </c>
    </row>
    <row r="35827">
      <c r="H35827" s="8" t="s">
        <v>364</v>
      </c>
    </row>
    <row r="35828">
      <c r="H35828" s="8" t="s">
        <v>364</v>
      </c>
    </row>
    <row r="35829">
      <c r="H35829" s="8" t="s">
        <v>364</v>
      </c>
    </row>
    <row r="35830">
      <c r="H35830" s="8" t="s">
        <v>364</v>
      </c>
    </row>
    <row r="35831">
      <c r="H35831" s="8" t="s">
        <v>364</v>
      </c>
    </row>
    <row r="35832">
      <c r="H35832" s="8" t="s">
        <v>364</v>
      </c>
    </row>
    <row r="35833">
      <c r="H35833" s="8" t="s">
        <v>364</v>
      </c>
    </row>
    <row r="35834">
      <c r="H35834" s="8" t="s">
        <v>364</v>
      </c>
    </row>
    <row r="35835">
      <c r="H35835" s="8" t="s">
        <v>364</v>
      </c>
    </row>
    <row r="35836">
      <c r="H35836" s="8" t="s">
        <v>364</v>
      </c>
    </row>
    <row r="35837">
      <c r="H35837" s="8" t="s">
        <v>364</v>
      </c>
    </row>
    <row r="35838">
      <c r="H35838" s="8" t="s">
        <v>364</v>
      </c>
    </row>
    <row r="35839">
      <c r="H35839" s="8" t="s">
        <v>364</v>
      </c>
    </row>
    <row r="35840">
      <c r="H35840" s="8" t="s">
        <v>364</v>
      </c>
    </row>
    <row r="35841">
      <c r="H35841" s="8" t="s">
        <v>364</v>
      </c>
    </row>
    <row r="35842">
      <c r="H35842" s="8" t="s">
        <v>364</v>
      </c>
    </row>
    <row r="35843">
      <c r="H35843" s="8" t="s">
        <v>364</v>
      </c>
    </row>
    <row r="35844">
      <c r="H35844" s="8" t="s">
        <v>364</v>
      </c>
    </row>
    <row r="35845">
      <c r="H35845" s="8" t="s">
        <v>364</v>
      </c>
    </row>
    <row r="35846">
      <c r="H35846" s="8" t="s">
        <v>364</v>
      </c>
    </row>
    <row r="35847">
      <c r="H35847" s="8" t="s">
        <v>364</v>
      </c>
    </row>
    <row r="35848">
      <c r="H35848" s="8" t="s">
        <v>364</v>
      </c>
    </row>
    <row r="35849">
      <c r="H35849" s="8" t="s">
        <v>364</v>
      </c>
    </row>
    <row r="35850">
      <c r="H35850" s="8" t="s">
        <v>364</v>
      </c>
    </row>
    <row r="35851">
      <c r="H35851" s="8" t="s">
        <v>364</v>
      </c>
    </row>
    <row r="35852">
      <c r="H35852" s="8" t="s">
        <v>364</v>
      </c>
    </row>
    <row r="35853">
      <c r="H35853" s="8" t="s">
        <v>364</v>
      </c>
    </row>
    <row r="35854">
      <c r="H35854" s="8" t="s">
        <v>364</v>
      </c>
    </row>
    <row r="35855">
      <c r="H35855" s="8" t="s">
        <v>364</v>
      </c>
    </row>
    <row r="35856">
      <c r="H35856" s="8" t="s">
        <v>364</v>
      </c>
    </row>
    <row r="35857">
      <c r="H35857" s="8" t="s">
        <v>364</v>
      </c>
    </row>
    <row r="35858">
      <c r="H35858" s="8" t="s">
        <v>364</v>
      </c>
    </row>
    <row r="35859">
      <c r="H35859" s="8" t="s">
        <v>364</v>
      </c>
    </row>
    <row r="35860">
      <c r="H35860" s="8" t="s">
        <v>364</v>
      </c>
    </row>
    <row r="35861">
      <c r="H35861" s="8" t="s">
        <v>364</v>
      </c>
    </row>
    <row r="35862">
      <c r="H35862" s="8" t="s">
        <v>364</v>
      </c>
    </row>
    <row r="35863">
      <c r="H35863" s="8" t="s">
        <v>364</v>
      </c>
    </row>
    <row r="35864">
      <c r="H35864" s="8" t="s">
        <v>364</v>
      </c>
    </row>
    <row r="35865">
      <c r="H35865" s="8" t="s">
        <v>364</v>
      </c>
    </row>
    <row r="35866">
      <c r="H35866" s="8" t="s">
        <v>364</v>
      </c>
    </row>
    <row r="35867">
      <c r="H35867" s="8" t="s">
        <v>364</v>
      </c>
    </row>
    <row r="35868">
      <c r="H35868" s="8" t="s">
        <v>364</v>
      </c>
    </row>
    <row r="35869">
      <c r="H35869" s="8" t="s">
        <v>364</v>
      </c>
    </row>
    <row r="35870">
      <c r="H35870" s="8" t="s">
        <v>364</v>
      </c>
    </row>
    <row r="35871">
      <c r="H35871" s="8" t="s">
        <v>364</v>
      </c>
    </row>
    <row r="35872">
      <c r="H35872" s="8" t="s">
        <v>364</v>
      </c>
    </row>
    <row r="35873">
      <c r="H35873" s="8" t="s">
        <v>364</v>
      </c>
    </row>
    <row r="35874">
      <c r="H35874" s="8" t="s">
        <v>364</v>
      </c>
    </row>
    <row r="35875">
      <c r="H35875" s="8" t="s">
        <v>364</v>
      </c>
    </row>
    <row r="35876">
      <c r="H35876" s="8" t="s">
        <v>364</v>
      </c>
    </row>
    <row r="35877">
      <c r="H35877" s="8" t="s">
        <v>364</v>
      </c>
    </row>
    <row r="35878">
      <c r="H35878" s="8" t="s">
        <v>364</v>
      </c>
    </row>
    <row r="35879">
      <c r="H35879" s="8" t="s">
        <v>364</v>
      </c>
    </row>
    <row r="35880">
      <c r="H35880" s="8" t="s">
        <v>364</v>
      </c>
    </row>
    <row r="35881">
      <c r="H35881" s="8" t="s">
        <v>364</v>
      </c>
    </row>
    <row r="35882">
      <c r="H35882" s="8" t="s">
        <v>364</v>
      </c>
    </row>
    <row r="35883">
      <c r="H35883" s="8" t="s">
        <v>364</v>
      </c>
    </row>
    <row r="35884">
      <c r="H35884" s="8" t="s">
        <v>364</v>
      </c>
    </row>
    <row r="35885">
      <c r="H35885" s="8" t="s">
        <v>364</v>
      </c>
    </row>
    <row r="35886">
      <c r="H35886" s="8" t="s">
        <v>364</v>
      </c>
    </row>
    <row r="35887">
      <c r="H35887" s="8" t="s">
        <v>364</v>
      </c>
    </row>
    <row r="35888">
      <c r="H35888" s="8" t="s">
        <v>364</v>
      </c>
    </row>
    <row r="35889">
      <c r="H35889" s="8" t="s">
        <v>364</v>
      </c>
    </row>
    <row r="35890">
      <c r="H35890" s="8" t="s">
        <v>364</v>
      </c>
    </row>
    <row r="35891">
      <c r="H35891" s="8" t="s">
        <v>364</v>
      </c>
    </row>
    <row r="35892">
      <c r="H35892" s="8" t="s">
        <v>364</v>
      </c>
    </row>
    <row r="35893">
      <c r="H35893" s="8" t="s">
        <v>364</v>
      </c>
    </row>
    <row r="35894">
      <c r="H35894" s="8" t="s">
        <v>364</v>
      </c>
    </row>
    <row r="35895">
      <c r="H35895" s="8" t="s">
        <v>364</v>
      </c>
    </row>
    <row r="35896">
      <c r="H35896" s="8" t="s">
        <v>364</v>
      </c>
    </row>
    <row r="35897">
      <c r="H35897" s="8" t="s">
        <v>364</v>
      </c>
    </row>
    <row r="35898">
      <c r="H35898" s="8" t="s">
        <v>364</v>
      </c>
    </row>
    <row r="35899">
      <c r="H35899" s="8" t="s">
        <v>364</v>
      </c>
    </row>
    <row r="35900">
      <c r="H35900" s="8" t="s">
        <v>364</v>
      </c>
    </row>
    <row r="35901">
      <c r="H35901" s="8" t="s">
        <v>364</v>
      </c>
    </row>
    <row r="35902">
      <c r="H35902" s="8" t="s">
        <v>364</v>
      </c>
    </row>
    <row r="35903">
      <c r="H35903" s="8" t="s">
        <v>364</v>
      </c>
    </row>
    <row r="35904">
      <c r="H35904" s="8" t="s">
        <v>364</v>
      </c>
    </row>
    <row r="35905">
      <c r="H35905" s="8" t="s">
        <v>364</v>
      </c>
    </row>
    <row r="35906">
      <c r="H35906" s="8" t="s">
        <v>364</v>
      </c>
    </row>
    <row r="35907">
      <c r="H35907" s="8" t="s">
        <v>364</v>
      </c>
    </row>
    <row r="35908">
      <c r="H35908" s="8" t="s">
        <v>364</v>
      </c>
    </row>
    <row r="35909">
      <c r="H35909" s="8" t="s">
        <v>364</v>
      </c>
    </row>
    <row r="35910">
      <c r="H35910" s="8" t="s">
        <v>364</v>
      </c>
    </row>
    <row r="35911">
      <c r="H35911" s="8" t="s">
        <v>364</v>
      </c>
    </row>
    <row r="35912">
      <c r="H35912" s="8" t="s">
        <v>364</v>
      </c>
    </row>
    <row r="35913">
      <c r="H35913" s="8" t="s">
        <v>364</v>
      </c>
    </row>
    <row r="35914">
      <c r="H35914" s="8" t="s">
        <v>364</v>
      </c>
    </row>
    <row r="35915">
      <c r="H35915" s="8" t="s">
        <v>364</v>
      </c>
    </row>
    <row r="35916">
      <c r="H35916" s="8" t="s">
        <v>364</v>
      </c>
    </row>
    <row r="35917">
      <c r="H35917" s="8" t="s">
        <v>364</v>
      </c>
    </row>
    <row r="35918">
      <c r="H35918" s="8" t="s">
        <v>364</v>
      </c>
    </row>
    <row r="35919">
      <c r="H35919" s="8" t="s">
        <v>364</v>
      </c>
    </row>
    <row r="35920">
      <c r="H35920" s="8" t="s">
        <v>364</v>
      </c>
    </row>
    <row r="35921">
      <c r="H35921" s="8" t="s">
        <v>364</v>
      </c>
    </row>
    <row r="35922">
      <c r="H35922" s="8" t="s">
        <v>364</v>
      </c>
    </row>
    <row r="35923">
      <c r="H35923" s="8" t="s">
        <v>364</v>
      </c>
    </row>
    <row r="35924">
      <c r="H35924" s="8" t="s">
        <v>364</v>
      </c>
    </row>
    <row r="35925">
      <c r="H35925" s="8" t="s">
        <v>364</v>
      </c>
    </row>
    <row r="35926">
      <c r="H35926" s="8" t="s">
        <v>364</v>
      </c>
    </row>
    <row r="35927">
      <c r="H35927" s="8" t="s">
        <v>364</v>
      </c>
    </row>
    <row r="35928">
      <c r="H35928" s="8" t="s">
        <v>364</v>
      </c>
    </row>
    <row r="35929">
      <c r="H35929" s="8" t="s">
        <v>364</v>
      </c>
    </row>
    <row r="35930">
      <c r="H35930" s="8" t="s">
        <v>364</v>
      </c>
    </row>
    <row r="35931">
      <c r="H35931" s="8" t="s">
        <v>364</v>
      </c>
    </row>
    <row r="35932">
      <c r="H35932" s="8" t="s">
        <v>364</v>
      </c>
    </row>
    <row r="35933">
      <c r="H35933" s="8" t="s">
        <v>364</v>
      </c>
    </row>
    <row r="35934">
      <c r="H35934" s="8" t="s">
        <v>364</v>
      </c>
    </row>
    <row r="35935">
      <c r="H35935" s="8" t="s">
        <v>364</v>
      </c>
    </row>
    <row r="35936">
      <c r="H35936" s="8" t="s">
        <v>364</v>
      </c>
    </row>
    <row r="35937">
      <c r="H35937" s="8" t="s">
        <v>364</v>
      </c>
    </row>
    <row r="35938">
      <c r="H35938" s="8" t="s">
        <v>364</v>
      </c>
    </row>
    <row r="35939">
      <c r="H35939" s="8" t="s">
        <v>364</v>
      </c>
    </row>
    <row r="35940">
      <c r="H35940" s="8" t="s">
        <v>364</v>
      </c>
    </row>
    <row r="35941">
      <c r="H35941" s="8" t="s">
        <v>364</v>
      </c>
    </row>
    <row r="35942">
      <c r="H35942" s="8" t="s">
        <v>364</v>
      </c>
    </row>
    <row r="35943">
      <c r="H35943" s="8" t="s">
        <v>364</v>
      </c>
    </row>
    <row r="35944">
      <c r="H35944" s="8" t="s">
        <v>364</v>
      </c>
    </row>
    <row r="35945">
      <c r="H35945" s="8" t="s">
        <v>364</v>
      </c>
    </row>
    <row r="35946">
      <c r="H35946" s="8" t="s">
        <v>364</v>
      </c>
    </row>
    <row r="35947">
      <c r="H35947" s="8" t="s">
        <v>364</v>
      </c>
    </row>
    <row r="35948">
      <c r="H35948" s="8" t="s">
        <v>364</v>
      </c>
    </row>
    <row r="35949">
      <c r="H35949" s="8" t="s">
        <v>364</v>
      </c>
    </row>
    <row r="35950">
      <c r="H35950" s="8" t="s">
        <v>364</v>
      </c>
    </row>
    <row r="35951">
      <c r="H35951" s="8" t="s">
        <v>364</v>
      </c>
    </row>
    <row r="35952">
      <c r="H35952" s="8" t="s">
        <v>364</v>
      </c>
    </row>
    <row r="35953">
      <c r="H35953" s="8" t="s">
        <v>364</v>
      </c>
    </row>
    <row r="35954">
      <c r="H35954" s="8" t="s">
        <v>364</v>
      </c>
    </row>
    <row r="35955">
      <c r="H35955" s="8" t="s">
        <v>364</v>
      </c>
    </row>
    <row r="35956">
      <c r="H35956" s="8" t="s">
        <v>364</v>
      </c>
    </row>
    <row r="35957">
      <c r="H35957" s="8" t="s">
        <v>364</v>
      </c>
    </row>
    <row r="35958">
      <c r="H35958" s="8" t="s">
        <v>364</v>
      </c>
    </row>
    <row r="35959">
      <c r="H35959" s="8" t="s">
        <v>364</v>
      </c>
    </row>
    <row r="35960">
      <c r="H35960" s="8" t="s">
        <v>364</v>
      </c>
    </row>
    <row r="35961">
      <c r="H35961" s="8" t="s">
        <v>364</v>
      </c>
    </row>
    <row r="35962">
      <c r="H35962" s="8" t="s">
        <v>364</v>
      </c>
    </row>
    <row r="35963">
      <c r="H35963" s="8" t="s">
        <v>364</v>
      </c>
    </row>
    <row r="35964">
      <c r="H35964" s="8" t="s">
        <v>364</v>
      </c>
    </row>
    <row r="35965">
      <c r="H35965" s="8" t="s">
        <v>364</v>
      </c>
    </row>
    <row r="35966">
      <c r="H35966" s="8" t="s">
        <v>364</v>
      </c>
    </row>
    <row r="35967">
      <c r="H35967" s="8" t="s">
        <v>364</v>
      </c>
    </row>
    <row r="35968">
      <c r="H35968" s="8" t="s">
        <v>364</v>
      </c>
    </row>
    <row r="35969">
      <c r="H35969" s="8" t="s">
        <v>364</v>
      </c>
    </row>
    <row r="35970">
      <c r="H35970" s="8" t="s">
        <v>364</v>
      </c>
    </row>
    <row r="35971">
      <c r="H35971" s="8" t="s">
        <v>364</v>
      </c>
    </row>
    <row r="35972">
      <c r="H35972" s="8" t="s">
        <v>364</v>
      </c>
    </row>
    <row r="35973">
      <c r="H35973" s="8" t="s">
        <v>364</v>
      </c>
    </row>
    <row r="35974">
      <c r="H35974" s="8" t="s">
        <v>364</v>
      </c>
    </row>
    <row r="35975">
      <c r="H35975" s="8" t="s">
        <v>364</v>
      </c>
    </row>
    <row r="35976">
      <c r="H35976" s="8" t="s">
        <v>364</v>
      </c>
    </row>
    <row r="35977">
      <c r="H35977" s="8" t="s">
        <v>364</v>
      </c>
    </row>
    <row r="35978">
      <c r="H35978" s="8" t="s">
        <v>364</v>
      </c>
    </row>
    <row r="35979">
      <c r="H35979" s="8" t="s">
        <v>364</v>
      </c>
    </row>
    <row r="35980">
      <c r="H35980" s="8" t="s">
        <v>364</v>
      </c>
    </row>
    <row r="35981">
      <c r="H35981" s="8" t="s">
        <v>364</v>
      </c>
    </row>
    <row r="35982">
      <c r="H35982" s="8" t="s">
        <v>364</v>
      </c>
    </row>
    <row r="35983">
      <c r="H35983" s="8" t="s">
        <v>364</v>
      </c>
    </row>
    <row r="35984">
      <c r="H35984" s="8" t="s">
        <v>364</v>
      </c>
    </row>
    <row r="35985">
      <c r="H35985" s="8" t="s">
        <v>364</v>
      </c>
    </row>
    <row r="35986">
      <c r="H35986" s="8" t="s">
        <v>364</v>
      </c>
    </row>
    <row r="35987">
      <c r="H35987" s="8" t="s">
        <v>364</v>
      </c>
    </row>
    <row r="35988">
      <c r="H35988" s="8" t="s">
        <v>364</v>
      </c>
    </row>
    <row r="35989">
      <c r="H35989" s="8" t="s">
        <v>364</v>
      </c>
    </row>
    <row r="35990">
      <c r="H35990" s="8" t="s">
        <v>364</v>
      </c>
    </row>
    <row r="35991">
      <c r="H35991" s="8" t="s">
        <v>364</v>
      </c>
    </row>
    <row r="35992">
      <c r="H35992" s="8" t="s">
        <v>364</v>
      </c>
    </row>
    <row r="35993">
      <c r="H35993" s="8" t="s">
        <v>364</v>
      </c>
    </row>
    <row r="35994">
      <c r="H35994" s="8" t="s">
        <v>364</v>
      </c>
    </row>
    <row r="35995">
      <c r="H35995" s="8" t="s">
        <v>364</v>
      </c>
    </row>
    <row r="35996">
      <c r="H35996" s="8" t="s">
        <v>364</v>
      </c>
    </row>
    <row r="35997">
      <c r="H35997" s="8" t="s">
        <v>364</v>
      </c>
    </row>
    <row r="35998">
      <c r="H35998" s="8" t="s">
        <v>364</v>
      </c>
    </row>
    <row r="35999">
      <c r="H35999" s="8" t="s">
        <v>364</v>
      </c>
    </row>
    <row r="36000">
      <c r="H36000" s="8" t="s">
        <v>364</v>
      </c>
    </row>
    <row r="36001">
      <c r="H36001" s="8" t="s">
        <v>364</v>
      </c>
    </row>
    <row r="36002">
      <c r="H36002" s="8" t="s">
        <v>364</v>
      </c>
    </row>
    <row r="36003">
      <c r="H36003" s="8" t="s">
        <v>364</v>
      </c>
    </row>
    <row r="36004">
      <c r="H36004" s="8" t="s">
        <v>364</v>
      </c>
    </row>
    <row r="36005">
      <c r="H36005" s="8" t="s">
        <v>364</v>
      </c>
    </row>
    <row r="36006">
      <c r="H36006" s="8" t="s">
        <v>364</v>
      </c>
    </row>
    <row r="36007">
      <c r="H36007" s="8" t="s">
        <v>364</v>
      </c>
    </row>
    <row r="36008">
      <c r="H36008" s="8" t="s">
        <v>364</v>
      </c>
    </row>
    <row r="36009">
      <c r="H36009" s="8" t="s">
        <v>364</v>
      </c>
    </row>
    <row r="36010">
      <c r="H36010" s="8" t="s">
        <v>364</v>
      </c>
    </row>
    <row r="36011">
      <c r="H36011" s="8" t="s">
        <v>364</v>
      </c>
    </row>
    <row r="36012">
      <c r="H36012" s="8" t="s">
        <v>364</v>
      </c>
    </row>
    <row r="36013">
      <c r="H36013" s="8" t="s">
        <v>364</v>
      </c>
    </row>
    <row r="36014">
      <c r="H36014" s="8" t="s">
        <v>364</v>
      </c>
    </row>
    <row r="36015">
      <c r="H36015" s="8" t="s">
        <v>364</v>
      </c>
    </row>
    <row r="36016">
      <c r="H36016" s="8" t="s">
        <v>364</v>
      </c>
    </row>
    <row r="36017">
      <c r="H36017" s="8" t="s">
        <v>364</v>
      </c>
    </row>
    <row r="36018">
      <c r="H36018" s="8" t="s">
        <v>364</v>
      </c>
    </row>
    <row r="36019">
      <c r="H36019" s="8" t="s">
        <v>364</v>
      </c>
    </row>
    <row r="36020">
      <c r="H36020" s="8" t="s">
        <v>364</v>
      </c>
    </row>
    <row r="36021">
      <c r="H36021" s="8" t="s">
        <v>364</v>
      </c>
    </row>
    <row r="36022">
      <c r="H36022" s="8" t="s">
        <v>364</v>
      </c>
    </row>
    <row r="36023">
      <c r="H36023" s="8" t="s">
        <v>364</v>
      </c>
    </row>
    <row r="36024">
      <c r="H36024" s="8" t="s">
        <v>364</v>
      </c>
    </row>
    <row r="36025">
      <c r="H36025" s="8" t="s">
        <v>364</v>
      </c>
    </row>
    <row r="36026">
      <c r="H36026" s="8" t="s">
        <v>364</v>
      </c>
    </row>
    <row r="36027">
      <c r="H36027" s="8" t="s">
        <v>364</v>
      </c>
    </row>
    <row r="36028">
      <c r="H36028" s="8" t="s">
        <v>364</v>
      </c>
    </row>
    <row r="36029">
      <c r="H36029" s="8" t="s">
        <v>364</v>
      </c>
    </row>
    <row r="36030">
      <c r="H36030" s="8" t="s">
        <v>364</v>
      </c>
    </row>
    <row r="36031">
      <c r="H36031" s="8" t="s">
        <v>364</v>
      </c>
    </row>
    <row r="36032">
      <c r="H36032" s="8" t="s">
        <v>364</v>
      </c>
    </row>
    <row r="36033">
      <c r="H36033" s="8" t="s">
        <v>364</v>
      </c>
    </row>
    <row r="36034">
      <c r="H36034" s="8" t="s">
        <v>364</v>
      </c>
    </row>
    <row r="36035">
      <c r="H36035" s="8" t="s">
        <v>364</v>
      </c>
    </row>
    <row r="36036">
      <c r="H36036" s="8" t="s">
        <v>364</v>
      </c>
    </row>
    <row r="36037">
      <c r="H36037" s="8" t="s">
        <v>364</v>
      </c>
    </row>
    <row r="36038">
      <c r="H36038" s="8" t="s">
        <v>364</v>
      </c>
    </row>
    <row r="36039">
      <c r="H36039" s="8" t="s">
        <v>364</v>
      </c>
    </row>
    <row r="36040">
      <c r="H36040" s="8" t="s">
        <v>364</v>
      </c>
    </row>
    <row r="36041">
      <c r="H36041" s="8" t="s">
        <v>364</v>
      </c>
    </row>
    <row r="36042">
      <c r="H36042" s="8" t="s">
        <v>364</v>
      </c>
    </row>
    <row r="36043">
      <c r="H36043" s="8" t="s">
        <v>364</v>
      </c>
    </row>
    <row r="36044">
      <c r="H36044" s="8" t="s">
        <v>364</v>
      </c>
    </row>
    <row r="36045">
      <c r="H36045" s="8" t="s">
        <v>364</v>
      </c>
    </row>
    <row r="36046">
      <c r="H36046" s="8" t="s">
        <v>364</v>
      </c>
    </row>
    <row r="36047">
      <c r="H36047" s="8" t="s">
        <v>364</v>
      </c>
    </row>
    <row r="36048">
      <c r="H36048" s="8" t="s">
        <v>364</v>
      </c>
    </row>
    <row r="36049">
      <c r="H36049" s="8" t="s">
        <v>364</v>
      </c>
    </row>
    <row r="36050">
      <c r="H36050" s="8" t="s">
        <v>364</v>
      </c>
    </row>
    <row r="36051">
      <c r="H36051" s="8" t="s">
        <v>364</v>
      </c>
    </row>
    <row r="36052">
      <c r="H36052" s="8" t="s">
        <v>364</v>
      </c>
    </row>
    <row r="36053">
      <c r="H36053" s="8" t="s">
        <v>364</v>
      </c>
    </row>
    <row r="36054">
      <c r="H36054" s="8" t="s">
        <v>364</v>
      </c>
    </row>
    <row r="36055">
      <c r="H36055" s="8" t="s">
        <v>364</v>
      </c>
    </row>
    <row r="36056">
      <c r="H36056" s="8" t="s">
        <v>364</v>
      </c>
    </row>
    <row r="36057">
      <c r="H36057" s="8" t="s">
        <v>364</v>
      </c>
    </row>
    <row r="36058">
      <c r="H36058" s="8" t="s">
        <v>364</v>
      </c>
    </row>
    <row r="36059">
      <c r="H36059" s="8" t="s">
        <v>364</v>
      </c>
    </row>
    <row r="36060">
      <c r="H36060" s="8" t="s">
        <v>364</v>
      </c>
    </row>
    <row r="36061">
      <c r="H36061" s="8" t="s">
        <v>364</v>
      </c>
    </row>
    <row r="36062">
      <c r="H36062" s="8" t="s">
        <v>364</v>
      </c>
    </row>
    <row r="36063">
      <c r="H36063" s="8" t="s">
        <v>364</v>
      </c>
    </row>
    <row r="36064">
      <c r="H36064" s="8" t="s">
        <v>364</v>
      </c>
    </row>
    <row r="36065">
      <c r="H36065" s="8" t="s">
        <v>364</v>
      </c>
    </row>
    <row r="36066">
      <c r="H36066" s="8" t="s">
        <v>364</v>
      </c>
    </row>
    <row r="36067">
      <c r="H36067" s="8" t="s">
        <v>364</v>
      </c>
    </row>
    <row r="36068">
      <c r="H36068" s="8" t="s">
        <v>364</v>
      </c>
    </row>
    <row r="36069">
      <c r="H36069" s="8" t="s">
        <v>364</v>
      </c>
    </row>
    <row r="36070">
      <c r="H36070" s="8" t="s">
        <v>364</v>
      </c>
    </row>
    <row r="36071">
      <c r="H36071" s="8" t="s">
        <v>364</v>
      </c>
    </row>
    <row r="36072">
      <c r="H36072" s="8" t="s">
        <v>364</v>
      </c>
    </row>
    <row r="36073">
      <c r="H36073" s="8" t="s">
        <v>364</v>
      </c>
    </row>
    <row r="36074">
      <c r="H36074" s="8" t="s">
        <v>364</v>
      </c>
    </row>
    <row r="36075">
      <c r="H36075" s="8" t="s">
        <v>364</v>
      </c>
    </row>
    <row r="36076">
      <c r="H36076" s="8" t="s">
        <v>364</v>
      </c>
    </row>
    <row r="36077">
      <c r="H36077" s="8" t="s">
        <v>364</v>
      </c>
    </row>
    <row r="36078">
      <c r="H36078" s="8" t="s">
        <v>364</v>
      </c>
    </row>
    <row r="36079">
      <c r="H36079" s="8" t="s">
        <v>364</v>
      </c>
    </row>
    <row r="36080">
      <c r="H36080" s="8" t="s">
        <v>364</v>
      </c>
    </row>
    <row r="36081">
      <c r="H36081" s="8" t="s">
        <v>364</v>
      </c>
    </row>
    <row r="36082">
      <c r="H36082" s="8" t="s">
        <v>364</v>
      </c>
    </row>
    <row r="36083">
      <c r="H36083" s="8" t="s">
        <v>364</v>
      </c>
    </row>
    <row r="36084">
      <c r="H36084" s="8" t="s">
        <v>364</v>
      </c>
    </row>
    <row r="36085">
      <c r="H36085" s="8" t="s">
        <v>364</v>
      </c>
    </row>
    <row r="36086">
      <c r="H36086" s="8" t="s">
        <v>364</v>
      </c>
    </row>
    <row r="36087">
      <c r="H36087" s="8" t="s">
        <v>364</v>
      </c>
    </row>
    <row r="36088">
      <c r="H36088" s="8" t="s">
        <v>364</v>
      </c>
    </row>
    <row r="36089">
      <c r="H36089" s="8" t="s">
        <v>364</v>
      </c>
    </row>
    <row r="36090">
      <c r="H36090" s="8" t="s">
        <v>364</v>
      </c>
    </row>
    <row r="36091">
      <c r="H36091" s="8" t="s">
        <v>364</v>
      </c>
    </row>
    <row r="36092">
      <c r="H36092" s="8" t="s">
        <v>364</v>
      </c>
    </row>
    <row r="36093">
      <c r="H36093" s="8" t="s">
        <v>364</v>
      </c>
    </row>
    <row r="36094">
      <c r="H36094" s="8" t="s">
        <v>364</v>
      </c>
    </row>
    <row r="36095">
      <c r="H36095" s="8" t="s">
        <v>364</v>
      </c>
    </row>
    <row r="36096">
      <c r="H36096" s="8" t="s">
        <v>364</v>
      </c>
    </row>
    <row r="36097">
      <c r="H36097" s="8" t="s">
        <v>364</v>
      </c>
    </row>
    <row r="36098">
      <c r="H36098" s="8" t="s">
        <v>364</v>
      </c>
    </row>
    <row r="36099">
      <c r="H36099" s="8" t="s">
        <v>364</v>
      </c>
    </row>
    <row r="36100">
      <c r="H36100" s="8" t="s">
        <v>364</v>
      </c>
    </row>
    <row r="36101">
      <c r="H36101" s="8" t="s">
        <v>364</v>
      </c>
    </row>
    <row r="36102">
      <c r="H36102" s="8" t="s">
        <v>364</v>
      </c>
    </row>
    <row r="36103">
      <c r="H36103" s="8" t="s">
        <v>364</v>
      </c>
    </row>
    <row r="36104">
      <c r="H36104" s="8" t="s">
        <v>364</v>
      </c>
    </row>
    <row r="36105">
      <c r="H36105" s="8" t="s">
        <v>364</v>
      </c>
    </row>
    <row r="36106">
      <c r="H36106" s="8" t="s">
        <v>364</v>
      </c>
    </row>
    <row r="36107">
      <c r="H36107" s="8" t="s">
        <v>364</v>
      </c>
    </row>
    <row r="36108">
      <c r="H36108" s="8" t="s">
        <v>364</v>
      </c>
    </row>
    <row r="36109">
      <c r="H36109" s="8" t="s">
        <v>364</v>
      </c>
    </row>
    <row r="36110">
      <c r="H36110" s="8" t="s">
        <v>364</v>
      </c>
    </row>
    <row r="36111">
      <c r="H36111" s="8" t="s">
        <v>364</v>
      </c>
    </row>
    <row r="36112">
      <c r="H36112" s="8" t="s">
        <v>364</v>
      </c>
    </row>
    <row r="36113">
      <c r="H36113" s="8" t="s">
        <v>364</v>
      </c>
    </row>
    <row r="36114">
      <c r="H36114" s="8" t="s">
        <v>364</v>
      </c>
    </row>
    <row r="36115">
      <c r="H36115" s="8" t="s">
        <v>364</v>
      </c>
    </row>
    <row r="36116">
      <c r="H36116" s="8" t="s">
        <v>364</v>
      </c>
    </row>
    <row r="36117">
      <c r="H36117" s="8" t="s">
        <v>364</v>
      </c>
    </row>
    <row r="36118">
      <c r="H36118" s="8" t="s">
        <v>364</v>
      </c>
    </row>
    <row r="36119">
      <c r="H36119" s="8" t="s">
        <v>364</v>
      </c>
    </row>
    <row r="36120">
      <c r="H36120" s="8" t="s">
        <v>364</v>
      </c>
    </row>
    <row r="36121">
      <c r="H36121" s="8" t="s">
        <v>364</v>
      </c>
    </row>
    <row r="36122">
      <c r="H36122" s="8" t="s">
        <v>364</v>
      </c>
    </row>
    <row r="36123">
      <c r="H36123" s="8" t="s">
        <v>364</v>
      </c>
    </row>
    <row r="36124">
      <c r="H36124" s="8" t="s">
        <v>364</v>
      </c>
    </row>
    <row r="36125">
      <c r="H36125" s="8" t="s">
        <v>364</v>
      </c>
    </row>
    <row r="36126">
      <c r="H36126" s="8" t="s">
        <v>364</v>
      </c>
    </row>
    <row r="36127">
      <c r="H36127" s="8" t="s">
        <v>364</v>
      </c>
    </row>
    <row r="36128">
      <c r="H36128" s="8" t="s">
        <v>364</v>
      </c>
    </row>
    <row r="36129">
      <c r="H36129" s="8" t="s">
        <v>364</v>
      </c>
    </row>
    <row r="36130">
      <c r="H36130" s="8" t="s">
        <v>364</v>
      </c>
    </row>
    <row r="36131">
      <c r="H36131" s="8" t="s">
        <v>364</v>
      </c>
    </row>
    <row r="36132">
      <c r="H36132" s="8" t="s">
        <v>364</v>
      </c>
    </row>
    <row r="36133">
      <c r="H36133" s="8" t="s">
        <v>364</v>
      </c>
    </row>
    <row r="36134">
      <c r="H36134" s="8" t="s">
        <v>364</v>
      </c>
    </row>
    <row r="36135">
      <c r="H36135" s="8" t="s">
        <v>364</v>
      </c>
    </row>
    <row r="36136">
      <c r="H36136" s="8" t="s">
        <v>364</v>
      </c>
    </row>
    <row r="36137">
      <c r="H36137" s="8" t="s">
        <v>364</v>
      </c>
    </row>
    <row r="36138">
      <c r="H36138" s="8" t="s">
        <v>364</v>
      </c>
    </row>
    <row r="36139">
      <c r="H36139" s="8" t="s">
        <v>364</v>
      </c>
    </row>
    <row r="36140">
      <c r="H36140" s="8" t="s">
        <v>364</v>
      </c>
    </row>
    <row r="36141">
      <c r="H36141" s="8" t="s">
        <v>364</v>
      </c>
    </row>
    <row r="36142">
      <c r="H36142" s="8" t="s">
        <v>364</v>
      </c>
    </row>
    <row r="36143">
      <c r="H36143" s="8" t="s">
        <v>364</v>
      </c>
    </row>
    <row r="36144">
      <c r="H36144" s="8" t="s">
        <v>364</v>
      </c>
    </row>
    <row r="36145">
      <c r="H36145" s="8" t="s">
        <v>364</v>
      </c>
    </row>
    <row r="36146">
      <c r="H36146" s="8" t="s">
        <v>364</v>
      </c>
    </row>
    <row r="36147">
      <c r="H36147" s="8" t="s">
        <v>364</v>
      </c>
    </row>
    <row r="36148">
      <c r="H36148" s="8" t="s">
        <v>364</v>
      </c>
    </row>
    <row r="36149">
      <c r="H36149" s="8" t="s">
        <v>364</v>
      </c>
    </row>
    <row r="36150">
      <c r="H36150" s="8" t="s">
        <v>364</v>
      </c>
    </row>
    <row r="36151">
      <c r="H36151" s="8" t="s">
        <v>364</v>
      </c>
    </row>
    <row r="36152">
      <c r="H36152" s="8" t="s">
        <v>364</v>
      </c>
    </row>
    <row r="36153">
      <c r="H36153" s="8" t="s">
        <v>364</v>
      </c>
    </row>
    <row r="36154">
      <c r="H36154" s="8" t="s">
        <v>364</v>
      </c>
    </row>
    <row r="36155">
      <c r="H36155" s="8" t="s">
        <v>364</v>
      </c>
    </row>
    <row r="36156">
      <c r="H36156" s="8" t="s">
        <v>364</v>
      </c>
    </row>
    <row r="36157">
      <c r="H36157" s="8" t="s">
        <v>364</v>
      </c>
    </row>
    <row r="36158">
      <c r="H36158" s="8" t="s">
        <v>364</v>
      </c>
    </row>
    <row r="36159">
      <c r="H36159" s="8" t="s">
        <v>364</v>
      </c>
    </row>
    <row r="36160">
      <c r="H36160" s="8" t="s">
        <v>364</v>
      </c>
    </row>
    <row r="36161">
      <c r="H36161" s="8" t="s">
        <v>364</v>
      </c>
    </row>
    <row r="36162">
      <c r="H36162" s="8" t="s">
        <v>364</v>
      </c>
    </row>
    <row r="36163">
      <c r="H36163" s="8" t="s">
        <v>364</v>
      </c>
    </row>
    <row r="36164">
      <c r="H36164" s="8" t="s">
        <v>364</v>
      </c>
    </row>
    <row r="36165">
      <c r="H36165" s="8" t="s">
        <v>364</v>
      </c>
    </row>
    <row r="36166">
      <c r="H36166" s="8" t="s">
        <v>364</v>
      </c>
    </row>
    <row r="36167">
      <c r="H36167" s="8" t="s">
        <v>364</v>
      </c>
    </row>
    <row r="36168">
      <c r="H36168" s="8" t="s">
        <v>364</v>
      </c>
    </row>
    <row r="36169">
      <c r="H36169" s="8" t="s">
        <v>364</v>
      </c>
    </row>
    <row r="36170">
      <c r="H36170" s="8" t="s">
        <v>364</v>
      </c>
    </row>
    <row r="36171">
      <c r="H36171" s="8" t="s">
        <v>364</v>
      </c>
    </row>
    <row r="36172">
      <c r="H36172" s="8" t="s">
        <v>364</v>
      </c>
    </row>
    <row r="36173">
      <c r="H36173" s="8" t="s">
        <v>364</v>
      </c>
    </row>
    <row r="36174">
      <c r="H36174" s="8" t="s">
        <v>364</v>
      </c>
    </row>
    <row r="36175">
      <c r="H36175" s="8" t="s">
        <v>364</v>
      </c>
    </row>
    <row r="36176">
      <c r="H36176" s="8" t="s">
        <v>364</v>
      </c>
    </row>
    <row r="36177">
      <c r="H36177" s="8" t="s">
        <v>364</v>
      </c>
    </row>
    <row r="36178">
      <c r="H36178" s="8" t="s">
        <v>364</v>
      </c>
    </row>
    <row r="36179">
      <c r="H36179" s="8" t="s">
        <v>364</v>
      </c>
    </row>
    <row r="36180">
      <c r="H36180" s="8" t="s">
        <v>364</v>
      </c>
    </row>
    <row r="36181">
      <c r="H36181" s="8" t="s">
        <v>364</v>
      </c>
    </row>
    <row r="36182">
      <c r="H36182" s="8" t="s">
        <v>364</v>
      </c>
    </row>
    <row r="36183">
      <c r="H36183" s="8" t="s">
        <v>364</v>
      </c>
    </row>
    <row r="36184">
      <c r="H36184" s="8" t="s">
        <v>364</v>
      </c>
    </row>
    <row r="36185">
      <c r="H36185" s="8" t="s">
        <v>364</v>
      </c>
    </row>
    <row r="36186">
      <c r="H36186" s="8" t="s">
        <v>364</v>
      </c>
    </row>
    <row r="36187">
      <c r="H36187" s="8" t="s">
        <v>364</v>
      </c>
    </row>
    <row r="36188">
      <c r="H36188" s="8" t="s">
        <v>364</v>
      </c>
    </row>
    <row r="36189">
      <c r="H36189" s="8" t="s">
        <v>364</v>
      </c>
    </row>
    <row r="36190">
      <c r="H36190" s="8" t="s">
        <v>364</v>
      </c>
    </row>
    <row r="36191">
      <c r="H36191" s="8" t="s">
        <v>364</v>
      </c>
    </row>
    <row r="36192">
      <c r="H36192" s="8" t="s">
        <v>364</v>
      </c>
    </row>
    <row r="36193">
      <c r="H36193" s="8" t="s">
        <v>364</v>
      </c>
    </row>
    <row r="36194">
      <c r="H36194" s="8" t="s">
        <v>364</v>
      </c>
    </row>
    <row r="36195">
      <c r="H36195" s="8" t="s">
        <v>364</v>
      </c>
    </row>
    <row r="36196">
      <c r="H36196" s="8" t="s">
        <v>364</v>
      </c>
    </row>
    <row r="36197">
      <c r="H36197" s="8" t="s">
        <v>364</v>
      </c>
    </row>
    <row r="36198">
      <c r="H36198" s="8" t="s">
        <v>364</v>
      </c>
    </row>
    <row r="36199">
      <c r="H36199" s="8" t="s">
        <v>364</v>
      </c>
    </row>
    <row r="36200">
      <c r="H36200" s="8" t="s">
        <v>364</v>
      </c>
    </row>
    <row r="36201">
      <c r="H36201" s="8" t="s">
        <v>364</v>
      </c>
    </row>
    <row r="36202">
      <c r="H36202" s="8" t="s">
        <v>364</v>
      </c>
    </row>
    <row r="36203">
      <c r="H36203" s="8" t="s">
        <v>364</v>
      </c>
    </row>
    <row r="36204">
      <c r="H36204" s="8" t="s">
        <v>364</v>
      </c>
    </row>
    <row r="36205">
      <c r="H36205" s="8" t="s">
        <v>364</v>
      </c>
    </row>
    <row r="36206">
      <c r="H36206" s="8" t="s">
        <v>364</v>
      </c>
    </row>
    <row r="36207">
      <c r="H36207" s="8" t="s">
        <v>364</v>
      </c>
    </row>
    <row r="36208">
      <c r="H36208" s="8" t="s">
        <v>364</v>
      </c>
    </row>
    <row r="36209">
      <c r="H36209" s="8" t="s">
        <v>364</v>
      </c>
    </row>
    <row r="36210">
      <c r="H36210" s="8" t="s">
        <v>364</v>
      </c>
    </row>
    <row r="36211">
      <c r="H36211" s="8" t="s">
        <v>364</v>
      </c>
    </row>
    <row r="36212">
      <c r="H36212" s="8" t="s">
        <v>364</v>
      </c>
    </row>
    <row r="36213">
      <c r="H36213" s="8" t="s">
        <v>364</v>
      </c>
    </row>
    <row r="36214">
      <c r="H36214" s="8" t="s">
        <v>364</v>
      </c>
    </row>
    <row r="36215">
      <c r="H36215" s="8" t="s">
        <v>364</v>
      </c>
    </row>
    <row r="36216">
      <c r="H36216" s="8" t="s">
        <v>364</v>
      </c>
    </row>
    <row r="36217">
      <c r="H36217" s="8" t="s">
        <v>364</v>
      </c>
    </row>
    <row r="36218">
      <c r="H36218" s="8" t="s">
        <v>364</v>
      </c>
    </row>
    <row r="36219">
      <c r="H36219" s="8" t="s">
        <v>364</v>
      </c>
    </row>
    <row r="36220">
      <c r="H36220" s="8" t="s">
        <v>364</v>
      </c>
    </row>
    <row r="36221">
      <c r="H36221" s="8" t="s">
        <v>364</v>
      </c>
    </row>
    <row r="36222">
      <c r="H36222" s="8" t="s">
        <v>364</v>
      </c>
    </row>
    <row r="36223">
      <c r="H36223" s="8" t="s">
        <v>364</v>
      </c>
    </row>
    <row r="36224">
      <c r="H36224" s="8" t="s">
        <v>364</v>
      </c>
    </row>
    <row r="36225">
      <c r="H36225" s="8" t="s">
        <v>364</v>
      </c>
    </row>
    <row r="36226">
      <c r="H36226" s="8" t="s">
        <v>364</v>
      </c>
    </row>
    <row r="36227">
      <c r="H36227" s="8" t="s">
        <v>364</v>
      </c>
    </row>
    <row r="36228">
      <c r="H36228" s="8" t="s">
        <v>364</v>
      </c>
    </row>
    <row r="36229">
      <c r="H36229" s="8" t="s">
        <v>364</v>
      </c>
    </row>
    <row r="36230">
      <c r="H36230" s="8" t="s">
        <v>364</v>
      </c>
    </row>
    <row r="36231">
      <c r="H36231" s="8" t="s">
        <v>364</v>
      </c>
    </row>
    <row r="36232">
      <c r="H36232" s="8" t="s">
        <v>364</v>
      </c>
    </row>
    <row r="36233">
      <c r="H36233" s="8" t="s">
        <v>364</v>
      </c>
    </row>
    <row r="36234">
      <c r="H36234" s="8" t="s">
        <v>364</v>
      </c>
    </row>
    <row r="36235">
      <c r="H36235" s="8" t="s">
        <v>364</v>
      </c>
    </row>
    <row r="36236">
      <c r="H36236" s="8" t="s">
        <v>364</v>
      </c>
    </row>
    <row r="36237">
      <c r="H36237" s="8" t="s">
        <v>364</v>
      </c>
    </row>
    <row r="36238">
      <c r="H36238" s="8" t="s">
        <v>364</v>
      </c>
    </row>
    <row r="36239">
      <c r="H36239" s="8" t="s">
        <v>364</v>
      </c>
    </row>
    <row r="36240">
      <c r="H36240" s="8" t="s">
        <v>364</v>
      </c>
    </row>
    <row r="36241">
      <c r="H36241" s="8" t="s">
        <v>364</v>
      </c>
    </row>
    <row r="36242">
      <c r="H36242" s="8" t="s">
        <v>364</v>
      </c>
    </row>
    <row r="36243">
      <c r="H36243" s="8" t="s">
        <v>364</v>
      </c>
    </row>
    <row r="36244">
      <c r="H36244" s="8" t="s">
        <v>364</v>
      </c>
    </row>
    <row r="36245">
      <c r="H36245" s="8" t="s">
        <v>364</v>
      </c>
    </row>
    <row r="36246">
      <c r="H36246" s="8" t="s">
        <v>364</v>
      </c>
    </row>
    <row r="36247">
      <c r="H36247" s="8" t="s">
        <v>364</v>
      </c>
    </row>
    <row r="36248">
      <c r="H36248" s="8" t="s">
        <v>364</v>
      </c>
    </row>
    <row r="36249">
      <c r="H36249" s="8" t="s">
        <v>364</v>
      </c>
    </row>
    <row r="36250">
      <c r="H36250" s="8" t="s">
        <v>364</v>
      </c>
    </row>
    <row r="36251">
      <c r="H36251" s="8" t="s">
        <v>364</v>
      </c>
    </row>
    <row r="36252">
      <c r="H36252" s="8" t="s">
        <v>364</v>
      </c>
    </row>
    <row r="36253">
      <c r="H36253" s="8" t="s">
        <v>364</v>
      </c>
    </row>
    <row r="36254">
      <c r="H36254" s="8" t="s">
        <v>364</v>
      </c>
    </row>
    <row r="36255">
      <c r="H36255" s="8" t="s">
        <v>364</v>
      </c>
    </row>
    <row r="36256">
      <c r="H36256" s="8" t="s">
        <v>364</v>
      </c>
    </row>
    <row r="36257">
      <c r="H36257" s="8" t="s">
        <v>364</v>
      </c>
    </row>
    <row r="36258">
      <c r="H36258" s="8" t="s">
        <v>364</v>
      </c>
    </row>
    <row r="36259">
      <c r="H36259" s="8" t="s">
        <v>364</v>
      </c>
    </row>
    <row r="36260">
      <c r="H36260" s="8" t="s">
        <v>364</v>
      </c>
    </row>
    <row r="36261">
      <c r="H36261" s="8" t="s">
        <v>364</v>
      </c>
    </row>
    <row r="36262">
      <c r="H36262" s="8" t="s">
        <v>364</v>
      </c>
    </row>
    <row r="36263">
      <c r="H36263" s="8" t="s">
        <v>364</v>
      </c>
    </row>
    <row r="36264">
      <c r="H36264" s="8" t="s">
        <v>364</v>
      </c>
    </row>
    <row r="36265">
      <c r="H36265" s="8" t="s">
        <v>364</v>
      </c>
    </row>
    <row r="36266">
      <c r="H36266" s="8" t="s">
        <v>364</v>
      </c>
    </row>
    <row r="36267">
      <c r="H36267" s="8" t="s">
        <v>364</v>
      </c>
    </row>
    <row r="36268">
      <c r="H36268" s="8" t="s">
        <v>364</v>
      </c>
    </row>
    <row r="36269">
      <c r="H36269" s="8" t="s">
        <v>364</v>
      </c>
    </row>
    <row r="36270">
      <c r="H36270" s="8" t="s">
        <v>364</v>
      </c>
    </row>
    <row r="36271">
      <c r="H36271" s="8" t="s">
        <v>364</v>
      </c>
    </row>
    <row r="36272">
      <c r="H36272" s="8" t="s">
        <v>364</v>
      </c>
    </row>
    <row r="36273">
      <c r="H36273" s="8" t="s">
        <v>364</v>
      </c>
    </row>
    <row r="36274">
      <c r="H36274" s="8" t="s">
        <v>364</v>
      </c>
    </row>
    <row r="36275">
      <c r="H36275" s="8" t="s">
        <v>364</v>
      </c>
    </row>
    <row r="36276">
      <c r="H36276" s="8" t="s">
        <v>364</v>
      </c>
    </row>
    <row r="36277">
      <c r="H36277" s="8" t="s">
        <v>364</v>
      </c>
    </row>
    <row r="36278">
      <c r="H36278" s="8" t="s">
        <v>364</v>
      </c>
    </row>
    <row r="36279">
      <c r="H36279" s="8" t="s">
        <v>364</v>
      </c>
    </row>
    <row r="36280">
      <c r="H36280" s="8" t="s">
        <v>364</v>
      </c>
    </row>
    <row r="36281">
      <c r="H36281" s="8" t="s">
        <v>364</v>
      </c>
    </row>
    <row r="36282">
      <c r="H36282" s="8" t="s">
        <v>364</v>
      </c>
    </row>
    <row r="36283">
      <c r="H36283" s="8" t="s">
        <v>364</v>
      </c>
    </row>
    <row r="36284">
      <c r="H36284" s="8" t="s">
        <v>364</v>
      </c>
    </row>
    <row r="36285">
      <c r="H36285" s="8" t="s">
        <v>364</v>
      </c>
    </row>
    <row r="36286">
      <c r="H36286" s="8" t="s">
        <v>364</v>
      </c>
    </row>
    <row r="36287">
      <c r="H36287" s="8" t="s">
        <v>364</v>
      </c>
    </row>
    <row r="36288">
      <c r="H36288" s="8" t="s">
        <v>364</v>
      </c>
    </row>
    <row r="36289">
      <c r="H36289" s="8" t="s">
        <v>364</v>
      </c>
    </row>
    <row r="36290">
      <c r="H36290" s="8" t="s">
        <v>364</v>
      </c>
    </row>
    <row r="36291">
      <c r="H36291" s="8" t="s">
        <v>364</v>
      </c>
    </row>
    <row r="36292">
      <c r="H36292" s="8" t="s">
        <v>364</v>
      </c>
    </row>
    <row r="36293">
      <c r="H36293" s="8" t="s">
        <v>364</v>
      </c>
    </row>
    <row r="36294">
      <c r="H36294" s="8" t="s">
        <v>364</v>
      </c>
    </row>
    <row r="36295">
      <c r="H36295" s="8" t="s">
        <v>364</v>
      </c>
    </row>
    <row r="36296">
      <c r="H36296" s="8" t="s">
        <v>364</v>
      </c>
    </row>
    <row r="36297">
      <c r="H36297" s="8" t="s">
        <v>364</v>
      </c>
    </row>
    <row r="36298">
      <c r="H36298" s="8" t="s">
        <v>364</v>
      </c>
    </row>
    <row r="36299">
      <c r="H36299" s="8" t="s">
        <v>364</v>
      </c>
    </row>
    <row r="36300">
      <c r="H36300" s="8" t="s">
        <v>364</v>
      </c>
    </row>
    <row r="36301">
      <c r="H36301" s="8" t="s">
        <v>364</v>
      </c>
    </row>
    <row r="36302">
      <c r="H36302" s="8" t="s">
        <v>364</v>
      </c>
    </row>
    <row r="36303">
      <c r="H36303" s="8" t="s">
        <v>364</v>
      </c>
    </row>
    <row r="36304">
      <c r="H36304" s="8" t="s">
        <v>364</v>
      </c>
    </row>
    <row r="36305">
      <c r="H36305" s="8" t="s">
        <v>364</v>
      </c>
    </row>
    <row r="36306">
      <c r="H36306" s="8" t="s">
        <v>364</v>
      </c>
    </row>
    <row r="36307">
      <c r="H36307" s="8" t="s">
        <v>364</v>
      </c>
    </row>
    <row r="36308">
      <c r="H36308" s="8" t="s">
        <v>364</v>
      </c>
    </row>
    <row r="36309">
      <c r="H36309" s="8" t="s">
        <v>364</v>
      </c>
    </row>
    <row r="36310">
      <c r="H36310" s="8" t="s">
        <v>364</v>
      </c>
    </row>
    <row r="36311">
      <c r="H36311" s="8" t="s">
        <v>364</v>
      </c>
    </row>
    <row r="36312">
      <c r="H36312" s="8" t="s">
        <v>364</v>
      </c>
    </row>
    <row r="36313">
      <c r="H36313" s="8" t="s">
        <v>364</v>
      </c>
    </row>
    <row r="36314">
      <c r="H36314" s="8" t="s">
        <v>364</v>
      </c>
    </row>
    <row r="36315">
      <c r="H36315" s="8" t="s">
        <v>364</v>
      </c>
    </row>
    <row r="36316">
      <c r="H36316" s="8" t="s">
        <v>364</v>
      </c>
    </row>
    <row r="36317">
      <c r="H36317" s="8" t="s">
        <v>364</v>
      </c>
    </row>
    <row r="36318">
      <c r="H36318" s="8" t="s">
        <v>364</v>
      </c>
    </row>
    <row r="36319">
      <c r="H36319" s="8" t="s">
        <v>364</v>
      </c>
    </row>
    <row r="36320">
      <c r="H36320" s="8" t="s">
        <v>364</v>
      </c>
    </row>
    <row r="36321">
      <c r="H36321" s="8" t="s">
        <v>364</v>
      </c>
    </row>
    <row r="36322">
      <c r="H36322" s="8" t="s">
        <v>364</v>
      </c>
    </row>
    <row r="36323">
      <c r="H36323" s="8" t="s">
        <v>364</v>
      </c>
    </row>
    <row r="36324">
      <c r="H36324" s="8" t="s">
        <v>364</v>
      </c>
    </row>
    <row r="36325">
      <c r="H36325" s="8" t="s">
        <v>364</v>
      </c>
    </row>
    <row r="36326">
      <c r="H36326" s="8" t="s">
        <v>364</v>
      </c>
    </row>
    <row r="36327">
      <c r="H36327" s="8" t="s">
        <v>364</v>
      </c>
    </row>
    <row r="36328">
      <c r="H36328" s="8" t="s">
        <v>364</v>
      </c>
    </row>
    <row r="36329">
      <c r="H36329" s="8" t="s">
        <v>364</v>
      </c>
    </row>
    <row r="36330">
      <c r="H36330" s="8" t="s">
        <v>364</v>
      </c>
    </row>
    <row r="36331">
      <c r="H36331" s="8" t="s">
        <v>364</v>
      </c>
    </row>
    <row r="36332">
      <c r="H36332" s="8" t="s">
        <v>364</v>
      </c>
    </row>
    <row r="36333">
      <c r="H36333" s="8" t="s">
        <v>364</v>
      </c>
    </row>
    <row r="36334">
      <c r="H36334" s="8" t="s">
        <v>364</v>
      </c>
    </row>
    <row r="36335">
      <c r="H36335" s="8" t="s">
        <v>364</v>
      </c>
    </row>
    <row r="36336">
      <c r="H36336" s="8" t="s">
        <v>364</v>
      </c>
    </row>
    <row r="36337">
      <c r="H36337" s="8" t="s">
        <v>364</v>
      </c>
    </row>
    <row r="36338">
      <c r="H36338" s="8" t="s">
        <v>364</v>
      </c>
    </row>
    <row r="36339">
      <c r="H36339" s="8" t="s">
        <v>364</v>
      </c>
    </row>
    <row r="36340">
      <c r="H36340" s="8" t="s">
        <v>364</v>
      </c>
    </row>
    <row r="36341">
      <c r="H36341" s="8" t="s">
        <v>364</v>
      </c>
    </row>
    <row r="36342">
      <c r="H36342" s="8" t="s">
        <v>364</v>
      </c>
    </row>
    <row r="36343">
      <c r="H36343" s="8" t="s">
        <v>364</v>
      </c>
    </row>
    <row r="36344">
      <c r="H36344" s="8" t="s">
        <v>364</v>
      </c>
    </row>
    <row r="36345">
      <c r="H36345" s="8" t="s">
        <v>364</v>
      </c>
    </row>
    <row r="36346">
      <c r="H36346" s="8" t="s">
        <v>364</v>
      </c>
    </row>
    <row r="36347">
      <c r="H36347" s="8" t="s">
        <v>364</v>
      </c>
    </row>
    <row r="36348">
      <c r="H36348" s="8" t="s">
        <v>364</v>
      </c>
    </row>
    <row r="36349">
      <c r="H36349" s="8" t="s">
        <v>364</v>
      </c>
    </row>
    <row r="36350">
      <c r="H36350" s="8" t="s">
        <v>364</v>
      </c>
    </row>
    <row r="36351">
      <c r="H36351" s="8" t="s">
        <v>364</v>
      </c>
    </row>
    <row r="36352">
      <c r="H36352" s="8" t="s">
        <v>364</v>
      </c>
    </row>
    <row r="36353">
      <c r="H36353" s="8" t="s">
        <v>364</v>
      </c>
    </row>
    <row r="36354">
      <c r="H36354" s="8" t="s">
        <v>364</v>
      </c>
    </row>
    <row r="36355">
      <c r="H36355" s="8" t="s">
        <v>364</v>
      </c>
    </row>
    <row r="36356">
      <c r="H36356" s="8" t="s">
        <v>364</v>
      </c>
    </row>
    <row r="36357">
      <c r="H36357" s="8" t="s">
        <v>364</v>
      </c>
    </row>
    <row r="36358">
      <c r="H36358" s="8" t="s">
        <v>364</v>
      </c>
    </row>
    <row r="36359">
      <c r="H36359" s="8" t="s">
        <v>364</v>
      </c>
    </row>
    <row r="36360">
      <c r="H36360" s="8" t="s">
        <v>364</v>
      </c>
    </row>
    <row r="36361">
      <c r="H36361" s="8" t="s">
        <v>364</v>
      </c>
    </row>
    <row r="36362">
      <c r="H36362" s="8" t="s">
        <v>364</v>
      </c>
    </row>
    <row r="36363">
      <c r="H36363" s="8" t="s">
        <v>364</v>
      </c>
    </row>
    <row r="36364">
      <c r="H36364" s="8" t="s">
        <v>364</v>
      </c>
    </row>
    <row r="36365">
      <c r="H36365" s="8" t="s">
        <v>364</v>
      </c>
    </row>
    <row r="36366">
      <c r="H36366" s="8" t="s">
        <v>364</v>
      </c>
    </row>
    <row r="36367">
      <c r="H36367" s="8" t="s">
        <v>364</v>
      </c>
    </row>
    <row r="36368">
      <c r="H36368" s="8" t="s">
        <v>364</v>
      </c>
    </row>
    <row r="36369">
      <c r="H36369" s="8" t="s">
        <v>364</v>
      </c>
    </row>
    <row r="36370">
      <c r="H36370" s="8" t="s">
        <v>364</v>
      </c>
    </row>
    <row r="36371">
      <c r="H36371" s="8" t="s">
        <v>364</v>
      </c>
    </row>
    <row r="36372">
      <c r="H36372" s="8" t="s">
        <v>364</v>
      </c>
    </row>
    <row r="36373">
      <c r="H36373" s="8" t="s">
        <v>364</v>
      </c>
    </row>
    <row r="36374">
      <c r="H36374" s="8" t="s">
        <v>364</v>
      </c>
    </row>
    <row r="36375">
      <c r="H36375" s="8" t="s">
        <v>364</v>
      </c>
    </row>
    <row r="36376">
      <c r="H36376" s="8" t="s">
        <v>364</v>
      </c>
    </row>
    <row r="36377">
      <c r="H36377" s="8" t="s">
        <v>364</v>
      </c>
    </row>
    <row r="36378">
      <c r="H36378" s="8" t="s">
        <v>364</v>
      </c>
    </row>
    <row r="36379">
      <c r="H36379" s="8" t="s">
        <v>364</v>
      </c>
    </row>
    <row r="36380">
      <c r="H36380" s="8" t="s">
        <v>364</v>
      </c>
    </row>
    <row r="36381">
      <c r="H36381" s="8" t="s">
        <v>364</v>
      </c>
    </row>
    <row r="36382">
      <c r="H36382" s="8" t="s">
        <v>364</v>
      </c>
    </row>
    <row r="36383">
      <c r="H36383" s="8" t="s">
        <v>364</v>
      </c>
    </row>
    <row r="36384">
      <c r="H36384" s="8" t="s">
        <v>364</v>
      </c>
    </row>
    <row r="36385">
      <c r="H36385" s="8" t="s">
        <v>364</v>
      </c>
    </row>
    <row r="36386">
      <c r="H36386" s="8" t="s">
        <v>364</v>
      </c>
    </row>
    <row r="36387">
      <c r="H36387" s="8" t="s">
        <v>364</v>
      </c>
    </row>
    <row r="36388">
      <c r="H36388" s="8" t="s">
        <v>364</v>
      </c>
    </row>
    <row r="36389">
      <c r="H36389" s="8" t="s">
        <v>364</v>
      </c>
    </row>
    <row r="36390">
      <c r="H36390" s="8" t="s">
        <v>364</v>
      </c>
    </row>
    <row r="36391">
      <c r="H36391" s="8" t="s">
        <v>364</v>
      </c>
    </row>
    <row r="36392">
      <c r="H36392" s="8" t="s">
        <v>364</v>
      </c>
    </row>
    <row r="36393">
      <c r="H36393" s="8" t="s">
        <v>364</v>
      </c>
    </row>
    <row r="36394">
      <c r="H36394" s="8" t="s">
        <v>364</v>
      </c>
    </row>
    <row r="36395">
      <c r="H36395" s="8" t="s">
        <v>364</v>
      </c>
    </row>
    <row r="36396">
      <c r="H36396" s="8" t="s">
        <v>364</v>
      </c>
    </row>
    <row r="36397">
      <c r="H36397" s="8" t="s">
        <v>364</v>
      </c>
    </row>
    <row r="36398">
      <c r="H36398" s="8" t="s">
        <v>364</v>
      </c>
    </row>
    <row r="36399">
      <c r="H36399" s="8" t="s">
        <v>364</v>
      </c>
    </row>
    <row r="36400">
      <c r="H36400" s="8" t="s">
        <v>364</v>
      </c>
    </row>
    <row r="36401">
      <c r="H36401" s="8" t="s">
        <v>364</v>
      </c>
    </row>
    <row r="36402">
      <c r="H36402" s="8" t="s">
        <v>364</v>
      </c>
    </row>
    <row r="36403">
      <c r="H36403" s="8" t="s">
        <v>364</v>
      </c>
    </row>
    <row r="36404">
      <c r="H36404" s="8" t="s">
        <v>364</v>
      </c>
    </row>
    <row r="36405">
      <c r="H36405" s="8" t="s">
        <v>364</v>
      </c>
    </row>
    <row r="36406">
      <c r="H36406" s="8" t="s">
        <v>364</v>
      </c>
    </row>
    <row r="36407">
      <c r="H36407" s="8" t="s">
        <v>364</v>
      </c>
    </row>
    <row r="36408">
      <c r="H36408" s="8" t="s">
        <v>364</v>
      </c>
    </row>
    <row r="36409">
      <c r="H36409" s="8" t="s">
        <v>364</v>
      </c>
    </row>
    <row r="36410">
      <c r="H36410" s="8" t="s">
        <v>364</v>
      </c>
    </row>
    <row r="36411">
      <c r="H36411" s="8" t="s">
        <v>364</v>
      </c>
    </row>
    <row r="36412">
      <c r="H36412" s="8" t="s">
        <v>364</v>
      </c>
    </row>
    <row r="36413">
      <c r="H36413" s="8" t="s">
        <v>364</v>
      </c>
    </row>
    <row r="36414">
      <c r="H36414" s="8" t="s">
        <v>364</v>
      </c>
    </row>
    <row r="36415">
      <c r="H36415" s="8" t="s">
        <v>364</v>
      </c>
    </row>
    <row r="36416">
      <c r="H36416" s="8" t="s">
        <v>364</v>
      </c>
    </row>
    <row r="36417">
      <c r="H36417" s="8" t="s">
        <v>364</v>
      </c>
    </row>
    <row r="36418">
      <c r="H36418" s="8" t="s">
        <v>364</v>
      </c>
    </row>
    <row r="36419">
      <c r="H36419" s="8" t="s">
        <v>364</v>
      </c>
    </row>
    <row r="36420">
      <c r="H36420" s="8" t="s">
        <v>364</v>
      </c>
    </row>
    <row r="36421">
      <c r="H36421" s="8" t="s">
        <v>364</v>
      </c>
    </row>
    <row r="36422">
      <c r="H36422" s="8" t="s">
        <v>364</v>
      </c>
    </row>
    <row r="36423">
      <c r="H36423" s="8" t="s">
        <v>364</v>
      </c>
    </row>
    <row r="36424">
      <c r="H36424" s="8" t="s">
        <v>364</v>
      </c>
    </row>
    <row r="36425">
      <c r="H36425" s="8" t="s">
        <v>364</v>
      </c>
    </row>
    <row r="36426">
      <c r="H36426" s="8" t="s">
        <v>364</v>
      </c>
    </row>
    <row r="36427">
      <c r="H36427" s="8" t="s">
        <v>364</v>
      </c>
    </row>
    <row r="36428">
      <c r="H36428" s="8" t="s">
        <v>364</v>
      </c>
    </row>
    <row r="36429">
      <c r="H36429" s="8" t="s">
        <v>364</v>
      </c>
    </row>
    <row r="36430">
      <c r="H36430" s="8" t="s">
        <v>364</v>
      </c>
    </row>
    <row r="36431">
      <c r="H36431" s="8" t="s">
        <v>364</v>
      </c>
    </row>
    <row r="36432">
      <c r="H36432" s="8" t="s">
        <v>364</v>
      </c>
    </row>
    <row r="36433">
      <c r="H36433" s="8" t="s">
        <v>364</v>
      </c>
    </row>
    <row r="36434">
      <c r="H36434" s="8" t="s">
        <v>364</v>
      </c>
    </row>
    <row r="36435">
      <c r="H36435" s="8" t="s">
        <v>364</v>
      </c>
    </row>
    <row r="36436">
      <c r="H36436" s="8" t="s">
        <v>364</v>
      </c>
    </row>
    <row r="36437">
      <c r="H36437" s="8" t="s">
        <v>364</v>
      </c>
    </row>
    <row r="36438">
      <c r="H36438" s="8" t="s">
        <v>364</v>
      </c>
    </row>
    <row r="36439">
      <c r="H36439" s="8" t="s">
        <v>364</v>
      </c>
    </row>
    <row r="36440">
      <c r="H36440" s="8" t="s">
        <v>364</v>
      </c>
    </row>
    <row r="36441">
      <c r="H36441" s="8" t="s">
        <v>364</v>
      </c>
    </row>
    <row r="36442">
      <c r="H36442" s="8" t="s">
        <v>364</v>
      </c>
    </row>
    <row r="36443">
      <c r="H36443" s="8" t="s">
        <v>364</v>
      </c>
    </row>
    <row r="36444">
      <c r="H36444" s="8" t="s">
        <v>364</v>
      </c>
    </row>
    <row r="36445">
      <c r="H36445" s="8" t="s">
        <v>364</v>
      </c>
    </row>
    <row r="36446">
      <c r="H36446" s="8" t="s">
        <v>364</v>
      </c>
    </row>
    <row r="36447">
      <c r="H36447" s="8" t="s">
        <v>364</v>
      </c>
    </row>
    <row r="36448">
      <c r="H36448" s="8" t="s">
        <v>364</v>
      </c>
    </row>
    <row r="36449">
      <c r="H36449" s="8" t="s">
        <v>364</v>
      </c>
    </row>
    <row r="36450">
      <c r="H36450" s="8" t="s">
        <v>364</v>
      </c>
    </row>
    <row r="36451">
      <c r="H36451" s="8" t="s">
        <v>364</v>
      </c>
    </row>
    <row r="36452">
      <c r="H36452" s="8" t="s">
        <v>364</v>
      </c>
    </row>
    <row r="36453">
      <c r="H36453" s="8" t="s">
        <v>364</v>
      </c>
    </row>
    <row r="36454">
      <c r="H36454" s="8" t="s">
        <v>364</v>
      </c>
    </row>
    <row r="36455">
      <c r="H36455" s="8" t="s">
        <v>364</v>
      </c>
    </row>
    <row r="36456">
      <c r="H36456" s="8" t="s">
        <v>364</v>
      </c>
    </row>
    <row r="36457">
      <c r="H36457" s="8" t="s">
        <v>364</v>
      </c>
    </row>
    <row r="36458">
      <c r="H36458" s="8" t="s">
        <v>364</v>
      </c>
    </row>
    <row r="36459">
      <c r="H36459" s="8" t="s">
        <v>364</v>
      </c>
    </row>
    <row r="36460">
      <c r="H36460" s="8" t="s">
        <v>364</v>
      </c>
    </row>
    <row r="36461">
      <c r="H36461" s="8" t="s">
        <v>364</v>
      </c>
    </row>
    <row r="36462">
      <c r="H36462" s="8" t="s">
        <v>364</v>
      </c>
    </row>
    <row r="36463">
      <c r="H36463" s="8" t="s">
        <v>364</v>
      </c>
    </row>
    <row r="36464">
      <c r="H36464" s="8" t="s">
        <v>364</v>
      </c>
    </row>
    <row r="36465">
      <c r="H36465" s="8" t="s">
        <v>364</v>
      </c>
    </row>
    <row r="36466">
      <c r="H36466" s="8" t="s">
        <v>364</v>
      </c>
    </row>
    <row r="36467">
      <c r="H36467" s="8" t="s">
        <v>364</v>
      </c>
    </row>
    <row r="36468">
      <c r="H36468" s="8" t="s">
        <v>364</v>
      </c>
    </row>
    <row r="36469">
      <c r="H36469" s="8" t="s">
        <v>364</v>
      </c>
    </row>
    <row r="36470">
      <c r="H36470" s="8" t="s">
        <v>364</v>
      </c>
    </row>
    <row r="36471">
      <c r="H36471" s="8" t="s">
        <v>364</v>
      </c>
    </row>
    <row r="36472">
      <c r="H36472" s="8" t="s">
        <v>364</v>
      </c>
    </row>
    <row r="36473">
      <c r="H36473" s="8" t="s">
        <v>364</v>
      </c>
    </row>
    <row r="36474">
      <c r="H36474" s="8" t="s">
        <v>364</v>
      </c>
    </row>
    <row r="36475">
      <c r="H36475" s="8" t="s">
        <v>364</v>
      </c>
    </row>
    <row r="36476">
      <c r="H36476" s="8" t="s">
        <v>364</v>
      </c>
    </row>
    <row r="36477">
      <c r="H36477" s="8" t="s">
        <v>364</v>
      </c>
    </row>
    <row r="36478">
      <c r="H36478" s="8" t="s">
        <v>364</v>
      </c>
    </row>
    <row r="36479">
      <c r="H36479" s="8" t="s">
        <v>364</v>
      </c>
    </row>
    <row r="36480">
      <c r="H36480" s="8" t="s">
        <v>364</v>
      </c>
    </row>
    <row r="36481">
      <c r="H36481" s="8" t="s">
        <v>364</v>
      </c>
    </row>
    <row r="36482">
      <c r="H36482" s="8" t="s">
        <v>364</v>
      </c>
    </row>
    <row r="36483">
      <c r="H36483" s="8" t="s">
        <v>364</v>
      </c>
    </row>
    <row r="36484">
      <c r="H36484" s="8" t="s">
        <v>364</v>
      </c>
    </row>
    <row r="36485">
      <c r="H36485" s="8" t="s">
        <v>364</v>
      </c>
    </row>
    <row r="36486">
      <c r="H36486" s="8" t="s">
        <v>364</v>
      </c>
    </row>
    <row r="36487">
      <c r="H36487" s="8" t="s">
        <v>364</v>
      </c>
    </row>
    <row r="36488">
      <c r="H36488" s="8" t="s">
        <v>364</v>
      </c>
    </row>
    <row r="36489">
      <c r="H36489" s="8" t="s">
        <v>364</v>
      </c>
    </row>
    <row r="36490">
      <c r="H36490" s="8" t="s">
        <v>364</v>
      </c>
    </row>
    <row r="36491">
      <c r="H36491" s="8" t="s">
        <v>364</v>
      </c>
    </row>
    <row r="36492">
      <c r="H36492" s="8" t="s">
        <v>364</v>
      </c>
    </row>
    <row r="36493">
      <c r="H36493" s="8" t="s">
        <v>364</v>
      </c>
    </row>
    <row r="36494">
      <c r="H36494" s="8" t="s">
        <v>364</v>
      </c>
    </row>
    <row r="36495">
      <c r="H36495" s="8" t="s">
        <v>364</v>
      </c>
    </row>
    <row r="36496">
      <c r="H36496" s="8" t="s">
        <v>364</v>
      </c>
    </row>
    <row r="36497">
      <c r="H36497" s="8" t="s">
        <v>364</v>
      </c>
    </row>
    <row r="36498">
      <c r="H36498" s="8" t="s">
        <v>364</v>
      </c>
    </row>
    <row r="36499">
      <c r="H36499" s="8" t="s">
        <v>364</v>
      </c>
    </row>
    <row r="36500">
      <c r="H36500" s="8" t="s">
        <v>364</v>
      </c>
    </row>
    <row r="36501">
      <c r="H36501" s="8" t="s">
        <v>364</v>
      </c>
    </row>
    <row r="36502">
      <c r="H36502" s="8" t="s">
        <v>364</v>
      </c>
    </row>
    <row r="36503">
      <c r="H36503" s="8" t="s">
        <v>364</v>
      </c>
    </row>
    <row r="36504">
      <c r="H36504" s="8" t="s">
        <v>364</v>
      </c>
    </row>
    <row r="36505">
      <c r="H36505" s="8" t="s">
        <v>364</v>
      </c>
    </row>
    <row r="36506">
      <c r="H36506" s="8" t="s">
        <v>364</v>
      </c>
    </row>
    <row r="36507">
      <c r="H36507" s="8" t="s">
        <v>364</v>
      </c>
    </row>
    <row r="36508">
      <c r="H36508" s="8" t="s">
        <v>364</v>
      </c>
    </row>
    <row r="36509">
      <c r="H36509" s="8" t="s">
        <v>364</v>
      </c>
    </row>
    <row r="36510">
      <c r="H36510" s="8" t="s">
        <v>364</v>
      </c>
    </row>
    <row r="36511">
      <c r="H36511" s="8" t="s">
        <v>364</v>
      </c>
    </row>
    <row r="36512">
      <c r="H36512" s="8" t="s">
        <v>364</v>
      </c>
    </row>
    <row r="36513">
      <c r="H36513" s="8" t="s">
        <v>364</v>
      </c>
    </row>
    <row r="36514">
      <c r="H36514" s="8" t="s">
        <v>364</v>
      </c>
    </row>
    <row r="36515">
      <c r="H36515" s="8" t="s">
        <v>364</v>
      </c>
    </row>
    <row r="36516">
      <c r="H36516" s="8" t="s">
        <v>364</v>
      </c>
    </row>
    <row r="36517">
      <c r="H36517" s="8" t="s">
        <v>364</v>
      </c>
    </row>
    <row r="36518">
      <c r="H36518" s="8" t="s">
        <v>364</v>
      </c>
    </row>
    <row r="36519">
      <c r="H36519" s="8" t="s">
        <v>364</v>
      </c>
    </row>
    <row r="36520">
      <c r="H36520" s="8" t="s">
        <v>364</v>
      </c>
    </row>
    <row r="36521">
      <c r="H36521" s="8" t="s">
        <v>364</v>
      </c>
    </row>
    <row r="36522">
      <c r="H36522" s="8" t="s">
        <v>364</v>
      </c>
    </row>
    <row r="36523">
      <c r="H36523" s="8" t="s">
        <v>364</v>
      </c>
    </row>
    <row r="36524">
      <c r="H36524" s="8" t="s">
        <v>364</v>
      </c>
    </row>
    <row r="36525">
      <c r="H36525" s="8" t="s">
        <v>364</v>
      </c>
    </row>
    <row r="36526">
      <c r="H36526" s="8" t="s">
        <v>364</v>
      </c>
    </row>
    <row r="36527">
      <c r="H36527" s="8" t="s">
        <v>364</v>
      </c>
    </row>
    <row r="36528">
      <c r="H36528" s="8" t="s">
        <v>364</v>
      </c>
    </row>
    <row r="36529">
      <c r="H36529" s="8" t="s">
        <v>364</v>
      </c>
    </row>
    <row r="36530">
      <c r="H36530" s="8" t="s">
        <v>364</v>
      </c>
    </row>
    <row r="36531">
      <c r="H36531" s="8" t="s">
        <v>364</v>
      </c>
    </row>
    <row r="36532">
      <c r="H36532" s="8" t="s">
        <v>364</v>
      </c>
    </row>
    <row r="36533">
      <c r="H36533" s="8" t="s">
        <v>364</v>
      </c>
    </row>
    <row r="36534">
      <c r="H36534" s="8" t="s">
        <v>364</v>
      </c>
    </row>
    <row r="36535">
      <c r="H36535" s="8" t="s">
        <v>364</v>
      </c>
    </row>
    <row r="36536">
      <c r="H36536" s="8" t="s">
        <v>364</v>
      </c>
    </row>
    <row r="36537">
      <c r="H36537" s="8" t="s">
        <v>364</v>
      </c>
    </row>
    <row r="36538">
      <c r="H36538" s="8" t="s">
        <v>364</v>
      </c>
    </row>
    <row r="36539">
      <c r="H36539" s="8" t="s">
        <v>364</v>
      </c>
    </row>
    <row r="36540">
      <c r="H36540" s="8" t="s">
        <v>364</v>
      </c>
    </row>
    <row r="36541">
      <c r="H36541" s="8" t="s">
        <v>364</v>
      </c>
    </row>
    <row r="36542">
      <c r="H36542" s="8" t="s">
        <v>364</v>
      </c>
    </row>
    <row r="36543">
      <c r="H36543" s="8" t="s">
        <v>364</v>
      </c>
    </row>
    <row r="36544">
      <c r="H36544" s="8" t="s">
        <v>364</v>
      </c>
    </row>
    <row r="36545">
      <c r="H36545" s="8" t="s">
        <v>364</v>
      </c>
    </row>
    <row r="36546">
      <c r="H36546" s="8" t="s">
        <v>364</v>
      </c>
    </row>
    <row r="36547">
      <c r="H36547" s="8" t="s">
        <v>364</v>
      </c>
    </row>
    <row r="36548">
      <c r="H36548" s="8" t="s">
        <v>364</v>
      </c>
    </row>
    <row r="36549">
      <c r="H36549" s="8" t="s">
        <v>364</v>
      </c>
    </row>
    <row r="36550">
      <c r="H36550" s="8" t="s">
        <v>364</v>
      </c>
    </row>
    <row r="36551">
      <c r="H36551" s="8" t="s">
        <v>364</v>
      </c>
    </row>
    <row r="36552">
      <c r="H36552" s="8" t="s">
        <v>364</v>
      </c>
    </row>
    <row r="36553">
      <c r="H36553" s="8" t="s">
        <v>364</v>
      </c>
    </row>
    <row r="36554">
      <c r="H36554" s="8" t="s">
        <v>364</v>
      </c>
    </row>
    <row r="36555">
      <c r="H36555" s="8" t="s">
        <v>364</v>
      </c>
    </row>
    <row r="36556">
      <c r="H36556" s="8" t="s">
        <v>364</v>
      </c>
    </row>
    <row r="36557">
      <c r="H36557" s="8" t="s">
        <v>364</v>
      </c>
    </row>
    <row r="36558">
      <c r="H36558" s="8" t="s">
        <v>364</v>
      </c>
    </row>
    <row r="36559">
      <c r="H36559" s="8" t="s">
        <v>364</v>
      </c>
    </row>
    <row r="36560">
      <c r="H36560" s="8" t="s">
        <v>364</v>
      </c>
    </row>
    <row r="36561">
      <c r="H36561" s="8" t="s">
        <v>364</v>
      </c>
    </row>
    <row r="36562">
      <c r="H36562" s="8" t="s">
        <v>364</v>
      </c>
    </row>
    <row r="36563">
      <c r="H36563" s="8" t="s">
        <v>364</v>
      </c>
    </row>
    <row r="36564">
      <c r="H36564" s="8" t="s">
        <v>364</v>
      </c>
    </row>
    <row r="36565">
      <c r="H36565" s="8" t="s">
        <v>364</v>
      </c>
    </row>
    <row r="36566">
      <c r="H36566" s="8" t="s">
        <v>364</v>
      </c>
    </row>
    <row r="36567">
      <c r="H36567" s="8" t="s">
        <v>364</v>
      </c>
    </row>
    <row r="36568">
      <c r="H36568" s="8" t="s">
        <v>364</v>
      </c>
    </row>
    <row r="36569">
      <c r="H36569" s="8" t="s">
        <v>364</v>
      </c>
    </row>
    <row r="36570">
      <c r="H36570" s="8" t="s">
        <v>364</v>
      </c>
    </row>
    <row r="36571">
      <c r="H36571" s="8" t="s">
        <v>364</v>
      </c>
    </row>
    <row r="36572">
      <c r="H36572" s="8" t="s">
        <v>364</v>
      </c>
    </row>
    <row r="36573">
      <c r="H36573" s="8" t="s">
        <v>364</v>
      </c>
    </row>
    <row r="36574">
      <c r="H36574" s="8" t="s">
        <v>364</v>
      </c>
    </row>
    <row r="36575">
      <c r="H36575" s="8" t="s">
        <v>364</v>
      </c>
    </row>
    <row r="36576">
      <c r="H36576" s="8" t="s">
        <v>364</v>
      </c>
    </row>
    <row r="36577">
      <c r="H36577" s="8" t="s">
        <v>364</v>
      </c>
    </row>
    <row r="36578">
      <c r="H36578" s="8" t="s">
        <v>364</v>
      </c>
    </row>
    <row r="36579">
      <c r="H36579" s="8" t="s">
        <v>364</v>
      </c>
    </row>
    <row r="36580">
      <c r="H36580" s="8" t="s">
        <v>364</v>
      </c>
    </row>
    <row r="36581">
      <c r="H36581" s="8" t="s">
        <v>364</v>
      </c>
    </row>
    <row r="36582">
      <c r="H36582" s="8" t="s">
        <v>364</v>
      </c>
    </row>
    <row r="36583">
      <c r="H36583" s="8" t="s">
        <v>364</v>
      </c>
    </row>
    <row r="36584">
      <c r="H36584" s="8" t="s">
        <v>364</v>
      </c>
    </row>
    <row r="36585">
      <c r="H36585" s="8" t="s">
        <v>364</v>
      </c>
    </row>
    <row r="36586">
      <c r="H36586" s="8" t="s">
        <v>364</v>
      </c>
    </row>
    <row r="36587">
      <c r="H36587" s="8" t="s">
        <v>364</v>
      </c>
    </row>
    <row r="36588">
      <c r="H36588" s="8" t="s">
        <v>364</v>
      </c>
    </row>
    <row r="36589">
      <c r="H36589" s="8" t="s">
        <v>364</v>
      </c>
    </row>
    <row r="36590">
      <c r="H36590" s="8" t="s">
        <v>364</v>
      </c>
    </row>
    <row r="36591">
      <c r="H36591" s="8" t="s">
        <v>364</v>
      </c>
    </row>
    <row r="36592">
      <c r="H36592" s="8" t="s">
        <v>364</v>
      </c>
    </row>
    <row r="36593">
      <c r="H36593" s="8" t="s">
        <v>364</v>
      </c>
    </row>
    <row r="36594">
      <c r="H36594" s="8" t="s">
        <v>364</v>
      </c>
    </row>
    <row r="36595">
      <c r="H36595" s="8" t="s">
        <v>364</v>
      </c>
    </row>
    <row r="36596">
      <c r="H36596" s="8" t="s">
        <v>364</v>
      </c>
    </row>
    <row r="36597">
      <c r="H36597" s="8" t="s">
        <v>364</v>
      </c>
    </row>
    <row r="36598">
      <c r="H36598" s="8" t="s">
        <v>364</v>
      </c>
    </row>
    <row r="36599">
      <c r="H36599" s="8" t="s">
        <v>364</v>
      </c>
    </row>
    <row r="36600">
      <c r="H36600" s="8" t="s">
        <v>364</v>
      </c>
    </row>
    <row r="36601">
      <c r="H36601" s="8" t="s">
        <v>364</v>
      </c>
    </row>
    <row r="36602">
      <c r="H36602" s="8" t="s">
        <v>364</v>
      </c>
    </row>
    <row r="36603">
      <c r="H36603" s="8" t="s">
        <v>364</v>
      </c>
    </row>
    <row r="36604">
      <c r="H36604" s="8" t="s">
        <v>364</v>
      </c>
    </row>
    <row r="36605">
      <c r="H36605" s="8" t="s">
        <v>364</v>
      </c>
    </row>
    <row r="36606">
      <c r="H36606" s="8" t="s">
        <v>364</v>
      </c>
    </row>
    <row r="36607">
      <c r="H36607" s="8" t="s">
        <v>364</v>
      </c>
    </row>
    <row r="36608">
      <c r="H36608" s="8" t="s">
        <v>364</v>
      </c>
    </row>
    <row r="36609">
      <c r="H36609" s="8" t="s">
        <v>364</v>
      </c>
    </row>
    <row r="36610">
      <c r="H36610" s="8" t="s">
        <v>364</v>
      </c>
    </row>
    <row r="36611">
      <c r="H36611" s="8" t="s">
        <v>364</v>
      </c>
    </row>
    <row r="36612">
      <c r="H36612" s="8" t="s">
        <v>364</v>
      </c>
    </row>
    <row r="36613">
      <c r="H36613" s="8" t="s">
        <v>364</v>
      </c>
    </row>
    <row r="36614">
      <c r="H36614" s="8" t="s">
        <v>364</v>
      </c>
    </row>
    <row r="36615">
      <c r="H36615" s="8" t="s">
        <v>364</v>
      </c>
    </row>
    <row r="36616">
      <c r="H36616" s="8" t="s">
        <v>364</v>
      </c>
    </row>
    <row r="36617">
      <c r="H36617" s="8" t="s">
        <v>364</v>
      </c>
    </row>
    <row r="36618">
      <c r="H36618" s="8" t="s">
        <v>364</v>
      </c>
    </row>
    <row r="36619">
      <c r="H36619" s="8" t="s">
        <v>364</v>
      </c>
    </row>
    <row r="36620">
      <c r="H36620" s="8" t="s">
        <v>364</v>
      </c>
    </row>
    <row r="36621">
      <c r="H36621" s="8" t="s">
        <v>364</v>
      </c>
    </row>
    <row r="36622">
      <c r="H36622" s="8" t="s">
        <v>364</v>
      </c>
    </row>
    <row r="36623">
      <c r="H36623" s="8" t="s">
        <v>364</v>
      </c>
    </row>
    <row r="36624">
      <c r="H36624" s="8" t="s">
        <v>364</v>
      </c>
    </row>
    <row r="36625">
      <c r="H36625" s="8" t="s">
        <v>364</v>
      </c>
    </row>
    <row r="36626">
      <c r="H36626" s="8" t="s">
        <v>364</v>
      </c>
    </row>
    <row r="36627">
      <c r="H36627" s="8" t="s">
        <v>364</v>
      </c>
    </row>
    <row r="36628">
      <c r="H36628" s="8" t="s">
        <v>364</v>
      </c>
    </row>
    <row r="36629">
      <c r="H36629" s="8" t="s">
        <v>364</v>
      </c>
    </row>
    <row r="36630">
      <c r="H36630" s="8" t="s">
        <v>364</v>
      </c>
    </row>
    <row r="36631">
      <c r="H36631" s="8" t="s">
        <v>364</v>
      </c>
    </row>
    <row r="36632">
      <c r="H36632" s="8" t="s">
        <v>364</v>
      </c>
    </row>
    <row r="36633">
      <c r="H36633" s="8" t="s">
        <v>364</v>
      </c>
    </row>
    <row r="36634">
      <c r="H36634" s="8" t="s">
        <v>364</v>
      </c>
    </row>
    <row r="36635">
      <c r="H36635" s="8" t="s">
        <v>364</v>
      </c>
    </row>
    <row r="36636">
      <c r="H36636" s="8" t="s">
        <v>364</v>
      </c>
    </row>
    <row r="36637">
      <c r="H36637" s="8" t="s">
        <v>364</v>
      </c>
    </row>
    <row r="36638">
      <c r="H36638" s="8" t="s">
        <v>364</v>
      </c>
    </row>
    <row r="36639">
      <c r="H36639" s="8" t="s">
        <v>364</v>
      </c>
    </row>
    <row r="36640">
      <c r="H36640" s="8" t="s">
        <v>364</v>
      </c>
    </row>
    <row r="36641">
      <c r="H36641" s="8" t="s">
        <v>364</v>
      </c>
    </row>
    <row r="36642">
      <c r="H36642" s="8" t="s">
        <v>364</v>
      </c>
    </row>
    <row r="36643">
      <c r="H36643" s="8" t="s">
        <v>364</v>
      </c>
    </row>
    <row r="36644">
      <c r="H36644" s="8" t="s">
        <v>364</v>
      </c>
    </row>
    <row r="36645">
      <c r="H36645" s="8" t="s">
        <v>364</v>
      </c>
    </row>
    <row r="36646">
      <c r="H36646" s="8" t="s">
        <v>364</v>
      </c>
    </row>
    <row r="36647">
      <c r="H36647" s="8" t="s">
        <v>364</v>
      </c>
    </row>
    <row r="36648">
      <c r="H36648" s="8" t="s">
        <v>364</v>
      </c>
    </row>
    <row r="36649">
      <c r="H36649" s="8" t="s">
        <v>364</v>
      </c>
    </row>
    <row r="36650">
      <c r="H36650" s="8" t="s">
        <v>364</v>
      </c>
    </row>
    <row r="36651">
      <c r="H36651" s="8" t="s">
        <v>364</v>
      </c>
    </row>
    <row r="36652">
      <c r="H36652" s="8" t="s">
        <v>364</v>
      </c>
    </row>
    <row r="36653">
      <c r="H36653" s="8" t="s">
        <v>364</v>
      </c>
    </row>
    <row r="36654">
      <c r="H36654" s="8" t="s">
        <v>364</v>
      </c>
    </row>
    <row r="36655">
      <c r="H36655" s="8" t="s">
        <v>364</v>
      </c>
    </row>
    <row r="36656">
      <c r="H36656" s="8" t="s">
        <v>364</v>
      </c>
    </row>
    <row r="36657">
      <c r="H36657" s="8" t="s">
        <v>364</v>
      </c>
    </row>
    <row r="36658">
      <c r="H36658" s="8" t="s">
        <v>364</v>
      </c>
    </row>
    <row r="36659">
      <c r="H36659" s="8" t="s">
        <v>364</v>
      </c>
    </row>
    <row r="36660">
      <c r="H36660" s="8" t="s">
        <v>364</v>
      </c>
    </row>
    <row r="36661">
      <c r="H36661" s="8" t="s">
        <v>364</v>
      </c>
    </row>
    <row r="36662">
      <c r="H36662" s="8" t="s">
        <v>364</v>
      </c>
    </row>
    <row r="36663">
      <c r="H36663" s="8" t="s">
        <v>364</v>
      </c>
    </row>
    <row r="36664">
      <c r="H36664" s="8" t="s">
        <v>364</v>
      </c>
    </row>
    <row r="36665">
      <c r="H36665" s="8" t="s">
        <v>364</v>
      </c>
    </row>
    <row r="36666">
      <c r="H36666" s="8" t="s">
        <v>364</v>
      </c>
    </row>
    <row r="36667">
      <c r="H36667" s="8" t="s">
        <v>364</v>
      </c>
    </row>
    <row r="36668">
      <c r="H36668" s="8" t="s">
        <v>364</v>
      </c>
    </row>
    <row r="36669">
      <c r="H36669" s="8" t="s">
        <v>364</v>
      </c>
    </row>
    <row r="36670">
      <c r="H36670" s="8" t="s">
        <v>364</v>
      </c>
    </row>
    <row r="36671">
      <c r="H36671" s="8" t="s">
        <v>364</v>
      </c>
    </row>
    <row r="36672">
      <c r="H36672" s="8" t="s">
        <v>364</v>
      </c>
    </row>
    <row r="36673">
      <c r="H36673" s="8" t="s">
        <v>364</v>
      </c>
    </row>
    <row r="36674">
      <c r="H36674" s="8" t="s">
        <v>364</v>
      </c>
    </row>
    <row r="36675">
      <c r="H36675" s="8" t="s">
        <v>364</v>
      </c>
    </row>
    <row r="36676">
      <c r="H36676" s="8" t="s">
        <v>364</v>
      </c>
    </row>
    <row r="36677">
      <c r="H36677" s="8" t="s">
        <v>364</v>
      </c>
    </row>
    <row r="36678">
      <c r="H36678" s="8" t="s">
        <v>364</v>
      </c>
    </row>
    <row r="36679">
      <c r="H36679" s="8" t="s">
        <v>364</v>
      </c>
    </row>
    <row r="36680">
      <c r="H36680" s="8" t="s">
        <v>364</v>
      </c>
    </row>
    <row r="36681">
      <c r="H36681" s="8" t="s">
        <v>364</v>
      </c>
    </row>
    <row r="36682">
      <c r="H36682" s="8" t="s">
        <v>364</v>
      </c>
    </row>
    <row r="36683">
      <c r="H36683" s="8" t="s">
        <v>364</v>
      </c>
    </row>
    <row r="36684">
      <c r="H36684" s="8" t="s">
        <v>364</v>
      </c>
    </row>
    <row r="36685">
      <c r="H36685" s="8" t="s">
        <v>364</v>
      </c>
    </row>
    <row r="36686">
      <c r="H36686" s="8" t="s">
        <v>364</v>
      </c>
    </row>
    <row r="36687">
      <c r="H36687" s="8" t="s">
        <v>364</v>
      </c>
    </row>
    <row r="36688">
      <c r="H36688" s="8" t="s">
        <v>364</v>
      </c>
    </row>
    <row r="36689">
      <c r="H36689" s="8" t="s">
        <v>364</v>
      </c>
    </row>
    <row r="36690">
      <c r="H36690" s="8" t="s">
        <v>364</v>
      </c>
    </row>
    <row r="36691">
      <c r="H36691" s="8" t="s">
        <v>364</v>
      </c>
    </row>
    <row r="36692">
      <c r="H36692" s="8" t="s">
        <v>364</v>
      </c>
    </row>
    <row r="36693">
      <c r="H36693" s="8" t="s">
        <v>364</v>
      </c>
    </row>
    <row r="36694">
      <c r="H36694" s="8" t="s">
        <v>364</v>
      </c>
    </row>
    <row r="36695">
      <c r="H36695" s="8" t="s">
        <v>364</v>
      </c>
    </row>
    <row r="36696">
      <c r="H36696" s="8" t="s">
        <v>364</v>
      </c>
    </row>
    <row r="36697">
      <c r="H36697" s="8" t="s">
        <v>364</v>
      </c>
    </row>
    <row r="36698">
      <c r="H36698" s="8" t="s">
        <v>364</v>
      </c>
    </row>
    <row r="36699">
      <c r="H36699" s="8" t="s">
        <v>364</v>
      </c>
    </row>
    <row r="36700">
      <c r="H36700" s="8" t="s">
        <v>364</v>
      </c>
    </row>
    <row r="36701">
      <c r="H36701" s="8" t="s">
        <v>364</v>
      </c>
    </row>
    <row r="36702">
      <c r="H36702" s="8" t="s">
        <v>364</v>
      </c>
    </row>
    <row r="36703">
      <c r="H36703" s="8" t="s">
        <v>364</v>
      </c>
    </row>
    <row r="36704">
      <c r="H36704" s="8" t="s">
        <v>364</v>
      </c>
    </row>
    <row r="36705">
      <c r="H36705" s="8" t="s">
        <v>364</v>
      </c>
    </row>
    <row r="36706">
      <c r="H36706" s="8" t="s">
        <v>364</v>
      </c>
    </row>
    <row r="36707">
      <c r="H36707" s="8" t="s">
        <v>364</v>
      </c>
    </row>
    <row r="36708">
      <c r="H36708" s="8" t="s">
        <v>364</v>
      </c>
    </row>
    <row r="36709">
      <c r="H36709" s="8" t="s">
        <v>364</v>
      </c>
    </row>
    <row r="36710">
      <c r="H36710" s="8" t="s">
        <v>364</v>
      </c>
    </row>
    <row r="36711">
      <c r="H36711" s="8" t="s">
        <v>364</v>
      </c>
    </row>
    <row r="36712">
      <c r="H36712" s="8" t="s">
        <v>364</v>
      </c>
    </row>
    <row r="36713">
      <c r="H36713" s="8" t="s">
        <v>364</v>
      </c>
    </row>
    <row r="36714">
      <c r="H36714" s="8" t="s">
        <v>364</v>
      </c>
    </row>
    <row r="36715">
      <c r="H36715" s="8" t="s">
        <v>364</v>
      </c>
    </row>
    <row r="36716">
      <c r="H36716" s="8" t="s">
        <v>364</v>
      </c>
    </row>
    <row r="36717">
      <c r="H36717" s="8" t="s">
        <v>364</v>
      </c>
    </row>
    <row r="36718">
      <c r="H36718" s="8" t="s">
        <v>364</v>
      </c>
    </row>
    <row r="36719">
      <c r="H36719" s="8" t="s">
        <v>364</v>
      </c>
    </row>
    <row r="36720">
      <c r="H36720" s="8" t="s">
        <v>364</v>
      </c>
    </row>
    <row r="36721">
      <c r="H36721" s="8" t="s">
        <v>364</v>
      </c>
    </row>
    <row r="36722">
      <c r="H36722" s="8" t="s">
        <v>364</v>
      </c>
    </row>
    <row r="36723">
      <c r="H36723" s="8" t="s">
        <v>364</v>
      </c>
    </row>
    <row r="36724">
      <c r="H36724" s="8" t="s">
        <v>364</v>
      </c>
    </row>
    <row r="36725">
      <c r="H36725" s="8" t="s">
        <v>364</v>
      </c>
    </row>
    <row r="36726">
      <c r="H36726" s="8" t="s">
        <v>364</v>
      </c>
    </row>
    <row r="36727">
      <c r="H36727" s="8" t="s">
        <v>364</v>
      </c>
    </row>
    <row r="36728">
      <c r="H36728" s="8" t="s">
        <v>364</v>
      </c>
    </row>
    <row r="36729">
      <c r="H36729" s="8" t="s">
        <v>364</v>
      </c>
    </row>
    <row r="36730">
      <c r="H36730" s="8" t="s">
        <v>364</v>
      </c>
    </row>
    <row r="36731">
      <c r="H36731" s="8" t="s">
        <v>364</v>
      </c>
    </row>
    <row r="36732">
      <c r="H36732" s="8" t="s">
        <v>364</v>
      </c>
    </row>
    <row r="36733">
      <c r="H36733" s="8" t="s">
        <v>364</v>
      </c>
    </row>
    <row r="36734">
      <c r="H36734" s="8" t="s">
        <v>364</v>
      </c>
    </row>
    <row r="36735">
      <c r="H36735" s="8" t="s">
        <v>364</v>
      </c>
    </row>
    <row r="36736">
      <c r="H36736" s="8" t="s">
        <v>364</v>
      </c>
    </row>
    <row r="36737">
      <c r="H36737" s="8" t="s">
        <v>364</v>
      </c>
    </row>
    <row r="36738">
      <c r="H36738" s="8" t="s">
        <v>364</v>
      </c>
    </row>
    <row r="36739">
      <c r="H36739" s="8" t="s">
        <v>364</v>
      </c>
    </row>
    <row r="36740">
      <c r="H36740" s="8" t="s">
        <v>364</v>
      </c>
    </row>
    <row r="36741">
      <c r="H36741" s="8" t="s">
        <v>364</v>
      </c>
    </row>
    <row r="36742">
      <c r="H36742" s="8" t="s">
        <v>364</v>
      </c>
    </row>
    <row r="36743">
      <c r="H36743" s="8" t="s">
        <v>364</v>
      </c>
    </row>
    <row r="36744">
      <c r="H36744" s="8" t="s">
        <v>364</v>
      </c>
    </row>
    <row r="36745">
      <c r="H36745" s="8" t="s">
        <v>364</v>
      </c>
    </row>
    <row r="36746">
      <c r="H36746" s="8" t="s">
        <v>364</v>
      </c>
    </row>
    <row r="36747">
      <c r="H36747" s="8" t="s">
        <v>364</v>
      </c>
    </row>
    <row r="36748">
      <c r="H36748" s="8" t="s">
        <v>364</v>
      </c>
    </row>
    <row r="36749">
      <c r="H36749" s="8" t="s">
        <v>364</v>
      </c>
    </row>
    <row r="36750">
      <c r="H36750" s="8" t="s">
        <v>364</v>
      </c>
    </row>
    <row r="36751">
      <c r="H36751" s="8" t="s">
        <v>364</v>
      </c>
    </row>
    <row r="36752">
      <c r="H36752" s="8" t="s">
        <v>364</v>
      </c>
    </row>
    <row r="36753">
      <c r="H36753" s="8" t="s">
        <v>364</v>
      </c>
    </row>
    <row r="36754">
      <c r="H36754" s="8" t="s">
        <v>364</v>
      </c>
    </row>
    <row r="36755">
      <c r="H36755" s="8" t="s">
        <v>364</v>
      </c>
    </row>
    <row r="36756">
      <c r="H36756" s="8" t="s">
        <v>364</v>
      </c>
    </row>
    <row r="36757">
      <c r="H36757" s="8" t="s">
        <v>364</v>
      </c>
    </row>
    <row r="36758">
      <c r="H36758" s="8" t="s">
        <v>364</v>
      </c>
    </row>
    <row r="36759">
      <c r="H36759" s="8" t="s">
        <v>364</v>
      </c>
    </row>
    <row r="36760">
      <c r="H36760" s="8" t="s">
        <v>364</v>
      </c>
    </row>
    <row r="36761">
      <c r="H36761" s="8" t="s">
        <v>364</v>
      </c>
    </row>
    <row r="36762">
      <c r="H36762" s="8" t="s">
        <v>364</v>
      </c>
    </row>
    <row r="36763">
      <c r="H36763" s="8" t="s">
        <v>364</v>
      </c>
    </row>
    <row r="36764">
      <c r="H36764" s="8" t="s">
        <v>364</v>
      </c>
    </row>
    <row r="36765">
      <c r="H36765" s="8" t="s">
        <v>364</v>
      </c>
    </row>
    <row r="36766">
      <c r="H36766" s="8" t="s">
        <v>364</v>
      </c>
    </row>
    <row r="36767">
      <c r="H36767" s="8" t="s">
        <v>364</v>
      </c>
    </row>
    <row r="36768">
      <c r="H36768" s="8" t="s">
        <v>364</v>
      </c>
    </row>
    <row r="36769">
      <c r="H36769" s="8" t="s">
        <v>364</v>
      </c>
    </row>
    <row r="36770">
      <c r="H36770" s="8" t="s">
        <v>364</v>
      </c>
    </row>
    <row r="36771">
      <c r="H36771" s="8" t="s">
        <v>364</v>
      </c>
    </row>
    <row r="36772">
      <c r="H36772" s="8" t="s">
        <v>364</v>
      </c>
    </row>
    <row r="36773">
      <c r="H36773" s="8" t="s">
        <v>364</v>
      </c>
    </row>
    <row r="36774">
      <c r="H36774" s="8" t="s">
        <v>364</v>
      </c>
    </row>
    <row r="36775">
      <c r="H36775" s="8" t="s">
        <v>364</v>
      </c>
    </row>
    <row r="36776">
      <c r="H36776" s="8" t="s">
        <v>364</v>
      </c>
    </row>
    <row r="36777">
      <c r="H36777" s="8" t="s">
        <v>364</v>
      </c>
    </row>
    <row r="36778">
      <c r="H36778" s="8" t="s">
        <v>364</v>
      </c>
    </row>
    <row r="36779">
      <c r="H36779" s="8" t="s">
        <v>364</v>
      </c>
    </row>
    <row r="36780">
      <c r="H36780" s="8" t="s">
        <v>364</v>
      </c>
    </row>
    <row r="36781">
      <c r="H36781" s="8" t="s">
        <v>364</v>
      </c>
    </row>
    <row r="36782">
      <c r="H36782" s="8" t="s">
        <v>364</v>
      </c>
    </row>
    <row r="36783">
      <c r="H36783" s="8" t="s">
        <v>364</v>
      </c>
    </row>
    <row r="36784">
      <c r="H36784" s="8" t="s">
        <v>364</v>
      </c>
    </row>
    <row r="36785">
      <c r="H36785" s="8" t="s">
        <v>364</v>
      </c>
    </row>
    <row r="36786">
      <c r="H36786" s="8" t="s">
        <v>364</v>
      </c>
    </row>
    <row r="36787">
      <c r="H36787" s="8" t="s">
        <v>364</v>
      </c>
    </row>
    <row r="36788">
      <c r="H36788" s="8" t="s">
        <v>364</v>
      </c>
    </row>
    <row r="36789">
      <c r="H36789" s="8" t="s">
        <v>364</v>
      </c>
    </row>
    <row r="36790">
      <c r="H36790" s="8" t="s">
        <v>364</v>
      </c>
    </row>
    <row r="36791">
      <c r="H36791" s="8" t="s">
        <v>364</v>
      </c>
    </row>
    <row r="36792">
      <c r="H36792" s="8" t="s">
        <v>364</v>
      </c>
    </row>
    <row r="36793">
      <c r="H36793" s="8" t="s">
        <v>364</v>
      </c>
    </row>
    <row r="36794">
      <c r="H36794" s="8" t="s">
        <v>364</v>
      </c>
    </row>
    <row r="36795">
      <c r="H36795" s="8" t="s">
        <v>364</v>
      </c>
    </row>
    <row r="36796">
      <c r="H36796" s="8" t="s">
        <v>364</v>
      </c>
    </row>
    <row r="36797">
      <c r="H36797" s="8" t="s">
        <v>364</v>
      </c>
    </row>
    <row r="36798">
      <c r="H36798" s="8" t="s">
        <v>364</v>
      </c>
    </row>
    <row r="36799">
      <c r="H36799" s="8" t="s">
        <v>364</v>
      </c>
    </row>
    <row r="36800">
      <c r="H36800" s="8" t="s">
        <v>364</v>
      </c>
    </row>
    <row r="36801">
      <c r="H36801" s="8" t="s">
        <v>364</v>
      </c>
    </row>
    <row r="36802">
      <c r="H36802" s="8" t="s">
        <v>364</v>
      </c>
    </row>
    <row r="36803">
      <c r="H36803" s="8" t="s">
        <v>364</v>
      </c>
    </row>
    <row r="36804">
      <c r="H36804" s="8" t="s">
        <v>364</v>
      </c>
    </row>
    <row r="36805">
      <c r="H36805" s="8" t="s">
        <v>364</v>
      </c>
    </row>
    <row r="36806">
      <c r="H36806" s="8" t="s">
        <v>364</v>
      </c>
    </row>
    <row r="36807">
      <c r="H36807" s="8" t="s">
        <v>364</v>
      </c>
    </row>
    <row r="36808">
      <c r="H36808" s="8" t="s">
        <v>364</v>
      </c>
    </row>
    <row r="36809">
      <c r="H36809" s="8" t="s">
        <v>364</v>
      </c>
    </row>
    <row r="36810">
      <c r="H36810" s="8" t="s">
        <v>364</v>
      </c>
    </row>
    <row r="36811">
      <c r="H36811" s="8" t="s">
        <v>364</v>
      </c>
    </row>
    <row r="36812">
      <c r="H36812" s="8" t="s">
        <v>364</v>
      </c>
    </row>
    <row r="36813">
      <c r="H36813" s="8" t="s">
        <v>364</v>
      </c>
    </row>
    <row r="36814">
      <c r="H36814" s="8" t="s">
        <v>364</v>
      </c>
    </row>
    <row r="36815">
      <c r="H36815" s="8" t="s">
        <v>364</v>
      </c>
    </row>
    <row r="36816">
      <c r="H36816" s="8" t="s">
        <v>364</v>
      </c>
    </row>
    <row r="36817">
      <c r="H36817" s="8" t="s">
        <v>364</v>
      </c>
    </row>
    <row r="36818">
      <c r="H36818" s="8" t="s">
        <v>364</v>
      </c>
    </row>
    <row r="36819">
      <c r="H36819" s="8" t="s">
        <v>364</v>
      </c>
    </row>
    <row r="36820">
      <c r="H36820" s="8" t="s">
        <v>364</v>
      </c>
    </row>
    <row r="36821">
      <c r="H36821" s="8" t="s">
        <v>364</v>
      </c>
    </row>
    <row r="36822">
      <c r="H36822" s="8" t="s">
        <v>364</v>
      </c>
    </row>
    <row r="36823">
      <c r="H36823" s="8" t="s">
        <v>364</v>
      </c>
    </row>
    <row r="36824">
      <c r="H36824" s="8" t="s">
        <v>364</v>
      </c>
    </row>
    <row r="36825">
      <c r="H36825" s="8" t="s">
        <v>364</v>
      </c>
    </row>
    <row r="36826">
      <c r="H36826" s="8" t="s">
        <v>364</v>
      </c>
    </row>
    <row r="36827">
      <c r="H36827" s="8" t="s">
        <v>364</v>
      </c>
    </row>
    <row r="36828">
      <c r="H36828" s="8" t="s">
        <v>364</v>
      </c>
    </row>
    <row r="36829">
      <c r="H36829" s="8" t="s">
        <v>364</v>
      </c>
    </row>
    <row r="36830">
      <c r="H36830" s="8" t="s">
        <v>364</v>
      </c>
    </row>
    <row r="36831">
      <c r="H36831" s="8" t="s">
        <v>364</v>
      </c>
    </row>
    <row r="36832">
      <c r="H36832" s="8" t="s">
        <v>364</v>
      </c>
    </row>
    <row r="36833">
      <c r="H36833" s="8" t="s">
        <v>364</v>
      </c>
    </row>
    <row r="36834">
      <c r="H36834" s="8" t="s">
        <v>364</v>
      </c>
    </row>
    <row r="36835">
      <c r="H36835" s="8" t="s">
        <v>364</v>
      </c>
    </row>
    <row r="36836">
      <c r="H36836" s="8" t="s">
        <v>364</v>
      </c>
    </row>
    <row r="36837">
      <c r="H36837" s="8" t="s">
        <v>364</v>
      </c>
    </row>
    <row r="36838">
      <c r="H36838" s="8" t="s">
        <v>364</v>
      </c>
    </row>
    <row r="36839">
      <c r="H36839" s="8" t="s">
        <v>364</v>
      </c>
    </row>
    <row r="36840">
      <c r="H36840" s="8" t="s">
        <v>364</v>
      </c>
    </row>
    <row r="36841">
      <c r="H36841" s="8" t="s">
        <v>364</v>
      </c>
    </row>
    <row r="36842">
      <c r="H36842" s="8" t="s">
        <v>364</v>
      </c>
    </row>
    <row r="36843">
      <c r="H36843" s="8" t="s">
        <v>364</v>
      </c>
    </row>
    <row r="36844">
      <c r="H36844" s="8" t="s">
        <v>364</v>
      </c>
    </row>
    <row r="36845">
      <c r="H36845" s="8" t="s">
        <v>364</v>
      </c>
    </row>
    <row r="36846">
      <c r="H36846" s="8" t="s">
        <v>364</v>
      </c>
    </row>
    <row r="36847">
      <c r="H36847" s="8" t="s">
        <v>364</v>
      </c>
    </row>
    <row r="36848">
      <c r="H36848" s="8" t="s">
        <v>364</v>
      </c>
    </row>
    <row r="36849">
      <c r="H36849" s="8" t="s">
        <v>364</v>
      </c>
    </row>
    <row r="36850">
      <c r="H36850" s="8" t="s">
        <v>364</v>
      </c>
    </row>
    <row r="36851">
      <c r="H36851" s="8" t="s">
        <v>364</v>
      </c>
    </row>
    <row r="36852">
      <c r="H36852" s="8" t="s">
        <v>364</v>
      </c>
    </row>
    <row r="36853">
      <c r="H36853" s="8" t="s">
        <v>364</v>
      </c>
    </row>
    <row r="36854">
      <c r="H36854" s="8" t="s">
        <v>364</v>
      </c>
    </row>
    <row r="36855">
      <c r="H36855" s="8" t="s">
        <v>364</v>
      </c>
    </row>
    <row r="36856">
      <c r="H36856" s="8" t="s">
        <v>364</v>
      </c>
    </row>
    <row r="36857">
      <c r="H36857" s="8" t="s">
        <v>364</v>
      </c>
    </row>
    <row r="36858">
      <c r="H36858" s="8" t="s">
        <v>364</v>
      </c>
    </row>
    <row r="36859">
      <c r="H36859" s="8" t="s">
        <v>364</v>
      </c>
    </row>
    <row r="36860">
      <c r="H36860" s="8" t="s">
        <v>364</v>
      </c>
    </row>
    <row r="36861">
      <c r="H36861" s="8" t="s">
        <v>364</v>
      </c>
    </row>
    <row r="36862">
      <c r="H36862" s="8" t="s">
        <v>364</v>
      </c>
    </row>
    <row r="36863">
      <c r="H36863" s="8" t="s">
        <v>364</v>
      </c>
    </row>
    <row r="36864">
      <c r="H36864" s="8" t="s">
        <v>364</v>
      </c>
    </row>
    <row r="36865">
      <c r="H36865" s="8" t="s">
        <v>364</v>
      </c>
    </row>
    <row r="36866">
      <c r="H36866" s="8" t="s">
        <v>364</v>
      </c>
    </row>
    <row r="36867">
      <c r="H36867" s="8" t="s">
        <v>364</v>
      </c>
    </row>
    <row r="36868">
      <c r="H36868" s="8" t="s">
        <v>364</v>
      </c>
    </row>
    <row r="36869">
      <c r="H36869" s="8" t="s">
        <v>364</v>
      </c>
    </row>
    <row r="36870">
      <c r="H36870" s="8" t="s">
        <v>364</v>
      </c>
    </row>
    <row r="36871">
      <c r="H36871" s="8" t="s">
        <v>364</v>
      </c>
    </row>
    <row r="36872">
      <c r="H36872" s="8" t="s">
        <v>364</v>
      </c>
    </row>
    <row r="36873">
      <c r="H36873" s="8" t="s">
        <v>364</v>
      </c>
    </row>
    <row r="36874">
      <c r="H36874" s="8" t="s">
        <v>364</v>
      </c>
    </row>
    <row r="36875">
      <c r="H36875" s="8" t="s">
        <v>364</v>
      </c>
    </row>
    <row r="36876">
      <c r="H36876" s="8" t="s">
        <v>364</v>
      </c>
    </row>
    <row r="36877">
      <c r="H36877" s="8" t="s">
        <v>364</v>
      </c>
    </row>
    <row r="36878">
      <c r="H36878" s="8" t="s">
        <v>364</v>
      </c>
    </row>
    <row r="36879">
      <c r="H36879" s="8" t="s">
        <v>364</v>
      </c>
    </row>
    <row r="36880">
      <c r="H36880" s="8" t="s">
        <v>364</v>
      </c>
    </row>
    <row r="36881">
      <c r="H36881" s="8" t="s">
        <v>364</v>
      </c>
    </row>
    <row r="36882">
      <c r="H36882" s="8" t="s">
        <v>364</v>
      </c>
    </row>
    <row r="36883">
      <c r="H36883" s="8" t="s">
        <v>364</v>
      </c>
    </row>
    <row r="36884">
      <c r="H36884" s="8" t="s">
        <v>364</v>
      </c>
    </row>
    <row r="36885">
      <c r="H36885" s="8" t="s">
        <v>364</v>
      </c>
    </row>
    <row r="36886">
      <c r="H36886" s="8" t="s">
        <v>364</v>
      </c>
    </row>
    <row r="36887">
      <c r="H36887" s="8" t="s">
        <v>364</v>
      </c>
    </row>
    <row r="36888">
      <c r="H36888" s="8" t="s">
        <v>364</v>
      </c>
    </row>
    <row r="36889">
      <c r="H36889" s="8" t="s">
        <v>364</v>
      </c>
    </row>
    <row r="36890">
      <c r="H36890" s="8" t="s">
        <v>364</v>
      </c>
    </row>
    <row r="36891">
      <c r="H36891" s="8" t="s">
        <v>364</v>
      </c>
    </row>
    <row r="36892">
      <c r="H36892" s="8" t="s">
        <v>364</v>
      </c>
    </row>
    <row r="36893">
      <c r="H36893" s="8" t="s">
        <v>364</v>
      </c>
    </row>
    <row r="36894">
      <c r="H36894" s="8" t="s">
        <v>364</v>
      </c>
    </row>
    <row r="36895">
      <c r="H36895" s="8" t="s">
        <v>364</v>
      </c>
    </row>
    <row r="36896">
      <c r="H36896" s="8" t="s">
        <v>364</v>
      </c>
    </row>
    <row r="36897">
      <c r="H36897" s="8" t="s">
        <v>364</v>
      </c>
    </row>
    <row r="36898">
      <c r="H36898" s="8" t="s">
        <v>364</v>
      </c>
    </row>
    <row r="36899">
      <c r="H36899" s="8" t="s">
        <v>364</v>
      </c>
    </row>
    <row r="36900">
      <c r="H36900" s="8" t="s">
        <v>364</v>
      </c>
    </row>
    <row r="36901">
      <c r="H36901" s="8" t="s">
        <v>364</v>
      </c>
    </row>
    <row r="36902">
      <c r="H36902" s="8" t="s">
        <v>364</v>
      </c>
    </row>
    <row r="36903">
      <c r="H36903" s="8" t="s">
        <v>364</v>
      </c>
    </row>
    <row r="36904">
      <c r="H36904" s="8" t="s">
        <v>364</v>
      </c>
    </row>
    <row r="36905">
      <c r="H36905" s="8" t="s">
        <v>364</v>
      </c>
    </row>
    <row r="36906">
      <c r="H36906" s="8" t="s">
        <v>364</v>
      </c>
    </row>
    <row r="36907">
      <c r="H36907" s="8" t="s">
        <v>364</v>
      </c>
    </row>
    <row r="36908">
      <c r="H36908" s="8" t="s">
        <v>364</v>
      </c>
    </row>
    <row r="36909">
      <c r="H36909" s="8" t="s">
        <v>364</v>
      </c>
    </row>
    <row r="36910">
      <c r="H36910" s="8" t="s">
        <v>364</v>
      </c>
    </row>
    <row r="36911">
      <c r="H36911" s="8" t="s">
        <v>364</v>
      </c>
    </row>
    <row r="36912">
      <c r="H36912" s="8" t="s">
        <v>364</v>
      </c>
    </row>
    <row r="36913">
      <c r="H36913" s="8" t="s">
        <v>364</v>
      </c>
    </row>
    <row r="36914">
      <c r="H36914" s="8" t="s">
        <v>364</v>
      </c>
    </row>
    <row r="36915">
      <c r="H36915" s="8" t="s">
        <v>364</v>
      </c>
    </row>
    <row r="36916">
      <c r="H36916" s="8" t="s">
        <v>364</v>
      </c>
    </row>
    <row r="36917">
      <c r="H36917" s="8" t="s">
        <v>364</v>
      </c>
    </row>
    <row r="36918">
      <c r="H36918" s="8" t="s">
        <v>364</v>
      </c>
    </row>
    <row r="36919">
      <c r="H36919" s="8" t="s">
        <v>364</v>
      </c>
    </row>
    <row r="36920">
      <c r="H36920" s="8" t="s">
        <v>364</v>
      </c>
    </row>
    <row r="36921">
      <c r="H36921" s="8" t="s">
        <v>364</v>
      </c>
    </row>
    <row r="36922">
      <c r="H36922" s="8" t="s">
        <v>364</v>
      </c>
    </row>
    <row r="36923">
      <c r="H36923" s="8" t="s">
        <v>364</v>
      </c>
    </row>
    <row r="36924">
      <c r="H36924" s="8" t="s">
        <v>364</v>
      </c>
    </row>
    <row r="36925">
      <c r="H36925" s="8" t="s">
        <v>364</v>
      </c>
    </row>
    <row r="36926">
      <c r="H36926" s="8" t="s">
        <v>364</v>
      </c>
    </row>
    <row r="36927">
      <c r="H36927" s="8" t="s">
        <v>364</v>
      </c>
    </row>
    <row r="36928">
      <c r="H36928" s="8" t="s">
        <v>364</v>
      </c>
    </row>
    <row r="36929">
      <c r="H36929" s="8" t="s">
        <v>364</v>
      </c>
    </row>
    <row r="36930">
      <c r="H36930" s="8" t="s">
        <v>364</v>
      </c>
    </row>
    <row r="36931">
      <c r="H36931" s="8" t="s">
        <v>364</v>
      </c>
    </row>
    <row r="36932">
      <c r="H36932" s="8" t="s">
        <v>364</v>
      </c>
    </row>
    <row r="36933">
      <c r="H36933" s="8" t="s">
        <v>364</v>
      </c>
    </row>
    <row r="36934">
      <c r="H36934" s="8" t="s">
        <v>364</v>
      </c>
    </row>
    <row r="36935">
      <c r="H36935" s="8" t="s">
        <v>364</v>
      </c>
    </row>
    <row r="36936">
      <c r="H36936" s="8" t="s">
        <v>364</v>
      </c>
    </row>
    <row r="36937">
      <c r="H36937" s="8" t="s">
        <v>364</v>
      </c>
    </row>
    <row r="36938">
      <c r="H36938" s="8" t="s">
        <v>364</v>
      </c>
    </row>
    <row r="36939">
      <c r="H36939" s="8" t="s">
        <v>364</v>
      </c>
    </row>
    <row r="36940">
      <c r="H36940" s="8" t="s">
        <v>364</v>
      </c>
    </row>
    <row r="36941">
      <c r="H36941" s="8" t="s">
        <v>364</v>
      </c>
    </row>
    <row r="36942">
      <c r="H36942" s="8" t="s">
        <v>364</v>
      </c>
    </row>
    <row r="36943">
      <c r="H36943" s="8" t="s">
        <v>364</v>
      </c>
    </row>
    <row r="36944">
      <c r="H36944" s="8" t="s">
        <v>364</v>
      </c>
    </row>
    <row r="36945">
      <c r="H36945" s="8" t="s">
        <v>364</v>
      </c>
    </row>
    <row r="36946">
      <c r="H36946" s="8" t="s">
        <v>364</v>
      </c>
    </row>
    <row r="36947">
      <c r="H36947" s="8" t="s">
        <v>364</v>
      </c>
    </row>
    <row r="36948">
      <c r="H36948" s="8" t="s">
        <v>364</v>
      </c>
    </row>
    <row r="36949">
      <c r="H36949" s="8" t="s">
        <v>364</v>
      </c>
    </row>
    <row r="36950">
      <c r="H36950" s="8" t="s">
        <v>364</v>
      </c>
    </row>
    <row r="36951">
      <c r="H36951" s="8" t="s">
        <v>364</v>
      </c>
    </row>
    <row r="36952">
      <c r="H36952" s="8" t="s">
        <v>364</v>
      </c>
    </row>
    <row r="36953">
      <c r="H36953" s="8" t="s">
        <v>364</v>
      </c>
    </row>
    <row r="36954">
      <c r="H36954" s="8" t="s">
        <v>364</v>
      </c>
    </row>
    <row r="36955">
      <c r="H36955" s="8" t="s">
        <v>364</v>
      </c>
    </row>
    <row r="36956">
      <c r="H36956" s="8" t="s">
        <v>364</v>
      </c>
    </row>
    <row r="36957">
      <c r="H36957" s="8" t="s">
        <v>364</v>
      </c>
    </row>
    <row r="36958">
      <c r="H36958" s="8" t="s">
        <v>364</v>
      </c>
    </row>
    <row r="36959">
      <c r="H36959" s="8" t="s">
        <v>364</v>
      </c>
    </row>
    <row r="36960">
      <c r="H36960" s="8" t="s">
        <v>364</v>
      </c>
    </row>
    <row r="36961">
      <c r="H36961" s="8" t="s">
        <v>364</v>
      </c>
    </row>
    <row r="36962">
      <c r="H36962" s="8" t="s">
        <v>364</v>
      </c>
    </row>
    <row r="36963">
      <c r="H36963" s="8" t="s">
        <v>364</v>
      </c>
    </row>
    <row r="36964">
      <c r="H36964" s="8" t="s">
        <v>364</v>
      </c>
    </row>
    <row r="36965">
      <c r="H36965" s="8" t="s">
        <v>364</v>
      </c>
    </row>
    <row r="36966">
      <c r="H36966" s="8" t="s">
        <v>364</v>
      </c>
    </row>
    <row r="36967">
      <c r="H36967" s="8" t="s">
        <v>364</v>
      </c>
    </row>
    <row r="36968">
      <c r="H36968" s="8" t="s">
        <v>364</v>
      </c>
    </row>
    <row r="36969">
      <c r="H36969" s="8" t="s">
        <v>364</v>
      </c>
    </row>
    <row r="36970">
      <c r="H36970" s="8" t="s">
        <v>364</v>
      </c>
    </row>
    <row r="36971">
      <c r="H36971" s="8" t="s">
        <v>364</v>
      </c>
    </row>
    <row r="36972">
      <c r="H36972" s="8" t="s">
        <v>364</v>
      </c>
    </row>
    <row r="36973">
      <c r="H36973" s="8" t="s">
        <v>364</v>
      </c>
    </row>
    <row r="36974">
      <c r="H36974" s="8" t="s">
        <v>364</v>
      </c>
    </row>
    <row r="36975">
      <c r="H36975" s="8" t="s">
        <v>364</v>
      </c>
    </row>
    <row r="36976">
      <c r="H36976" s="8" t="s">
        <v>364</v>
      </c>
    </row>
    <row r="36977">
      <c r="H36977" s="8" t="s">
        <v>364</v>
      </c>
    </row>
    <row r="36978">
      <c r="H36978" s="8" t="s">
        <v>364</v>
      </c>
    </row>
    <row r="36979">
      <c r="H36979" s="8" t="s">
        <v>364</v>
      </c>
    </row>
    <row r="36980">
      <c r="H36980" s="8" t="s">
        <v>364</v>
      </c>
    </row>
    <row r="36981">
      <c r="H36981" s="8" t="s">
        <v>364</v>
      </c>
    </row>
    <row r="36982">
      <c r="H36982" s="8" t="s">
        <v>364</v>
      </c>
    </row>
    <row r="36983">
      <c r="H36983" s="8" t="s">
        <v>364</v>
      </c>
    </row>
    <row r="36984">
      <c r="H36984" s="8" t="s">
        <v>364</v>
      </c>
    </row>
    <row r="36985">
      <c r="H36985" s="8" t="s">
        <v>364</v>
      </c>
    </row>
    <row r="36986">
      <c r="H36986" s="8" t="s">
        <v>364</v>
      </c>
    </row>
    <row r="36987">
      <c r="H36987" s="8" t="s">
        <v>364</v>
      </c>
    </row>
    <row r="36988">
      <c r="H36988" s="8" t="s">
        <v>364</v>
      </c>
    </row>
    <row r="36989">
      <c r="H36989" s="8" t="s">
        <v>364</v>
      </c>
    </row>
    <row r="36990">
      <c r="H36990" s="8" t="s">
        <v>364</v>
      </c>
    </row>
    <row r="36991">
      <c r="H36991" s="8" t="s">
        <v>364</v>
      </c>
    </row>
    <row r="36992">
      <c r="H36992" s="8" t="s">
        <v>364</v>
      </c>
    </row>
    <row r="36993">
      <c r="H36993" s="8" t="s">
        <v>364</v>
      </c>
    </row>
    <row r="36994">
      <c r="H36994" s="8" t="s">
        <v>364</v>
      </c>
    </row>
    <row r="36995">
      <c r="H36995" s="8" t="s">
        <v>364</v>
      </c>
    </row>
    <row r="36996">
      <c r="H36996" s="8" t="s">
        <v>364</v>
      </c>
    </row>
    <row r="36997">
      <c r="H36997" s="8" t="s">
        <v>364</v>
      </c>
    </row>
    <row r="36998">
      <c r="H36998" s="8" t="s">
        <v>364</v>
      </c>
    </row>
    <row r="36999">
      <c r="H36999" s="8" t="s">
        <v>364</v>
      </c>
    </row>
    <row r="37000">
      <c r="H37000" s="8" t="s">
        <v>364</v>
      </c>
    </row>
    <row r="37001">
      <c r="H37001" s="8" t="s">
        <v>364</v>
      </c>
    </row>
    <row r="37002">
      <c r="H37002" s="8" t="s">
        <v>364</v>
      </c>
    </row>
    <row r="37003">
      <c r="H37003" s="8" t="s">
        <v>364</v>
      </c>
    </row>
    <row r="37004">
      <c r="H37004" s="8" t="s">
        <v>364</v>
      </c>
    </row>
    <row r="37005">
      <c r="H37005" s="8" t="s">
        <v>364</v>
      </c>
    </row>
    <row r="37006">
      <c r="H37006" s="8" t="s">
        <v>364</v>
      </c>
    </row>
    <row r="37007">
      <c r="H37007" s="8" t="s">
        <v>364</v>
      </c>
    </row>
    <row r="37008">
      <c r="H37008" s="8" t="s">
        <v>364</v>
      </c>
    </row>
    <row r="37009">
      <c r="H37009" s="8" t="s">
        <v>364</v>
      </c>
    </row>
    <row r="37010">
      <c r="H37010" s="8" t="s">
        <v>364</v>
      </c>
    </row>
    <row r="37011">
      <c r="H37011" s="8" t="s">
        <v>364</v>
      </c>
    </row>
    <row r="37012">
      <c r="H37012" s="8" t="s">
        <v>364</v>
      </c>
    </row>
    <row r="37013">
      <c r="H37013" s="8" t="s">
        <v>364</v>
      </c>
    </row>
    <row r="37014">
      <c r="H37014" s="8" t="s">
        <v>364</v>
      </c>
    </row>
    <row r="37015">
      <c r="H37015" s="8" t="s">
        <v>364</v>
      </c>
    </row>
    <row r="37016">
      <c r="H37016" s="8" t="s">
        <v>364</v>
      </c>
    </row>
    <row r="37017">
      <c r="H37017" s="8" t="s">
        <v>364</v>
      </c>
    </row>
    <row r="37018">
      <c r="H37018" s="8" t="s">
        <v>364</v>
      </c>
    </row>
    <row r="37019">
      <c r="H37019" s="8" t="s">
        <v>364</v>
      </c>
    </row>
    <row r="37020">
      <c r="H37020" s="8" t="s">
        <v>364</v>
      </c>
    </row>
    <row r="37021">
      <c r="H37021" s="8" t="s">
        <v>364</v>
      </c>
    </row>
    <row r="37022">
      <c r="H37022" s="8" t="s">
        <v>364</v>
      </c>
    </row>
    <row r="37023">
      <c r="H37023" s="8" t="s">
        <v>364</v>
      </c>
    </row>
    <row r="37024">
      <c r="H37024" s="8" t="s">
        <v>364</v>
      </c>
    </row>
    <row r="37025">
      <c r="H37025" s="8" t="s">
        <v>364</v>
      </c>
    </row>
    <row r="37026">
      <c r="H37026" s="8" t="s">
        <v>364</v>
      </c>
    </row>
    <row r="37027">
      <c r="H37027" s="8" t="s">
        <v>364</v>
      </c>
    </row>
    <row r="37028">
      <c r="H37028" s="8" t="s">
        <v>364</v>
      </c>
    </row>
    <row r="37029">
      <c r="H37029" s="8" t="s">
        <v>364</v>
      </c>
    </row>
    <row r="37030">
      <c r="H37030" s="8" t="s">
        <v>364</v>
      </c>
    </row>
    <row r="37031">
      <c r="H37031" s="8" t="s">
        <v>364</v>
      </c>
    </row>
    <row r="37032">
      <c r="H37032" s="8" t="s">
        <v>364</v>
      </c>
    </row>
    <row r="37033">
      <c r="H37033" s="8" t="s">
        <v>364</v>
      </c>
    </row>
    <row r="37034">
      <c r="H37034" s="8" t="s">
        <v>364</v>
      </c>
    </row>
    <row r="37035">
      <c r="H37035" s="8" t="s">
        <v>364</v>
      </c>
    </row>
    <row r="37036">
      <c r="H37036" s="8" t="s">
        <v>364</v>
      </c>
    </row>
    <row r="37037">
      <c r="H37037" s="8" t="s">
        <v>364</v>
      </c>
    </row>
    <row r="37038">
      <c r="H37038" s="8" t="s">
        <v>364</v>
      </c>
    </row>
    <row r="37039">
      <c r="H37039" s="8" t="s">
        <v>364</v>
      </c>
    </row>
    <row r="37040">
      <c r="H37040" s="8" t="s">
        <v>364</v>
      </c>
    </row>
    <row r="37041">
      <c r="H37041" s="8" t="s">
        <v>364</v>
      </c>
    </row>
    <row r="37042">
      <c r="H37042" s="8" t="s">
        <v>364</v>
      </c>
    </row>
    <row r="37043">
      <c r="H37043" s="8" t="s">
        <v>364</v>
      </c>
    </row>
    <row r="37044">
      <c r="H37044" s="8" t="s">
        <v>364</v>
      </c>
    </row>
    <row r="37045">
      <c r="H37045" s="8" t="s">
        <v>364</v>
      </c>
    </row>
    <row r="37046">
      <c r="H37046" s="8" t="s">
        <v>364</v>
      </c>
    </row>
    <row r="37047">
      <c r="H37047" s="8" t="s">
        <v>364</v>
      </c>
    </row>
    <row r="37048">
      <c r="H37048" s="8" t="s">
        <v>364</v>
      </c>
    </row>
    <row r="37049">
      <c r="H37049" s="8" t="s">
        <v>364</v>
      </c>
    </row>
    <row r="37050">
      <c r="H37050" s="8" t="s">
        <v>364</v>
      </c>
    </row>
    <row r="37051">
      <c r="H37051" s="8" t="s">
        <v>364</v>
      </c>
    </row>
    <row r="37052">
      <c r="H37052" s="8" t="s">
        <v>364</v>
      </c>
    </row>
    <row r="37053">
      <c r="H37053" s="8" t="s">
        <v>364</v>
      </c>
    </row>
    <row r="37054">
      <c r="H37054" s="8" t="s">
        <v>364</v>
      </c>
    </row>
    <row r="37055">
      <c r="H37055" s="8" t="s">
        <v>364</v>
      </c>
    </row>
    <row r="37056">
      <c r="H37056" s="8" t="s">
        <v>364</v>
      </c>
    </row>
    <row r="37057">
      <c r="H37057" s="8" t="s">
        <v>364</v>
      </c>
    </row>
    <row r="37058">
      <c r="H37058" s="8" t="s">
        <v>364</v>
      </c>
    </row>
    <row r="37059">
      <c r="H37059" s="8" t="s">
        <v>364</v>
      </c>
    </row>
    <row r="37060">
      <c r="H37060" s="8" t="s">
        <v>364</v>
      </c>
    </row>
    <row r="37061">
      <c r="H37061" s="8" t="s">
        <v>364</v>
      </c>
    </row>
    <row r="37062">
      <c r="H37062" s="8" t="s">
        <v>364</v>
      </c>
    </row>
    <row r="37063">
      <c r="H37063" s="8" t="s">
        <v>364</v>
      </c>
    </row>
    <row r="37064">
      <c r="H37064" s="8" t="s">
        <v>364</v>
      </c>
    </row>
    <row r="37065">
      <c r="H37065" s="8" t="s">
        <v>364</v>
      </c>
    </row>
    <row r="37066">
      <c r="H37066" s="8" t="s">
        <v>364</v>
      </c>
    </row>
    <row r="37067">
      <c r="H37067" s="8" t="s">
        <v>364</v>
      </c>
    </row>
    <row r="37068">
      <c r="H37068" s="8" t="s">
        <v>364</v>
      </c>
    </row>
    <row r="37069">
      <c r="H37069" s="8" t="s">
        <v>364</v>
      </c>
    </row>
    <row r="37070">
      <c r="H37070" s="8" t="s">
        <v>364</v>
      </c>
    </row>
    <row r="37071">
      <c r="H37071" s="8" t="s">
        <v>364</v>
      </c>
    </row>
    <row r="37072">
      <c r="H37072" s="8" t="s">
        <v>364</v>
      </c>
    </row>
    <row r="37073">
      <c r="H37073" s="8" t="s">
        <v>364</v>
      </c>
    </row>
    <row r="37074">
      <c r="H37074" s="8" t="s">
        <v>364</v>
      </c>
    </row>
    <row r="37075">
      <c r="H37075" s="8" t="s">
        <v>364</v>
      </c>
    </row>
    <row r="37076">
      <c r="H37076" s="8" t="s">
        <v>364</v>
      </c>
    </row>
    <row r="37077">
      <c r="H37077" s="8" t="s">
        <v>364</v>
      </c>
    </row>
    <row r="37078">
      <c r="H37078" s="8" t="s">
        <v>364</v>
      </c>
    </row>
    <row r="37079">
      <c r="H37079" s="8" t="s">
        <v>364</v>
      </c>
    </row>
    <row r="37080">
      <c r="H37080" s="8" t="s">
        <v>364</v>
      </c>
    </row>
    <row r="37081">
      <c r="H37081" s="8" t="s">
        <v>364</v>
      </c>
    </row>
    <row r="37082">
      <c r="H37082" s="8" t="s">
        <v>364</v>
      </c>
    </row>
    <row r="37083">
      <c r="H37083" s="8" t="s">
        <v>364</v>
      </c>
    </row>
    <row r="37084">
      <c r="H37084" s="8" t="s">
        <v>364</v>
      </c>
    </row>
    <row r="37085">
      <c r="H37085" s="8" t="s">
        <v>364</v>
      </c>
    </row>
    <row r="37086">
      <c r="H37086" s="8" t="s">
        <v>364</v>
      </c>
    </row>
    <row r="37087">
      <c r="H37087" s="8" t="s">
        <v>364</v>
      </c>
    </row>
    <row r="37088">
      <c r="H37088" s="8" t="s">
        <v>364</v>
      </c>
    </row>
    <row r="37089">
      <c r="H37089" s="8" t="s">
        <v>364</v>
      </c>
    </row>
    <row r="37090">
      <c r="H37090" s="8" t="s">
        <v>364</v>
      </c>
    </row>
    <row r="37091">
      <c r="H37091" s="8" t="s">
        <v>364</v>
      </c>
    </row>
    <row r="37092">
      <c r="H37092" s="8" t="s">
        <v>364</v>
      </c>
    </row>
    <row r="37093">
      <c r="H37093" s="8" t="s">
        <v>364</v>
      </c>
    </row>
    <row r="37094">
      <c r="H37094" s="8" t="s">
        <v>364</v>
      </c>
    </row>
    <row r="37095">
      <c r="H37095" s="8" t="s">
        <v>364</v>
      </c>
    </row>
    <row r="37096">
      <c r="H37096" s="8" t="s">
        <v>364</v>
      </c>
    </row>
    <row r="37097">
      <c r="H37097" s="8" t="s">
        <v>364</v>
      </c>
    </row>
    <row r="37098">
      <c r="H37098" s="8" t="s">
        <v>364</v>
      </c>
    </row>
    <row r="37099">
      <c r="H37099" s="8" t="s">
        <v>364</v>
      </c>
    </row>
    <row r="37100">
      <c r="H37100" s="8" t="s">
        <v>364</v>
      </c>
    </row>
    <row r="37101">
      <c r="H37101" s="8" t="s">
        <v>364</v>
      </c>
    </row>
    <row r="37102">
      <c r="H37102" s="8" t="s">
        <v>364</v>
      </c>
    </row>
    <row r="37103">
      <c r="H37103" s="8" t="s">
        <v>364</v>
      </c>
    </row>
    <row r="37104">
      <c r="H37104" s="8" t="s">
        <v>364</v>
      </c>
    </row>
    <row r="37105">
      <c r="H37105" s="8" t="s">
        <v>364</v>
      </c>
    </row>
    <row r="37106">
      <c r="H37106" s="8" t="s">
        <v>364</v>
      </c>
    </row>
    <row r="37107">
      <c r="H37107" s="8" t="s">
        <v>364</v>
      </c>
    </row>
    <row r="37108">
      <c r="H37108" s="8" t="s">
        <v>364</v>
      </c>
    </row>
    <row r="37109">
      <c r="H37109" s="8" t="s">
        <v>364</v>
      </c>
    </row>
    <row r="37110">
      <c r="H37110" s="8" t="s">
        <v>364</v>
      </c>
    </row>
    <row r="37111">
      <c r="H37111" s="8" t="s">
        <v>364</v>
      </c>
    </row>
    <row r="37112">
      <c r="H37112" s="8" t="s">
        <v>364</v>
      </c>
    </row>
    <row r="37113">
      <c r="H37113" s="8" t="s">
        <v>364</v>
      </c>
    </row>
    <row r="37114">
      <c r="H37114" s="8" t="s">
        <v>364</v>
      </c>
    </row>
    <row r="37115">
      <c r="H37115" s="8" t="s">
        <v>364</v>
      </c>
    </row>
    <row r="37116">
      <c r="H37116" s="8" t="s">
        <v>364</v>
      </c>
    </row>
    <row r="37117">
      <c r="H37117" s="8" t="s">
        <v>364</v>
      </c>
    </row>
    <row r="37118">
      <c r="H37118" s="8" t="s">
        <v>364</v>
      </c>
    </row>
    <row r="37119">
      <c r="H37119" s="8" t="s">
        <v>364</v>
      </c>
    </row>
    <row r="37120">
      <c r="H37120" s="8" t="s">
        <v>364</v>
      </c>
    </row>
    <row r="37121">
      <c r="H37121" s="8" t="s">
        <v>364</v>
      </c>
    </row>
    <row r="37122">
      <c r="H37122" s="8" t="s">
        <v>364</v>
      </c>
    </row>
    <row r="37123">
      <c r="H37123" s="8" t="s">
        <v>364</v>
      </c>
    </row>
    <row r="37124">
      <c r="H37124" s="8" t="s">
        <v>364</v>
      </c>
    </row>
    <row r="37125">
      <c r="H37125" s="8" t="s">
        <v>364</v>
      </c>
    </row>
    <row r="37126">
      <c r="H37126" s="8" t="s">
        <v>364</v>
      </c>
    </row>
    <row r="37127">
      <c r="H37127" s="8" t="s">
        <v>364</v>
      </c>
    </row>
    <row r="37128">
      <c r="H37128" s="8" t="s">
        <v>364</v>
      </c>
    </row>
    <row r="37129">
      <c r="H37129" s="8" t="s">
        <v>364</v>
      </c>
    </row>
    <row r="37130">
      <c r="H37130" s="8" t="s">
        <v>364</v>
      </c>
    </row>
    <row r="37131">
      <c r="H37131" s="8" t="s">
        <v>364</v>
      </c>
    </row>
    <row r="37132">
      <c r="H37132" s="8" t="s">
        <v>364</v>
      </c>
    </row>
    <row r="37133">
      <c r="H37133" s="8" t="s">
        <v>364</v>
      </c>
    </row>
    <row r="37134">
      <c r="H37134" s="8" t="s">
        <v>364</v>
      </c>
    </row>
    <row r="37135">
      <c r="H37135" s="8" t="s">
        <v>364</v>
      </c>
    </row>
    <row r="37136">
      <c r="H37136" s="8" t="s">
        <v>364</v>
      </c>
    </row>
    <row r="37137">
      <c r="H37137" s="8" t="s">
        <v>364</v>
      </c>
    </row>
    <row r="37138">
      <c r="H37138" s="8" t="s">
        <v>364</v>
      </c>
    </row>
    <row r="37139">
      <c r="H37139" s="8" t="s">
        <v>364</v>
      </c>
    </row>
    <row r="37140">
      <c r="H37140" s="8" t="s">
        <v>364</v>
      </c>
    </row>
    <row r="37141">
      <c r="H37141" s="8" t="s">
        <v>364</v>
      </c>
    </row>
    <row r="37142">
      <c r="H37142" s="8" t="s">
        <v>364</v>
      </c>
    </row>
    <row r="37143">
      <c r="H37143" s="8" t="s">
        <v>364</v>
      </c>
    </row>
    <row r="37144">
      <c r="H37144" s="8" t="s">
        <v>364</v>
      </c>
    </row>
    <row r="37145">
      <c r="H37145" s="8" t="s">
        <v>364</v>
      </c>
    </row>
    <row r="37146">
      <c r="H37146" s="8" t="s">
        <v>364</v>
      </c>
    </row>
    <row r="37147">
      <c r="H37147" s="8" t="s">
        <v>364</v>
      </c>
    </row>
    <row r="37148">
      <c r="H37148" s="8" t="s">
        <v>364</v>
      </c>
    </row>
    <row r="37149">
      <c r="H37149" s="8" t="s">
        <v>364</v>
      </c>
    </row>
    <row r="37150">
      <c r="H37150" s="8" t="s">
        <v>364</v>
      </c>
    </row>
    <row r="37151">
      <c r="H37151" s="8" t="s">
        <v>364</v>
      </c>
    </row>
    <row r="37152">
      <c r="H37152" s="8" t="s">
        <v>364</v>
      </c>
    </row>
    <row r="37153">
      <c r="H37153" s="8" t="s">
        <v>364</v>
      </c>
    </row>
    <row r="37154">
      <c r="H37154" s="8" t="s">
        <v>364</v>
      </c>
    </row>
    <row r="37155">
      <c r="H37155" s="8" t="s">
        <v>364</v>
      </c>
    </row>
    <row r="37156">
      <c r="H37156" s="8" t="s">
        <v>364</v>
      </c>
    </row>
    <row r="37157">
      <c r="H37157" s="8" t="s">
        <v>364</v>
      </c>
    </row>
    <row r="37158">
      <c r="H37158" s="8" t="s">
        <v>364</v>
      </c>
    </row>
    <row r="37159">
      <c r="H37159" s="8" t="s">
        <v>364</v>
      </c>
    </row>
    <row r="37160">
      <c r="H37160" s="8" t="s">
        <v>364</v>
      </c>
    </row>
    <row r="37161">
      <c r="H37161" s="8" t="s">
        <v>364</v>
      </c>
    </row>
    <row r="37162">
      <c r="H37162" s="8" t="s">
        <v>364</v>
      </c>
    </row>
    <row r="37163">
      <c r="H37163" s="8" t="s">
        <v>364</v>
      </c>
    </row>
    <row r="37164">
      <c r="H37164" s="8" t="s">
        <v>364</v>
      </c>
    </row>
    <row r="37165">
      <c r="H37165" s="8" t="s">
        <v>364</v>
      </c>
    </row>
    <row r="37166">
      <c r="H37166" s="8" t="s">
        <v>364</v>
      </c>
    </row>
    <row r="37167">
      <c r="H37167" s="8" t="s">
        <v>364</v>
      </c>
    </row>
    <row r="37168">
      <c r="H37168" s="8" t="s">
        <v>364</v>
      </c>
    </row>
    <row r="37169">
      <c r="H37169" s="8" t="s">
        <v>364</v>
      </c>
    </row>
    <row r="37170">
      <c r="H37170" s="8" t="s">
        <v>364</v>
      </c>
    </row>
    <row r="37171">
      <c r="H37171" s="8" t="s">
        <v>364</v>
      </c>
    </row>
    <row r="37172">
      <c r="H37172" s="8" t="s">
        <v>364</v>
      </c>
    </row>
    <row r="37173">
      <c r="H37173" s="8" t="s">
        <v>364</v>
      </c>
    </row>
    <row r="37174">
      <c r="H37174" s="8" t="s">
        <v>364</v>
      </c>
    </row>
    <row r="37175">
      <c r="H37175" s="8" t="s">
        <v>364</v>
      </c>
    </row>
    <row r="37176">
      <c r="H37176" s="8" t="s">
        <v>364</v>
      </c>
    </row>
    <row r="37177">
      <c r="H37177" s="8" t="s">
        <v>364</v>
      </c>
    </row>
    <row r="37178">
      <c r="H37178" s="8" t="s">
        <v>364</v>
      </c>
    </row>
    <row r="37179">
      <c r="H37179" s="8" t="s">
        <v>364</v>
      </c>
    </row>
    <row r="37180">
      <c r="H37180" s="8" t="s">
        <v>364</v>
      </c>
    </row>
    <row r="37181">
      <c r="H37181" s="8" t="s">
        <v>364</v>
      </c>
    </row>
    <row r="37182">
      <c r="H37182" s="8" t="s">
        <v>364</v>
      </c>
    </row>
    <row r="37183">
      <c r="H37183" s="8" t="s">
        <v>364</v>
      </c>
    </row>
    <row r="37184">
      <c r="H37184" s="8" t="s">
        <v>364</v>
      </c>
    </row>
    <row r="37185">
      <c r="H37185" s="8" t="s">
        <v>364</v>
      </c>
    </row>
    <row r="37186">
      <c r="H37186" s="8" t="s">
        <v>364</v>
      </c>
    </row>
    <row r="37187">
      <c r="H37187" s="8" t="s">
        <v>364</v>
      </c>
    </row>
    <row r="37188">
      <c r="H37188" s="8" t="s">
        <v>364</v>
      </c>
    </row>
    <row r="37189">
      <c r="H37189" s="8" t="s">
        <v>364</v>
      </c>
    </row>
    <row r="37190">
      <c r="H37190" s="8" t="s">
        <v>364</v>
      </c>
    </row>
    <row r="37191">
      <c r="H37191" s="8" t="s">
        <v>364</v>
      </c>
    </row>
    <row r="37192">
      <c r="H37192" s="8" t="s">
        <v>364</v>
      </c>
    </row>
    <row r="37193">
      <c r="H37193" s="8" t="s">
        <v>364</v>
      </c>
    </row>
    <row r="37194">
      <c r="H37194" s="8" t="s">
        <v>364</v>
      </c>
    </row>
    <row r="37195">
      <c r="H37195" s="8" t="s">
        <v>364</v>
      </c>
    </row>
    <row r="37196">
      <c r="H37196" s="8" t="s">
        <v>364</v>
      </c>
    </row>
    <row r="37197">
      <c r="H37197" s="8" t="s">
        <v>364</v>
      </c>
    </row>
    <row r="37198">
      <c r="H37198" s="8" t="s">
        <v>364</v>
      </c>
    </row>
    <row r="37199">
      <c r="H37199" s="8" t="s">
        <v>364</v>
      </c>
    </row>
    <row r="37200">
      <c r="H37200" s="8" t="s">
        <v>364</v>
      </c>
    </row>
    <row r="37201">
      <c r="H37201" s="8" t="s">
        <v>364</v>
      </c>
    </row>
    <row r="37202">
      <c r="H37202" s="8" t="s">
        <v>364</v>
      </c>
    </row>
    <row r="37203">
      <c r="H37203" s="8" t="s">
        <v>364</v>
      </c>
    </row>
    <row r="37204">
      <c r="H37204" s="8" t="s">
        <v>364</v>
      </c>
    </row>
    <row r="37205">
      <c r="H37205" s="8" t="s">
        <v>364</v>
      </c>
    </row>
    <row r="37206">
      <c r="H37206" s="8" t="s">
        <v>364</v>
      </c>
    </row>
    <row r="37207">
      <c r="H37207" s="8" t="s">
        <v>364</v>
      </c>
    </row>
    <row r="37208">
      <c r="H37208" s="8" t="s">
        <v>364</v>
      </c>
    </row>
    <row r="37209">
      <c r="H37209" s="8" t="s">
        <v>364</v>
      </c>
    </row>
    <row r="37210">
      <c r="H37210" s="8" t="s">
        <v>364</v>
      </c>
    </row>
    <row r="37211">
      <c r="H37211" s="8" t="s">
        <v>364</v>
      </c>
    </row>
    <row r="37212">
      <c r="H37212" s="8" t="s">
        <v>364</v>
      </c>
    </row>
    <row r="37213">
      <c r="H37213" s="8" t="s">
        <v>364</v>
      </c>
    </row>
    <row r="37214">
      <c r="H37214" s="8" t="s">
        <v>364</v>
      </c>
    </row>
    <row r="37215">
      <c r="H37215" s="8" t="s">
        <v>364</v>
      </c>
    </row>
    <row r="37216">
      <c r="H37216" s="8" t="s">
        <v>364</v>
      </c>
    </row>
    <row r="37217">
      <c r="H37217" s="8" t="s">
        <v>364</v>
      </c>
    </row>
    <row r="37218">
      <c r="H37218" s="8" t="s">
        <v>364</v>
      </c>
    </row>
    <row r="37219">
      <c r="H37219" s="8" t="s">
        <v>364</v>
      </c>
    </row>
    <row r="37220">
      <c r="H37220" s="8" t="s">
        <v>364</v>
      </c>
    </row>
    <row r="37221">
      <c r="H37221" s="8" t="s">
        <v>364</v>
      </c>
    </row>
    <row r="37222">
      <c r="H37222" s="8" t="s">
        <v>364</v>
      </c>
    </row>
    <row r="37223">
      <c r="H37223" s="8" t="s">
        <v>364</v>
      </c>
    </row>
    <row r="37224">
      <c r="H37224" s="8" t="s">
        <v>364</v>
      </c>
    </row>
    <row r="37225">
      <c r="H37225" s="8" t="s">
        <v>364</v>
      </c>
    </row>
    <row r="37226">
      <c r="H37226" s="8" t="s">
        <v>364</v>
      </c>
    </row>
    <row r="37227">
      <c r="H37227" s="8" t="s">
        <v>364</v>
      </c>
    </row>
    <row r="37228">
      <c r="H37228" s="8" t="s">
        <v>364</v>
      </c>
    </row>
    <row r="37229">
      <c r="H37229" s="8" t="s">
        <v>364</v>
      </c>
    </row>
    <row r="37230">
      <c r="H37230" s="8" t="s">
        <v>364</v>
      </c>
    </row>
    <row r="37231">
      <c r="H37231" s="8" t="s">
        <v>364</v>
      </c>
    </row>
    <row r="37232">
      <c r="H37232" s="8" t="s">
        <v>364</v>
      </c>
    </row>
    <row r="37233">
      <c r="H37233" s="8" t="s">
        <v>364</v>
      </c>
    </row>
    <row r="37234">
      <c r="H37234" s="8" t="s">
        <v>364</v>
      </c>
    </row>
    <row r="37235">
      <c r="H37235" s="8" t="s">
        <v>364</v>
      </c>
    </row>
    <row r="37236">
      <c r="H37236" s="8" t="s">
        <v>364</v>
      </c>
    </row>
    <row r="37237">
      <c r="H37237" s="8" t="s">
        <v>364</v>
      </c>
    </row>
    <row r="37238">
      <c r="H37238" s="8" t="s">
        <v>364</v>
      </c>
    </row>
    <row r="37239">
      <c r="H37239" s="8" t="s">
        <v>364</v>
      </c>
    </row>
    <row r="37240">
      <c r="H37240" s="8" t="s">
        <v>364</v>
      </c>
    </row>
    <row r="37241">
      <c r="H37241" s="8" t="s">
        <v>364</v>
      </c>
    </row>
    <row r="37242">
      <c r="H37242" s="8" t="s">
        <v>364</v>
      </c>
    </row>
    <row r="37243">
      <c r="H37243" s="8" t="s">
        <v>364</v>
      </c>
    </row>
    <row r="37244">
      <c r="H37244" s="8" t="s">
        <v>364</v>
      </c>
    </row>
    <row r="37245">
      <c r="H37245" s="8" t="s">
        <v>364</v>
      </c>
    </row>
    <row r="37246">
      <c r="H37246" s="8" t="s">
        <v>364</v>
      </c>
    </row>
    <row r="37247">
      <c r="H37247" s="8" t="s">
        <v>364</v>
      </c>
    </row>
    <row r="37248">
      <c r="H37248" s="8" t="s">
        <v>364</v>
      </c>
    </row>
    <row r="37249">
      <c r="H37249" s="8" t="s">
        <v>364</v>
      </c>
    </row>
    <row r="37250">
      <c r="H37250" s="8" t="s">
        <v>364</v>
      </c>
    </row>
    <row r="37251">
      <c r="H37251" s="8" t="s">
        <v>364</v>
      </c>
    </row>
    <row r="37252">
      <c r="H37252" s="8" t="s">
        <v>364</v>
      </c>
    </row>
    <row r="37253">
      <c r="H37253" s="8" t="s">
        <v>364</v>
      </c>
    </row>
    <row r="37254">
      <c r="H37254" s="8" t="s">
        <v>364</v>
      </c>
    </row>
    <row r="37255">
      <c r="H37255" s="8" t="s">
        <v>364</v>
      </c>
    </row>
    <row r="37256">
      <c r="H37256" s="8" t="s">
        <v>364</v>
      </c>
    </row>
    <row r="37257">
      <c r="H37257" s="8" t="s">
        <v>364</v>
      </c>
    </row>
    <row r="37258">
      <c r="H37258" s="8" t="s">
        <v>364</v>
      </c>
    </row>
    <row r="37259">
      <c r="H37259" s="8" t="s">
        <v>364</v>
      </c>
    </row>
    <row r="37260">
      <c r="H37260" s="8" t="s">
        <v>364</v>
      </c>
    </row>
    <row r="37261">
      <c r="H37261" s="8" t="s">
        <v>364</v>
      </c>
    </row>
    <row r="37262">
      <c r="H37262" s="8" t="s">
        <v>364</v>
      </c>
    </row>
    <row r="37263">
      <c r="H37263" s="8" t="s">
        <v>364</v>
      </c>
    </row>
    <row r="37264">
      <c r="H37264" s="8" t="s">
        <v>364</v>
      </c>
    </row>
    <row r="37265">
      <c r="H37265" s="8" t="s">
        <v>364</v>
      </c>
    </row>
    <row r="37266">
      <c r="H37266" s="8" t="s">
        <v>364</v>
      </c>
    </row>
    <row r="37267">
      <c r="H37267" s="8" t="s">
        <v>364</v>
      </c>
    </row>
    <row r="37268">
      <c r="H37268" s="8" t="s">
        <v>364</v>
      </c>
    </row>
    <row r="37269">
      <c r="H37269" s="8" t="s">
        <v>364</v>
      </c>
    </row>
    <row r="37270">
      <c r="H37270" s="8" t="s">
        <v>364</v>
      </c>
    </row>
    <row r="37271">
      <c r="H37271" s="8" t="s">
        <v>364</v>
      </c>
    </row>
    <row r="37272">
      <c r="H37272" s="8" t="s">
        <v>364</v>
      </c>
    </row>
    <row r="37273">
      <c r="H37273" s="8" t="s">
        <v>364</v>
      </c>
    </row>
    <row r="37274">
      <c r="H37274" s="8" t="s">
        <v>364</v>
      </c>
    </row>
    <row r="37275">
      <c r="H37275" s="8" t="s">
        <v>364</v>
      </c>
    </row>
    <row r="37276">
      <c r="H37276" s="8" t="s">
        <v>364</v>
      </c>
    </row>
    <row r="37277">
      <c r="H37277" s="8" t="s">
        <v>364</v>
      </c>
    </row>
    <row r="37278">
      <c r="H37278" s="8" t="s">
        <v>364</v>
      </c>
    </row>
    <row r="37279">
      <c r="H37279" s="8" t="s">
        <v>364</v>
      </c>
    </row>
    <row r="37280">
      <c r="H37280" s="8" t="s">
        <v>364</v>
      </c>
    </row>
    <row r="37281">
      <c r="H37281" s="8" t="s">
        <v>364</v>
      </c>
    </row>
    <row r="37282">
      <c r="H37282" s="8" t="s">
        <v>364</v>
      </c>
    </row>
    <row r="37283">
      <c r="H37283" s="8" t="s">
        <v>364</v>
      </c>
    </row>
    <row r="37284">
      <c r="H37284" s="8" t="s">
        <v>364</v>
      </c>
    </row>
    <row r="37285">
      <c r="H37285" s="8" t="s">
        <v>364</v>
      </c>
    </row>
    <row r="37286">
      <c r="H37286" s="8" t="s">
        <v>364</v>
      </c>
    </row>
    <row r="37287">
      <c r="H37287" s="8" t="s">
        <v>364</v>
      </c>
    </row>
    <row r="37288">
      <c r="H37288" s="8" t="s">
        <v>364</v>
      </c>
    </row>
    <row r="37289">
      <c r="H37289" s="8" t="s">
        <v>364</v>
      </c>
    </row>
    <row r="37290">
      <c r="H37290" s="8" t="s">
        <v>364</v>
      </c>
    </row>
    <row r="37291">
      <c r="H37291" s="8" t="s">
        <v>364</v>
      </c>
    </row>
    <row r="37292">
      <c r="H37292" s="8" t="s">
        <v>364</v>
      </c>
    </row>
    <row r="37293">
      <c r="H37293" s="8" t="s">
        <v>364</v>
      </c>
    </row>
    <row r="37294">
      <c r="H37294" s="8" t="s">
        <v>364</v>
      </c>
    </row>
    <row r="37295">
      <c r="H37295" s="8" t="s">
        <v>364</v>
      </c>
    </row>
    <row r="37296">
      <c r="H37296" s="8" t="s">
        <v>364</v>
      </c>
    </row>
    <row r="37297">
      <c r="H37297" s="8" t="s">
        <v>364</v>
      </c>
    </row>
    <row r="37298">
      <c r="H37298" s="8" t="s">
        <v>364</v>
      </c>
    </row>
    <row r="37299">
      <c r="H37299" s="8" t="s">
        <v>364</v>
      </c>
    </row>
    <row r="37300">
      <c r="H37300" s="8" t="s">
        <v>364</v>
      </c>
    </row>
    <row r="37301">
      <c r="H37301" s="8" t="s">
        <v>364</v>
      </c>
    </row>
    <row r="37302">
      <c r="H37302" s="8" t="s">
        <v>364</v>
      </c>
    </row>
    <row r="37303">
      <c r="H37303" s="8" t="s">
        <v>364</v>
      </c>
    </row>
    <row r="37304">
      <c r="H37304" s="8" t="s">
        <v>364</v>
      </c>
    </row>
    <row r="37305">
      <c r="H37305" s="8" t="s">
        <v>364</v>
      </c>
    </row>
    <row r="37306">
      <c r="H37306" s="8" t="s">
        <v>364</v>
      </c>
    </row>
    <row r="37307">
      <c r="H37307" s="8" t="s">
        <v>364</v>
      </c>
    </row>
    <row r="37308">
      <c r="H37308" s="8" t="s">
        <v>364</v>
      </c>
    </row>
    <row r="37309">
      <c r="H37309" s="8" t="s">
        <v>364</v>
      </c>
    </row>
    <row r="37310">
      <c r="H37310" s="8" t="s">
        <v>364</v>
      </c>
    </row>
    <row r="37311">
      <c r="H37311" s="8" t="s">
        <v>364</v>
      </c>
    </row>
    <row r="37312">
      <c r="H37312" s="8" t="s">
        <v>364</v>
      </c>
    </row>
    <row r="37313">
      <c r="H37313" s="8" t="s">
        <v>364</v>
      </c>
    </row>
    <row r="37314">
      <c r="H37314" s="8" t="s">
        <v>364</v>
      </c>
    </row>
    <row r="37315">
      <c r="H37315" s="8" t="s">
        <v>364</v>
      </c>
    </row>
    <row r="37316">
      <c r="H37316" s="8" t="s">
        <v>364</v>
      </c>
    </row>
    <row r="37317">
      <c r="H37317" s="8" t="s">
        <v>364</v>
      </c>
    </row>
    <row r="37318">
      <c r="H37318" s="8" t="s">
        <v>364</v>
      </c>
    </row>
    <row r="37319">
      <c r="H37319" s="8" t="s">
        <v>364</v>
      </c>
    </row>
    <row r="37320">
      <c r="H37320" s="8" t="s">
        <v>364</v>
      </c>
    </row>
    <row r="37321">
      <c r="H37321" s="8" t="s">
        <v>364</v>
      </c>
    </row>
    <row r="37322">
      <c r="H37322" s="8" t="s">
        <v>364</v>
      </c>
    </row>
    <row r="37323">
      <c r="H37323" s="8" t="s">
        <v>364</v>
      </c>
    </row>
    <row r="37324">
      <c r="H37324" s="8" t="s">
        <v>364</v>
      </c>
    </row>
    <row r="37325">
      <c r="H37325" s="8" t="s">
        <v>364</v>
      </c>
    </row>
    <row r="37326">
      <c r="H37326" s="8" t="s">
        <v>364</v>
      </c>
    </row>
    <row r="37327">
      <c r="H37327" s="8" t="s">
        <v>364</v>
      </c>
    </row>
    <row r="37328">
      <c r="H37328" s="8" t="s">
        <v>364</v>
      </c>
    </row>
    <row r="37329">
      <c r="H37329" s="8" t="s">
        <v>364</v>
      </c>
    </row>
    <row r="37330">
      <c r="H37330" s="8" t="s">
        <v>364</v>
      </c>
    </row>
    <row r="37331">
      <c r="H37331" s="8" t="s">
        <v>364</v>
      </c>
    </row>
    <row r="37332">
      <c r="H37332" s="8" t="s">
        <v>364</v>
      </c>
    </row>
    <row r="37333">
      <c r="H37333" s="8" t="s">
        <v>364</v>
      </c>
    </row>
    <row r="37334">
      <c r="H37334" s="8" t="s">
        <v>364</v>
      </c>
    </row>
    <row r="37335">
      <c r="H37335" s="8" t="s">
        <v>364</v>
      </c>
    </row>
    <row r="37336">
      <c r="H37336" s="8" t="s">
        <v>364</v>
      </c>
    </row>
    <row r="37337">
      <c r="H37337" s="8" t="s">
        <v>364</v>
      </c>
    </row>
    <row r="37338">
      <c r="H37338" s="8" t="s">
        <v>364</v>
      </c>
    </row>
    <row r="37339">
      <c r="H37339" s="8" t="s">
        <v>364</v>
      </c>
    </row>
    <row r="37340">
      <c r="H37340" s="8" t="s">
        <v>364</v>
      </c>
    </row>
    <row r="37341">
      <c r="H37341" s="8" t="s">
        <v>364</v>
      </c>
    </row>
    <row r="37342">
      <c r="H37342" s="8" t="s">
        <v>364</v>
      </c>
    </row>
    <row r="37343">
      <c r="H37343" s="8" t="s">
        <v>364</v>
      </c>
    </row>
    <row r="37344">
      <c r="H37344" s="8" t="s">
        <v>364</v>
      </c>
    </row>
    <row r="37345">
      <c r="H37345" s="8" t="s">
        <v>364</v>
      </c>
    </row>
    <row r="37346">
      <c r="H37346" s="8" t="s">
        <v>364</v>
      </c>
    </row>
    <row r="37347">
      <c r="H37347" s="8" t="s">
        <v>364</v>
      </c>
    </row>
    <row r="37348">
      <c r="H37348" s="8" t="s">
        <v>364</v>
      </c>
    </row>
    <row r="37349">
      <c r="H37349" s="8" t="s">
        <v>364</v>
      </c>
    </row>
    <row r="37350">
      <c r="H37350" s="8" t="s">
        <v>364</v>
      </c>
    </row>
    <row r="37351">
      <c r="H37351" s="8" t="s">
        <v>364</v>
      </c>
    </row>
    <row r="37352">
      <c r="H37352" s="8" t="s">
        <v>364</v>
      </c>
    </row>
    <row r="37353">
      <c r="H37353" s="8" t="s">
        <v>364</v>
      </c>
    </row>
    <row r="37354">
      <c r="H37354" s="8" t="s">
        <v>364</v>
      </c>
    </row>
    <row r="37355">
      <c r="H37355" s="8" t="s">
        <v>364</v>
      </c>
    </row>
    <row r="37356">
      <c r="H37356" s="8" t="s">
        <v>364</v>
      </c>
    </row>
    <row r="37357">
      <c r="H37357" s="8" t="s">
        <v>364</v>
      </c>
    </row>
    <row r="37358">
      <c r="H37358" s="8" t="s">
        <v>364</v>
      </c>
    </row>
    <row r="37359">
      <c r="H37359" s="8" t="s">
        <v>364</v>
      </c>
    </row>
    <row r="37360">
      <c r="H37360" s="8" t="s">
        <v>364</v>
      </c>
    </row>
    <row r="37361">
      <c r="H37361" s="8" t="s">
        <v>364</v>
      </c>
    </row>
    <row r="37362">
      <c r="H37362" s="8" t="s">
        <v>364</v>
      </c>
    </row>
    <row r="37363">
      <c r="H37363" s="8" t="s">
        <v>364</v>
      </c>
    </row>
    <row r="37364">
      <c r="H37364" s="8" t="s">
        <v>364</v>
      </c>
    </row>
    <row r="37365">
      <c r="H37365" s="8" t="s">
        <v>364</v>
      </c>
    </row>
    <row r="37366">
      <c r="H37366" s="8" t="s">
        <v>364</v>
      </c>
    </row>
    <row r="37367">
      <c r="H37367" s="8" t="s">
        <v>364</v>
      </c>
    </row>
    <row r="37368">
      <c r="H37368" s="8" t="s">
        <v>364</v>
      </c>
    </row>
    <row r="37369">
      <c r="H37369" s="8" t="s">
        <v>364</v>
      </c>
    </row>
    <row r="37370">
      <c r="H37370" s="8" t="s">
        <v>364</v>
      </c>
    </row>
    <row r="37371">
      <c r="H37371" s="8" t="s">
        <v>364</v>
      </c>
    </row>
    <row r="37372">
      <c r="H37372" s="8" t="s">
        <v>364</v>
      </c>
    </row>
    <row r="37373">
      <c r="H37373" s="8" t="s">
        <v>364</v>
      </c>
    </row>
    <row r="37374">
      <c r="H37374" s="8" t="s">
        <v>364</v>
      </c>
    </row>
    <row r="37375">
      <c r="H37375" s="8" t="s">
        <v>364</v>
      </c>
    </row>
    <row r="37376">
      <c r="H37376" s="8" t="s">
        <v>364</v>
      </c>
    </row>
    <row r="37377">
      <c r="H37377" s="8" t="s">
        <v>364</v>
      </c>
    </row>
    <row r="37378">
      <c r="H37378" s="8" t="s">
        <v>364</v>
      </c>
    </row>
    <row r="37379">
      <c r="H37379" s="8" t="s">
        <v>364</v>
      </c>
    </row>
    <row r="37380">
      <c r="H37380" s="8" t="s">
        <v>364</v>
      </c>
    </row>
    <row r="37381">
      <c r="H37381" s="8" t="s">
        <v>364</v>
      </c>
    </row>
    <row r="37382">
      <c r="H37382" s="8" t="s">
        <v>364</v>
      </c>
    </row>
    <row r="37383">
      <c r="H37383" s="8" t="s">
        <v>364</v>
      </c>
    </row>
    <row r="37384">
      <c r="H37384" s="8" t="s">
        <v>364</v>
      </c>
    </row>
    <row r="37385">
      <c r="H37385" s="8" t="s">
        <v>364</v>
      </c>
    </row>
    <row r="37386">
      <c r="H37386" s="8" t="s">
        <v>364</v>
      </c>
    </row>
    <row r="37387">
      <c r="H37387" s="8" t="s">
        <v>364</v>
      </c>
    </row>
    <row r="37388">
      <c r="H37388" s="8" t="s">
        <v>364</v>
      </c>
    </row>
    <row r="37389">
      <c r="H37389" s="8" t="s">
        <v>364</v>
      </c>
    </row>
    <row r="37390">
      <c r="H37390" s="8" t="s">
        <v>364</v>
      </c>
    </row>
    <row r="37391">
      <c r="H37391" s="8" t="s">
        <v>364</v>
      </c>
    </row>
    <row r="37392">
      <c r="H37392" s="8" t="s">
        <v>364</v>
      </c>
    </row>
    <row r="37393">
      <c r="H37393" s="8" t="s">
        <v>364</v>
      </c>
    </row>
    <row r="37394">
      <c r="H37394" s="8" t="s">
        <v>364</v>
      </c>
    </row>
    <row r="37395">
      <c r="H37395" s="8" t="s">
        <v>364</v>
      </c>
    </row>
    <row r="37396">
      <c r="H37396" s="8" t="s">
        <v>364</v>
      </c>
    </row>
    <row r="37397">
      <c r="H37397" s="8" t="s">
        <v>364</v>
      </c>
    </row>
    <row r="37398">
      <c r="H37398" s="8" t="s">
        <v>364</v>
      </c>
    </row>
    <row r="37399">
      <c r="H37399" s="8" t="s">
        <v>364</v>
      </c>
    </row>
    <row r="37400">
      <c r="H37400" s="8" t="s">
        <v>364</v>
      </c>
    </row>
    <row r="37401">
      <c r="H37401" s="8" t="s">
        <v>364</v>
      </c>
    </row>
    <row r="37402">
      <c r="H37402" s="8" t="s">
        <v>364</v>
      </c>
    </row>
    <row r="37403">
      <c r="H37403" s="8" t="s">
        <v>364</v>
      </c>
    </row>
    <row r="37404">
      <c r="H37404" s="8" t="s">
        <v>364</v>
      </c>
    </row>
    <row r="37405">
      <c r="H37405" s="8" t="s">
        <v>364</v>
      </c>
    </row>
    <row r="37406">
      <c r="H37406" s="8" t="s">
        <v>364</v>
      </c>
    </row>
    <row r="37407">
      <c r="H37407" s="8" t="s">
        <v>364</v>
      </c>
    </row>
    <row r="37408">
      <c r="H37408" s="8" t="s">
        <v>364</v>
      </c>
    </row>
    <row r="37409">
      <c r="H37409" s="8" t="s">
        <v>364</v>
      </c>
    </row>
    <row r="37410">
      <c r="H37410" s="8" t="s">
        <v>364</v>
      </c>
    </row>
    <row r="37411">
      <c r="H37411" s="8" t="s">
        <v>364</v>
      </c>
    </row>
    <row r="37412">
      <c r="H37412" s="8" t="s">
        <v>364</v>
      </c>
    </row>
    <row r="37413">
      <c r="H37413" s="8" t="s">
        <v>364</v>
      </c>
    </row>
    <row r="37414">
      <c r="H37414" s="8" t="s">
        <v>364</v>
      </c>
    </row>
    <row r="37415">
      <c r="H37415" s="8" t="s">
        <v>364</v>
      </c>
    </row>
    <row r="37416">
      <c r="H37416" s="8" t="s">
        <v>364</v>
      </c>
    </row>
    <row r="37417">
      <c r="H37417" s="8" t="s">
        <v>364</v>
      </c>
    </row>
    <row r="37418">
      <c r="H37418" s="8" t="s">
        <v>364</v>
      </c>
    </row>
    <row r="37419">
      <c r="H37419" s="8" t="s">
        <v>364</v>
      </c>
    </row>
    <row r="37420">
      <c r="H37420" s="8" t="s">
        <v>364</v>
      </c>
    </row>
    <row r="37421">
      <c r="H37421" s="8" t="s">
        <v>364</v>
      </c>
    </row>
    <row r="37422">
      <c r="H37422" s="8" t="s">
        <v>364</v>
      </c>
    </row>
    <row r="37423">
      <c r="H37423" s="8" t="s">
        <v>364</v>
      </c>
    </row>
    <row r="37424">
      <c r="H37424" s="8" t="s">
        <v>364</v>
      </c>
    </row>
    <row r="37425">
      <c r="H37425" s="8" t="s">
        <v>364</v>
      </c>
    </row>
    <row r="37426">
      <c r="H37426" s="8" t="s">
        <v>364</v>
      </c>
    </row>
    <row r="37427">
      <c r="H37427" s="8" t="s">
        <v>364</v>
      </c>
    </row>
    <row r="37428">
      <c r="H37428" s="8" t="s">
        <v>364</v>
      </c>
    </row>
    <row r="37429">
      <c r="H37429" s="8" t="s">
        <v>364</v>
      </c>
    </row>
    <row r="37430">
      <c r="H37430" s="8" t="s">
        <v>364</v>
      </c>
    </row>
    <row r="37431">
      <c r="H37431" s="8" t="s">
        <v>364</v>
      </c>
    </row>
    <row r="37432">
      <c r="H37432" s="8" t="s">
        <v>364</v>
      </c>
    </row>
    <row r="37433">
      <c r="H37433" s="8" t="s">
        <v>364</v>
      </c>
    </row>
    <row r="37434">
      <c r="H37434" s="8" t="s">
        <v>364</v>
      </c>
    </row>
    <row r="37435">
      <c r="H37435" s="8" t="s">
        <v>364</v>
      </c>
    </row>
    <row r="37436">
      <c r="H37436" s="8" t="s">
        <v>364</v>
      </c>
    </row>
    <row r="37437">
      <c r="H37437" s="8" t="s">
        <v>364</v>
      </c>
    </row>
    <row r="37438">
      <c r="H37438" s="8" t="s">
        <v>364</v>
      </c>
    </row>
    <row r="37439">
      <c r="H37439" s="8" t="s">
        <v>364</v>
      </c>
    </row>
    <row r="37440">
      <c r="H37440" s="8" t="s">
        <v>364</v>
      </c>
    </row>
    <row r="37441">
      <c r="H37441" s="8" t="s">
        <v>364</v>
      </c>
    </row>
    <row r="37442">
      <c r="H37442" s="8" t="s">
        <v>364</v>
      </c>
    </row>
    <row r="37443">
      <c r="H37443" s="8" t="s">
        <v>364</v>
      </c>
    </row>
    <row r="37444">
      <c r="H37444" s="8" t="s">
        <v>364</v>
      </c>
    </row>
    <row r="37445">
      <c r="H37445" s="8" t="s">
        <v>364</v>
      </c>
    </row>
    <row r="37446">
      <c r="H37446" s="8" t="s">
        <v>364</v>
      </c>
    </row>
    <row r="37447">
      <c r="H37447" s="8" t="s">
        <v>364</v>
      </c>
    </row>
    <row r="37448">
      <c r="H37448" s="8" t="s">
        <v>364</v>
      </c>
    </row>
    <row r="37449">
      <c r="H37449" s="8" t="s">
        <v>364</v>
      </c>
    </row>
    <row r="37450">
      <c r="H37450" s="8" t="s">
        <v>364</v>
      </c>
    </row>
    <row r="37451">
      <c r="H37451" s="8" t="s">
        <v>364</v>
      </c>
    </row>
    <row r="37452">
      <c r="H37452" s="8" t="s">
        <v>364</v>
      </c>
    </row>
    <row r="37453">
      <c r="H37453" s="8" t="s">
        <v>364</v>
      </c>
    </row>
    <row r="37454">
      <c r="H37454" s="8" t="s">
        <v>364</v>
      </c>
    </row>
    <row r="37455">
      <c r="H37455" s="8" t="s">
        <v>364</v>
      </c>
    </row>
    <row r="37456">
      <c r="H37456" s="8" t="s">
        <v>364</v>
      </c>
    </row>
    <row r="37457">
      <c r="H37457" s="8" t="s">
        <v>364</v>
      </c>
    </row>
    <row r="37458">
      <c r="H37458" s="8" t="s">
        <v>364</v>
      </c>
    </row>
    <row r="37459">
      <c r="H37459" s="8" t="s">
        <v>364</v>
      </c>
    </row>
    <row r="37460">
      <c r="H37460" s="8" t="s">
        <v>364</v>
      </c>
    </row>
    <row r="37461">
      <c r="H37461" s="8" t="s">
        <v>364</v>
      </c>
    </row>
    <row r="37462">
      <c r="H37462" s="8" t="s">
        <v>364</v>
      </c>
    </row>
    <row r="37463">
      <c r="H37463" s="8" t="s">
        <v>364</v>
      </c>
    </row>
    <row r="37464">
      <c r="H37464" s="8" t="s">
        <v>364</v>
      </c>
    </row>
    <row r="37465">
      <c r="H37465" s="8" t="s">
        <v>364</v>
      </c>
    </row>
    <row r="37466">
      <c r="H37466" s="8" t="s">
        <v>364</v>
      </c>
    </row>
    <row r="37467">
      <c r="H37467" s="8" t="s">
        <v>364</v>
      </c>
    </row>
    <row r="37468">
      <c r="H37468" s="8" t="s">
        <v>364</v>
      </c>
    </row>
    <row r="37469">
      <c r="H37469" s="8" t="s">
        <v>364</v>
      </c>
    </row>
    <row r="37470">
      <c r="H37470" s="8" t="s">
        <v>364</v>
      </c>
    </row>
    <row r="37471">
      <c r="H37471" s="8" t="s">
        <v>364</v>
      </c>
    </row>
    <row r="37472">
      <c r="H37472" s="8" t="s">
        <v>364</v>
      </c>
    </row>
    <row r="37473">
      <c r="H37473" s="8" t="s">
        <v>364</v>
      </c>
    </row>
    <row r="37474">
      <c r="H37474" s="8" t="s">
        <v>364</v>
      </c>
    </row>
    <row r="37475">
      <c r="H37475" s="8" t="s">
        <v>364</v>
      </c>
    </row>
    <row r="37476">
      <c r="H37476" s="8" t="s">
        <v>364</v>
      </c>
    </row>
    <row r="37477">
      <c r="H37477" s="8" t="s">
        <v>364</v>
      </c>
    </row>
    <row r="37478">
      <c r="H37478" s="8" t="s">
        <v>364</v>
      </c>
    </row>
    <row r="37479">
      <c r="H37479" s="8" t="s">
        <v>364</v>
      </c>
    </row>
    <row r="37480">
      <c r="H37480" s="8" t="s">
        <v>364</v>
      </c>
    </row>
    <row r="37481">
      <c r="H37481" s="8" t="s">
        <v>364</v>
      </c>
    </row>
    <row r="37482">
      <c r="H37482" s="8" t="s">
        <v>364</v>
      </c>
    </row>
    <row r="37483">
      <c r="H37483" s="8" t="s">
        <v>364</v>
      </c>
    </row>
    <row r="37484">
      <c r="H37484" s="8" t="s">
        <v>364</v>
      </c>
    </row>
    <row r="37485">
      <c r="H37485" s="8" t="s">
        <v>364</v>
      </c>
    </row>
    <row r="37486">
      <c r="H37486" s="8" t="s">
        <v>364</v>
      </c>
    </row>
    <row r="37487">
      <c r="H37487" s="8" t="s">
        <v>364</v>
      </c>
    </row>
    <row r="37488">
      <c r="H37488" s="8" t="s">
        <v>364</v>
      </c>
    </row>
    <row r="37489">
      <c r="H37489" s="8" t="s">
        <v>364</v>
      </c>
    </row>
    <row r="37490">
      <c r="H37490" s="8" t="s">
        <v>364</v>
      </c>
    </row>
    <row r="37491">
      <c r="H37491" s="8" t="s">
        <v>364</v>
      </c>
    </row>
    <row r="37492">
      <c r="H37492" s="8" t="s">
        <v>364</v>
      </c>
    </row>
    <row r="37493">
      <c r="H37493" s="8" t="s">
        <v>364</v>
      </c>
    </row>
    <row r="37494">
      <c r="H37494" s="8" t="s">
        <v>364</v>
      </c>
    </row>
    <row r="37495">
      <c r="H37495" s="8" t="s">
        <v>364</v>
      </c>
    </row>
    <row r="37496">
      <c r="H37496" s="8" t="s">
        <v>364</v>
      </c>
    </row>
    <row r="37497">
      <c r="H37497" s="8" t="s">
        <v>364</v>
      </c>
    </row>
    <row r="37498">
      <c r="H37498" s="8" t="s">
        <v>364</v>
      </c>
    </row>
    <row r="37499">
      <c r="H37499" s="8" t="s">
        <v>364</v>
      </c>
    </row>
    <row r="37500">
      <c r="H37500" s="8" t="s">
        <v>364</v>
      </c>
    </row>
    <row r="37501">
      <c r="H37501" s="8" t="s">
        <v>364</v>
      </c>
    </row>
    <row r="37502">
      <c r="H37502" s="8" t="s">
        <v>364</v>
      </c>
    </row>
    <row r="37503">
      <c r="H37503" s="8" t="s">
        <v>364</v>
      </c>
    </row>
    <row r="37504">
      <c r="H37504" s="8" t="s">
        <v>364</v>
      </c>
    </row>
    <row r="37505">
      <c r="H37505" s="8" t="s">
        <v>364</v>
      </c>
    </row>
    <row r="37506">
      <c r="H37506" s="8" t="s">
        <v>364</v>
      </c>
    </row>
    <row r="37507">
      <c r="H37507" s="8" t="s">
        <v>364</v>
      </c>
    </row>
    <row r="37508">
      <c r="H37508" s="8" t="s">
        <v>364</v>
      </c>
    </row>
    <row r="37509">
      <c r="H37509" s="8" t="s">
        <v>364</v>
      </c>
    </row>
    <row r="37510">
      <c r="H37510" s="8" t="s">
        <v>364</v>
      </c>
    </row>
    <row r="37511">
      <c r="H37511" s="8" t="s">
        <v>364</v>
      </c>
    </row>
    <row r="37512">
      <c r="H37512" s="8" t="s">
        <v>364</v>
      </c>
    </row>
    <row r="37513">
      <c r="H37513" s="8" t="s">
        <v>364</v>
      </c>
    </row>
    <row r="37514">
      <c r="H37514" s="8" t="s">
        <v>364</v>
      </c>
    </row>
    <row r="37515">
      <c r="H37515" s="8" t="s">
        <v>364</v>
      </c>
    </row>
    <row r="37516">
      <c r="H37516" s="8" t="s">
        <v>364</v>
      </c>
    </row>
    <row r="37517">
      <c r="H37517" s="8" t="s">
        <v>364</v>
      </c>
    </row>
    <row r="37518">
      <c r="H37518" s="8" t="s">
        <v>364</v>
      </c>
    </row>
    <row r="37519">
      <c r="H37519" s="8" t="s">
        <v>364</v>
      </c>
    </row>
    <row r="37520">
      <c r="H37520" s="8" t="s">
        <v>364</v>
      </c>
    </row>
    <row r="37521">
      <c r="H37521" s="8" t="s">
        <v>364</v>
      </c>
    </row>
    <row r="37522">
      <c r="H37522" s="8" t="s">
        <v>364</v>
      </c>
    </row>
    <row r="37523">
      <c r="H37523" s="8" t="s">
        <v>364</v>
      </c>
    </row>
    <row r="37524">
      <c r="H37524" s="8" t="s">
        <v>364</v>
      </c>
    </row>
    <row r="37525">
      <c r="H37525" s="8" t="s">
        <v>364</v>
      </c>
    </row>
    <row r="37526">
      <c r="H37526" s="8" t="s">
        <v>364</v>
      </c>
    </row>
    <row r="37527">
      <c r="H37527" s="8" t="s">
        <v>364</v>
      </c>
    </row>
    <row r="37528">
      <c r="H37528" s="8" t="s">
        <v>364</v>
      </c>
    </row>
    <row r="37529">
      <c r="H37529" s="8" t="s">
        <v>364</v>
      </c>
    </row>
    <row r="37530">
      <c r="H37530" s="8" t="s">
        <v>364</v>
      </c>
    </row>
    <row r="37531">
      <c r="H37531" s="8" t="s">
        <v>364</v>
      </c>
    </row>
    <row r="37532">
      <c r="H37532" s="8" t="s">
        <v>364</v>
      </c>
    </row>
    <row r="37533">
      <c r="H37533" s="8" t="s">
        <v>364</v>
      </c>
    </row>
    <row r="37534">
      <c r="H37534" s="8" t="s">
        <v>364</v>
      </c>
    </row>
    <row r="37535">
      <c r="H37535" s="8" t="s">
        <v>364</v>
      </c>
    </row>
    <row r="37536">
      <c r="H37536" s="8" t="s">
        <v>364</v>
      </c>
    </row>
    <row r="37537">
      <c r="H37537" s="8" t="s">
        <v>364</v>
      </c>
    </row>
    <row r="37538">
      <c r="H37538" s="8" t="s">
        <v>364</v>
      </c>
    </row>
    <row r="37539">
      <c r="H37539" s="8" t="s">
        <v>364</v>
      </c>
    </row>
    <row r="37540">
      <c r="H37540" s="8" t="s">
        <v>364</v>
      </c>
    </row>
    <row r="37541">
      <c r="H37541" s="8" t="s">
        <v>364</v>
      </c>
    </row>
    <row r="37542">
      <c r="H37542" s="8" t="s">
        <v>364</v>
      </c>
    </row>
    <row r="37543">
      <c r="H37543" s="8" t="s">
        <v>364</v>
      </c>
    </row>
    <row r="37544">
      <c r="H37544" s="8" t="s">
        <v>364</v>
      </c>
    </row>
    <row r="37545">
      <c r="H37545" s="8" t="s">
        <v>364</v>
      </c>
    </row>
    <row r="37546">
      <c r="H37546" s="8" t="s">
        <v>364</v>
      </c>
    </row>
    <row r="37547">
      <c r="H37547" s="8" t="s">
        <v>364</v>
      </c>
    </row>
    <row r="37548">
      <c r="H37548" s="8" t="s">
        <v>364</v>
      </c>
    </row>
    <row r="37549">
      <c r="H37549" s="8" t="s">
        <v>364</v>
      </c>
    </row>
    <row r="37550">
      <c r="H37550" s="8" t="s">
        <v>364</v>
      </c>
    </row>
    <row r="37551">
      <c r="H37551" s="8" t="s">
        <v>364</v>
      </c>
    </row>
    <row r="37552">
      <c r="H37552" s="8" t="s">
        <v>364</v>
      </c>
    </row>
    <row r="37553">
      <c r="H37553" s="8" t="s">
        <v>364</v>
      </c>
    </row>
    <row r="37554">
      <c r="H37554" s="8" t="s">
        <v>364</v>
      </c>
    </row>
    <row r="37555">
      <c r="H37555" s="8" t="s">
        <v>364</v>
      </c>
    </row>
    <row r="37556">
      <c r="H37556" s="8" t="s">
        <v>364</v>
      </c>
    </row>
    <row r="37557">
      <c r="H37557" s="8" t="s">
        <v>364</v>
      </c>
    </row>
    <row r="37558">
      <c r="H37558" s="8" t="s">
        <v>364</v>
      </c>
    </row>
    <row r="37559">
      <c r="H37559" s="8" t="s">
        <v>364</v>
      </c>
    </row>
    <row r="37560">
      <c r="H37560" s="8" t="s">
        <v>364</v>
      </c>
    </row>
    <row r="37561">
      <c r="H37561" s="8" t="s">
        <v>364</v>
      </c>
    </row>
    <row r="37562">
      <c r="H37562" s="8" t="s">
        <v>364</v>
      </c>
    </row>
    <row r="37563">
      <c r="H37563" s="8" t="s">
        <v>364</v>
      </c>
    </row>
    <row r="37564">
      <c r="H37564" s="8" t="s">
        <v>364</v>
      </c>
    </row>
    <row r="37565">
      <c r="H37565" s="8" t="s">
        <v>364</v>
      </c>
    </row>
    <row r="37566">
      <c r="H37566" s="8" t="s">
        <v>364</v>
      </c>
    </row>
    <row r="37567">
      <c r="H37567" s="8" t="s">
        <v>364</v>
      </c>
    </row>
    <row r="37568">
      <c r="H37568" s="8" t="s">
        <v>364</v>
      </c>
    </row>
    <row r="37569">
      <c r="H37569" s="8" t="s">
        <v>364</v>
      </c>
    </row>
    <row r="37570">
      <c r="H37570" s="8" t="s">
        <v>364</v>
      </c>
    </row>
    <row r="37571">
      <c r="H37571" s="8" t="s">
        <v>364</v>
      </c>
    </row>
    <row r="37572">
      <c r="H37572" s="8" t="s">
        <v>364</v>
      </c>
    </row>
    <row r="37573">
      <c r="H37573" s="8" t="s">
        <v>364</v>
      </c>
    </row>
    <row r="37574">
      <c r="H37574" s="8" t="s">
        <v>364</v>
      </c>
    </row>
    <row r="37575">
      <c r="H37575" s="8" t="s">
        <v>364</v>
      </c>
    </row>
    <row r="37576">
      <c r="H37576" s="8" t="s">
        <v>364</v>
      </c>
    </row>
    <row r="37577">
      <c r="H37577" s="8" t="s">
        <v>364</v>
      </c>
    </row>
    <row r="37578">
      <c r="H37578" s="8" t="s">
        <v>364</v>
      </c>
    </row>
    <row r="37579">
      <c r="H37579" s="8" t="s">
        <v>364</v>
      </c>
    </row>
    <row r="37580">
      <c r="H37580" s="8" t="s">
        <v>364</v>
      </c>
    </row>
    <row r="37581">
      <c r="H37581" s="8" t="s">
        <v>364</v>
      </c>
    </row>
    <row r="37582">
      <c r="H37582" s="8" t="s">
        <v>364</v>
      </c>
    </row>
    <row r="37583">
      <c r="H37583" s="8" t="s">
        <v>364</v>
      </c>
    </row>
    <row r="37584">
      <c r="H37584" s="8" t="s">
        <v>364</v>
      </c>
    </row>
    <row r="37585">
      <c r="H37585" s="8" t="s">
        <v>364</v>
      </c>
    </row>
    <row r="37586">
      <c r="H37586" s="8" t="s">
        <v>364</v>
      </c>
    </row>
    <row r="37587">
      <c r="H37587" s="8" t="s">
        <v>364</v>
      </c>
    </row>
    <row r="37588">
      <c r="H37588" s="8" t="s">
        <v>364</v>
      </c>
    </row>
    <row r="37589">
      <c r="H37589" s="8" t="s">
        <v>364</v>
      </c>
    </row>
    <row r="37590">
      <c r="H37590" s="8" t="s">
        <v>364</v>
      </c>
    </row>
    <row r="37591">
      <c r="H37591" s="8" t="s">
        <v>364</v>
      </c>
    </row>
    <row r="37592">
      <c r="H37592" s="8" t="s">
        <v>364</v>
      </c>
    </row>
    <row r="37593">
      <c r="H37593" s="8" t="s">
        <v>364</v>
      </c>
    </row>
    <row r="37594">
      <c r="H37594" s="8" t="s">
        <v>364</v>
      </c>
    </row>
    <row r="37595">
      <c r="H37595" s="8" t="s">
        <v>364</v>
      </c>
    </row>
    <row r="37596">
      <c r="H37596" s="8" t="s">
        <v>364</v>
      </c>
    </row>
    <row r="37597">
      <c r="H37597" s="8" t="s">
        <v>364</v>
      </c>
    </row>
    <row r="37598">
      <c r="H37598" s="8" t="s">
        <v>364</v>
      </c>
    </row>
    <row r="37599">
      <c r="H37599" s="8" t="s">
        <v>364</v>
      </c>
    </row>
    <row r="37600">
      <c r="H37600" s="8" t="s">
        <v>364</v>
      </c>
    </row>
    <row r="37601">
      <c r="H37601" s="8" t="s">
        <v>364</v>
      </c>
    </row>
    <row r="37602">
      <c r="H37602" s="8" t="s">
        <v>364</v>
      </c>
    </row>
    <row r="37603">
      <c r="H37603" s="8" t="s">
        <v>364</v>
      </c>
    </row>
    <row r="37604">
      <c r="H37604" s="8" t="s">
        <v>364</v>
      </c>
    </row>
    <row r="37605">
      <c r="H37605" s="8" t="s">
        <v>364</v>
      </c>
    </row>
    <row r="37606">
      <c r="H37606" s="8" t="s">
        <v>364</v>
      </c>
    </row>
    <row r="37607">
      <c r="H37607" s="8" t="s">
        <v>364</v>
      </c>
    </row>
    <row r="37608">
      <c r="H37608" s="8" t="s">
        <v>364</v>
      </c>
    </row>
    <row r="37609">
      <c r="H37609" s="8" t="s">
        <v>364</v>
      </c>
    </row>
    <row r="37610">
      <c r="H37610" s="8" t="s">
        <v>364</v>
      </c>
    </row>
    <row r="37611">
      <c r="H37611" s="8" t="s">
        <v>364</v>
      </c>
    </row>
    <row r="37612">
      <c r="H37612" s="8" t="s">
        <v>364</v>
      </c>
    </row>
    <row r="37613">
      <c r="H37613" s="8" t="s">
        <v>364</v>
      </c>
    </row>
    <row r="37614">
      <c r="H37614" s="8" t="s">
        <v>364</v>
      </c>
    </row>
    <row r="37615">
      <c r="H37615" s="8" t="s">
        <v>364</v>
      </c>
    </row>
    <row r="37616">
      <c r="H37616" s="8" t="s">
        <v>364</v>
      </c>
    </row>
    <row r="37617">
      <c r="H37617" s="8" t="s">
        <v>364</v>
      </c>
    </row>
    <row r="37618">
      <c r="H37618" s="8" t="s">
        <v>364</v>
      </c>
    </row>
    <row r="37619">
      <c r="H37619" s="8" t="s">
        <v>364</v>
      </c>
    </row>
    <row r="37620">
      <c r="H37620" s="8" t="s">
        <v>364</v>
      </c>
    </row>
    <row r="37621">
      <c r="H37621" s="8" t="s">
        <v>364</v>
      </c>
    </row>
    <row r="37622">
      <c r="H37622" s="8" t="s">
        <v>364</v>
      </c>
    </row>
    <row r="37623">
      <c r="H37623" s="8" t="s">
        <v>364</v>
      </c>
    </row>
    <row r="37624">
      <c r="H37624" s="8" t="s">
        <v>364</v>
      </c>
    </row>
    <row r="37625">
      <c r="H37625" s="8" t="s">
        <v>364</v>
      </c>
    </row>
    <row r="37626">
      <c r="H37626" s="8" t="s">
        <v>364</v>
      </c>
    </row>
    <row r="37627">
      <c r="H37627" s="8" t="s">
        <v>364</v>
      </c>
    </row>
    <row r="37628">
      <c r="H37628" s="8" t="s">
        <v>364</v>
      </c>
    </row>
    <row r="37629">
      <c r="H37629" s="8" t="s">
        <v>364</v>
      </c>
    </row>
    <row r="37630">
      <c r="H37630" s="8" t="s">
        <v>364</v>
      </c>
    </row>
    <row r="37631">
      <c r="H37631" s="8" t="s">
        <v>364</v>
      </c>
    </row>
    <row r="37632">
      <c r="H37632" s="8" t="s">
        <v>364</v>
      </c>
    </row>
    <row r="37633">
      <c r="H37633" s="8" t="s">
        <v>364</v>
      </c>
    </row>
    <row r="37634">
      <c r="H37634" s="8" t="s">
        <v>364</v>
      </c>
    </row>
    <row r="37635">
      <c r="H37635" s="8" t="s">
        <v>364</v>
      </c>
    </row>
    <row r="37636">
      <c r="H37636" s="8" t="s">
        <v>364</v>
      </c>
    </row>
    <row r="37637">
      <c r="H37637" s="8" t="s">
        <v>364</v>
      </c>
    </row>
    <row r="37638">
      <c r="H37638" s="8" t="s">
        <v>364</v>
      </c>
    </row>
    <row r="37639">
      <c r="H37639" s="8" t="s">
        <v>364</v>
      </c>
    </row>
    <row r="37640">
      <c r="H37640" s="8" t="s">
        <v>364</v>
      </c>
    </row>
    <row r="37641">
      <c r="H37641" s="8" t="s">
        <v>364</v>
      </c>
    </row>
    <row r="37642">
      <c r="H37642" s="8" t="s">
        <v>364</v>
      </c>
    </row>
    <row r="37643">
      <c r="H37643" s="8" t="s">
        <v>364</v>
      </c>
    </row>
    <row r="37644">
      <c r="H37644" s="8" t="s">
        <v>364</v>
      </c>
    </row>
    <row r="37645">
      <c r="H37645" s="8" t="s">
        <v>364</v>
      </c>
    </row>
    <row r="37646">
      <c r="H37646" s="8" t="s">
        <v>364</v>
      </c>
    </row>
    <row r="37647">
      <c r="H37647" s="8" t="s">
        <v>364</v>
      </c>
    </row>
    <row r="37648">
      <c r="H37648" s="8" t="s">
        <v>364</v>
      </c>
    </row>
    <row r="37649">
      <c r="H37649" s="8" t="s">
        <v>364</v>
      </c>
    </row>
    <row r="37650">
      <c r="H37650" s="8" t="s">
        <v>364</v>
      </c>
    </row>
    <row r="37651">
      <c r="H37651" s="8" t="s">
        <v>364</v>
      </c>
    </row>
    <row r="37652">
      <c r="H37652" s="8" t="s">
        <v>364</v>
      </c>
    </row>
    <row r="37653">
      <c r="H37653" s="8" t="s">
        <v>364</v>
      </c>
    </row>
    <row r="37654">
      <c r="H37654" s="8" t="s">
        <v>364</v>
      </c>
    </row>
    <row r="37655">
      <c r="H37655" s="8" t="s">
        <v>364</v>
      </c>
    </row>
    <row r="37656">
      <c r="H37656" s="8" t="s">
        <v>364</v>
      </c>
    </row>
    <row r="37657">
      <c r="H37657" s="8" t="s">
        <v>364</v>
      </c>
    </row>
    <row r="37658">
      <c r="H37658" s="8" t="s">
        <v>364</v>
      </c>
    </row>
    <row r="37659">
      <c r="H37659" s="8" t="s">
        <v>364</v>
      </c>
    </row>
    <row r="37660">
      <c r="H37660" s="8" t="s">
        <v>364</v>
      </c>
    </row>
    <row r="37661">
      <c r="H37661" s="8" t="s">
        <v>364</v>
      </c>
    </row>
    <row r="37662">
      <c r="H37662" s="8" t="s">
        <v>364</v>
      </c>
    </row>
    <row r="37663">
      <c r="H37663" s="8" t="s">
        <v>364</v>
      </c>
    </row>
    <row r="37664">
      <c r="H37664" s="8" t="s">
        <v>364</v>
      </c>
    </row>
    <row r="37665">
      <c r="H37665" s="8" t="s">
        <v>364</v>
      </c>
    </row>
    <row r="37666">
      <c r="H37666" s="8" t="s">
        <v>364</v>
      </c>
    </row>
    <row r="37667">
      <c r="H37667" s="8" t="s">
        <v>364</v>
      </c>
    </row>
    <row r="37668">
      <c r="H37668" s="8" t="s">
        <v>364</v>
      </c>
    </row>
    <row r="37669">
      <c r="H37669" s="8" t="s">
        <v>364</v>
      </c>
    </row>
    <row r="37670">
      <c r="H37670" s="8" t="s">
        <v>364</v>
      </c>
    </row>
    <row r="37671">
      <c r="H37671" s="8" t="s">
        <v>364</v>
      </c>
    </row>
    <row r="37672">
      <c r="H37672" s="8" t="s">
        <v>364</v>
      </c>
    </row>
    <row r="37673">
      <c r="H37673" s="8" t="s">
        <v>364</v>
      </c>
    </row>
    <row r="37674">
      <c r="H37674" s="8" t="s">
        <v>364</v>
      </c>
    </row>
    <row r="37675">
      <c r="H37675" s="8" t="s">
        <v>364</v>
      </c>
    </row>
    <row r="37676">
      <c r="H37676" s="8" t="s">
        <v>364</v>
      </c>
    </row>
    <row r="37677">
      <c r="H37677" s="8" t="s">
        <v>364</v>
      </c>
    </row>
    <row r="37678">
      <c r="H37678" s="8" t="s">
        <v>364</v>
      </c>
    </row>
    <row r="37679">
      <c r="H37679" s="8" t="s">
        <v>364</v>
      </c>
    </row>
    <row r="37680">
      <c r="H37680" s="8" t="s">
        <v>364</v>
      </c>
    </row>
    <row r="37681">
      <c r="H37681" s="8" t="s">
        <v>364</v>
      </c>
    </row>
    <row r="37682">
      <c r="H37682" s="8" t="s">
        <v>364</v>
      </c>
    </row>
    <row r="37683">
      <c r="H37683" s="8" t="s">
        <v>364</v>
      </c>
    </row>
    <row r="37684">
      <c r="H37684" s="8" t="s">
        <v>364</v>
      </c>
    </row>
    <row r="37685">
      <c r="H37685" s="8" t="s">
        <v>364</v>
      </c>
    </row>
    <row r="37686">
      <c r="H37686" s="8" t="s">
        <v>364</v>
      </c>
    </row>
    <row r="37687">
      <c r="H37687" s="8" t="s">
        <v>364</v>
      </c>
    </row>
    <row r="37688">
      <c r="H37688" s="8" t="s">
        <v>364</v>
      </c>
    </row>
    <row r="37689">
      <c r="H37689" s="8" t="s">
        <v>364</v>
      </c>
    </row>
    <row r="37690">
      <c r="H37690" s="8" t="s">
        <v>364</v>
      </c>
    </row>
    <row r="37691">
      <c r="H37691" s="8" t="s">
        <v>364</v>
      </c>
    </row>
    <row r="37692">
      <c r="H37692" s="8" t="s">
        <v>364</v>
      </c>
    </row>
    <row r="37693">
      <c r="H37693" s="8" t="s">
        <v>364</v>
      </c>
    </row>
    <row r="37694">
      <c r="H37694" s="8" t="s">
        <v>364</v>
      </c>
    </row>
    <row r="37695">
      <c r="H37695" s="8" t="s">
        <v>364</v>
      </c>
    </row>
    <row r="37696">
      <c r="H37696" s="8" t="s">
        <v>364</v>
      </c>
    </row>
    <row r="37697">
      <c r="H37697" s="8" t="s">
        <v>364</v>
      </c>
    </row>
    <row r="37698">
      <c r="H37698" s="8" t="s">
        <v>364</v>
      </c>
    </row>
    <row r="37699">
      <c r="H37699" s="8" t="s">
        <v>364</v>
      </c>
    </row>
    <row r="37700">
      <c r="H37700" s="8" t="s">
        <v>364</v>
      </c>
    </row>
    <row r="37701">
      <c r="H37701" s="8" t="s">
        <v>364</v>
      </c>
    </row>
    <row r="37702">
      <c r="H37702" s="8" t="s">
        <v>364</v>
      </c>
    </row>
    <row r="37703">
      <c r="H37703" s="8" t="s">
        <v>364</v>
      </c>
    </row>
    <row r="37704">
      <c r="H37704" s="8" t="s">
        <v>364</v>
      </c>
    </row>
    <row r="37705">
      <c r="H37705" s="8" t="s">
        <v>364</v>
      </c>
    </row>
    <row r="37706">
      <c r="H37706" s="8" t="s">
        <v>364</v>
      </c>
    </row>
    <row r="37707">
      <c r="H37707" s="8" t="s">
        <v>364</v>
      </c>
    </row>
    <row r="37708">
      <c r="H37708" s="8" t="s">
        <v>364</v>
      </c>
    </row>
    <row r="37709">
      <c r="H37709" s="8" t="s">
        <v>364</v>
      </c>
    </row>
    <row r="37710">
      <c r="H37710" s="8" t="s">
        <v>364</v>
      </c>
    </row>
    <row r="37711">
      <c r="H37711" s="8" t="s">
        <v>364</v>
      </c>
    </row>
    <row r="37712">
      <c r="H37712" s="8" t="s">
        <v>364</v>
      </c>
    </row>
    <row r="37713">
      <c r="H37713" s="8" t="s">
        <v>364</v>
      </c>
    </row>
    <row r="37714">
      <c r="H37714" s="8" t="s">
        <v>364</v>
      </c>
    </row>
    <row r="37715">
      <c r="H37715" s="8" t="s">
        <v>364</v>
      </c>
    </row>
    <row r="37716">
      <c r="H37716" s="8" t="s">
        <v>364</v>
      </c>
    </row>
    <row r="37717">
      <c r="H37717" s="8" t="s">
        <v>364</v>
      </c>
    </row>
    <row r="37718">
      <c r="H37718" s="8" t="s">
        <v>364</v>
      </c>
    </row>
    <row r="37719">
      <c r="H37719" s="8" t="s">
        <v>364</v>
      </c>
    </row>
    <row r="37720">
      <c r="H37720" s="8" t="s">
        <v>364</v>
      </c>
    </row>
    <row r="37721">
      <c r="H37721" s="8" t="s">
        <v>364</v>
      </c>
    </row>
    <row r="37722">
      <c r="H37722" s="8" t="s">
        <v>364</v>
      </c>
    </row>
    <row r="37723">
      <c r="H37723" s="8" t="s">
        <v>364</v>
      </c>
    </row>
    <row r="37724">
      <c r="H37724" s="8" t="s">
        <v>364</v>
      </c>
    </row>
    <row r="37725">
      <c r="H37725" s="8" t="s">
        <v>364</v>
      </c>
    </row>
    <row r="37726">
      <c r="H37726" s="8" t="s">
        <v>364</v>
      </c>
    </row>
    <row r="37727">
      <c r="H37727" s="8" t="s">
        <v>364</v>
      </c>
    </row>
    <row r="37728">
      <c r="H37728" s="8" t="s">
        <v>364</v>
      </c>
    </row>
    <row r="37729">
      <c r="H37729" s="8" t="s">
        <v>364</v>
      </c>
    </row>
    <row r="37730">
      <c r="H37730" s="8" t="s">
        <v>364</v>
      </c>
    </row>
    <row r="37731">
      <c r="H37731" s="8" t="s">
        <v>364</v>
      </c>
    </row>
    <row r="37732">
      <c r="H37732" s="8" t="s">
        <v>364</v>
      </c>
    </row>
    <row r="37733">
      <c r="H37733" s="8" t="s">
        <v>364</v>
      </c>
    </row>
    <row r="37734">
      <c r="H37734" s="8" t="s">
        <v>364</v>
      </c>
    </row>
    <row r="37735">
      <c r="H37735" s="8" t="s">
        <v>364</v>
      </c>
    </row>
    <row r="37736">
      <c r="H37736" s="8" t="s">
        <v>364</v>
      </c>
    </row>
    <row r="37737">
      <c r="H37737" s="8" t="s">
        <v>364</v>
      </c>
    </row>
    <row r="37738">
      <c r="H37738" s="8" t="s">
        <v>364</v>
      </c>
    </row>
    <row r="37739">
      <c r="H37739" s="8" t="s">
        <v>364</v>
      </c>
    </row>
    <row r="37740">
      <c r="H37740" s="8" t="s">
        <v>364</v>
      </c>
    </row>
    <row r="37741">
      <c r="H37741" s="8" t="s">
        <v>364</v>
      </c>
    </row>
    <row r="37742">
      <c r="H37742" s="8" t="s">
        <v>364</v>
      </c>
    </row>
    <row r="37743">
      <c r="H37743" s="8" t="s">
        <v>364</v>
      </c>
    </row>
    <row r="37744">
      <c r="H37744" s="8" t="s">
        <v>364</v>
      </c>
    </row>
    <row r="37745">
      <c r="H37745" s="8" t="s">
        <v>364</v>
      </c>
    </row>
    <row r="37746">
      <c r="H37746" s="8" t="s">
        <v>364</v>
      </c>
    </row>
    <row r="37747">
      <c r="H37747" s="8" t="s">
        <v>364</v>
      </c>
    </row>
    <row r="37748">
      <c r="H37748" s="8" t="s">
        <v>364</v>
      </c>
    </row>
    <row r="37749">
      <c r="H37749" s="8" t="s">
        <v>364</v>
      </c>
    </row>
    <row r="37750">
      <c r="H37750" s="8" t="s">
        <v>364</v>
      </c>
    </row>
    <row r="37751">
      <c r="H37751" s="8" t="s">
        <v>364</v>
      </c>
    </row>
    <row r="37752">
      <c r="H37752" s="8" t="s">
        <v>364</v>
      </c>
    </row>
    <row r="37753">
      <c r="H37753" s="8" t="s">
        <v>364</v>
      </c>
    </row>
    <row r="37754">
      <c r="H37754" s="8" t="s">
        <v>364</v>
      </c>
    </row>
    <row r="37755">
      <c r="H37755" s="8" t="s">
        <v>364</v>
      </c>
    </row>
    <row r="37756">
      <c r="H37756" s="8" t="s">
        <v>364</v>
      </c>
    </row>
    <row r="37757">
      <c r="H37757" s="8" t="s">
        <v>364</v>
      </c>
    </row>
    <row r="37758">
      <c r="H37758" s="8" t="s">
        <v>364</v>
      </c>
    </row>
    <row r="37759">
      <c r="H37759" s="8" t="s">
        <v>364</v>
      </c>
    </row>
    <row r="37760">
      <c r="H37760" s="8" t="s">
        <v>364</v>
      </c>
    </row>
    <row r="37761">
      <c r="H37761" s="8" t="s">
        <v>364</v>
      </c>
    </row>
    <row r="37762">
      <c r="H37762" s="8" t="s">
        <v>364</v>
      </c>
    </row>
    <row r="37763">
      <c r="H37763" s="8" t="s">
        <v>364</v>
      </c>
    </row>
    <row r="37764">
      <c r="H37764" s="8" t="s">
        <v>364</v>
      </c>
    </row>
    <row r="37765">
      <c r="H37765" s="8" t="s">
        <v>364</v>
      </c>
    </row>
    <row r="37766">
      <c r="H37766" s="8" t="s">
        <v>364</v>
      </c>
    </row>
    <row r="37767">
      <c r="H37767" s="8" t="s">
        <v>364</v>
      </c>
    </row>
    <row r="37768">
      <c r="H37768" s="8" t="s">
        <v>364</v>
      </c>
    </row>
    <row r="37769">
      <c r="H37769" s="8" t="s">
        <v>364</v>
      </c>
    </row>
    <row r="37770">
      <c r="H37770" s="8" t="s">
        <v>364</v>
      </c>
    </row>
    <row r="37771">
      <c r="H37771" s="8" t="s">
        <v>364</v>
      </c>
    </row>
    <row r="37772">
      <c r="H37772" s="8" t="s">
        <v>364</v>
      </c>
    </row>
    <row r="37773">
      <c r="H37773" s="8" t="s">
        <v>364</v>
      </c>
    </row>
    <row r="37774">
      <c r="H37774" s="8" t="s">
        <v>364</v>
      </c>
    </row>
    <row r="37775">
      <c r="H37775" s="8" t="s">
        <v>364</v>
      </c>
    </row>
    <row r="37776">
      <c r="H37776" s="8" t="s">
        <v>364</v>
      </c>
    </row>
    <row r="37777">
      <c r="H37777" s="8" t="s">
        <v>364</v>
      </c>
    </row>
    <row r="37778">
      <c r="H37778" s="8" t="s">
        <v>364</v>
      </c>
    </row>
    <row r="37779">
      <c r="H37779" s="8" t="s">
        <v>364</v>
      </c>
    </row>
    <row r="37780">
      <c r="H37780" s="8" t="s">
        <v>364</v>
      </c>
    </row>
    <row r="37781">
      <c r="H37781" s="8" t="s">
        <v>364</v>
      </c>
    </row>
    <row r="37782">
      <c r="H37782" s="8" t="s">
        <v>364</v>
      </c>
    </row>
    <row r="37783">
      <c r="H37783" s="8" t="s">
        <v>364</v>
      </c>
    </row>
    <row r="37784">
      <c r="H37784" s="8" t="s">
        <v>364</v>
      </c>
    </row>
    <row r="37785">
      <c r="H37785" s="8" t="s">
        <v>364</v>
      </c>
    </row>
    <row r="37786">
      <c r="H37786" s="8" t="s">
        <v>364</v>
      </c>
    </row>
    <row r="37787">
      <c r="H37787" s="8" t="s">
        <v>364</v>
      </c>
    </row>
    <row r="37788">
      <c r="H37788" s="8" t="s">
        <v>364</v>
      </c>
    </row>
    <row r="37789">
      <c r="H37789" s="8" t="s">
        <v>364</v>
      </c>
    </row>
    <row r="37790">
      <c r="H37790" s="8" t="s">
        <v>364</v>
      </c>
    </row>
    <row r="37791">
      <c r="H37791" s="8" t="s">
        <v>364</v>
      </c>
    </row>
    <row r="37792">
      <c r="H37792" s="8" t="s">
        <v>364</v>
      </c>
    </row>
    <row r="37793">
      <c r="H37793" s="8" t="s">
        <v>364</v>
      </c>
    </row>
    <row r="37794">
      <c r="H37794" s="8" t="s">
        <v>364</v>
      </c>
    </row>
    <row r="37795">
      <c r="H37795" s="8" t="s">
        <v>364</v>
      </c>
    </row>
    <row r="37796">
      <c r="H37796" s="8" t="s">
        <v>364</v>
      </c>
    </row>
    <row r="37797">
      <c r="H37797" s="8" t="s">
        <v>364</v>
      </c>
    </row>
    <row r="37798">
      <c r="H37798" s="8" t="s">
        <v>364</v>
      </c>
    </row>
    <row r="37799">
      <c r="H37799" s="8" t="s">
        <v>364</v>
      </c>
    </row>
    <row r="37800">
      <c r="H37800" s="8" t="s">
        <v>364</v>
      </c>
    </row>
    <row r="37801">
      <c r="H37801" s="8" t="s">
        <v>364</v>
      </c>
    </row>
    <row r="37802">
      <c r="H37802" s="8" t="s">
        <v>364</v>
      </c>
    </row>
    <row r="37803">
      <c r="H37803" s="8" t="s">
        <v>364</v>
      </c>
    </row>
    <row r="37804">
      <c r="H37804" s="8" t="s">
        <v>364</v>
      </c>
    </row>
    <row r="37805">
      <c r="H37805" s="8" t="s">
        <v>364</v>
      </c>
    </row>
    <row r="37806">
      <c r="H37806" s="8" t="s">
        <v>364</v>
      </c>
    </row>
    <row r="37807">
      <c r="H37807" s="8" t="s">
        <v>364</v>
      </c>
    </row>
    <row r="37808">
      <c r="H37808" s="8" t="s">
        <v>364</v>
      </c>
    </row>
    <row r="37809">
      <c r="H37809" s="8" t="s">
        <v>364</v>
      </c>
    </row>
    <row r="37810">
      <c r="H37810" s="8" t="s">
        <v>364</v>
      </c>
    </row>
    <row r="37811">
      <c r="H37811" s="8" t="s">
        <v>364</v>
      </c>
    </row>
    <row r="37812">
      <c r="H37812" s="8" t="s">
        <v>364</v>
      </c>
    </row>
    <row r="37813">
      <c r="H37813" s="8" t="s">
        <v>364</v>
      </c>
    </row>
    <row r="37814">
      <c r="H37814" s="8" t="s">
        <v>364</v>
      </c>
    </row>
    <row r="37815">
      <c r="H37815" s="8" t="s">
        <v>364</v>
      </c>
    </row>
    <row r="37816">
      <c r="H37816" s="8" t="s">
        <v>364</v>
      </c>
    </row>
    <row r="37817">
      <c r="H37817" s="8" t="s">
        <v>364</v>
      </c>
    </row>
    <row r="37818">
      <c r="H37818" s="8" t="s">
        <v>364</v>
      </c>
    </row>
    <row r="37819">
      <c r="H37819" s="8" t="s">
        <v>364</v>
      </c>
    </row>
    <row r="37820">
      <c r="H37820" s="8" t="s">
        <v>364</v>
      </c>
    </row>
    <row r="37821">
      <c r="H37821" s="8" t="s">
        <v>364</v>
      </c>
    </row>
    <row r="37822">
      <c r="H37822" s="8" t="s">
        <v>364</v>
      </c>
    </row>
    <row r="37823">
      <c r="H37823" s="8" t="s">
        <v>364</v>
      </c>
    </row>
    <row r="37824">
      <c r="H37824" s="8" t="s">
        <v>364</v>
      </c>
    </row>
    <row r="37825">
      <c r="H37825" s="8" t="s">
        <v>364</v>
      </c>
    </row>
    <row r="37826">
      <c r="H37826" s="8" t="s">
        <v>364</v>
      </c>
    </row>
    <row r="37827">
      <c r="H37827" s="8" t="s">
        <v>364</v>
      </c>
    </row>
    <row r="37828">
      <c r="H37828" s="8" t="s">
        <v>364</v>
      </c>
    </row>
    <row r="37829">
      <c r="H37829" s="8" t="s">
        <v>364</v>
      </c>
    </row>
    <row r="37830">
      <c r="H37830" s="8" t="s">
        <v>364</v>
      </c>
    </row>
    <row r="37831">
      <c r="H37831" s="8" t="s">
        <v>364</v>
      </c>
    </row>
    <row r="37832">
      <c r="H37832" s="8" t="s">
        <v>364</v>
      </c>
    </row>
    <row r="37833">
      <c r="H37833" s="8" t="s">
        <v>364</v>
      </c>
    </row>
    <row r="37834">
      <c r="H37834" s="8" t="s">
        <v>364</v>
      </c>
    </row>
    <row r="37835">
      <c r="H37835" s="8" t="s">
        <v>364</v>
      </c>
    </row>
    <row r="37836">
      <c r="H37836" s="8" t="s">
        <v>364</v>
      </c>
    </row>
    <row r="37837">
      <c r="H37837" s="8" t="s">
        <v>364</v>
      </c>
    </row>
    <row r="37838">
      <c r="H37838" s="8" t="s">
        <v>364</v>
      </c>
    </row>
    <row r="37839">
      <c r="H37839" s="8" t="s">
        <v>364</v>
      </c>
    </row>
    <row r="37840">
      <c r="H37840" s="8" t="s">
        <v>364</v>
      </c>
    </row>
    <row r="37841">
      <c r="H37841" s="8" t="s">
        <v>364</v>
      </c>
    </row>
    <row r="37842">
      <c r="H37842" s="8" t="s">
        <v>364</v>
      </c>
    </row>
    <row r="37843">
      <c r="H37843" s="8" t="s">
        <v>364</v>
      </c>
    </row>
    <row r="37844">
      <c r="H37844" s="8" t="s">
        <v>364</v>
      </c>
    </row>
    <row r="37845">
      <c r="H37845" s="8" t="s">
        <v>364</v>
      </c>
    </row>
    <row r="37846">
      <c r="H37846" s="8" t="s">
        <v>364</v>
      </c>
    </row>
    <row r="37847">
      <c r="H37847" s="8" t="s">
        <v>364</v>
      </c>
    </row>
    <row r="37848">
      <c r="H37848" s="8" t="s">
        <v>364</v>
      </c>
    </row>
    <row r="37849">
      <c r="H37849" s="8" t="s">
        <v>364</v>
      </c>
    </row>
    <row r="37850">
      <c r="H37850" s="8" t="s">
        <v>364</v>
      </c>
    </row>
    <row r="37851">
      <c r="H37851" s="8" t="s">
        <v>364</v>
      </c>
    </row>
    <row r="37852">
      <c r="H37852" s="8" t="s">
        <v>364</v>
      </c>
    </row>
    <row r="37853">
      <c r="H37853" s="8" t="s">
        <v>364</v>
      </c>
    </row>
    <row r="37854">
      <c r="H37854" s="8" t="s">
        <v>364</v>
      </c>
    </row>
    <row r="37855">
      <c r="H37855" s="8" t="s">
        <v>364</v>
      </c>
    </row>
    <row r="37856">
      <c r="H37856" s="8" t="s">
        <v>364</v>
      </c>
    </row>
    <row r="37857">
      <c r="H37857" s="8" t="s">
        <v>364</v>
      </c>
    </row>
    <row r="37858">
      <c r="H37858" s="8" t="s">
        <v>364</v>
      </c>
    </row>
    <row r="37859">
      <c r="H37859" s="8" t="s">
        <v>364</v>
      </c>
    </row>
    <row r="37860">
      <c r="H37860" s="8" t="s">
        <v>364</v>
      </c>
    </row>
    <row r="37861">
      <c r="H37861" s="8" t="s">
        <v>364</v>
      </c>
    </row>
    <row r="37862">
      <c r="H37862" s="8" t="s">
        <v>364</v>
      </c>
    </row>
    <row r="37863">
      <c r="H37863" s="8" t="s">
        <v>364</v>
      </c>
    </row>
    <row r="37864">
      <c r="H37864" s="8" t="s">
        <v>364</v>
      </c>
    </row>
    <row r="37865">
      <c r="H37865" s="8" t="s">
        <v>364</v>
      </c>
    </row>
    <row r="37866">
      <c r="H37866" s="8" t="s">
        <v>364</v>
      </c>
    </row>
    <row r="37867">
      <c r="H37867" s="8" t="s">
        <v>364</v>
      </c>
    </row>
    <row r="37868">
      <c r="H37868" s="8" t="s">
        <v>364</v>
      </c>
    </row>
    <row r="37869">
      <c r="H37869" s="8" t="s">
        <v>364</v>
      </c>
    </row>
    <row r="37870">
      <c r="H37870" s="8" t="s">
        <v>364</v>
      </c>
    </row>
    <row r="37871">
      <c r="H37871" s="8" t="s">
        <v>364</v>
      </c>
    </row>
    <row r="37872">
      <c r="H37872" s="8" t="s">
        <v>364</v>
      </c>
    </row>
    <row r="37873">
      <c r="H37873" s="8" t="s">
        <v>364</v>
      </c>
    </row>
    <row r="37874">
      <c r="H37874" s="8" t="s">
        <v>364</v>
      </c>
    </row>
    <row r="37875">
      <c r="H37875" s="8" t="s">
        <v>364</v>
      </c>
    </row>
    <row r="37876">
      <c r="H37876" s="8" t="s">
        <v>364</v>
      </c>
    </row>
    <row r="37877">
      <c r="H37877" s="8" t="s">
        <v>364</v>
      </c>
    </row>
    <row r="37878">
      <c r="H37878" s="8" t="s">
        <v>364</v>
      </c>
    </row>
    <row r="37879">
      <c r="H37879" s="8" t="s">
        <v>364</v>
      </c>
    </row>
    <row r="37880">
      <c r="H37880" s="8" t="s">
        <v>364</v>
      </c>
    </row>
    <row r="37881">
      <c r="H37881" s="8" t="s">
        <v>364</v>
      </c>
    </row>
    <row r="37882">
      <c r="H37882" s="8" t="s">
        <v>364</v>
      </c>
    </row>
    <row r="37883">
      <c r="H37883" s="8" t="s">
        <v>364</v>
      </c>
    </row>
    <row r="37884">
      <c r="H37884" s="8" t="s">
        <v>364</v>
      </c>
    </row>
    <row r="37885">
      <c r="H37885" s="8" t="s">
        <v>364</v>
      </c>
    </row>
    <row r="37886">
      <c r="H37886" s="8" t="s">
        <v>364</v>
      </c>
    </row>
    <row r="37887">
      <c r="H37887" s="8" t="s">
        <v>364</v>
      </c>
    </row>
    <row r="37888">
      <c r="H37888" s="8" t="s">
        <v>364</v>
      </c>
    </row>
    <row r="37889">
      <c r="H37889" s="8" t="s">
        <v>364</v>
      </c>
    </row>
    <row r="37890">
      <c r="H37890" s="8" t="s">
        <v>364</v>
      </c>
    </row>
    <row r="37891">
      <c r="H37891" s="8" t="s">
        <v>364</v>
      </c>
    </row>
    <row r="37892">
      <c r="H37892" s="8" t="s">
        <v>364</v>
      </c>
    </row>
    <row r="37893">
      <c r="H37893" s="8" t="s">
        <v>364</v>
      </c>
    </row>
    <row r="37894">
      <c r="H37894" s="8" t="s">
        <v>364</v>
      </c>
    </row>
    <row r="37895">
      <c r="H37895" s="8" t="s">
        <v>364</v>
      </c>
    </row>
    <row r="37896">
      <c r="H37896" s="8" t="s">
        <v>364</v>
      </c>
    </row>
    <row r="37897">
      <c r="H37897" s="8" t="s">
        <v>364</v>
      </c>
    </row>
    <row r="37898">
      <c r="H37898" s="8" t="s">
        <v>364</v>
      </c>
    </row>
    <row r="37899">
      <c r="H37899" s="8" t="s">
        <v>364</v>
      </c>
    </row>
    <row r="37900">
      <c r="H37900" s="8" t="s">
        <v>364</v>
      </c>
    </row>
    <row r="37901">
      <c r="H37901" s="8" t="s">
        <v>364</v>
      </c>
    </row>
    <row r="37902">
      <c r="H37902" s="8" t="s">
        <v>364</v>
      </c>
    </row>
    <row r="37903">
      <c r="H37903" s="8" t="s">
        <v>364</v>
      </c>
    </row>
    <row r="37904">
      <c r="H37904" s="8" t="s">
        <v>364</v>
      </c>
    </row>
    <row r="37905">
      <c r="H37905" s="8" t="s">
        <v>364</v>
      </c>
    </row>
    <row r="37906">
      <c r="H37906" s="8" t="s">
        <v>364</v>
      </c>
    </row>
    <row r="37907">
      <c r="H37907" s="8" t="s">
        <v>364</v>
      </c>
    </row>
    <row r="37908">
      <c r="H37908" s="8" t="s">
        <v>364</v>
      </c>
    </row>
    <row r="37909">
      <c r="H37909" s="8" t="s">
        <v>364</v>
      </c>
    </row>
    <row r="37910">
      <c r="H37910" s="8" t="s">
        <v>364</v>
      </c>
    </row>
    <row r="37911">
      <c r="H37911" s="8" t="s">
        <v>364</v>
      </c>
    </row>
    <row r="37912">
      <c r="H37912" s="8" t="s">
        <v>364</v>
      </c>
    </row>
    <row r="37913">
      <c r="H37913" s="8" t="s">
        <v>364</v>
      </c>
    </row>
    <row r="37914">
      <c r="H37914" s="8" t="s">
        <v>364</v>
      </c>
    </row>
    <row r="37915">
      <c r="H37915" s="8" t="s">
        <v>364</v>
      </c>
    </row>
    <row r="37916">
      <c r="H37916" s="8" t="s">
        <v>364</v>
      </c>
    </row>
    <row r="37917">
      <c r="H37917" s="8" t="s">
        <v>364</v>
      </c>
    </row>
    <row r="37918">
      <c r="H37918" s="8" t="s">
        <v>364</v>
      </c>
    </row>
    <row r="37919">
      <c r="H37919" s="8" t="s">
        <v>364</v>
      </c>
    </row>
    <row r="37920">
      <c r="H37920" s="8" t="s">
        <v>364</v>
      </c>
    </row>
    <row r="37921">
      <c r="H37921" s="8" t="s">
        <v>364</v>
      </c>
    </row>
    <row r="37922">
      <c r="H37922" s="8" t="s">
        <v>364</v>
      </c>
    </row>
    <row r="37923">
      <c r="H37923" s="8" t="s">
        <v>364</v>
      </c>
    </row>
    <row r="37924">
      <c r="H37924" s="8" t="s">
        <v>364</v>
      </c>
    </row>
    <row r="37925">
      <c r="H37925" s="8" t="s">
        <v>364</v>
      </c>
    </row>
    <row r="37926">
      <c r="H37926" s="8" t="s">
        <v>364</v>
      </c>
    </row>
    <row r="37927">
      <c r="H37927" s="8" t="s">
        <v>364</v>
      </c>
    </row>
    <row r="37928">
      <c r="H37928" s="8" t="s">
        <v>364</v>
      </c>
    </row>
    <row r="37929">
      <c r="H37929" s="8" t="s">
        <v>364</v>
      </c>
    </row>
    <row r="37930">
      <c r="H37930" s="8" t="s">
        <v>364</v>
      </c>
    </row>
    <row r="37931">
      <c r="H37931" s="8" t="s">
        <v>364</v>
      </c>
    </row>
    <row r="37932">
      <c r="H37932" s="8" t="s">
        <v>364</v>
      </c>
    </row>
    <row r="37933">
      <c r="H37933" s="8" t="s">
        <v>364</v>
      </c>
    </row>
    <row r="37934">
      <c r="H37934" s="8" t="s">
        <v>364</v>
      </c>
    </row>
    <row r="37935">
      <c r="H37935" s="8" t="s">
        <v>364</v>
      </c>
    </row>
    <row r="37936">
      <c r="H37936" s="8" t="s">
        <v>364</v>
      </c>
    </row>
    <row r="37937">
      <c r="H37937" s="8" t="s">
        <v>364</v>
      </c>
    </row>
    <row r="37938">
      <c r="H37938" s="8" t="s">
        <v>364</v>
      </c>
    </row>
    <row r="37939">
      <c r="H37939" s="8" t="s">
        <v>364</v>
      </c>
    </row>
    <row r="37940">
      <c r="H37940" s="8" t="s">
        <v>364</v>
      </c>
    </row>
    <row r="37941">
      <c r="H37941" s="8" t="s">
        <v>364</v>
      </c>
    </row>
    <row r="37942">
      <c r="H37942" s="8" t="s">
        <v>364</v>
      </c>
    </row>
    <row r="37943">
      <c r="H37943" s="8" t="s">
        <v>364</v>
      </c>
    </row>
    <row r="37944">
      <c r="H37944" s="8" t="s">
        <v>364</v>
      </c>
    </row>
    <row r="37945">
      <c r="H37945" s="8" t="s">
        <v>364</v>
      </c>
    </row>
    <row r="37946">
      <c r="H37946" s="8" t="s">
        <v>364</v>
      </c>
    </row>
    <row r="37947">
      <c r="H37947" s="8" t="s">
        <v>364</v>
      </c>
    </row>
    <row r="37948">
      <c r="H37948" s="8" t="s">
        <v>364</v>
      </c>
    </row>
    <row r="37949">
      <c r="H37949" s="8" t="s">
        <v>364</v>
      </c>
    </row>
    <row r="37950">
      <c r="H37950" s="8" t="s">
        <v>364</v>
      </c>
    </row>
    <row r="37951">
      <c r="H37951" s="8" t="s">
        <v>364</v>
      </c>
    </row>
    <row r="37952">
      <c r="H37952" s="8" t="s">
        <v>364</v>
      </c>
    </row>
    <row r="37953">
      <c r="H37953" s="8" t="s">
        <v>364</v>
      </c>
    </row>
    <row r="37954">
      <c r="H37954" s="8" t="s">
        <v>364</v>
      </c>
    </row>
    <row r="37955">
      <c r="H37955" s="8" t="s">
        <v>364</v>
      </c>
    </row>
    <row r="37956">
      <c r="H37956" s="8" t="s">
        <v>364</v>
      </c>
    </row>
    <row r="37957">
      <c r="H37957" s="8" t="s">
        <v>364</v>
      </c>
    </row>
    <row r="37958">
      <c r="H37958" s="8" t="s">
        <v>364</v>
      </c>
    </row>
    <row r="37959">
      <c r="H37959" s="8" t="s">
        <v>364</v>
      </c>
    </row>
    <row r="37960">
      <c r="H37960" s="8" t="s">
        <v>364</v>
      </c>
    </row>
    <row r="37961">
      <c r="H37961" s="8" t="s">
        <v>364</v>
      </c>
    </row>
    <row r="37962">
      <c r="H37962" s="8" t="s">
        <v>364</v>
      </c>
    </row>
    <row r="37963">
      <c r="H37963" s="8" t="s">
        <v>364</v>
      </c>
    </row>
    <row r="37964">
      <c r="H37964" s="8" t="s">
        <v>364</v>
      </c>
    </row>
    <row r="37965">
      <c r="H37965" s="8" t="s">
        <v>364</v>
      </c>
    </row>
    <row r="37966">
      <c r="H37966" s="8" t="s">
        <v>364</v>
      </c>
    </row>
    <row r="37967">
      <c r="H37967" s="8" t="s">
        <v>364</v>
      </c>
    </row>
    <row r="37968">
      <c r="H37968" s="8" t="s">
        <v>364</v>
      </c>
    </row>
    <row r="37969">
      <c r="H37969" s="8" t="s">
        <v>364</v>
      </c>
    </row>
    <row r="37970">
      <c r="H37970" s="8" t="s">
        <v>364</v>
      </c>
    </row>
    <row r="37971">
      <c r="H37971" s="8" t="s">
        <v>364</v>
      </c>
    </row>
    <row r="37972">
      <c r="H37972" s="8" t="s">
        <v>364</v>
      </c>
    </row>
    <row r="37973">
      <c r="H37973" s="8" t="s">
        <v>364</v>
      </c>
    </row>
    <row r="37974">
      <c r="H37974" s="8" t="s">
        <v>364</v>
      </c>
    </row>
    <row r="37975">
      <c r="H37975" s="8" t="s">
        <v>364</v>
      </c>
    </row>
    <row r="37976">
      <c r="H37976" s="8" t="s">
        <v>364</v>
      </c>
    </row>
    <row r="37977">
      <c r="H37977" s="8" t="s">
        <v>364</v>
      </c>
    </row>
    <row r="37978">
      <c r="H37978" s="8" t="s">
        <v>364</v>
      </c>
    </row>
    <row r="37979">
      <c r="H37979" s="8" t="s">
        <v>364</v>
      </c>
    </row>
    <row r="37980">
      <c r="H37980" s="8" t="s">
        <v>364</v>
      </c>
    </row>
    <row r="37981">
      <c r="H37981" s="8" t="s">
        <v>364</v>
      </c>
    </row>
    <row r="37982">
      <c r="H37982" s="8" t="s">
        <v>364</v>
      </c>
    </row>
    <row r="37983">
      <c r="H37983" s="8" t="s">
        <v>364</v>
      </c>
    </row>
    <row r="37984">
      <c r="H37984" s="8" t="s">
        <v>364</v>
      </c>
    </row>
    <row r="37985">
      <c r="H37985" s="8" t="s">
        <v>364</v>
      </c>
    </row>
    <row r="37986">
      <c r="H37986" s="8" t="s">
        <v>364</v>
      </c>
    </row>
    <row r="37987">
      <c r="H37987" s="8" t="s">
        <v>364</v>
      </c>
    </row>
    <row r="37988">
      <c r="H37988" s="8" t="s">
        <v>364</v>
      </c>
    </row>
    <row r="37989">
      <c r="H37989" s="8" t="s">
        <v>364</v>
      </c>
    </row>
    <row r="37990">
      <c r="H37990" s="8" t="s">
        <v>364</v>
      </c>
    </row>
    <row r="37991">
      <c r="H37991" s="8" t="s">
        <v>364</v>
      </c>
    </row>
    <row r="37992">
      <c r="H37992" s="8" t="s">
        <v>364</v>
      </c>
    </row>
    <row r="37993">
      <c r="H37993" s="8" t="s">
        <v>364</v>
      </c>
    </row>
    <row r="37994">
      <c r="H37994" s="8" t="s">
        <v>364</v>
      </c>
    </row>
    <row r="37995">
      <c r="H37995" s="8" t="s">
        <v>364</v>
      </c>
    </row>
    <row r="37996">
      <c r="H37996" s="8" t="s">
        <v>364</v>
      </c>
    </row>
    <row r="37997">
      <c r="H37997" s="8" t="s">
        <v>364</v>
      </c>
    </row>
    <row r="37998">
      <c r="H37998" s="8" t="s">
        <v>364</v>
      </c>
    </row>
    <row r="37999">
      <c r="H37999" s="8" t="s">
        <v>364</v>
      </c>
    </row>
    <row r="38000">
      <c r="H38000" s="8" t="s">
        <v>364</v>
      </c>
    </row>
    <row r="38001">
      <c r="H38001" s="8" t="s">
        <v>364</v>
      </c>
    </row>
    <row r="38002">
      <c r="H38002" s="8" t="s">
        <v>364</v>
      </c>
    </row>
    <row r="38003">
      <c r="H38003" s="8" t="s">
        <v>364</v>
      </c>
    </row>
    <row r="38004">
      <c r="H38004" s="8" t="s">
        <v>364</v>
      </c>
    </row>
    <row r="38005">
      <c r="H38005" s="8" t="s">
        <v>364</v>
      </c>
    </row>
    <row r="38006">
      <c r="H38006" s="8" t="s">
        <v>364</v>
      </c>
    </row>
    <row r="38007">
      <c r="H38007" s="8" t="s">
        <v>364</v>
      </c>
    </row>
    <row r="38008">
      <c r="H38008" s="8" t="s">
        <v>364</v>
      </c>
    </row>
    <row r="38009">
      <c r="H38009" s="8" t="s">
        <v>364</v>
      </c>
    </row>
    <row r="38010">
      <c r="H38010" s="8" t="s">
        <v>364</v>
      </c>
    </row>
    <row r="38011">
      <c r="H38011" s="8" t="s">
        <v>364</v>
      </c>
    </row>
    <row r="38012">
      <c r="H38012" s="8" t="s">
        <v>364</v>
      </c>
    </row>
    <row r="38013">
      <c r="H38013" s="8" t="s">
        <v>364</v>
      </c>
    </row>
    <row r="38014">
      <c r="H38014" s="8" t="s">
        <v>364</v>
      </c>
    </row>
    <row r="38015">
      <c r="H38015" s="8" t="s">
        <v>364</v>
      </c>
    </row>
    <row r="38016">
      <c r="H38016" s="8" t="s">
        <v>364</v>
      </c>
    </row>
    <row r="38017">
      <c r="H38017" s="8" t="s">
        <v>364</v>
      </c>
    </row>
    <row r="38018">
      <c r="H38018" s="8" t="s">
        <v>364</v>
      </c>
    </row>
    <row r="38019">
      <c r="H38019" s="8" t="s">
        <v>364</v>
      </c>
    </row>
    <row r="38020">
      <c r="H38020" s="8" t="s">
        <v>364</v>
      </c>
    </row>
    <row r="38021">
      <c r="H38021" s="8" t="s">
        <v>364</v>
      </c>
    </row>
    <row r="38022">
      <c r="H38022" s="8" t="s">
        <v>364</v>
      </c>
    </row>
    <row r="38023">
      <c r="H38023" s="8" t="s">
        <v>364</v>
      </c>
    </row>
    <row r="38024">
      <c r="H38024" s="8" t="s">
        <v>364</v>
      </c>
    </row>
    <row r="38025">
      <c r="H38025" s="8" t="s">
        <v>364</v>
      </c>
    </row>
    <row r="38026">
      <c r="H38026" s="8" t="s">
        <v>364</v>
      </c>
    </row>
    <row r="38027">
      <c r="H38027" s="8" t="s">
        <v>364</v>
      </c>
    </row>
    <row r="38028">
      <c r="H38028" s="8" t="s">
        <v>364</v>
      </c>
    </row>
    <row r="38029">
      <c r="H38029" s="8" t="s">
        <v>364</v>
      </c>
    </row>
    <row r="38030">
      <c r="H38030" s="8" t="s">
        <v>364</v>
      </c>
    </row>
    <row r="38031">
      <c r="H38031" s="8" t="s">
        <v>364</v>
      </c>
    </row>
    <row r="38032">
      <c r="H38032" s="8" t="s">
        <v>364</v>
      </c>
    </row>
    <row r="38033">
      <c r="H38033" s="8" t="s">
        <v>364</v>
      </c>
    </row>
    <row r="38034">
      <c r="H38034" s="8" t="s">
        <v>364</v>
      </c>
    </row>
    <row r="38035">
      <c r="H38035" s="8" t="s">
        <v>364</v>
      </c>
    </row>
    <row r="38036">
      <c r="H38036" s="8" t="s">
        <v>364</v>
      </c>
    </row>
    <row r="38037">
      <c r="H38037" s="8" t="s">
        <v>364</v>
      </c>
    </row>
    <row r="38038">
      <c r="H38038" s="8" t="s">
        <v>364</v>
      </c>
    </row>
    <row r="38039">
      <c r="H38039" s="8" t="s">
        <v>364</v>
      </c>
    </row>
    <row r="38040">
      <c r="H38040" s="8" t="s">
        <v>364</v>
      </c>
    </row>
    <row r="38041">
      <c r="H38041" s="8" t="s">
        <v>364</v>
      </c>
    </row>
    <row r="38042">
      <c r="H38042" s="8" t="s">
        <v>364</v>
      </c>
    </row>
    <row r="38043">
      <c r="H38043" s="8" t="s">
        <v>364</v>
      </c>
    </row>
    <row r="38044">
      <c r="H38044" s="8" t="s">
        <v>364</v>
      </c>
    </row>
    <row r="38045">
      <c r="H38045" s="8" t="s">
        <v>364</v>
      </c>
    </row>
    <row r="38046">
      <c r="H38046" s="8" t="s">
        <v>364</v>
      </c>
    </row>
    <row r="38047">
      <c r="H38047" s="8" t="s">
        <v>364</v>
      </c>
    </row>
    <row r="38048">
      <c r="H38048" s="8" t="s">
        <v>364</v>
      </c>
    </row>
    <row r="38049">
      <c r="H38049" s="8" t="s">
        <v>364</v>
      </c>
    </row>
    <row r="38050">
      <c r="H38050" s="8" t="s">
        <v>364</v>
      </c>
    </row>
    <row r="38051">
      <c r="H38051" s="8" t="s">
        <v>364</v>
      </c>
    </row>
    <row r="38052">
      <c r="H38052" s="8" t="s">
        <v>364</v>
      </c>
    </row>
    <row r="38053">
      <c r="H38053" s="8" t="s">
        <v>364</v>
      </c>
    </row>
    <row r="38054">
      <c r="H38054" s="8" t="s">
        <v>364</v>
      </c>
    </row>
    <row r="38055">
      <c r="H38055" s="8" t="s">
        <v>364</v>
      </c>
    </row>
    <row r="38056">
      <c r="H38056" s="8" t="s">
        <v>364</v>
      </c>
    </row>
    <row r="38057">
      <c r="H38057" s="8" t="s">
        <v>364</v>
      </c>
    </row>
    <row r="38058">
      <c r="H38058" s="8" t="s">
        <v>364</v>
      </c>
    </row>
    <row r="38059">
      <c r="H38059" s="8" t="s">
        <v>364</v>
      </c>
    </row>
    <row r="38060">
      <c r="H38060" s="8" t="s">
        <v>364</v>
      </c>
    </row>
    <row r="38061">
      <c r="H38061" s="8" t="s">
        <v>364</v>
      </c>
    </row>
    <row r="38062">
      <c r="H38062" s="8" t="s">
        <v>364</v>
      </c>
    </row>
    <row r="38063">
      <c r="H38063" s="8" t="s">
        <v>364</v>
      </c>
    </row>
    <row r="38064">
      <c r="H38064" s="8" t="s">
        <v>364</v>
      </c>
    </row>
    <row r="38065">
      <c r="H38065" s="8" t="s">
        <v>364</v>
      </c>
    </row>
    <row r="38066">
      <c r="H38066" s="8" t="s">
        <v>364</v>
      </c>
    </row>
    <row r="38067">
      <c r="H38067" s="8" t="s">
        <v>364</v>
      </c>
    </row>
    <row r="38068">
      <c r="H38068" s="8" t="s">
        <v>364</v>
      </c>
    </row>
    <row r="38069">
      <c r="H38069" s="8" t="s">
        <v>364</v>
      </c>
    </row>
    <row r="38070">
      <c r="H38070" s="8" t="s">
        <v>364</v>
      </c>
    </row>
    <row r="38071">
      <c r="H38071" s="8" t="s">
        <v>364</v>
      </c>
    </row>
    <row r="38072">
      <c r="H38072" s="8" t="s">
        <v>364</v>
      </c>
    </row>
    <row r="38073">
      <c r="H38073" s="8" t="s">
        <v>364</v>
      </c>
    </row>
    <row r="38074">
      <c r="H38074" s="8" t="s">
        <v>364</v>
      </c>
    </row>
    <row r="38075">
      <c r="H38075" s="8" t="s">
        <v>364</v>
      </c>
    </row>
    <row r="38076">
      <c r="H38076" s="8" t="s">
        <v>364</v>
      </c>
    </row>
    <row r="38077">
      <c r="H38077" s="8" t="s">
        <v>364</v>
      </c>
    </row>
    <row r="38078">
      <c r="H38078" s="8" t="s">
        <v>364</v>
      </c>
    </row>
    <row r="38079">
      <c r="H38079" s="8" t="s">
        <v>364</v>
      </c>
    </row>
    <row r="38080">
      <c r="H38080" s="8" t="s">
        <v>364</v>
      </c>
    </row>
    <row r="38081">
      <c r="H38081" s="8" t="s">
        <v>364</v>
      </c>
    </row>
    <row r="38082">
      <c r="H38082" s="8" t="s">
        <v>364</v>
      </c>
    </row>
    <row r="38083">
      <c r="H38083" s="8" t="s">
        <v>364</v>
      </c>
    </row>
    <row r="38084">
      <c r="H38084" s="8" t="s">
        <v>364</v>
      </c>
    </row>
    <row r="38085">
      <c r="H38085" s="8" t="s">
        <v>364</v>
      </c>
    </row>
    <row r="38086">
      <c r="H38086" s="8" t="s">
        <v>364</v>
      </c>
    </row>
    <row r="38087">
      <c r="H38087" s="8" t="s">
        <v>364</v>
      </c>
    </row>
    <row r="38088">
      <c r="H38088" s="8" t="s">
        <v>364</v>
      </c>
    </row>
    <row r="38089">
      <c r="H38089" s="8" t="s">
        <v>364</v>
      </c>
    </row>
    <row r="38090">
      <c r="H38090" s="8" t="s">
        <v>364</v>
      </c>
    </row>
    <row r="38091">
      <c r="H38091" s="8" t="s">
        <v>364</v>
      </c>
    </row>
    <row r="38092">
      <c r="H38092" s="8" t="s">
        <v>364</v>
      </c>
    </row>
    <row r="38093">
      <c r="H38093" s="8" t="s">
        <v>364</v>
      </c>
    </row>
    <row r="38094">
      <c r="H38094" s="8" t="s">
        <v>364</v>
      </c>
    </row>
    <row r="38095">
      <c r="H38095" s="8" t="s">
        <v>364</v>
      </c>
    </row>
    <row r="38096">
      <c r="H38096" s="8" t="s">
        <v>364</v>
      </c>
    </row>
    <row r="38097">
      <c r="H38097" s="8" t="s">
        <v>364</v>
      </c>
    </row>
    <row r="38098">
      <c r="H38098" s="8" t="s">
        <v>364</v>
      </c>
    </row>
    <row r="38099">
      <c r="H38099" s="8" t="s">
        <v>364</v>
      </c>
    </row>
    <row r="38100">
      <c r="H38100" s="8" t="s">
        <v>364</v>
      </c>
    </row>
    <row r="38101">
      <c r="H38101" s="8" t="s">
        <v>364</v>
      </c>
    </row>
    <row r="38102">
      <c r="H38102" s="8" t="s">
        <v>364</v>
      </c>
    </row>
    <row r="38103">
      <c r="H38103" s="8" t="s">
        <v>364</v>
      </c>
    </row>
    <row r="38104">
      <c r="H38104" s="8" t="s">
        <v>364</v>
      </c>
    </row>
    <row r="38105">
      <c r="H38105" s="8" t="s">
        <v>364</v>
      </c>
    </row>
    <row r="38106">
      <c r="H38106" s="8" t="s">
        <v>364</v>
      </c>
    </row>
    <row r="38107">
      <c r="H38107" s="8" t="s">
        <v>364</v>
      </c>
    </row>
    <row r="38108">
      <c r="H38108" s="8" t="s">
        <v>364</v>
      </c>
    </row>
    <row r="38109">
      <c r="H38109" s="8" t="s">
        <v>364</v>
      </c>
    </row>
    <row r="38110">
      <c r="H38110" s="8" t="s">
        <v>364</v>
      </c>
    </row>
    <row r="38111">
      <c r="H38111" s="8" t="s">
        <v>364</v>
      </c>
    </row>
    <row r="38112">
      <c r="H38112" s="8" t="s">
        <v>364</v>
      </c>
    </row>
    <row r="38113">
      <c r="H38113" s="8" t="s">
        <v>364</v>
      </c>
    </row>
    <row r="38114">
      <c r="H38114" s="8" t="s">
        <v>364</v>
      </c>
    </row>
    <row r="38115">
      <c r="H38115" s="8" t="s">
        <v>364</v>
      </c>
    </row>
    <row r="38116">
      <c r="H38116" s="8" t="s">
        <v>364</v>
      </c>
    </row>
    <row r="38117">
      <c r="H38117" s="8" t="s">
        <v>364</v>
      </c>
    </row>
    <row r="38118">
      <c r="H38118" s="8" t="s">
        <v>364</v>
      </c>
    </row>
    <row r="38119">
      <c r="H38119" s="8" t="s">
        <v>364</v>
      </c>
    </row>
    <row r="38120">
      <c r="H38120" s="8" t="s">
        <v>364</v>
      </c>
    </row>
    <row r="38121">
      <c r="H38121" s="8" t="s">
        <v>364</v>
      </c>
    </row>
    <row r="38122">
      <c r="H38122" s="8" t="s">
        <v>364</v>
      </c>
    </row>
    <row r="38123">
      <c r="H38123" s="8" t="s">
        <v>364</v>
      </c>
    </row>
    <row r="38124">
      <c r="H38124" s="8" t="s">
        <v>364</v>
      </c>
    </row>
    <row r="38125">
      <c r="H38125" s="8" t="s">
        <v>364</v>
      </c>
    </row>
    <row r="38126">
      <c r="H38126" s="8" t="s">
        <v>364</v>
      </c>
    </row>
    <row r="38127">
      <c r="H38127" s="8" t="s">
        <v>364</v>
      </c>
    </row>
    <row r="38128">
      <c r="H38128" s="8" t="s">
        <v>364</v>
      </c>
    </row>
    <row r="38129">
      <c r="H38129" s="8" t="s">
        <v>364</v>
      </c>
    </row>
    <row r="38130">
      <c r="H38130" s="8" t="s">
        <v>364</v>
      </c>
    </row>
    <row r="38131">
      <c r="H38131" s="8" t="s">
        <v>364</v>
      </c>
    </row>
    <row r="38132">
      <c r="H38132" s="8" t="s">
        <v>364</v>
      </c>
    </row>
    <row r="38133">
      <c r="H38133" s="8" t="s">
        <v>364</v>
      </c>
    </row>
    <row r="38134">
      <c r="H38134" s="8" t="s">
        <v>364</v>
      </c>
    </row>
    <row r="38135">
      <c r="H38135" s="8" t="s">
        <v>364</v>
      </c>
    </row>
    <row r="38136">
      <c r="H38136" s="8" t="s">
        <v>364</v>
      </c>
    </row>
    <row r="38137">
      <c r="H38137" s="8" t="s">
        <v>364</v>
      </c>
    </row>
    <row r="38138">
      <c r="H38138" s="8" t="s">
        <v>364</v>
      </c>
    </row>
    <row r="38139">
      <c r="H38139" s="8" t="s">
        <v>364</v>
      </c>
    </row>
    <row r="38140">
      <c r="H38140" s="8" t="s">
        <v>364</v>
      </c>
    </row>
    <row r="38141">
      <c r="H38141" s="8" t="s">
        <v>364</v>
      </c>
    </row>
    <row r="38142">
      <c r="H38142" s="8" t="s">
        <v>364</v>
      </c>
    </row>
    <row r="38143">
      <c r="H38143" s="8" t="s">
        <v>364</v>
      </c>
    </row>
    <row r="38144">
      <c r="H38144" s="8" t="s">
        <v>364</v>
      </c>
    </row>
    <row r="38145">
      <c r="H38145" s="8" t="s">
        <v>364</v>
      </c>
    </row>
    <row r="38146">
      <c r="H38146" s="8" t="s">
        <v>364</v>
      </c>
    </row>
    <row r="38147">
      <c r="H38147" s="8" t="s">
        <v>364</v>
      </c>
    </row>
    <row r="38148">
      <c r="H38148" s="8" t="s">
        <v>364</v>
      </c>
    </row>
    <row r="38149">
      <c r="H38149" s="8" t="s">
        <v>364</v>
      </c>
    </row>
    <row r="38150">
      <c r="H38150" s="8" t="s">
        <v>364</v>
      </c>
    </row>
    <row r="38151">
      <c r="H38151" s="8" t="s">
        <v>364</v>
      </c>
    </row>
    <row r="38152">
      <c r="H38152" s="8" t="s">
        <v>364</v>
      </c>
    </row>
    <row r="38153">
      <c r="H38153" s="8" t="s">
        <v>364</v>
      </c>
    </row>
    <row r="38154">
      <c r="H38154" s="8" t="s">
        <v>364</v>
      </c>
    </row>
    <row r="38155">
      <c r="H38155" s="8" t="s">
        <v>364</v>
      </c>
    </row>
    <row r="38156">
      <c r="H38156" s="8" t="s">
        <v>364</v>
      </c>
    </row>
    <row r="38157">
      <c r="H38157" s="8" t="s">
        <v>364</v>
      </c>
    </row>
    <row r="38158">
      <c r="H38158" s="8" t="s">
        <v>364</v>
      </c>
    </row>
    <row r="38159">
      <c r="H38159" s="8" t="s">
        <v>364</v>
      </c>
    </row>
    <row r="38160">
      <c r="H38160" s="8" t="s">
        <v>364</v>
      </c>
    </row>
    <row r="38161">
      <c r="H38161" s="8" t="s">
        <v>364</v>
      </c>
    </row>
    <row r="38162">
      <c r="H38162" s="8" t="s">
        <v>364</v>
      </c>
    </row>
    <row r="38163">
      <c r="H38163" s="8" t="s">
        <v>364</v>
      </c>
    </row>
    <row r="38164">
      <c r="H38164" s="8" t="s">
        <v>364</v>
      </c>
    </row>
    <row r="38165">
      <c r="H38165" s="8" t="s">
        <v>364</v>
      </c>
    </row>
    <row r="38166">
      <c r="H38166" s="8" t="s">
        <v>364</v>
      </c>
    </row>
    <row r="38167">
      <c r="H38167" s="8" t="s">
        <v>364</v>
      </c>
    </row>
    <row r="38168">
      <c r="H38168" s="8" t="s">
        <v>364</v>
      </c>
    </row>
    <row r="38169">
      <c r="H38169" s="8" t="s">
        <v>364</v>
      </c>
    </row>
    <row r="38170">
      <c r="H38170" s="8" t="s">
        <v>364</v>
      </c>
    </row>
    <row r="38171">
      <c r="H38171" s="8" t="s">
        <v>364</v>
      </c>
    </row>
    <row r="38172">
      <c r="H38172" s="8" t="s">
        <v>364</v>
      </c>
    </row>
    <row r="38173">
      <c r="H38173" s="8" t="s">
        <v>364</v>
      </c>
    </row>
    <row r="38174">
      <c r="H38174" s="8" t="s">
        <v>364</v>
      </c>
    </row>
    <row r="38175">
      <c r="H38175" s="8" t="s">
        <v>364</v>
      </c>
    </row>
    <row r="38176">
      <c r="H38176" s="8" t="s">
        <v>364</v>
      </c>
    </row>
    <row r="38177">
      <c r="H38177" s="8" t="s">
        <v>364</v>
      </c>
    </row>
    <row r="38178">
      <c r="H38178" s="8" t="s">
        <v>364</v>
      </c>
    </row>
    <row r="38179">
      <c r="H38179" s="8" t="s">
        <v>364</v>
      </c>
    </row>
    <row r="38180">
      <c r="H38180" s="8" t="s">
        <v>364</v>
      </c>
    </row>
    <row r="38181">
      <c r="H38181" s="8" t="s">
        <v>364</v>
      </c>
    </row>
    <row r="38182">
      <c r="H38182" s="8" t="s">
        <v>364</v>
      </c>
    </row>
    <row r="38183">
      <c r="H38183" s="8" t="s">
        <v>364</v>
      </c>
    </row>
    <row r="38184">
      <c r="H38184" s="8" t="s">
        <v>364</v>
      </c>
    </row>
    <row r="38185">
      <c r="H38185" s="8" t="s">
        <v>364</v>
      </c>
    </row>
    <row r="38186">
      <c r="H38186" s="8" t="s">
        <v>364</v>
      </c>
    </row>
    <row r="38187">
      <c r="H38187" s="8" t="s">
        <v>364</v>
      </c>
    </row>
    <row r="38188">
      <c r="H38188" s="8" t="s">
        <v>364</v>
      </c>
    </row>
    <row r="38189">
      <c r="H38189" s="8" t="s">
        <v>364</v>
      </c>
    </row>
    <row r="38190">
      <c r="H38190" s="8" t="s">
        <v>364</v>
      </c>
    </row>
    <row r="38191">
      <c r="H38191" s="8" t="s">
        <v>364</v>
      </c>
    </row>
    <row r="38192">
      <c r="H38192" s="8" t="s">
        <v>364</v>
      </c>
    </row>
    <row r="38193">
      <c r="H38193" s="8" t="s">
        <v>364</v>
      </c>
    </row>
    <row r="38194">
      <c r="H38194" s="8" t="s">
        <v>364</v>
      </c>
    </row>
    <row r="38195">
      <c r="H38195" s="8" t="s">
        <v>364</v>
      </c>
    </row>
    <row r="38196">
      <c r="H38196" s="8" t="s">
        <v>364</v>
      </c>
    </row>
    <row r="38197">
      <c r="H38197" s="8" t="s">
        <v>364</v>
      </c>
    </row>
    <row r="38198">
      <c r="H38198" s="8" t="s">
        <v>364</v>
      </c>
    </row>
    <row r="38199">
      <c r="H38199" s="8" t="s">
        <v>364</v>
      </c>
    </row>
    <row r="38200">
      <c r="H38200" s="8" t="s">
        <v>364</v>
      </c>
    </row>
    <row r="38201">
      <c r="H38201" s="8" t="s">
        <v>364</v>
      </c>
    </row>
    <row r="38202">
      <c r="H38202" s="8" t="s">
        <v>364</v>
      </c>
    </row>
    <row r="38203">
      <c r="H38203" s="8" t="s">
        <v>364</v>
      </c>
    </row>
    <row r="38204">
      <c r="H38204" s="8" t="s">
        <v>364</v>
      </c>
    </row>
    <row r="38205">
      <c r="H38205" s="8" t="s">
        <v>364</v>
      </c>
    </row>
    <row r="38206">
      <c r="H38206" s="8" t="s">
        <v>364</v>
      </c>
    </row>
    <row r="38207">
      <c r="H38207" s="8" t="s">
        <v>364</v>
      </c>
    </row>
    <row r="38208">
      <c r="H38208" s="8" t="s">
        <v>364</v>
      </c>
    </row>
    <row r="38209">
      <c r="H38209" s="8" t="s">
        <v>364</v>
      </c>
    </row>
    <row r="38210">
      <c r="H38210" s="8" t="s">
        <v>364</v>
      </c>
    </row>
    <row r="38211">
      <c r="H38211" s="8" t="s">
        <v>364</v>
      </c>
    </row>
    <row r="38212">
      <c r="H38212" s="8" t="s">
        <v>364</v>
      </c>
    </row>
    <row r="38213">
      <c r="H38213" s="8" t="s">
        <v>364</v>
      </c>
    </row>
    <row r="38214">
      <c r="H38214" s="8" t="s">
        <v>364</v>
      </c>
    </row>
    <row r="38215">
      <c r="H38215" s="8" t="s">
        <v>364</v>
      </c>
    </row>
    <row r="38216">
      <c r="H38216" s="8" t="s">
        <v>364</v>
      </c>
    </row>
    <row r="38217">
      <c r="H38217" s="8" t="s">
        <v>364</v>
      </c>
    </row>
    <row r="38218">
      <c r="H38218" s="8" t="s">
        <v>364</v>
      </c>
    </row>
    <row r="38219">
      <c r="H38219" s="8" t="s">
        <v>364</v>
      </c>
    </row>
    <row r="38220">
      <c r="H38220" s="8" t="s">
        <v>364</v>
      </c>
    </row>
    <row r="38221">
      <c r="H38221" s="8" t="s">
        <v>364</v>
      </c>
    </row>
    <row r="38222">
      <c r="H38222" s="8" t="s">
        <v>364</v>
      </c>
    </row>
    <row r="38223">
      <c r="H38223" s="8" t="s">
        <v>364</v>
      </c>
    </row>
    <row r="38224">
      <c r="H38224" s="8" t="s">
        <v>364</v>
      </c>
    </row>
    <row r="38225">
      <c r="H38225" s="8" t="s">
        <v>364</v>
      </c>
    </row>
    <row r="38226">
      <c r="H38226" s="8" t="s">
        <v>364</v>
      </c>
    </row>
    <row r="38227">
      <c r="H38227" s="8" t="s">
        <v>364</v>
      </c>
    </row>
    <row r="38228">
      <c r="H38228" s="8" t="s">
        <v>364</v>
      </c>
    </row>
    <row r="38229">
      <c r="H38229" s="8" t="s">
        <v>364</v>
      </c>
    </row>
    <row r="38230">
      <c r="H38230" s="8" t="s">
        <v>364</v>
      </c>
    </row>
    <row r="38231">
      <c r="H38231" s="8" t="s">
        <v>364</v>
      </c>
    </row>
    <row r="38232">
      <c r="H38232" s="8" t="s">
        <v>364</v>
      </c>
    </row>
    <row r="38233">
      <c r="H38233" s="8" t="s">
        <v>364</v>
      </c>
    </row>
    <row r="38234">
      <c r="H38234" s="8" t="s">
        <v>364</v>
      </c>
    </row>
    <row r="38235">
      <c r="H38235" s="8" t="s">
        <v>364</v>
      </c>
    </row>
    <row r="38236">
      <c r="H38236" s="8" t="s">
        <v>364</v>
      </c>
    </row>
    <row r="38237">
      <c r="H38237" s="8" t="s">
        <v>364</v>
      </c>
    </row>
    <row r="38238">
      <c r="H38238" s="8" t="s">
        <v>364</v>
      </c>
    </row>
    <row r="38239">
      <c r="H38239" s="8" t="s">
        <v>364</v>
      </c>
    </row>
    <row r="38240">
      <c r="H38240" s="8" t="s">
        <v>364</v>
      </c>
    </row>
    <row r="38241">
      <c r="H38241" s="8" t="s">
        <v>364</v>
      </c>
    </row>
    <row r="38242">
      <c r="H38242" s="8" t="s">
        <v>364</v>
      </c>
    </row>
    <row r="38243">
      <c r="H38243" s="8" t="s">
        <v>364</v>
      </c>
    </row>
    <row r="38244">
      <c r="H38244" s="8" t="s">
        <v>364</v>
      </c>
    </row>
    <row r="38245">
      <c r="H38245" s="8" t="s">
        <v>364</v>
      </c>
    </row>
    <row r="38246">
      <c r="H38246" s="8" t="s">
        <v>364</v>
      </c>
    </row>
    <row r="38247">
      <c r="H38247" s="8" t="s">
        <v>364</v>
      </c>
    </row>
    <row r="38248">
      <c r="H38248" s="8" t="s">
        <v>364</v>
      </c>
    </row>
    <row r="38249">
      <c r="H38249" s="8" t="s">
        <v>364</v>
      </c>
    </row>
    <row r="38250">
      <c r="H38250" s="8" t="s">
        <v>364</v>
      </c>
    </row>
    <row r="38251">
      <c r="H38251" s="8" t="s">
        <v>364</v>
      </c>
    </row>
    <row r="38252">
      <c r="H38252" s="8" t="s">
        <v>364</v>
      </c>
    </row>
    <row r="38253">
      <c r="H38253" s="8" t="s">
        <v>364</v>
      </c>
    </row>
    <row r="38254">
      <c r="H38254" s="8" t="s">
        <v>364</v>
      </c>
    </row>
    <row r="38255">
      <c r="H38255" s="8" t="s">
        <v>364</v>
      </c>
    </row>
    <row r="38256">
      <c r="H38256" s="8" t="s">
        <v>364</v>
      </c>
    </row>
    <row r="38257">
      <c r="H38257" s="8" t="s">
        <v>364</v>
      </c>
    </row>
    <row r="38258">
      <c r="H38258" s="8" t="s">
        <v>364</v>
      </c>
    </row>
    <row r="38259">
      <c r="H38259" s="8" t="s">
        <v>364</v>
      </c>
    </row>
    <row r="38260">
      <c r="H38260" s="8" t="s">
        <v>364</v>
      </c>
    </row>
    <row r="38261">
      <c r="H38261" s="8" t="s">
        <v>364</v>
      </c>
    </row>
    <row r="38262">
      <c r="H38262" s="8" t="s">
        <v>364</v>
      </c>
    </row>
    <row r="38263">
      <c r="H38263" s="8" t="s">
        <v>364</v>
      </c>
    </row>
    <row r="38264">
      <c r="H38264" s="8" t="s">
        <v>364</v>
      </c>
    </row>
    <row r="38265">
      <c r="H38265" s="8" t="s">
        <v>364</v>
      </c>
    </row>
    <row r="38266">
      <c r="H38266" s="8" t="s">
        <v>364</v>
      </c>
    </row>
    <row r="38267">
      <c r="H38267" s="8" t="s">
        <v>364</v>
      </c>
    </row>
    <row r="38268">
      <c r="H38268" s="8" t="s">
        <v>364</v>
      </c>
    </row>
    <row r="38269">
      <c r="H38269" s="8" t="s">
        <v>364</v>
      </c>
    </row>
    <row r="38270">
      <c r="H38270" s="8" t="s">
        <v>364</v>
      </c>
    </row>
    <row r="38271">
      <c r="H38271" s="8" t="s">
        <v>364</v>
      </c>
    </row>
    <row r="38272">
      <c r="H38272" s="8" t="s">
        <v>364</v>
      </c>
    </row>
    <row r="38273">
      <c r="H38273" s="8" t="s">
        <v>364</v>
      </c>
    </row>
    <row r="38274">
      <c r="H38274" s="8" t="s">
        <v>364</v>
      </c>
    </row>
    <row r="38275">
      <c r="H38275" s="8" t="s">
        <v>364</v>
      </c>
    </row>
    <row r="38276">
      <c r="H38276" s="8" t="s">
        <v>364</v>
      </c>
    </row>
    <row r="38277">
      <c r="H38277" s="8" t="s">
        <v>364</v>
      </c>
    </row>
    <row r="38278">
      <c r="H38278" s="8" t="s">
        <v>364</v>
      </c>
    </row>
    <row r="38279">
      <c r="H38279" s="8" t="s">
        <v>364</v>
      </c>
    </row>
    <row r="38280">
      <c r="H38280" s="8" t="s">
        <v>364</v>
      </c>
    </row>
    <row r="38281">
      <c r="H38281" s="8" t="s">
        <v>364</v>
      </c>
    </row>
    <row r="38282">
      <c r="H38282" s="8" t="s">
        <v>364</v>
      </c>
    </row>
    <row r="38283">
      <c r="H38283" s="8" t="s">
        <v>364</v>
      </c>
    </row>
    <row r="38284">
      <c r="H38284" s="8" t="s">
        <v>364</v>
      </c>
    </row>
    <row r="38285">
      <c r="H38285" s="8" t="s">
        <v>364</v>
      </c>
    </row>
    <row r="38286">
      <c r="H38286" s="8" t="s">
        <v>364</v>
      </c>
    </row>
    <row r="38287">
      <c r="H38287" s="8" t="s">
        <v>364</v>
      </c>
    </row>
    <row r="38288">
      <c r="H38288" s="8" t="s">
        <v>364</v>
      </c>
    </row>
    <row r="38289">
      <c r="H38289" s="8" t="s">
        <v>364</v>
      </c>
    </row>
    <row r="38290">
      <c r="H38290" s="8" t="s">
        <v>364</v>
      </c>
    </row>
    <row r="38291">
      <c r="H38291" s="8" t="s">
        <v>364</v>
      </c>
    </row>
    <row r="38292">
      <c r="H38292" s="8" t="s">
        <v>364</v>
      </c>
    </row>
    <row r="38293">
      <c r="H38293" s="8" t="s">
        <v>364</v>
      </c>
    </row>
    <row r="38294">
      <c r="H38294" s="8" t="s">
        <v>364</v>
      </c>
    </row>
    <row r="38295">
      <c r="H38295" s="8" t="s">
        <v>364</v>
      </c>
    </row>
    <row r="38296">
      <c r="H38296" s="8" t="s">
        <v>364</v>
      </c>
    </row>
    <row r="38297">
      <c r="H38297" s="8" t="s">
        <v>364</v>
      </c>
    </row>
    <row r="38298">
      <c r="H38298" s="8" t="s">
        <v>364</v>
      </c>
    </row>
    <row r="38299">
      <c r="H38299" s="8" t="s">
        <v>364</v>
      </c>
    </row>
    <row r="38300">
      <c r="H38300" s="8" t="s">
        <v>364</v>
      </c>
    </row>
    <row r="38301">
      <c r="H38301" s="8" t="s">
        <v>364</v>
      </c>
    </row>
    <row r="38302">
      <c r="H38302" s="8" t="s">
        <v>364</v>
      </c>
    </row>
    <row r="38303">
      <c r="H38303" s="8" t="s">
        <v>364</v>
      </c>
    </row>
    <row r="38304">
      <c r="H38304" s="8" t="s">
        <v>364</v>
      </c>
    </row>
    <row r="38305">
      <c r="H38305" s="8" t="s">
        <v>364</v>
      </c>
    </row>
    <row r="38306">
      <c r="H38306" s="8" t="s">
        <v>364</v>
      </c>
    </row>
    <row r="38307">
      <c r="H38307" s="8" t="s">
        <v>364</v>
      </c>
    </row>
    <row r="38308">
      <c r="H38308" s="8" t="s">
        <v>364</v>
      </c>
    </row>
    <row r="38309">
      <c r="H38309" s="8" t="s">
        <v>364</v>
      </c>
    </row>
    <row r="38310">
      <c r="H38310" s="8" t="s">
        <v>364</v>
      </c>
    </row>
    <row r="38311">
      <c r="H38311" s="8" t="s">
        <v>364</v>
      </c>
    </row>
    <row r="38312">
      <c r="H38312" s="8" t="s">
        <v>364</v>
      </c>
    </row>
    <row r="38313">
      <c r="H38313" s="8" t="s">
        <v>364</v>
      </c>
    </row>
    <row r="38314">
      <c r="H38314" s="8" t="s">
        <v>364</v>
      </c>
    </row>
    <row r="38315">
      <c r="H38315" s="8" t="s">
        <v>364</v>
      </c>
    </row>
    <row r="38316">
      <c r="H38316" s="8" t="s">
        <v>364</v>
      </c>
    </row>
    <row r="38317">
      <c r="H38317" s="8" t="s">
        <v>364</v>
      </c>
    </row>
    <row r="38318">
      <c r="H38318" s="8" t="s">
        <v>364</v>
      </c>
    </row>
    <row r="38319">
      <c r="H38319" s="8" t="s">
        <v>364</v>
      </c>
    </row>
    <row r="38320">
      <c r="H38320" s="8" t="s">
        <v>364</v>
      </c>
    </row>
    <row r="38321">
      <c r="H38321" s="8" t="s">
        <v>364</v>
      </c>
    </row>
    <row r="38322">
      <c r="H38322" s="8" t="s">
        <v>364</v>
      </c>
    </row>
    <row r="38323">
      <c r="H38323" s="8" t="s">
        <v>364</v>
      </c>
    </row>
    <row r="38324">
      <c r="H38324" s="8" t="s">
        <v>364</v>
      </c>
    </row>
    <row r="38325">
      <c r="H38325" s="8" t="s">
        <v>364</v>
      </c>
    </row>
    <row r="38326">
      <c r="H38326" s="8" t="s">
        <v>364</v>
      </c>
    </row>
    <row r="38327">
      <c r="H38327" s="8" t="s">
        <v>364</v>
      </c>
    </row>
    <row r="38328">
      <c r="H38328" s="8" t="s">
        <v>364</v>
      </c>
    </row>
    <row r="38329">
      <c r="H38329" s="8" t="s">
        <v>364</v>
      </c>
    </row>
    <row r="38330">
      <c r="H38330" s="8" t="s">
        <v>364</v>
      </c>
    </row>
    <row r="38331">
      <c r="H38331" s="8" t="s">
        <v>364</v>
      </c>
    </row>
    <row r="38332">
      <c r="H38332" s="8" t="s">
        <v>364</v>
      </c>
    </row>
    <row r="38333">
      <c r="H38333" s="8" t="s">
        <v>364</v>
      </c>
    </row>
    <row r="38334">
      <c r="H38334" s="8" t="s">
        <v>364</v>
      </c>
    </row>
    <row r="38335">
      <c r="H38335" s="8" t="s">
        <v>364</v>
      </c>
    </row>
    <row r="38336">
      <c r="H38336" s="8" t="s">
        <v>364</v>
      </c>
    </row>
    <row r="38337">
      <c r="H38337" s="8" t="s">
        <v>364</v>
      </c>
    </row>
    <row r="38338">
      <c r="H38338" s="8" t="s">
        <v>364</v>
      </c>
    </row>
    <row r="38339">
      <c r="H38339" s="8" t="s">
        <v>364</v>
      </c>
    </row>
    <row r="38340">
      <c r="H38340" s="8" t="s">
        <v>364</v>
      </c>
    </row>
    <row r="38341">
      <c r="H38341" s="8" t="s">
        <v>364</v>
      </c>
    </row>
    <row r="38342">
      <c r="H38342" s="8" t="s">
        <v>364</v>
      </c>
    </row>
    <row r="38343">
      <c r="H38343" s="8" t="s">
        <v>364</v>
      </c>
    </row>
    <row r="38344">
      <c r="H38344" s="8" t="s">
        <v>364</v>
      </c>
    </row>
    <row r="38345">
      <c r="H38345" s="8" t="s">
        <v>364</v>
      </c>
    </row>
    <row r="38346">
      <c r="H38346" s="8" t="s">
        <v>364</v>
      </c>
    </row>
    <row r="38347">
      <c r="H38347" s="8" t="s">
        <v>364</v>
      </c>
    </row>
    <row r="38348">
      <c r="H38348" s="8" t="s">
        <v>364</v>
      </c>
    </row>
    <row r="38349">
      <c r="H38349" s="8" t="s">
        <v>364</v>
      </c>
    </row>
    <row r="38350">
      <c r="H38350" s="8" t="s">
        <v>364</v>
      </c>
    </row>
    <row r="38351">
      <c r="H38351" s="8" t="s">
        <v>364</v>
      </c>
    </row>
    <row r="38352">
      <c r="H38352" s="8" t="s">
        <v>364</v>
      </c>
    </row>
    <row r="38353">
      <c r="H38353" s="8" t="s">
        <v>364</v>
      </c>
    </row>
    <row r="38354">
      <c r="H38354" s="8" t="s">
        <v>364</v>
      </c>
    </row>
    <row r="38355">
      <c r="H38355" s="8" t="s">
        <v>364</v>
      </c>
    </row>
    <row r="38356">
      <c r="H38356" s="8" t="s">
        <v>364</v>
      </c>
    </row>
    <row r="38357">
      <c r="H38357" s="8" t="s">
        <v>364</v>
      </c>
    </row>
    <row r="38358">
      <c r="H38358" s="8" t="s">
        <v>364</v>
      </c>
    </row>
    <row r="38359">
      <c r="H38359" s="8" t="s">
        <v>364</v>
      </c>
    </row>
    <row r="38360">
      <c r="H38360" s="8" t="s">
        <v>364</v>
      </c>
    </row>
    <row r="38361">
      <c r="H38361" s="8" t="s">
        <v>364</v>
      </c>
    </row>
    <row r="38362">
      <c r="H38362" s="8" t="s">
        <v>364</v>
      </c>
    </row>
    <row r="38363">
      <c r="H38363" s="8" t="s">
        <v>364</v>
      </c>
    </row>
    <row r="38364">
      <c r="H38364" s="8" t="s">
        <v>364</v>
      </c>
    </row>
    <row r="38365">
      <c r="H38365" s="8" t="s">
        <v>364</v>
      </c>
    </row>
    <row r="38366">
      <c r="H38366" s="8" t="s">
        <v>364</v>
      </c>
    </row>
    <row r="38367">
      <c r="H38367" s="8" t="s">
        <v>364</v>
      </c>
    </row>
    <row r="38368">
      <c r="H38368" s="8" t="s">
        <v>364</v>
      </c>
    </row>
    <row r="38369">
      <c r="H38369" s="8" t="s">
        <v>364</v>
      </c>
    </row>
    <row r="38370">
      <c r="H38370" s="8" t="s">
        <v>364</v>
      </c>
    </row>
    <row r="38371">
      <c r="H38371" s="8" t="s">
        <v>364</v>
      </c>
    </row>
    <row r="38372">
      <c r="H38372" s="8" t="s">
        <v>364</v>
      </c>
    </row>
    <row r="38373">
      <c r="H38373" s="8" t="s">
        <v>364</v>
      </c>
    </row>
    <row r="38374">
      <c r="H38374" s="8" t="s">
        <v>364</v>
      </c>
    </row>
    <row r="38375">
      <c r="H38375" s="8" t="s">
        <v>364</v>
      </c>
    </row>
    <row r="38376">
      <c r="H38376" s="8" t="s">
        <v>364</v>
      </c>
    </row>
    <row r="38377">
      <c r="H38377" s="8" t="s">
        <v>364</v>
      </c>
    </row>
    <row r="38378">
      <c r="H38378" s="8" t="s">
        <v>364</v>
      </c>
    </row>
    <row r="38379">
      <c r="H38379" s="8" t="s">
        <v>364</v>
      </c>
    </row>
    <row r="38380">
      <c r="H38380" s="8" t="s">
        <v>364</v>
      </c>
    </row>
    <row r="38381">
      <c r="H38381" s="8" t="s">
        <v>364</v>
      </c>
    </row>
    <row r="38382">
      <c r="H38382" s="8" t="s">
        <v>364</v>
      </c>
    </row>
    <row r="38383">
      <c r="H38383" s="8" t="s">
        <v>364</v>
      </c>
    </row>
    <row r="38384">
      <c r="H38384" s="8" t="s">
        <v>364</v>
      </c>
    </row>
    <row r="38385">
      <c r="H38385" s="8" t="s">
        <v>364</v>
      </c>
    </row>
    <row r="38386">
      <c r="H38386" s="8" t="s">
        <v>364</v>
      </c>
    </row>
    <row r="38387">
      <c r="H38387" s="8" t="s">
        <v>364</v>
      </c>
    </row>
    <row r="38388">
      <c r="H38388" s="8" t="s">
        <v>364</v>
      </c>
    </row>
    <row r="38389">
      <c r="H38389" s="8" t="s">
        <v>364</v>
      </c>
    </row>
    <row r="38390">
      <c r="H38390" s="8" t="s">
        <v>364</v>
      </c>
    </row>
    <row r="38391">
      <c r="H38391" s="8" t="s">
        <v>364</v>
      </c>
    </row>
    <row r="38392">
      <c r="H38392" s="8" t="s">
        <v>364</v>
      </c>
    </row>
    <row r="38393">
      <c r="H38393" s="8" t="s">
        <v>364</v>
      </c>
    </row>
    <row r="38394">
      <c r="H38394" s="8" t="s">
        <v>364</v>
      </c>
    </row>
    <row r="38395">
      <c r="H38395" s="8" t="s">
        <v>364</v>
      </c>
    </row>
    <row r="38396">
      <c r="H38396" s="8" t="s">
        <v>364</v>
      </c>
    </row>
    <row r="38397">
      <c r="H38397" s="8" t="s">
        <v>364</v>
      </c>
    </row>
    <row r="38398">
      <c r="H38398" s="8" t="s">
        <v>364</v>
      </c>
    </row>
    <row r="38399">
      <c r="H38399" s="8" t="s">
        <v>364</v>
      </c>
    </row>
    <row r="38400">
      <c r="H38400" s="8" t="s">
        <v>364</v>
      </c>
    </row>
    <row r="38401">
      <c r="H38401" s="8" t="s">
        <v>364</v>
      </c>
    </row>
    <row r="38402">
      <c r="H38402" s="8" t="s">
        <v>364</v>
      </c>
    </row>
    <row r="38403">
      <c r="H38403" s="8" t="s">
        <v>364</v>
      </c>
    </row>
    <row r="38404">
      <c r="H38404" s="8" t="s">
        <v>364</v>
      </c>
    </row>
    <row r="38405">
      <c r="H38405" s="8" t="s">
        <v>364</v>
      </c>
    </row>
    <row r="38406">
      <c r="H38406" s="8" t="s">
        <v>364</v>
      </c>
    </row>
    <row r="38407">
      <c r="H38407" s="8" t="s">
        <v>364</v>
      </c>
    </row>
    <row r="38408">
      <c r="H38408" s="8" t="s">
        <v>364</v>
      </c>
    </row>
    <row r="38409">
      <c r="H38409" s="8" t="s">
        <v>364</v>
      </c>
    </row>
    <row r="38410">
      <c r="H38410" s="8" t="s">
        <v>364</v>
      </c>
    </row>
    <row r="38411">
      <c r="H38411" s="8" t="s">
        <v>364</v>
      </c>
    </row>
    <row r="38412">
      <c r="H38412" s="8" t="s">
        <v>364</v>
      </c>
    </row>
    <row r="38413">
      <c r="H38413" s="8" t="s">
        <v>364</v>
      </c>
    </row>
    <row r="38414">
      <c r="H38414" s="8" t="s">
        <v>364</v>
      </c>
    </row>
    <row r="38415">
      <c r="H38415" s="8" t="s">
        <v>364</v>
      </c>
    </row>
    <row r="38416">
      <c r="H38416" s="8" t="s">
        <v>364</v>
      </c>
    </row>
    <row r="38417">
      <c r="H38417" s="8" t="s">
        <v>364</v>
      </c>
    </row>
    <row r="38418">
      <c r="H38418" s="8" t="s">
        <v>364</v>
      </c>
    </row>
    <row r="38419">
      <c r="H38419" s="8" t="s">
        <v>364</v>
      </c>
    </row>
    <row r="38420">
      <c r="H38420" s="8" t="s">
        <v>364</v>
      </c>
    </row>
    <row r="38421">
      <c r="H38421" s="8" t="s">
        <v>364</v>
      </c>
    </row>
    <row r="38422">
      <c r="H38422" s="8" t="s">
        <v>364</v>
      </c>
    </row>
    <row r="38423">
      <c r="H38423" s="8" t="s">
        <v>364</v>
      </c>
    </row>
    <row r="38424">
      <c r="H38424" s="8" t="s">
        <v>364</v>
      </c>
    </row>
    <row r="38425">
      <c r="H38425" s="8" t="s">
        <v>364</v>
      </c>
    </row>
    <row r="38426">
      <c r="H38426" s="8" t="s">
        <v>364</v>
      </c>
    </row>
    <row r="38427">
      <c r="H38427" s="8" t="s">
        <v>364</v>
      </c>
    </row>
    <row r="38428">
      <c r="H38428" s="8" t="s">
        <v>364</v>
      </c>
    </row>
    <row r="38429">
      <c r="H38429" s="8" t="s">
        <v>364</v>
      </c>
    </row>
    <row r="38430">
      <c r="H38430" s="8" t="s">
        <v>364</v>
      </c>
    </row>
    <row r="38431">
      <c r="H38431" s="8" t="s">
        <v>364</v>
      </c>
    </row>
    <row r="38432">
      <c r="H38432" s="8" t="s">
        <v>364</v>
      </c>
    </row>
    <row r="38433">
      <c r="H38433" s="8" t="s">
        <v>364</v>
      </c>
    </row>
    <row r="38434">
      <c r="H38434" s="8" t="s">
        <v>364</v>
      </c>
    </row>
    <row r="38435">
      <c r="H38435" s="8" t="s">
        <v>364</v>
      </c>
    </row>
    <row r="38436">
      <c r="H38436" s="8" t="s">
        <v>364</v>
      </c>
    </row>
    <row r="38437">
      <c r="H38437" s="8" t="s">
        <v>364</v>
      </c>
    </row>
    <row r="38438">
      <c r="H38438" s="8" t="s">
        <v>364</v>
      </c>
    </row>
    <row r="38439">
      <c r="H38439" s="8" t="s">
        <v>364</v>
      </c>
    </row>
    <row r="38440">
      <c r="H38440" s="8" t="s">
        <v>364</v>
      </c>
    </row>
    <row r="38441">
      <c r="H38441" s="8" t="s">
        <v>364</v>
      </c>
    </row>
    <row r="38442">
      <c r="H38442" s="8" t="s">
        <v>364</v>
      </c>
    </row>
    <row r="38443">
      <c r="H38443" s="8" t="s">
        <v>364</v>
      </c>
    </row>
    <row r="38444">
      <c r="H38444" s="8" t="s">
        <v>364</v>
      </c>
    </row>
    <row r="38445">
      <c r="H38445" s="8" t="s">
        <v>364</v>
      </c>
    </row>
    <row r="38446">
      <c r="H38446" s="8" t="s">
        <v>364</v>
      </c>
    </row>
    <row r="38447">
      <c r="H38447" s="8" t="s">
        <v>364</v>
      </c>
    </row>
    <row r="38448">
      <c r="H38448" s="8" t="s">
        <v>364</v>
      </c>
    </row>
    <row r="38449">
      <c r="H38449" s="8" t="s">
        <v>364</v>
      </c>
    </row>
    <row r="38450">
      <c r="H38450" s="8" t="s">
        <v>364</v>
      </c>
    </row>
    <row r="38451">
      <c r="H38451" s="8" t="s">
        <v>364</v>
      </c>
    </row>
    <row r="38452">
      <c r="H38452" s="8" t="s">
        <v>364</v>
      </c>
    </row>
    <row r="38453">
      <c r="H38453" s="8" t="s">
        <v>364</v>
      </c>
    </row>
    <row r="38454">
      <c r="H38454" s="8" t="s">
        <v>364</v>
      </c>
    </row>
    <row r="38455">
      <c r="H38455" s="8" t="s">
        <v>364</v>
      </c>
    </row>
    <row r="38456">
      <c r="H38456" s="8" t="s">
        <v>364</v>
      </c>
    </row>
    <row r="38457">
      <c r="H38457" s="8" t="s">
        <v>364</v>
      </c>
    </row>
    <row r="38458">
      <c r="H38458" s="8" t="s">
        <v>364</v>
      </c>
    </row>
    <row r="38459">
      <c r="H38459" s="8" t="s">
        <v>364</v>
      </c>
    </row>
    <row r="38460">
      <c r="H38460" s="8" t="s">
        <v>364</v>
      </c>
    </row>
    <row r="38461">
      <c r="H38461" s="8" t="s">
        <v>364</v>
      </c>
    </row>
    <row r="38462">
      <c r="H38462" s="8" t="s">
        <v>364</v>
      </c>
    </row>
    <row r="38463">
      <c r="H38463" s="8" t="s">
        <v>364</v>
      </c>
    </row>
    <row r="38464">
      <c r="H38464" s="8" t="s">
        <v>364</v>
      </c>
    </row>
    <row r="38465">
      <c r="H38465" s="8" t="s">
        <v>364</v>
      </c>
    </row>
    <row r="38466">
      <c r="H38466" s="8" t="s">
        <v>364</v>
      </c>
    </row>
    <row r="38467">
      <c r="H38467" s="8" t="s">
        <v>364</v>
      </c>
    </row>
    <row r="38468">
      <c r="H38468" s="8" t="s">
        <v>364</v>
      </c>
    </row>
    <row r="38469">
      <c r="H38469" s="8" t="s">
        <v>364</v>
      </c>
    </row>
    <row r="38470">
      <c r="H38470" s="8" t="s">
        <v>364</v>
      </c>
    </row>
    <row r="38471">
      <c r="H38471" s="8" t="s">
        <v>364</v>
      </c>
    </row>
    <row r="38472">
      <c r="H38472" s="8" t="s">
        <v>364</v>
      </c>
    </row>
    <row r="38473">
      <c r="H38473" s="8" t="s">
        <v>364</v>
      </c>
    </row>
    <row r="38474">
      <c r="H38474" s="8" t="s">
        <v>364</v>
      </c>
    </row>
    <row r="38475">
      <c r="H38475" s="8" t="s">
        <v>364</v>
      </c>
    </row>
    <row r="38476">
      <c r="H38476" s="8" t="s">
        <v>364</v>
      </c>
    </row>
    <row r="38477">
      <c r="H38477" s="8" t="s">
        <v>364</v>
      </c>
    </row>
    <row r="38478">
      <c r="H38478" s="8" t="s">
        <v>364</v>
      </c>
    </row>
    <row r="38479">
      <c r="H38479" s="8" t="s">
        <v>364</v>
      </c>
    </row>
    <row r="38480">
      <c r="H38480" s="8" t="s">
        <v>364</v>
      </c>
    </row>
    <row r="38481">
      <c r="H38481" s="8" t="s">
        <v>364</v>
      </c>
    </row>
    <row r="38482">
      <c r="H38482" s="8" t="s">
        <v>364</v>
      </c>
    </row>
    <row r="38483">
      <c r="H38483" s="8" t="s">
        <v>364</v>
      </c>
    </row>
    <row r="38484">
      <c r="H38484" s="8" t="s">
        <v>364</v>
      </c>
    </row>
    <row r="38485">
      <c r="H38485" s="8" t="s">
        <v>364</v>
      </c>
    </row>
    <row r="38486">
      <c r="H38486" s="8" t="s">
        <v>364</v>
      </c>
    </row>
    <row r="38487">
      <c r="H38487" s="8" t="s">
        <v>364</v>
      </c>
    </row>
    <row r="38488">
      <c r="H38488" s="8" t="s">
        <v>364</v>
      </c>
    </row>
    <row r="38489">
      <c r="H38489" s="8" t="s">
        <v>364</v>
      </c>
    </row>
    <row r="38490">
      <c r="H38490" s="8" t="s">
        <v>364</v>
      </c>
    </row>
    <row r="38491">
      <c r="H38491" s="8" t="s">
        <v>364</v>
      </c>
    </row>
    <row r="38492">
      <c r="H38492" s="8" t="s">
        <v>364</v>
      </c>
    </row>
    <row r="38493">
      <c r="H38493" s="8" t="s">
        <v>364</v>
      </c>
    </row>
    <row r="38494">
      <c r="H38494" s="8" t="s">
        <v>364</v>
      </c>
    </row>
    <row r="38495">
      <c r="H38495" s="8" t="s">
        <v>364</v>
      </c>
    </row>
    <row r="38496">
      <c r="H38496" s="8" t="s">
        <v>364</v>
      </c>
    </row>
    <row r="38497">
      <c r="H38497" s="8" t="s">
        <v>364</v>
      </c>
    </row>
    <row r="38498">
      <c r="H38498" s="8" t="s">
        <v>364</v>
      </c>
    </row>
    <row r="38499">
      <c r="H38499" s="8" t="s">
        <v>364</v>
      </c>
    </row>
    <row r="38500">
      <c r="H38500" s="8" t="s">
        <v>364</v>
      </c>
    </row>
    <row r="38501">
      <c r="H38501" s="8" t="s">
        <v>364</v>
      </c>
    </row>
    <row r="38502">
      <c r="H38502" s="8" t="s">
        <v>364</v>
      </c>
    </row>
    <row r="38503">
      <c r="H38503" s="8" t="s">
        <v>364</v>
      </c>
    </row>
    <row r="38504">
      <c r="H38504" s="8" t="s">
        <v>364</v>
      </c>
    </row>
    <row r="38505">
      <c r="H38505" s="8" t="s">
        <v>364</v>
      </c>
    </row>
    <row r="38506">
      <c r="H38506" s="8" t="s">
        <v>364</v>
      </c>
    </row>
    <row r="38507">
      <c r="H38507" s="8" t="s">
        <v>364</v>
      </c>
    </row>
    <row r="38508">
      <c r="H38508" s="8" t="s">
        <v>364</v>
      </c>
    </row>
    <row r="38509">
      <c r="H38509" s="8" t="s">
        <v>364</v>
      </c>
    </row>
    <row r="38510">
      <c r="H38510" s="8" t="s">
        <v>364</v>
      </c>
    </row>
    <row r="38511">
      <c r="H38511" s="8" t="s">
        <v>364</v>
      </c>
    </row>
    <row r="38512">
      <c r="H38512" s="8" t="s">
        <v>364</v>
      </c>
    </row>
    <row r="38513">
      <c r="H38513" s="8" t="s">
        <v>364</v>
      </c>
    </row>
    <row r="38514">
      <c r="H38514" s="8" t="s">
        <v>364</v>
      </c>
    </row>
    <row r="38515">
      <c r="H38515" s="8" t="s">
        <v>364</v>
      </c>
    </row>
    <row r="38516">
      <c r="H38516" s="8" t="s">
        <v>364</v>
      </c>
    </row>
    <row r="38517">
      <c r="H38517" s="8" t="s">
        <v>364</v>
      </c>
    </row>
    <row r="38518">
      <c r="H38518" s="8" t="s">
        <v>364</v>
      </c>
    </row>
    <row r="38519">
      <c r="H38519" s="8" t="s">
        <v>364</v>
      </c>
    </row>
    <row r="38520">
      <c r="H38520" s="8" t="s">
        <v>364</v>
      </c>
    </row>
    <row r="38521">
      <c r="H38521" s="8" t="s">
        <v>364</v>
      </c>
    </row>
    <row r="38522">
      <c r="H38522" s="8" t="s">
        <v>364</v>
      </c>
    </row>
    <row r="38523">
      <c r="H38523" s="8" t="s">
        <v>364</v>
      </c>
    </row>
    <row r="38524">
      <c r="H38524" s="8" t="s">
        <v>364</v>
      </c>
    </row>
    <row r="38525">
      <c r="H38525" s="8" t="s">
        <v>364</v>
      </c>
    </row>
    <row r="38526">
      <c r="H38526" s="8" t="s">
        <v>364</v>
      </c>
    </row>
    <row r="38527">
      <c r="H38527" s="8" t="s">
        <v>364</v>
      </c>
    </row>
    <row r="38528">
      <c r="H38528" s="8" t="s">
        <v>364</v>
      </c>
    </row>
    <row r="38529">
      <c r="H38529" s="8" t="s">
        <v>364</v>
      </c>
    </row>
    <row r="38530">
      <c r="H38530" s="8" t="s">
        <v>364</v>
      </c>
    </row>
    <row r="38531">
      <c r="H38531" s="8" t="s">
        <v>364</v>
      </c>
    </row>
    <row r="38532">
      <c r="H38532" s="8" t="s">
        <v>364</v>
      </c>
    </row>
    <row r="38533">
      <c r="H38533" s="8" t="s">
        <v>364</v>
      </c>
    </row>
    <row r="38534">
      <c r="H38534" s="8" t="s">
        <v>364</v>
      </c>
    </row>
    <row r="38535">
      <c r="H38535" s="8" t="s">
        <v>364</v>
      </c>
    </row>
    <row r="38536">
      <c r="H38536" s="8" t="s">
        <v>364</v>
      </c>
    </row>
    <row r="38537">
      <c r="H38537" s="8" t="s">
        <v>364</v>
      </c>
    </row>
    <row r="38538">
      <c r="H38538" s="8" t="s">
        <v>364</v>
      </c>
    </row>
    <row r="38539">
      <c r="H38539" s="8" t="s">
        <v>364</v>
      </c>
    </row>
    <row r="38540">
      <c r="H38540" s="8" t="s">
        <v>364</v>
      </c>
    </row>
    <row r="38541">
      <c r="H38541" s="8" t="s">
        <v>364</v>
      </c>
    </row>
    <row r="38542">
      <c r="H38542" s="8" t="s">
        <v>364</v>
      </c>
    </row>
    <row r="38543">
      <c r="H38543" s="8" t="s">
        <v>364</v>
      </c>
    </row>
    <row r="38544">
      <c r="H38544" s="8" t="s">
        <v>364</v>
      </c>
    </row>
    <row r="38545">
      <c r="H38545" s="8" t="s">
        <v>364</v>
      </c>
    </row>
    <row r="38546">
      <c r="H38546" s="8" t="s">
        <v>364</v>
      </c>
    </row>
    <row r="38547">
      <c r="H38547" s="8" t="s">
        <v>364</v>
      </c>
    </row>
    <row r="38548">
      <c r="H38548" s="8" t="s">
        <v>364</v>
      </c>
    </row>
    <row r="38549">
      <c r="H38549" s="8" t="s">
        <v>364</v>
      </c>
    </row>
    <row r="38550">
      <c r="H38550" s="8" t="s">
        <v>364</v>
      </c>
    </row>
    <row r="38551">
      <c r="H38551" s="8" t="s">
        <v>364</v>
      </c>
    </row>
    <row r="38552">
      <c r="H38552" s="8" t="s">
        <v>364</v>
      </c>
    </row>
    <row r="38553">
      <c r="H38553" s="8" t="s">
        <v>364</v>
      </c>
    </row>
    <row r="38554">
      <c r="H38554" s="8" t="s">
        <v>364</v>
      </c>
    </row>
    <row r="38555">
      <c r="H38555" s="8" t="s">
        <v>364</v>
      </c>
    </row>
    <row r="38556">
      <c r="H38556" s="8" t="s">
        <v>364</v>
      </c>
    </row>
    <row r="38557">
      <c r="H38557" s="8" t="s">
        <v>364</v>
      </c>
    </row>
    <row r="38558">
      <c r="H38558" s="8" t="s">
        <v>364</v>
      </c>
    </row>
    <row r="38559">
      <c r="H38559" s="8" t="s">
        <v>364</v>
      </c>
    </row>
    <row r="38560">
      <c r="H38560" s="8" t="s">
        <v>364</v>
      </c>
    </row>
    <row r="38561">
      <c r="H38561" s="8" t="s">
        <v>364</v>
      </c>
    </row>
    <row r="38562">
      <c r="H38562" s="8" t="s">
        <v>364</v>
      </c>
    </row>
    <row r="38563">
      <c r="H38563" s="8" t="s">
        <v>364</v>
      </c>
    </row>
    <row r="38564">
      <c r="H38564" s="8" t="s">
        <v>364</v>
      </c>
    </row>
    <row r="38565">
      <c r="H38565" s="8" t="s">
        <v>364</v>
      </c>
    </row>
    <row r="38566">
      <c r="H38566" s="8" t="s">
        <v>364</v>
      </c>
    </row>
    <row r="38567">
      <c r="H38567" s="8" t="s">
        <v>364</v>
      </c>
    </row>
    <row r="38568">
      <c r="H38568" s="8" t="s">
        <v>364</v>
      </c>
    </row>
    <row r="38569">
      <c r="H38569" s="8" t="s">
        <v>364</v>
      </c>
    </row>
    <row r="38570">
      <c r="H38570" s="8" t="s">
        <v>364</v>
      </c>
    </row>
    <row r="38571">
      <c r="H38571" s="8" t="s">
        <v>364</v>
      </c>
    </row>
    <row r="38572">
      <c r="H38572" s="8" t="s">
        <v>364</v>
      </c>
    </row>
    <row r="38573">
      <c r="H38573" s="8" t="s">
        <v>364</v>
      </c>
    </row>
    <row r="38574">
      <c r="H38574" s="8" t="s">
        <v>364</v>
      </c>
    </row>
    <row r="38575">
      <c r="H38575" s="8" t="s">
        <v>364</v>
      </c>
    </row>
    <row r="38576">
      <c r="H38576" s="8" t="s">
        <v>364</v>
      </c>
    </row>
    <row r="38577">
      <c r="H38577" s="8" t="s">
        <v>364</v>
      </c>
    </row>
    <row r="38578">
      <c r="H38578" s="8" t="s">
        <v>364</v>
      </c>
    </row>
    <row r="38579">
      <c r="H38579" s="8" t="s">
        <v>364</v>
      </c>
    </row>
    <row r="38580">
      <c r="H38580" s="8" t="s">
        <v>364</v>
      </c>
    </row>
    <row r="38581">
      <c r="H38581" s="8" t="s">
        <v>364</v>
      </c>
    </row>
    <row r="38582">
      <c r="H38582" s="8" t="s">
        <v>364</v>
      </c>
    </row>
    <row r="38583">
      <c r="H38583" s="8" t="s">
        <v>364</v>
      </c>
    </row>
    <row r="38584">
      <c r="H38584" s="8" t="s">
        <v>364</v>
      </c>
    </row>
    <row r="38585">
      <c r="H38585" s="8" t="s">
        <v>364</v>
      </c>
    </row>
    <row r="38586">
      <c r="H38586" s="8" t="s">
        <v>364</v>
      </c>
    </row>
    <row r="38587">
      <c r="H38587" s="8" t="s">
        <v>364</v>
      </c>
    </row>
    <row r="38588">
      <c r="H38588" s="8" t="s">
        <v>364</v>
      </c>
    </row>
    <row r="38589">
      <c r="H38589" s="8" t="s">
        <v>364</v>
      </c>
    </row>
    <row r="38590">
      <c r="H38590" s="8" t="s">
        <v>364</v>
      </c>
    </row>
    <row r="38591">
      <c r="H38591" s="8" t="s">
        <v>364</v>
      </c>
    </row>
    <row r="38592">
      <c r="H38592" s="8" t="s">
        <v>364</v>
      </c>
    </row>
    <row r="38593">
      <c r="H38593" s="8" t="s">
        <v>364</v>
      </c>
    </row>
    <row r="38594">
      <c r="H38594" s="8" t="s">
        <v>364</v>
      </c>
    </row>
    <row r="38595">
      <c r="H38595" s="8" t="s">
        <v>364</v>
      </c>
    </row>
    <row r="38596">
      <c r="H38596" s="8" t="s">
        <v>364</v>
      </c>
    </row>
    <row r="38597">
      <c r="H38597" s="8" t="s">
        <v>364</v>
      </c>
    </row>
    <row r="38598">
      <c r="H38598" s="8" t="s">
        <v>364</v>
      </c>
    </row>
    <row r="38599">
      <c r="H38599" s="8" t="s">
        <v>364</v>
      </c>
    </row>
    <row r="38600">
      <c r="H38600" s="8" t="s">
        <v>364</v>
      </c>
    </row>
    <row r="38601">
      <c r="H38601" s="8" t="s">
        <v>364</v>
      </c>
    </row>
    <row r="38602">
      <c r="H38602" s="8" t="s">
        <v>364</v>
      </c>
    </row>
    <row r="38603">
      <c r="H38603" s="8" t="s">
        <v>364</v>
      </c>
    </row>
    <row r="38604">
      <c r="H38604" s="8" t="s">
        <v>364</v>
      </c>
    </row>
    <row r="38605">
      <c r="H38605" s="8" t="s">
        <v>364</v>
      </c>
    </row>
    <row r="38606">
      <c r="H38606" s="8" t="s">
        <v>364</v>
      </c>
    </row>
    <row r="38607">
      <c r="H38607" s="8" t="s">
        <v>364</v>
      </c>
    </row>
    <row r="38608">
      <c r="H38608" s="8" t="s">
        <v>364</v>
      </c>
    </row>
    <row r="38609">
      <c r="H38609" s="8" t="s">
        <v>364</v>
      </c>
    </row>
    <row r="38610">
      <c r="H38610" s="8" t="s">
        <v>364</v>
      </c>
    </row>
    <row r="38611">
      <c r="H38611" s="8" t="s">
        <v>364</v>
      </c>
    </row>
    <row r="38612">
      <c r="H38612" s="8" t="s">
        <v>364</v>
      </c>
    </row>
    <row r="38613">
      <c r="H38613" s="8" t="s">
        <v>364</v>
      </c>
    </row>
    <row r="38614">
      <c r="H38614" s="8" t="s">
        <v>364</v>
      </c>
    </row>
    <row r="38615">
      <c r="H38615" s="8" t="s">
        <v>364</v>
      </c>
    </row>
    <row r="38616">
      <c r="H38616" s="8" t="s">
        <v>364</v>
      </c>
    </row>
    <row r="38617">
      <c r="H38617" s="8" t="s">
        <v>364</v>
      </c>
    </row>
    <row r="38618">
      <c r="H38618" s="8" t="s">
        <v>364</v>
      </c>
    </row>
    <row r="38619">
      <c r="H38619" s="8" t="s">
        <v>364</v>
      </c>
    </row>
    <row r="38620">
      <c r="H38620" s="8" t="s">
        <v>364</v>
      </c>
    </row>
    <row r="38621">
      <c r="H38621" s="8" t="s">
        <v>364</v>
      </c>
    </row>
    <row r="38622">
      <c r="H38622" s="8" t="s">
        <v>364</v>
      </c>
    </row>
    <row r="38623">
      <c r="H38623" s="8" t="s">
        <v>364</v>
      </c>
    </row>
    <row r="38624">
      <c r="H38624" s="8" t="s">
        <v>364</v>
      </c>
    </row>
    <row r="38625">
      <c r="H38625" s="8" t="s">
        <v>364</v>
      </c>
    </row>
    <row r="38626">
      <c r="H38626" s="8" t="s">
        <v>364</v>
      </c>
    </row>
    <row r="38627">
      <c r="H38627" s="8" t="s">
        <v>364</v>
      </c>
    </row>
    <row r="38628">
      <c r="H38628" s="8" t="s">
        <v>364</v>
      </c>
    </row>
    <row r="38629">
      <c r="H38629" s="8" t="s">
        <v>364</v>
      </c>
    </row>
    <row r="38630">
      <c r="H38630" s="8" t="s">
        <v>364</v>
      </c>
    </row>
    <row r="38631">
      <c r="H38631" s="8" t="s">
        <v>364</v>
      </c>
    </row>
    <row r="38632">
      <c r="H38632" s="8" t="s">
        <v>364</v>
      </c>
    </row>
    <row r="38633">
      <c r="H38633" s="8" t="s">
        <v>364</v>
      </c>
    </row>
    <row r="38634">
      <c r="H38634" s="8" t="s">
        <v>364</v>
      </c>
    </row>
    <row r="38635">
      <c r="H38635" s="8" t="s">
        <v>364</v>
      </c>
    </row>
    <row r="38636">
      <c r="H38636" s="8" t="s">
        <v>364</v>
      </c>
    </row>
    <row r="38637">
      <c r="H38637" s="8" t="s">
        <v>364</v>
      </c>
    </row>
    <row r="38638">
      <c r="H38638" s="8" t="s">
        <v>364</v>
      </c>
    </row>
    <row r="38639">
      <c r="H38639" s="8" t="s">
        <v>364</v>
      </c>
    </row>
    <row r="38640">
      <c r="H38640" s="8" t="s">
        <v>364</v>
      </c>
    </row>
    <row r="38641">
      <c r="H38641" s="8" t="s">
        <v>364</v>
      </c>
    </row>
    <row r="38642">
      <c r="H38642" s="8" t="s">
        <v>364</v>
      </c>
    </row>
    <row r="38643">
      <c r="H38643" s="8" t="s">
        <v>364</v>
      </c>
    </row>
    <row r="38644">
      <c r="H38644" s="8" t="s">
        <v>364</v>
      </c>
    </row>
    <row r="38645">
      <c r="H38645" s="8" t="s">
        <v>364</v>
      </c>
    </row>
    <row r="38646">
      <c r="H38646" s="8" t="s">
        <v>364</v>
      </c>
    </row>
    <row r="38647">
      <c r="H38647" s="8" t="s">
        <v>364</v>
      </c>
    </row>
    <row r="38648">
      <c r="H38648" s="8" t="s">
        <v>364</v>
      </c>
    </row>
    <row r="38649">
      <c r="H38649" s="8" t="s">
        <v>364</v>
      </c>
    </row>
    <row r="38650">
      <c r="H38650" s="8" t="s">
        <v>364</v>
      </c>
    </row>
    <row r="38651">
      <c r="H38651" s="8" t="s">
        <v>364</v>
      </c>
    </row>
    <row r="38652">
      <c r="H38652" s="8" t="s">
        <v>364</v>
      </c>
    </row>
    <row r="38653">
      <c r="H38653" s="8" t="s">
        <v>364</v>
      </c>
    </row>
    <row r="38654">
      <c r="H38654" s="8" t="s">
        <v>364</v>
      </c>
    </row>
    <row r="38655">
      <c r="H38655" s="8" t="s">
        <v>364</v>
      </c>
    </row>
    <row r="38656">
      <c r="H38656" s="8" t="s">
        <v>364</v>
      </c>
    </row>
    <row r="38657">
      <c r="H38657" s="8" t="s">
        <v>364</v>
      </c>
    </row>
    <row r="38658">
      <c r="H38658" s="8" t="s">
        <v>364</v>
      </c>
    </row>
    <row r="38659">
      <c r="H38659" s="8" t="s">
        <v>364</v>
      </c>
    </row>
    <row r="38660">
      <c r="H38660" s="8" t="s">
        <v>364</v>
      </c>
    </row>
    <row r="38661">
      <c r="H38661" s="8" t="s">
        <v>364</v>
      </c>
    </row>
    <row r="38662">
      <c r="H38662" s="8" t="s">
        <v>364</v>
      </c>
    </row>
    <row r="38663">
      <c r="H38663" s="8" t="s">
        <v>364</v>
      </c>
    </row>
    <row r="38664">
      <c r="H38664" s="8" t="s">
        <v>364</v>
      </c>
    </row>
    <row r="38665">
      <c r="H38665" s="8" t="s">
        <v>364</v>
      </c>
    </row>
    <row r="38666">
      <c r="H38666" s="8" t="s">
        <v>364</v>
      </c>
    </row>
    <row r="38667">
      <c r="H38667" s="8" t="s">
        <v>364</v>
      </c>
    </row>
    <row r="38668">
      <c r="H38668" s="8" t="s">
        <v>364</v>
      </c>
    </row>
    <row r="38669">
      <c r="H38669" s="8" t="s">
        <v>364</v>
      </c>
    </row>
    <row r="38670">
      <c r="H38670" s="8" t="s">
        <v>364</v>
      </c>
    </row>
    <row r="38671">
      <c r="H38671" s="8" t="s">
        <v>364</v>
      </c>
    </row>
    <row r="38672">
      <c r="H38672" s="8" t="s">
        <v>364</v>
      </c>
    </row>
    <row r="38673">
      <c r="H38673" s="8" t="s">
        <v>364</v>
      </c>
    </row>
    <row r="38674">
      <c r="H38674" s="8" t="s">
        <v>364</v>
      </c>
    </row>
    <row r="38675">
      <c r="H38675" s="8" t="s">
        <v>364</v>
      </c>
    </row>
    <row r="38676">
      <c r="H38676" s="8" t="s">
        <v>364</v>
      </c>
    </row>
    <row r="38677">
      <c r="H38677" s="8" t="s">
        <v>364</v>
      </c>
    </row>
    <row r="38678">
      <c r="H38678" s="8" t="s">
        <v>364</v>
      </c>
    </row>
    <row r="38679">
      <c r="H38679" s="8" t="s">
        <v>364</v>
      </c>
    </row>
    <row r="38680">
      <c r="H38680" s="8" t="s">
        <v>364</v>
      </c>
    </row>
    <row r="38681">
      <c r="H38681" s="8" t="s">
        <v>364</v>
      </c>
    </row>
    <row r="38682">
      <c r="H38682" s="8" t="s">
        <v>364</v>
      </c>
    </row>
    <row r="38683">
      <c r="H38683" s="8" t="s">
        <v>364</v>
      </c>
    </row>
    <row r="38684">
      <c r="H38684" s="8" t="s">
        <v>364</v>
      </c>
    </row>
    <row r="38685">
      <c r="H38685" s="8" t="s">
        <v>364</v>
      </c>
    </row>
    <row r="38686">
      <c r="H38686" s="8" t="s">
        <v>364</v>
      </c>
    </row>
    <row r="38687">
      <c r="H38687" s="8" t="s">
        <v>364</v>
      </c>
    </row>
    <row r="38688">
      <c r="H38688" s="8" t="s">
        <v>364</v>
      </c>
    </row>
    <row r="38689">
      <c r="H38689" s="8" t="s">
        <v>364</v>
      </c>
    </row>
    <row r="38690">
      <c r="H38690" s="8" t="s">
        <v>364</v>
      </c>
    </row>
    <row r="38691">
      <c r="H38691" s="8" t="s">
        <v>364</v>
      </c>
    </row>
    <row r="38692">
      <c r="H38692" s="8" t="s">
        <v>364</v>
      </c>
    </row>
    <row r="38693">
      <c r="H38693" s="8" t="s">
        <v>364</v>
      </c>
    </row>
    <row r="38694">
      <c r="H38694" s="8" t="s">
        <v>364</v>
      </c>
    </row>
    <row r="38695">
      <c r="H38695" s="8" t="s">
        <v>364</v>
      </c>
    </row>
    <row r="38696">
      <c r="H38696" s="8" t="s">
        <v>364</v>
      </c>
    </row>
    <row r="38697">
      <c r="H38697" s="8" t="s">
        <v>364</v>
      </c>
    </row>
    <row r="38698">
      <c r="H38698" s="8" t="s">
        <v>364</v>
      </c>
    </row>
    <row r="38699">
      <c r="H38699" s="8" t="s">
        <v>364</v>
      </c>
    </row>
    <row r="38700">
      <c r="H38700" s="8" t="s">
        <v>364</v>
      </c>
    </row>
    <row r="38701">
      <c r="H38701" s="8" t="s">
        <v>364</v>
      </c>
    </row>
    <row r="38702">
      <c r="H38702" s="8" t="s">
        <v>364</v>
      </c>
    </row>
    <row r="38703">
      <c r="H38703" s="8" t="s">
        <v>364</v>
      </c>
    </row>
    <row r="38704">
      <c r="H38704" s="8" t="s">
        <v>364</v>
      </c>
    </row>
    <row r="38705">
      <c r="H38705" s="8" t="s">
        <v>364</v>
      </c>
    </row>
    <row r="38706">
      <c r="H38706" s="8" t="s">
        <v>364</v>
      </c>
    </row>
    <row r="38707">
      <c r="H38707" s="8" t="s">
        <v>364</v>
      </c>
    </row>
    <row r="38708">
      <c r="H38708" s="8" t="s">
        <v>364</v>
      </c>
    </row>
    <row r="38709">
      <c r="H38709" s="8" t="s">
        <v>364</v>
      </c>
    </row>
    <row r="38710">
      <c r="H38710" s="8" t="s">
        <v>364</v>
      </c>
    </row>
    <row r="38711">
      <c r="H38711" s="8" t="s">
        <v>364</v>
      </c>
    </row>
    <row r="38712">
      <c r="H38712" s="8" t="s">
        <v>364</v>
      </c>
    </row>
    <row r="38713">
      <c r="H38713" s="8" t="s">
        <v>364</v>
      </c>
    </row>
    <row r="38714">
      <c r="H38714" s="8" t="s">
        <v>364</v>
      </c>
    </row>
    <row r="38715">
      <c r="H38715" s="8" t="s">
        <v>364</v>
      </c>
    </row>
    <row r="38716">
      <c r="H38716" s="8" t="s">
        <v>364</v>
      </c>
    </row>
    <row r="38717">
      <c r="H38717" s="8" t="s">
        <v>364</v>
      </c>
    </row>
    <row r="38718">
      <c r="H38718" s="8" t="s">
        <v>364</v>
      </c>
    </row>
    <row r="38719">
      <c r="H38719" s="8" t="s">
        <v>364</v>
      </c>
    </row>
    <row r="38720">
      <c r="H38720" s="8" t="s">
        <v>364</v>
      </c>
    </row>
    <row r="38721">
      <c r="H38721" s="8" t="s">
        <v>364</v>
      </c>
    </row>
    <row r="38722">
      <c r="H38722" s="8" t="s">
        <v>364</v>
      </c>
    </row>
    <row r="38723">
      <c r="H38723" s="8" t="s">
        <v>364</v>
      </c>
    </row>
    <row r="38724">
      <c r="H38724" s="8" t="s">
        <v>364</v>
      </c>
    </row>
    <row r="38725">
      <c r="H38725" s="8" t="s">
        <v>364</v>
      </c>
    </row>
    <row r="38726">
      <c r="H38726" s="8" t="s">
        <v>364</v>
      </c>
    </row>
    <row r="38727">
      <c r="H38727" s="8" t="s">
        <v>364</v>
      </c>
    </row>
    <row r="38728">
      <c r="H38728" s="8" t="s">
        <v>364</v>
      </c>
    </row>
    <row r="38729">
      <c r="H38729" s="8" t="s">
        <v>364</v>
      </c>
    </row>
    <row r="38730">
      <c r="H38730" s="8" t="s">
        <v>364</v>
      </c>
    </row>
    <row r="38731">
      <c r="H38731" s="8" t="s">
        <v>364</v>
      </c>
    </row>
    <row r="38732">
      <c r="H38732" s="8" t="s">
        <v>364</v>
      </c>
    </row>
    <row r="38733">
      <c r="H38733" s="8" t="s">
        <v>364</v>
      </c>
    </row>
    <row r="38734">
      <c r="H38734" s="8" t="s">
        <v>364</v>
      </c>
    </row>
    <row r="38735">
      <c r="H38735" s="8" t="s">
        <v>364</v>
      </c>
    </row>
    <row r="38736">
      <c r="H38736" s="8" t="s">
        <v>364</v>
      </c>
    </row>
    <row r="38737">
      <c r="H38737" s="8" t="s">
        <v>364</v>
      </c>
    </row>
    <row r="38738">
      <c r="H38738" s="8" t="s">
        <v>364</v>
      </c>
    </row>
    <row r="38739">
      <c r="H38739" s="8" t="s">
        <v>364</v>
      </c>
    </row>
    <row r="38740">
      <c r="H38740" s="8" t="s">
        <v>364</v>
      </c>
    </row>
    <row r="38741">
      <c r="H38741" s="8" t="s">
        <v>364</v>
      </c>
    </row>
    <row r="38742">
      <c r="H38742" s="8" t="s">
        <v>364</v>
      </c>
    </row>
    <row r="38743">
      <c r="H38743" s="8" t="s">
        <v>364</v>
      </c>
    </row>
    <row r="38744">
      <c r="H38744" s="8" t="s">
        <v>364</v>
      </c>
    </row>
    <row r="38745">
      <c r="H38745" s="8" t="s">
        <v>364</v>
      </c>
    </row>
    <row r="38746">
      <c r="H38746" s="8" t="s">
        <v>364</v>
      </c>
    </row>
    <row r="38747">
      <c r="H38747" s="8" t="s">
        <v>364</v>
      </c>
    </row>
    <row r="38748">
      <c r="H38748" s="8" t="s">
        <v>364</v>
      </c>
    </row>
    <row r="38749">
      <c r="H38749" s="8" t="s">
        <v>364</v>
      </c>
    </row>
    <row r="38750">
      <c r="H38750" s="8" t="s">
        <v>364</v>
      </c>
    </row>
    <row r="38751">
      <c r="H38751" s="8" t="s">
        <v>364</v>
      </c>
    </row>
    <row r="38752">
      <c r="H38752" s="8" t="s">
        <v>364</v>
      </c>
    </row>
    <row r="38753">
      <c r="H38753" s="8" t="s">
        <v>364</v>
      </c>
    </row>
    <row r="38754">
      <c r="H38754" s="8" t="s">
        <v>364</v>
      </c>
    </row>
    <row r="38755">
      <c r="H38755" s="8" t="s">
        <v>364</v>
      </c>
    </row>
    <row r="38756">
      <c r="H38756" s="8" t="s">
        <v>364</v>
      </c>
    </row>
    <row r="38757">
      <c r="H38757" s="8" t="s">
        <v>364</v>
      </c>
    </row>
    <row r="38758">
      <c r="H38758" s="8" t="s">
        <v>364</v>
      </c>
    </row>
    <row r="38759">
      <c r="H38759" s="8" t="s">
        <v>364</v>
      </c>
    </row>
    <row r="38760">
      <c r="H38760" s="8" t="s">
        <v>364</v>
      </c>
    </row>
    <row r="38761">
      <c r="H38761" s="8" t="s">
        <v>364</v>
      </c>
    </row>
    <row r="38762">
      <c r="H38762" s="8" t="s">
        <v>364</v>
      </c>
    </row>
    <row r="38763">
      <c r="H38763" s="8" t="s">
        <v>364</v>
      </c>
    </row>
    <row r="38764">
      <c r="H38764" s="8" t="s">
        <v>364</v>
      </c>
    </row>
    <row r="38765">
      <c r="H38765" s="8" t="s">
        <v>364</v>
      </c>
    </row>
    <row r="38766">
      <c r="H38766" s="8" t="s">
        <v>364</v>
      </c>
    </row>
    <row r="38767">
      <c r="H38767" s="8" t="s">
        <v>364</v>
      </c>
    </row>
    <row r="38768">
      <c r="H38768" s="8" t="s">
        <v>364</v>
      </c>
    </row>
    <row r="38769">
      <c r="H38769" s="8" t="s">
        <v>364</v>
      </c>
    </row>
    <row r="38770">
      <c r="H38770" s="8" t="s">
        <v>364</v>
      </c>
    </row>
    <row r="38771">
      <c r="H38771" s="8" t="s">
        <v>364</v>
      </c>
    </row>
    <row r="38772">
      <c r="H38772" s="8" t="s">
        <v>364</v>
      </c>
    </row>
    <row r="38773">
      <c r="H38773" s="8" t="s">
        <v>364</v>
      </c>
    </row>
    <row r="38774">
      <c r="H38774" s="8" t="s">
        <v>364</v>
      </c>
    </row>
    <row r="38775">
      <c r="H38775" s="8" t="s">
        <v>364</v>
      </c>
    </row>
    <row r="38776">
      <c r="H38776" s="8" t="s">
        <v>364</v>
      </c>
    </row>
    <row r="38777">
      <c r="H38777" s="8" t="s">
        <v>364</v>
      </c>
    </row>
    <row r="38778">
      <c r="H38778" s="8" t="s">
        <v>364</v>
      </c>
    </row>
    <row r="38779">
      <c r="H38779" s="8" t="s">
        <v>364</v>
      </c>
    </row>
    <row r="38780">
      <c r="H38780" s="8" t="s">
        <v>364</v>
      </c>
    </row>
    <row r="38781">
      <c r="H38781" s="8" t="s">
        <v>364</v>
      </c>
    </row>
    <row r="38782">
      <c r="H38782" s="8" t="s">
        <v>364</v>
      </c>
    </row>
    <row r="38783">
      <c r="H38783" s="8" t="s">
        <v>364</v>
      </c>
    </row>
    <row r="38784">
      <c r="H38784" s="8" t="s">
        <v>364</v>
      </c>
    </row>
    <row r="38785">
      <c r="H38785" s="8" t="s">
        <v>364</v>
      </c>
    </row>
    <row r="38786">
      <c r="H38786" s="8" t="s">
        <v>364</v>
      </c>
    </row>
    <row r="38787">
      <c r="H38787" s="8" t="s">
        <v>364</v>
      </c>
    </row>
    <row r="38788">
      <c r="H38788" s="8" t="s">
        <v>364</v>
      </c>
    </row>
    <row r="38789">
      <c r="H38789" s="8" t="s">
        <v>364</v>
      </c>
    </row>
    <row r="38790">
      <c r="H38790" s="8" t="s">
        <v>364</v>
      </c>
    </row>
    <row r="38791">
      <c r="H38791" s="8" t="s">
        <v>364</v>
      </c>
    </row>
    <row r="38792">
      <c r="H38792" s="8" t="s">
        <v>364</v>
      </c>
    </row>
    <row r="38793">
      <c r="H38793" s="8" t="s">
        <v>364</v>
      </c>
    </row>
    <row r="38794">
      <c r="H38794" s="8" t="s">
        <v>364</v>
      </c>
    </row>
    <row r="38795">
      <c r="H38795" s="8" t="s">
        <v>364</v>
      </c>
    </row>
    <row r="38796">
      <c r="H38796" s="8" t="s">
        <v>364</v>
      </c>
    </row>
    <row r="38797">
      <c r="H38797" s="8" t="s">
        <v>364</v>
      </c>
    </row>
    <row r="38798">
      <c r="H38798" s="8" t="s">
        <v>364</v>
      </c>
    </row>
    <row r="38799">
      <c r="H38799" s="8" t="s">
        <v>364</v>
      </c>
    </row>
    <row r="38800">
      <c r="H38800" s="8" t="s">
        <v>364</v>
      </c>
    </row>
    <row r="38801">
      <c r="H38801" s="8" t="s">
        <v>364</v>
      </c>
    </row>
    <row r="38802">
      <c r="H38802" s="8" t="s">
        <v>364</v>
      </c>
    </row>
    <row r="38803">
      <c r="H38803" s="8" t="s">
        <v>364</v>
      </c>
    </row>
    <row r="38804">
      <c r="H38804" s="8" t="s">
        <v>364</v>
      </c>
    </row>
    <row r="38805">
      <c r="H38805" s="8" t="s">
        <v>364</v>
      </c>
    </row>
    <row r="38806">
      <c r="H38806" s="8" t="s">
        <v>364</v>
      </c>
    </row>
    <row r="38807">
      <c r="H38807" s="8" t="s">
        <v>364</v>
      </c>
    </row>
    <row r="38808">
      <c r="H38808" s="8" t="s">
        <v>364</v>
      </c>
    </row>
    <row r="38809">
      <c r="H38809" s="8" t="s">
        <v>364</v>
      </c>
    </row>
    <row r="38810">
      <c r="H38810" s="8" t="s">
        <v>364</v>
      </c>
    </row>
    <row r="38811">
      <c r="H38811" s="8" t="s">
        <v>364</v>
      </c>
    </row>
    <row r="38812">
      <c r="H38812" s="8" t="s">
        <v>364</v>
      </c>
    </row>
    <row r="38813">
      <c r="H38813" s="8" t="s">
        <v>364</v>
      </c>
    </row>
    <row r="38814">
      <c r="H38814" s="8" t="s">
        <v>364</v>
      </c>
    </row>
    <row r="38815">
      <c r="H38815" s="8" t="s">
        <v>364</v>
      </c>
    </row>
    <row r="38816">
      <c r="H38816" s="8" t="s">
        <v>364</v>
      </c>
    </row>
    <row r="38817">
      <c r="H38817" s="8" t="s">
        <v>364</v>
      </c>
    </row>
    <row r="38818">
      <c r="H38818" s="8" t="s">
        <v>364</v>
      </c>
    </row>
    <row r="38819">
      <c r="H38819" s="8" t="s">
        <v>364</v>
      </c>
    </row>
    <row r="38820">
      <c r="H38820" s="8" t="s">
        <v>364</v>
      </c>
    </row>
    <row r="38821">
      <c r="H38821" s="8" t="s">
        <v>364</v>
      </c>
    </row>
    <row r="38822">
      <c r="H38822" s="8" t="s">
        <v>364</v>
      </c>
    </row>
    <row r="38823">
      <c r="H38823" s="8" t="s">
        <v>364</v>
      </c>
    </row>
    <row r="38824">
      <c r="H38824" s="8" t="s">
        <v>364</v>
      </c>
    </row>
    <row r="38825">
      <c r="H38825" s="8" t="s">
        <v>364</v>
      </c>
    </row>
    <row r="38826">
      <c r="H38826" s="8" t="s">
        <v>364</v>
      </c>
    </row>
    <row r="38827">
      <c r="H38827" s="8" t="s">
        <v>364</v>
      </c>
    </row>
    <row r="38828">
      <c r="H38828" s="8" t="s">
        <v>364</v>
      </c>
    </row>
    <row r="38829">
      <c r="H38829" s="8" t="s">
        <v>364</v>
      </c>
    </row>
    <row r="38830">
      <c r="H38830" s="8" t="s">
        <v>364</v>
      </c>
    </row>
    <row r="38831">
      <c r="H38831" s="8" t="s">
        <v>364</v>
      </c>
    </row>
    <row r="38832">
      <c r="H38832" s="8" t="s">
        <v>364</v>
      </c>
    </row>
    <row r="38833">
      <c r="H38833" s="8" t="s">
        <v>364</v>
      </c>
    </row>
    <row r="38834">
      <c r="H38834" s="8" t="s">
        <v>364</v>
      </c>
    </row>
    <row r="38835">
      <c r="H38835" s="8" t="s">
        <v>364</v>
      </c>
    </row>
    <row r="38836">
      <c r="H38836" s="8" t="s">
        <v>364</v>
      </c>
    </row>
    <row r="38837">
      <c r="H38837" s="8" t="s">
        <v>364</v>
      </c>
    </row>
    <row r="38838">
      <c r="H38838" s="8" t="s">
        <v>364</v>
      </c>
    </row>
    <row r="38839">
      <c r="H38839" s="8" t="s">
        <v>364</v>
      </c>
    </row>
    <row r="38840">
      <c r="H38840" s="8" t="s">
        <v>364</v>
      </c>
    </row>
    <row r="38841">
      <c r="H38841" s="8" t="s">
        <v>364</v>
      </c>
    </row>
    <row r="38842">
      <c r="H38842" s="8" t="s">
        <v>364</v>
      </c>
    </row>
    <row r="38843">
      <c r="H38843" s="8" t="s">
        <v>364</v>
      </c>
    </row>
    <row r="38844">
      <c r="H38844" s="8" t="s">
        <v>364</v>
      </c>
    </row>
    <row r="38845">
      <c r="H38845" s="8" t="s">
        <v>364</v>
      </c>
    </row>
    <row r="38846">
      <c r="H38846" s="8" t="s">
        <v>364</v>
      </c>
    </row>
    <row r="38847">
      <c r="H38847" s="8" t="s">
        <v>364</v>
      </c>
    </row>
    <row r="38848">
      <c r="H38848" s="8" t="s">
        <v>364</v>
      </c>
    </row>
    <row r="38849">
      <c r="H38849" s="8" t="s">
        <v>364</v>
      </c>
    </row>
    <row r="38850">
      <c r="H38850" s="8" t="s">
        <v>364</v>
      </c>
    </row>
    <row r="38851">
      <c r="H38851" s="8" t="s">
        <v>364</v>
      </c>
    </row>
    <row r="38852">
      <c r="H38852" s="8" t="s">
        <v>364</v>
      </c>
    </row>
    <row r="38853">
      <c r="H38853" s="8" t="s">
        <v>364</v>
      </c>
    </row>
    <row r="38854">
      <c r="H38854" s="8" t="s">
        <v>364</v>
      </c>
    </row>
    <row r="38855">
      <c r="H38855" s="8" t="s">
        <v>364</v>
      </c>
    </row>
    <row r="38856">
      <c r="H38856" s="8" t="s">
        <v>364</v>
      </c>
    </row>
    <row r="38857">
      <c r="H38857" s="8" t="s">
        <v>364</v>
      </c>
    </row>
    <row r="38858">
      <c r="H38858" s="8" t="s">
        <v>364</v>
      </c>
    </row>
    <row r="38859">
      <c r="H38859" s="8" t="s">
        <v>364</v>
      </c>
    </row>
    <row r="38860">
      <c r="H38860" s="8" t="s">
        <v>364</v>
      </c>
    </row>
    <row r="38861">
      <c r="H38861" s="8" t="s">
        <v>364</v>
      </c>
    </row>
    <row r="38862">
      <c r="H38862" s="8" t="s">
        <v>364</v>
      </c>
    </row>
    <row r="38863">
      <c r="H38863" s="8" t="s">
        <v>364</v>
      </c>
    </row>
    <row r="38864">
      <c r="H38864" s="8" t="s">
        <v>364</v>
      </c>
    </row>
    <row r="38865">
      <c r="H38865" s="8" t="s">
        <v>364</v>
      </c>
    </row>
    <row r="38866">
      <c r="H38866" s="8" t="s">
        <v>364</v>
      </c>
    </row>
    <row r="38867">
      <c r="H38867" s="8" t="s">
        <v>364</v>
      </c>
    </row>
    <row r="38868">
      <c r="H38868" s="8" t="s">
        <v>364</v>
      </c>
    </row>
    <row r="38869">
      <c r="H38869" s="8" t="s">
        <v>364</v>
      </c>
    </row>
    <row r="38870">
      <c r="H38870" s="8" t="s">
        <v>364</v>
      </c>
    </row>
    <row r="38871">
      <c r="H38871" s="8" t="s">
        <v>364</v>
      </c>
    </row>
    <row r="38872">
      <c r="H38872" s="8" t="s">
        <v>364</v>
      </c>
    </row>
    <row r="38873">
      <c r="H38873" s="8" t="s">
        <v>364</v>
      </c>
    </row>
    <row r="38874">
      <c r="H38874" s="8" t="s">
        <v>364</v>
      </c>
    </row>
    <row r="38875">
      <c r="H38875" s="8" t="s">
        <v>364</v>
      </c>
    </row>
    <row r="38876">
      <c r="H38876" s="8" t="s">
        <v>364</v>
      </c>
    </row>
    <row r="38877">
      <c r="H38877" s="8" t="s">
        <v>364</v>
      </c>
    </row>
    <row r="38878">
      <c r="H38878" s="8" t="s">
        <v>364</v>
      </c>
    </row>
    <row r="38879">
      <c r="H38879" s="8" t="s">
        <v>364</v>
      </c>
    </row>
    <row r="38880">
      <c r="H38880" s="8" t="s">
        <v>364</v>
      </c>
    </row>
    <row r="38881">
      <c r="H38881" s="8" t="s">
        <v>364</v>
      </c>
    </row>
    <row r="38882">
      <c r="H38882" s="8" t="s">
        <v>364</v>
      </c>
    </row>
    <row r="38883">
      <c r="H38883" s="8" t="s">
        <v>364</v>
      </c>
    </row>
    <row r="38884">
      <c r="H38884" s="8" t="s">
        <v>364</v>
      </c>
    </row>
    <row r="38885">
      <c r="H38885" s="8" t="s">
        <v>364</v>
      </c>
    </row>
    <row r="38886">
      <c r="H38886" s="8" t="s">
        <v>364</v>
      </c>
    </row>
    <row r="38887">
      <c r="H38887" s="8" t="s">
        <v>364</v>
      </c>
    </row>
    <row r="38888">
      <c r="H38888" s="8" t="s">
        <v>364</v>
      </c>
    </row>
    <row r="38889">
      <c r="H38889" s="8" t="s">
        <v>364</v>
      </c>
    </row>
    <row r="38890">
      <c r="H38890" s="8" t="s">
        <v>364</v>
      </c>
    </row>
    <row r="38891">
      <c r="H38891" s="8" t="s">
        <v>364</v>
      </c>
    </row>
    <row r="38892">
      <c r="H38892" s="8" t="s">
        <v>364</v>
      </c>
    </row>
    <row r="38893">
      <c r="H38893" s="8" t="s">
        <v>364</v>
      </c>
    </row>
    <row r="38894">
      <c r="H38894" s="8" t="s">
        <v>364</v>
      </c>
    </row>
    <row r="38895">
      <c r="H38895" s="8" t="s">
        <v>364</v>
      </c>
    </row>
    <row r="38896">
      <c r="H38896" s="8" t="s">
        <v>364</v>
      </c>
    </row>
    <row r="38897">
      <c r="H38897" s="8" t="s">
        <v>364</v>
      </c>
    </row>
    <row r="38898">
      <c r="H38898" s="8" t="s">
        <v>364</v>
      </c>
    </row>
    <row r="38899">
      <c r="H38899" s="8" t="s">
        <v>364</v>
      </c>
    </row>
    <row r="38900">
      <c r="H38900" s="8" t="s">
        <v>364</v>
      </c>
    </row>
    <row r="38901">
      <c r="H38901" s="8" t="s">
        <v>364</v>
      </c>
    </row>
    <row r="38902">
      <c r="H38902" s="8" t="s">
        <v>364</v>
      </c>
    </row>
    <row r="38903">
      <c r="H38903" s="8" t="s">
        <v>364</v>
      </c>
    </row>
    <row r="38904">
      <c r="H38904" s="8" t="s">
        <v>364</v>
      </c>
    </row>
    <row r="38905">
      <c r="H38905" s="8" t="s">
        <v>364</v>
      </c>
    </row>
    <row r="38906">
      <c r="H38906" s="8" t="s">
        <v>364</v>
      </c>
    </row>
    <row r="38907">
      <c r="H38907" s="8" t="s">
        <v>364</v>
      </c>
    </row>
    <row r="38908">
      <c r="H38908" s="8" t="s">
        <v>364</v>
      </c>
    </row>
    <row r="38909">
      <c r="H38909" s="8" t="s">
        <v>364</v>
      </c>
    </row>
    <row r="38910">
      <c r="H38910" s="8" t="s">
        <v>364</v>
      </c>
    </row>
    <row r="38911">
      <c r="H38911" s="8" t="s">
        <v>364</v>
      </c>
    </row>
    <row r="38912">
      <c r="H38912" s="8" t="s">
        <v>364</v>
      </c>
    </row>
    <row r="38913">
      <c r="H38913" s="8" t="s">
        <v>364</v>
      </c>
    </row>
    <row r="38914">
      <c r="H38914" s="8" t="s">
        <v>364</v>
      </c>
    </row>
    <row r="38915">
      <c r="H38915" s="8" t="s">
        <v>364</v>
      </c>
    </row>
    <row r="38916">
      <c r="H38916" s="8" t="s">
        <v>364</v>
      </c>
    </row>
    <row r="38917">
      <c r="H38917" s="8" t="s">
        <v>364</v>
      </c>
    </row>
    <row r="38918">
      <c r="H38918" s="8" t="s">
        <v>364</v>
      </c>
    </row>
    <row r="38919">
      <c r="H38919" s="8" t="s">
        <v>364</v>
      </c>
    </row>
    <row r="38920">
      <c r="H38920" s="8" t="s">
        <v>364</v>
      </c>
    </row>
    <row r="38921">
      <c r="H38921" s="8" t="s">
        <v>364</v>
      </c>
    </row>
    <row r="38922">
      <c r="H38922" s="8" t="s">
        <v>364</v>
      </c>
    </row>
    <row r="38923">
      <c r="H38923" s="8" t="s">
        <v>364</v>
      </c>
    </row>
    <row r="38924">
      <c r="H38924" s="8" t="s">
        <v>364</v>
      </c>
    </row>
    <row r="38925">
      <c r="H38925" s="8" t="s">
        <v>364</v>
      </c>
    </row>
    <row r="38926">
      <c r="H38926" s="8" t="s">
        <v>364</v>
      </c>
    </row>
    <row r="38927">
      <c r="H38927" s="8" t="s">
        <v>364</v>
      </c>
    </row>
    <row r="38928">
      <c r="H38928" s="8" t="s">
        <v>364</v>
      </c>
    </row>
    <row r="38929">
      <c r="H38929" s="8" t="s">
        <v>364</v>
      </c>
    </row>
    <row r="38930">
      <c r="H38930" s="8" t="s">
        <v>364</v>
      </c>
    </row>
    <row r="38931">
      <c r="H38931" s="8" t="s">
        <v>364</v>
      </c>
    </row>
    <row r="38932">
      <c r="H38932" s="8" t="s">
        <v>364</v>
      </c>
    </row>
    <row r="38933">
      <c r="H38933" s="8" t="s">
        <v>364</v>
      </c>
    </row>
    <row r="38934">
      <c r="H38934" s="8" t="s">
        <v>364</v>
      </c>
    </row>
    <row r="38935">
      <c r="H38935" s="8" t="s">
        <v>364</v>
      </c>
    </row>
    <row r="38936">
      <c r="H38936" s="8" t="s">
        <v>364</v>
      </c>
    </row>
    <row r="38937">
      <c r="H38937" s="8" t="s">
        <v>364</v>
      </c>
    </row>
    <row r="38938">
      <c r="H38938" s="8" t="s">
        <v>364</v>
      </c>
    </row>
    <row r="38939">
      <c r="H38939" s="8" t="s">
        <v>364</v>
      </c>
    </row>
    <row r="38940">
      <c r="H38940" s="8" t="s">
        <v>364</v>
      </c>
    </row>
    <row r="38941">
      <c r="H38941" s="8" t="s">
        <v>364</v>
      </c>
    </row>
    <row r="38942">
      <c r="H38942" s="8" t="s">
        <v>364</v>
      </c>
    </row>
    <row r="38943">
      <c r="H38943" s="8" t="s">
        <v>364</v>
      </c>
    </row>
    <row r="38944">
      <c r="H38944" s="8" t="s">
        <v>364</v>
      </c>
    </row>
    <row r="38945">
      <c r="H38945" s="8" t="s">
        <v>364</v>
      </c>
    </row>
    <row r="38946">
      <c r="H38946" s="8" t="s">
        <v>364</v>
      </c>
    </row>
    <row r="38947">
      <c r="H38947" s="8" t="s">
        <v>364</v>
      </c>
    </row>
    <row r="38948">
      <c r="H38948" s="8" t="s">
        <v>364</v>
      </c>
    </row>
    <row r="38949">
      <c r="H38949" s="8" t="s">
        <v>364</v>
      </c>
    </row>
    <row r="38950">
      <c r="H38950" s="8" t="s">
        <v>364</v>
      </c>
    </row>
    <row r="38951">
      <c r="H38951" s="8" t="s">
        <v>364</v>
      </c>
    </row>
    <row r="38952">
      <c r="H38952" s="8" t="s">
        <v>364</v>
      </c>
    </row>
    <row r="38953">
      <c r="H38953" s="8" t="s">
        <v>364</v>
      </c>
    </row>
    <row r="38954">
      <c r="H38954" s="8" t="s">
        <v>364</v>
      </c>
    </row>
    <row r="38955">
      <c r="H38955" s="8" t="s">
        <v>364</v>
      </c>
    </row>
    <row r="38956">
      <c r="H38956" s="8" t="s">
        <v>364</v>
      </c>
    </row>
    <row r="38957">
      <c r="H38957" s="8" t="s">
        <v>364</v>
      </c>
    </row>
    <row r="38958">
      <c r="H38958" s="8" t="s">
        <v>364</v>
      </c>
    </row>
    <row r="38959">
      <c r="H38959" s="8" t="s">
        <v>364</v>
      </c>
    </row>
    <row r="38960">
      <c r="H38960" s="8" t="s">
        <v>364</v>
      </c>
    </row>
    <row r="38961">
      <c r="H38961" s="8" t="s">
        <v>364</v>
      </c>
    </row>
    <row r="38962">
      <c r="H38962" s="8" t="s">
        <v>364</v>
      </c>
    </row>
    <row r="38963">
      <c r="H38963" s="8" t="s">
        <v>364</v>
      </c>
    </row>
    <row r="38964">
      <c r="H38964" s="8" t="s">
        <v>364</v>
      </c>
    </row>
    <row r="38965">
      <c r="H38965" s="8" t="s">
        <v>364</v>
      </c>
    </row>
    <row r="38966">
      <c r="H38966" s="8" t="s">
        <v>364</v>
      </c>
    </row>
    <row r="38967">
      <c r="H38967" s="8" t="s">
        <v>364</v>
      </c>
    </row>
    <row r="38968">
      <c r="H38968" s="8" t="s">
        <v>364</v>
      </c>
    </row>
    <row r="38969">
      <c r="H38969" s="8" t="s">
        <v>364</v>
      </c>
    </row>
    <row r="38970">
      <c r="H38970" s="8" t="s">
        <v>364</v>
      </c>
    </row>
    <row r="38971">
      <c r="H38971" s="8" t="s">
        <v>364</v>
      </c>
    </row>
    <row r="38972">
      <c r="H38972" s="8" t="s">
        <v>364</v>
      </c>
    </row>
    <row r="38973">
      <c r="H38973" s="8" t="s">
        <v>364</v>
      </c>
    </row>
    <row r="38974">
      <c r="H38974" s="8" t="s">
        <v>364</v>
      </c>
    </row>
    <row r="38975">
      <c r="H38975" s="8" t="s">
        <v>364</v>
      </c>
    </row>
    <row r="38976">
      <c r="H38976" s="8" t="s">
        <v>364</v>
      </c>
    </row>
    <row r="38977">
      <c r="H38977" s="8" t="s">
        <v>364</v>
      </c>
    </row>
    <row r="38978">
      <c r="H38978" s="8" t="s">
        <v>364</v>
      </c>
    </row>
    <row r="38979">
      <c r="H38979" s="8" t="s">
        <v>364</v>
      </c>
    </row>
    <row r="38980">
      <c r="H38980" s="8" t="s">
        <v>364</v>
      </c>
    </row>
    <row r="38981">
      <c r="H38981" s="8" t="s">
        <v>364</v>
      </c>
    </row>
    <row r="38982">
      <c r="H38982" s="8" t="s">
        <v>364</v>
      </c>
    </row>
    <row r="38983">
      <c r="H38983" s="8" t="s">
        <v>364</v>
      </c>
    </row>
    <row r="38984">
      <c r="H38984" s="8" t="s">
        <v>364</v>
      </c>
    </row>
    <row r="38985">
      <c r="H38985" s="8" t="s">
        <v>364</v>
      </c>
    </row>
    <row r="38986">
      <c r="H38986" s="8" t="s">
        <v>364</v>
      </c>
    </row>
    <row r="38987">
      <c r="H38987" s="8" t="s">
        <v>364</v>
      </c>
    </row>
    <row r="38988">
      <c r="H38988" s="8" t="s">
        <v>364</v>
      </c>
    </row>
    <row r="38989">
      <c r="H38989" s="8" t="s">
        <v>364</v>
      </c>
    </row>
    <row r="38990">
      <c r="H38990" s="8" t="s">
        <v>364</v>
      </c>
    </row>
    <row r="38991">
      <c r="H38991" s="8" t="s">
        <v>364</v>
      </c>
    </row>
    <row r="38992">
      <c r="H38992" s="8" t="s">
        <v>364</v>
      </c>
    </row>
    <row r="38993">
      <c r="H38993" s="8" t="s">
        <v>364</v>
      </c>
    </row>
    <row r="38994">
      <c r="H38994" s="8" t="s">
        <v>364</v>
      </c>
    </row>
    <row r="38995">
      <c r="H38995" s="8" t="s">
        <v>364</v>
      </c>
    </row>
    <row r="38996">
      <c r="H38996" s="8" t="s">
        <v>364</v>
      </c>
    </row>
    <row r="38997">
      <c r="H38997" s="8" t="s">
        <v>364</v>
      </c>
    </row>
    <row r="38998">
      <c r="H38998" s="8" t="s">
        <v>364</v>
      </c>
    </row>
    <row r="38999">
      <c r="H38999" s="8" t="s">
        <v>364</v>
      </c>
    </row>
    <row r="39000">
      <c r="H39000" s="8" t="s">
        <v>364</v>
      </c>
    </row>
    <row r="39001">
      <c r="H39001" s="8" t="s">
        <v>364</v>
      </c>
    </row>
    <row r="39002">
      <c r="H39002" s="8" t="s">
        <v>364</v>
      </c>
    </row>
    <row r="39003">
      <c r="H39003" s="8" t="s">
        <v>364</v>
      </c>
    </row>
    <row r="39004">
      <c r="H39004" s="8" t="s">
        <v>364</v>
      </c>
    </row>
    <row r="39005">
      <c r="H39005" s="8" t="s">
        <v>364</v>
      </c>
    </row>
    <row r="39006">
      <c r="H39006" s="8" t="s">
        <v>364</v>
      </c>
    </row>
    <row r="39007">
      <c r="H39007" s="8" t="s">
        <v>364</v>
      </c>
    </row>
    <row r="39008">
      <c r="H39008" s="8" t="s">
        <v>364</v>
      </c>
    </row>
    <row r="39009">
      <c r="H39009" s="8" t="s">
        <v>364</v>
      </c>
    </row>
    <row r="39010">
      <c r="H39010" s="8" t="s">
        <v>364</v>
      </c>
    </row>
    <row r="39011">
      <c r="H39011" s="8" t="s">
        <v>364</v>
      </c>
    </row>
    <row r="39012">
      <c r="H39012" s="8" t="s">
        <v>364</v>
      </c>
    </row>
    <row r="39013">
      <c r="H39013" s="8" t="s">
        <v>364</v>
      </c>
    </row>
    <row r="39014">
      <c r="H39014" s="8" t="s">
        <v>364</v>
      </c>
    </row>
    <row r="39015">
      <c r="H39015" s="8" t="s">
        <v>364</v>
      </c>
    </row>
    <row r="39016">
      <c r="H39016" s="8" t="s">
        <v>364</v>
      </c>
    </row>
    <row r="39017">
      <c r="H39017" s="8" t="s">
        <v>364</v>
      </c>
    </row>
    <row r="39018">
      <c r="H39018" s="8" t="s">
        <v>364</v>
      </c>
    </row>
    <row r="39019">
      <c r="H39019" s="8" t="s">
        <v>364</v>
      </c>
    </row>
    <row r="39020">
      <c r="H39020" s="8" t="s">
        <v>364</v>
      </c>
    </row>
    <row r="39021">
      <c r="H39021" s="8" t="s">
        <v>364</v>
      </c>
    </row>
    <row r="39022">
      <c r="H39022" s="8" t="s">
        <v>364</v>
      </c>
    </row>
    <row r="39023">
      <c r="H39023" s="8" t="s">
        <v>364</v>
      </c>
    </row>
    <row r="39024">
      <c r="H39024" s="8" t="s">
        <v>364</v>
      </c>
    </row>
    <row r="39025">
      <c r="H39025" s="8" t="s">
        <v>364</v>
      </c>
    </row>
    <row r="39026">
      <c r="H39026" s="8" t="s">
        <v>364</v>
      </c>
    </row>
    <row r="39027">
      <c r="H39027" s="8" t="s">
        <v>364</v>
      </c>
    </row>
    <row r="39028">
      <c r="H39028" s="8" t="s">
        <v>364</v>
      </c>
    </row>
    <row r="39029">
      <c r="H39029" s="8" t="s">
        <v>364</v>
      </c>
    </row>
    <row r="39030">
      <c r="H39030" s="8" t="s">
        <v>364</v>
      </c>
    </row>
    <row r="39031">
      <c r="H39031" s="8" t="s">
        <v>364</v>
      </c>
    </row>
    <row r="39032">
      <c r="H39032" s="8" t="s">
        <v>364</v>
      </c>
    </row>
    <row r="39033">
      <c r="H39033" s="8" t="s">
        <v>364</v>
      </c>
    </row>
    <row r="39034">
      <c r="H39034" s="8" t="s">
        <v>364</v>
      </c>
    </row>
    <row r="39035">
      <c r="H39035" s="8" t="s">
        <v>364</v>
      </c>
    </row>
    <row r="39036">
      <c r="H39036" s="8" t="s">
        <v>364</v>
      </c>
    </row>
    <row r="39037">
      <c r="H39037" s="8" t="s">
        <v>364</v>
      </c>
    </row>
    <row r="39038">
      <c r="H39038" s="8" t="s">
        <v>364</v>
      </c>
    </row>
    <row r="39039">
      <c r="H39039" s="8" t="s">
        <v>364</v>
      </c>
    </row>
    <row r="39040">
      <c r="H39040" s="8" t="s">
        <v>364</v>
      </c>
    </row>
    <row r="39041">
      <c r="H39041" s="8" t="s">
        <v>364</v>
      </c>
    </row>
    <row r="39042">
      <c r="H39042" s="8" t="s">
        <v>364</v>
      </c>
    </row>
    <row r="39043">
      <c r="H39043" s="8" t="s">
        <v>364</v>
      </c>
    </row>
    <row r="39044">
      <c r="H39044" s="8" t="s">
        <v>364</v>
      </c>
    </row>
    <row r="39045">
      <c r="H39045" s="8" t="s">
        <v>364</v>
      </c>
    </row>
    <row r="39046">
      <c r="H39046" s="8" t="s">
        <v>364</v>
      </c>
    </row>
    <row r="39047">
      <c r="H39047" s="8" t="s">
        <v>364</v>
      </c>
    </row>
    <row r="39048">
      <c r="H39048" s="8" t="s">
        <v>364</v>
      </c>
    </row>
    <row r="39049">
      <c r="H39049" s="8" t="s">
        <v>364</v>
      </c>
    </row>
    <row r="39050">
      <c r="H39050" s="8" t="s">
        <v>364</v>
      </c>
    </row>
    <row r="39051">
      <c r="H39051" s="8" t="s">
        <v>364</v>
      </c>
    </row>
    <row r="39052">
      <c r="H39052" s="8" t="s">
        <v>364</v>
      </c>
    </row>
    <row r="39053">
      <c r="H39053" s="8" t="s">
        <v>364</v>
      </c>
    </row>
    <row r="39054">
      <c r="H39054" s="8" t="s">
        <v>364</v>
      </c>
    </row>
    <row r="39055">
      <c r="H39055" s="8" t="s">
        <v>364</v>
      </c>
    </row>
    <row r="39056">
      <c r="H39056" s="8" t="s">
        <v>364</v>
      </c>
    </row>
    <row r="39057">
      <c r="H39057" s="8" t="s">
        <v>364</v>
      </c>
    </row>
    <row r="39058">
      <c r="H39058" s="8" t="s">
        <v>364</v>
      </c>
    </row>
    <row r="39059">
      <c r="H39059" s="8" t="s">
        <v>364</v>
      </c>
    </row>
    <row r="39060">
      <c r="H39060" s="8" t="s">
        <v>364</v>
      </c>
    </row>
    <row r="39061">
      <c r="H39061" s="8" t="s">
        <v>364</v>
      </c>
    </row>
    <row r="39062">
      <c r="H39062" s="8" t="s">
        <v>364</v>
      </c>
    </row>
    <row r="39063">
      <c r="H39063" s="8" t="s">
        <v>364</v>
      </c>
    </row>
    <row r="39064">
      <c r="H39064" s="8" t="s">
        <v>364</v>
      </c>
    </row>
    <row r="39065">
      <c r="H39065" s="8" t="s">
        <v>364</v>
      </c>
    </row>
    <row r="39066">
      <c r="H39066" s="8" t="s">
        <v>364</v>
      </c>
    </row>
    <row r="39067">
      <c r="H39067" s="8" t="s">
        <v>364</v>
      </c>
    </row>
    <row r="39068">
      <c r="H39068" s="8" t="s">
        <v>364</v>
      </c>
    </row>
    <row r="39069">
      <c r="H39069" s="8" t="s">
        <v>364</v>
      </c>
    </row>
    <row r="39070">
      <c r="H39070" s="8" t="s">
        <v>364</v>
      </c>
    </row>
    <row r="39071">
      <c r="H39071" s="8" t="s">
        <v>364</v>
      </c>
    </row>
    <row r="39072">
      <c r="H39072" s="8" t="s">
        <v>364</v>
      </c>
    </row>
    <row r="39073">
      <c r="H39073" s="8" t="s">
        <v>364</v>
      </c>
    </row>
    <row r="39074">
      <c r="H39074" s="8" t="s">
        <v>364</v>
      </c>
    </row>
    <row r="39075">
      <c r="H39075" s="8" t="s">
        <v>364</v>
      </c>
    </row>
    <row r="39076">
      <c r="H39076" s="8" t="s">
        <v>364</v>
      </c>
    </row>
    <row r="39077">
      <c r="H39077" s="8" t="s">
        <v>364</v>
      </c>
    </row>
    <row r="39078">
      <c r="H39078" s="8" t="s">
        <v>364</v>
      </c>
    </row>
    <row r="39079">
      <c r="H39079" s="8" t="s">
        <v>364</v>
      </c>
    </row>
    <row r="39080">
      <c r="H39080" s="8" t="s">
        <v>364</v>
      </c>
    </row>
    <row r="39081">
      <c r="H39081" s="8" t="s">
        <v>364</v>
      </c>
    </row>
    <row r="39082">
      <c r="H39082" s="8" t="s">
        <v>364</v>
      </c>
    </row>
    <row r="39083">
      <c r="H39083" s="8" t="s">
        <v>364</v>
      </c>
    </row>
    <row r="39084">
      <c r="H39084" s="8" t="s">
        <v>364</v>
      </c>
    </row>
    <row r="39085">
      <c r="H39085" s="8" t="s">
        <v>364</v>
      </c>
    </row>
    <row r="39086">
      <c r="H39086" s="8" t="s">
        <v>364</v>
      </c>
    </row>
    <row r="39087">
      <c r="H39087" s="8" t="s">
        <v>364</v>
      </c>
    </row>
    <row r="39088">
      <c r="H39088" s="8" t="s">
        <v>364</v>
      </c>
    </row>
    <row r="39089">
      <c r="H39089" s="8" t="s">
        <v>364</v>
      </c>
    </row>
    <row r="39090">
      <c r="H39090" s="8" t="s">
        <v>364</v>
      </c>
    </row>
    <row r="39091">
      <c r="H39091" s="8" t="s">
        <v>364</v>
      </c>
    </row>
    <row r="39092">
      <c r="H39092" s="8" t="s">
        <v>364</v>
      </c>
    </row>
    <row r="39093">
      <c r="H39093" s="8" t="s">
        <v>364</v>
      </c>
    </row>
    <row r="39094">
      <c r="H39094" s="8" t="s">
        <v>364</v>
      </c>
    </row>
    <row r="39095">
      <c r="H39095" s="8" t="s">
        <v>364</v>
      </c>
    </row>
    <row r="39096">
      <c r="H39096" s="8" t="s">
        <v>364</v>
      </c>
    </row>
    <row r="39097">
      <c r="H39097" s="8" t="s">
        <v>364</v>
      </c>
    </row>
    <row r="39098">
      <c r="H39098" s="8" t="s">
        <v>364</v>
      </c>
    </row>
    <row r="39099">
      <c r="H39099" s="8" t="s">
        <v>364</v>
      </c>
    </row>
    <row r="39100">
      <c r="H39100" s="8" t="s">
        <v>364</v>
      </c>
    </row>
    <row r="39101">
      <c r="H39101" s="8" t="s">
        <v>364</v>
      </c>
    </row>
    <row r="39102">
      <c r="H39102" s="8" t="s">
        <v>364</v>
      </c>
    </row>
    <row r="39103">
      <c r="H39103" s="8" t="s">
        <v>364</v>
      </c>
    </row>
    <row r="39104">
      <c r="H39104" s="8" t="s">
        <v>364</v>
      </c>
    </row>
    <row r="39105">
      <c r="H39105" s="8" t="s">
        <v>364</v>
      </c>
    </row>
    <row r="39106">
      <c r="H39106" s="8" t="s">
        <v>364</v>
      </c>
    </row>
    <row r="39107">
      <c r="H39107" s="8" t="s">
        <v>364</v>
      </c>
    </row>
    <row r="39108">
      <c r="H39108" s="8" t="s">
        <v>364</v>
      </c>
    </row>
    <row r="39109">
      <c r="H39109" s="8" t="s">
        <v>364</v>
      </c>
    </row>
    <row r="39110">
      <c r="H39110" s="8" t="s">
        <v>364</v>
      </c>
    </row>
    <row r="39111">
      <c r="H39111" s="8" t="s">
        <v>364</v>
      </c>
    </row>
    <row r="39112">
      <c r="H39112" s="8" t="s">
        <v>364</v>
      </c>
    </row>
    <row r="39113">
      <c r="H39113" s="8" t="s">
        <v>364</v>
      </c>
    </row>
    <row r="39114">
      <c r="H39114" s="8" t="s">
        <v>364</v>
      </c>
    </row>
    <row r="39115">
      <c r="H39115" s="8" t="s">
        <v>364</v>
      </c>
    </row>
    <row r="39116">
      <c r="H39116" s="8" t="s">
        <v>364</v>
      </c>
    </row>
    <row r="39117">
      <c r="H39117" s="8" t="s">
        <v>364</v>
      </c>
    </row>
    <row r="39118">
      <c r="H39118" s="8" t="s">
        <v>364</v>
      </c>
    </row>
    <row r="39119">
      <c r="H39119" s="8" t="s">
        <v>364</v>
      </c>
    </row>
    <row r="39120">
      <c r="H39120" s="8" t="s">
        <v>364</v>
      </c>
    </row>
    <row r="39121">
      <c r="H39121" s="8" t="s">
        <v>364</v>
      </c>
    </row>
    <row r="39122">
      <c r="H39122" s="8" t="s">
        <v>364</v>
      </c>
    </row>
    <row r="39123">
      <c r="H39123" s="8" t="s">
        <v>364</v>
      </c>
    </row>
    <row r="39124">
      <c r="H39124" s="8" t="s">
        <v>364</v>
      </c>
    </row>
    <row r="39125">
      <c r="H39125" s="8" t="s">
        <v>364</v>
      </c>
    </row>
    <row r="39126">
      <c r="H39126" s="8" t="s">
        <v>364</v>
      </c>
    </row>
    <row r="39127">
      <c r="H39127" s="8" t="s">
        <v>364</v>
      </c>
    </row>
    <row r="39128">
      <c r="H39128" s="8" t="s">
        <v>364</v>
      </c>
    </row>
    <row r="39129">
      <c r="H39129" s="8" t="s">
        <v>364</v>
      </c>
    </row>
    <row r="39130">
      <c r="H39130" s="8" t="s">
        <v>364</v>
      </c>
    </row>
    <row r="39131">
      <c r="H39131" s="8" t="s">
        <v>364</v>
      </c>
    </row>
    <row r="39132">
      <c r="H39132" s="8" t="s">
        <v>364</v>
      </c>
    </row>
    <row r="39133">
      <c r="H39133" s="8" t="s">
        <v>364</v>
      </c>
    </row>
    <row r="39134">
      <c r="H39134" s="8" t="s">
        <v>364</v>
      </c>
    </row>
    <row r="39135">
      <c r="H39135" s="8" t="s">
        <v>364</v>
      </c>
    </row>
    <row r="39136">
      <c r="H39136" s="8" t="s">
        <v>364</v>
      </c>
    </row>
    <row r="39137">
      <c r="H39137" s="8" t="s">
        <v>364</v>
      </c>
    </row>
    <row r="39138">
      <c r="H39138" s="8" t="s">
        <v>364</v>
      </c>
    </row>
    <row r="39139">
      <c r="H39139" s="8" t="s">
        <v>364</v>
      </c>
    </row>
    <row r="39140">
      <c r="H39140" s="8" t="s">
        <v>364</v>
      </c>
    </row>
    <row r="39141">
      <c r="H39141" s="8" t="s">
        <v>364</v>
      </c>
    </row>
    <row r="39142">
      <c r="H39142" s="8" t="s">
        <v>364</v>
      </c>
    </row>
    <row r="39143">
      <c r="H39143" s="8" t="s">
        <v>364</v>
      </c>
    </row>
    <row r="39144">
      <c r="H39144" s="8" t="s">
        <v>364</v>
      </c>
    </row>
    <row r="39145">
      <c r="H39145" s="8" t="s">
        <v>364</v>
      </c>
    </row>
    <row r="39146">
      <c r="H39146" s="8" t="s">
        <v>364</v>
      </c>
    </row>
    <row r="39147">
      <c r="H39147" s="8" t="s">
        <v>364</v>
      </c>
    </row>
    <row r="39148">
      <c r="H39148" s="8" t="s">
        <v>364</v>
      </c>
    </row>
    <row r="39149">
      <c r="H39149" s="8" t="s">
        <v>364</v>
      </c>
    </row>
    <row r="39150">
      <c r="H39150" s="8" t="s">
        <v>364</v>
      </c>
    </row>
    <row r="39151">
      <c r="H39151" s="8" t="s">
        <v>364</v>
      </c>
    </row>
    <row r="39152">
      <c r="H39152" s="8" t="s">
        <v>364</v>
      </c>
    </row>
    <row r="39153">
      <c r="H39153" s="8" t="s">
        <v>364</v>
      </c>
    </row>
    <row r="39154">
      <c r="H39154" s="8" t="s">
        <v>364</v>
      </c>
    </row>
    <row r="39155">
      <c r="H39155" s="8" t="s">
        <v>364</v>
      </c>
    </row>
    <row r="39156">
      <c r="H39156" s="8" t="s">
        <v>364</v>
      </c>
    </row>
    <row r="39157">
      <c r="H39157" s="8" t="s">
        <v>364</v>
      </c>
    </row>
    <row r="39158">
      <c r="H39158" s="8" t="s">
        <v>364</v>
      </c>
    </row>
    <row r="39159">
      <c r="H39159" s="8" t="s">
        <v>364</v>
      </c>
    </row>
    <row r="39160">
      <c r="H39160" s="8" t="s">
        <v>364</v>
      </c>
    </row>
    <row r="39161">
      <c r="H39161" s="8" t="s">
        <v>364</v>
      </c>
    </row>
    <row r="39162">
      <c r="H39162" s="8" t="s">
        <v>364</v>
      </c>
    </row>
    <row r="39163">
      <c r="H39163" s="8" t="s">
        <v>364</v>
      </c>
    </row>
    <row r="39164">
      <c r="H39164" s="8" t="s">
        <v>364</v>
      </c>
    </row>
    <row r="39165">
      <c r="H39165" s="8" t="s">
        <v>364</v>
      </c>
    </row>
    <row r="39166">
      <c r="H39166" s="8" t="s">
        <v>364</v>
      </c>
    </row>
    <row r="39167">
      <c r="H39167" s="8" t="s">
        <v>364</v>
      </c>
    </row>
    <row r="39168">
      <c r="H39168" s="8" t="s">
        <v>364</v>
      </c>
    </row>
    <row r="39169">
      <c r="H39169" s="8" t="s">
        <v>364</v>
      </c>
    </row>
    <row r="39170">
      <c r="H39170" s="8" t="s">
        <v>364</v>
      </c>
    </row>
    <row r="39171">
      <c r="H39171" s="8" t="s">
        <v>364</v>
      </c>
    </row>
    <row r="39172">
      <c r="H39172" s="8" t="s">
        <v>364</v>
      </c>
    </row>
    <row r="39173">
      <c r="H39173" s="8" t="s">
        <v>364</v>
      </c>
    </row>
    <row r="39174">
      <c r="H39174" s="8" t="s">
        <v>364</v>
      </c>
    </row>
    <row r="39175">
      <c r="H39175" s="8" t="s">
        <v>364</v>
      </c>
    </row>
    <row r="39176">
      <c r="H39176" s="8" t="s">
        <v>364</v>
      </c>
    </row>
    <row r="39177">
      <c r="H39177" s="8" t="s">
        <v>364</v>
      </c>
    </row>
    <row r="39178">
      <c r="H39178" s="8" t="s">
        <v>364</v>
      </c>
    </row>
    <row r="39179">
      <c r="H39179" s="8" t="s">
        <v>364</v>
      </c>
    </row>
    <row r="39180">
      <c r="H39180" s="8" t="s">
        <v>364</v>
      </c>
    </row>
    <row r="39181">
      <c r="H39181" s="8" t="s">
        <v>364</v>
      </c>
    </row>
    <row r="39182">
      <c r="H39182" s="8" t="s">
        <v>364</v>
      </c>
    </row>
    <row r="39183">
      <c r="H39183" s="8" t="s">
        <v>364</v>
      </c>
    </row>
    <row r="39184">
      <c r="H39184" s="8" t="s">
        <v>364</v>
      </c>
    </row>
    <row r="39185">
      <c r="H39185" s="8" t="s">
        <v>364</v>
      </c>
    </row>
    <row r="39186">
      <c r="H39186" s="8" t="s">
        <v>364</v>
      </c>
    </row>
    <row r="39187">
      <c r="H39187" s="8" t="s">
        <v>364</v>
      </c>
    </row>
    <row r="39188">
      <c r="H39188" s="8" t="s">
        <v>364</v>
      </c>
    </row>
    <row r="39189">
      <c r="H39189" s="8" t="s">
        <v>364</v>
      </c>
    </row>
    <row r="39190">
      <c r="H39190" s="8" t="s">
        <v>364</v>
      </c>
    </row>
    <row r="39191">
      <c r="H39191" s="8" t="s">
        <v>364</v>
      </c>
    </row>
    <row r="39192">
      <c r="H39192" s="8" t="s">
        <v>364</v>
      </c>
    </row>
    <row r="39193">
      <c r="H39193" s="8" t="s">
        <v>364</v>
      </c>
    </row>
    <row r="39194">
      <c r="H39194" s="8" t="s">
        <v>364</v>
      </c>
    </row>
    <row r="39195">
      <c r="H39195" s="8" t="s">
        <v>364</v>
      </c>
    </row>
    <row r="39196">
      <c r="H39196" s="8" t="s">
        <v>364</v>
      </c>
    </row>
    <row r="39197">
      <c r="H39197" s="8" t="s">
        <v>364</v>
      </c>
    </row>
    <row r="39198">
      <c r="H39198" s="8" t="s">
        <v>364</v>
      </c>
    </row>
    <row r="39199">
      <c r="H39199" s="8" t="s">
        <v>364</v>
      </c>
    </row>
    <row r="39200">
      <c r="H39200" s="8" t="s">
        <v>364</v>
      </c>
    </row>
    <row r="39201">
      <c r="H39201" s="8" t="s">
        <v>364</v>
      </c>
    </row>
    <row r="39202">
      <c r="H39202" s="8" t="s">
        <v>364</v>
      </c>
    </row>
    <row r="39203">
      <c r="H39203" s="8" t="s">
        <v>364</v>
      </c>
    </row>
    <row r="39204">
      <c r="H39204" s="8" t="s">
        <v>364</v>
      </c>
    </row>
    <row r="39205">
      <c r="H39205" s="8" t="s">
        <v>364</v>
      </c>
    </row>
    <row r="39206">
      <c r="H39206" s="8" t="s">
        <v>364</v>
      </c>
    </row>
    <row r="39207">
      <c r="H39207" s="8" t="s">
        <v>364</v>
      </c>
    </row>
    <row r="39208">
      <c r="H39208" s="8" t="s">
        <v>364</v>
      </c>
    </row>
    <row r="39209">
      <c r="H39209" s="8" t="s">
        <v>364</v>
      </c>
    </row>
    <row r="39210">
      <c r="H39210" s="8" t="s">
        <v>364</v>
      </c>
    </row>
    <row r="39211">
      <c r="H39211" s="8" t="s">
        <v>364</v>
      </c>
    </row>
    <row r="39212">
      <c r="H39212" s="8" t="s">
        <v>364</v>
      </c>
    </row>
    <row r="39213">
      <c r="H39213" s="8" t="s">
        <v>364</v>
      </c>
    </row>
    <row r="39214">
      <c r="H39214" s="8" t="s">
        <v>364</v>
      </c>
    </row>
    <row r="39215">
      <c r="H39215" s="8" t="s">
        <v>364</v>
      </c>
    </row>
    <row r="39216">
      <c r="H39216" s="8" t="s">
        <v>364</v>
      </c>
    </row>
    <row r="39217">
      <c r="H39217" s="8" t="s">
        <v>364</v>
      </c>
    </row>
    <row r="39218">
      <c r="H39218" s="8" t="s">
        <v>364</v>
      </c>
    </row>
    <row r="39219">
      <c r="H39219" s="8" t="s">
        <v>364</v>
      </c>
    </row>
    <row r="39220">
      <c r="H39220" s="8" t="s">
        <v>364</v>
      </c>
    </row>
    <row r="39221">
      <c r="H39221" s="8" t="s">
        <v>364</v>
      </c>
    </row>
    <row r="39222">
      <c r="H39222" s="8" t="s">
        <v>364</v>
      </c>
    </row>
    <row r="39223">
      <c r="H39223" s="8" t="s">
        <v>364</v>
      </c>
    </row>
    <row r="39224">
      <c r="H39224" s="8" t="s">
        <v>364</v>
      </c>
    </row>
    <row r="39225">
      <c r="H39225" s="8" t="s">
        <v>364</v>
      </c>
    </row>
    <row r="39226">
      <c r="H39226" s="8" t="s">
        <v>364</v>
      </c>
    </row>
    <row r="39227">
      <c r="H39227" s="8" t="s">
        <v>364</v>
      </c>
    </row>
    <row r="39228">
      <c r="H39228" s="8" t="s">
        <v>364</v>
      </c>
    </row>
    <row r="39229">
      <c r="H39229" s="8" t="s">
        <v>364</v>
      </c>
    </row>
    <row r="39230">
      <c r="H39230" s="8" t="s">
        <v>364</v>
      </c>
    </row>
    <row r="39231">
      <c r="H39231" s="8" t="s">
        <v>364</v>
      </c>
    </row>
    <row r="39232">
      <c r="H39232" s="8" t="s">
        <v>364</v>
      </c>
    </row>
    <row r="39233">
      <c r="H39233" s="8" t="s">
        <v>364</v>
      </c>
    </row>
    <row r="39234">
      <c r="H39234" s="8" t="s">
        <v>364</v>
      </c>
    </row>
    <row r="39235">
      <c r="H39235" s="8" t="s">
        <v>364</v>
      </c>
    </row>
    <row r="39236">
      <c r="H39236" s="8" t="s">
        <v>364</v>
      </c>
    </row>
    <row r="39237">
      <c r="H39237" s="8" t="s">
        <v>364</v>
      </c>
    </row>
    <row r="39238">
      <c r="H39238" s="8" t="s">
        <v>364</v>
      </c>
    </row>
    <row r="39239">
      <c r="H39239" s="8" t="s">
        <v>364</v>
      </c>
    </row>
    <row r="39240">
      <c r="H39240" s="8" t="s">
        <v>364</v>
      </c>
    </row>
    <row r="39241">
      <c r="H39241" s="8" t="s">
        <v>364</v>
      </c>
    </row>
    <row r="39242">
      <c r="H39242" s="8" t="s">
        <v>364</v>
      </c>
    </row>
    <row r="39243">
      <c r="H39243" s="8" t="s">
        <v>364</v>
      </c>
    </row>
    <row r="39244">
      <c r="H39244" s="8" t="s">
        <v>364</v>
      </c>
    </row>
    <row r="39245">
      <c r="H39245" s="8" t="s">
        <v>364</v>
      </c>
    </row>
    <row r="39246">
      <c r="H39246" s="8" t="s">
        <v>364</v>
      </c>
    </row>
    <row r="39247">
      <c r="H39247" s="8" t="s">
        <v>364</v>
      </c>
    </row>
    <row r="39248">
      <c r="H39248" s="8" t="s">
        <v>364</v>
      </c>
    </row>
    <row r="39249">
      <c r="H39249" s="8" t="s">
        <v>364</v>
      </c>
    </row>
    <row r="39250">
      <c r="H39250" s="8" t="s">
        <v>364</v>
      </c>
    </row>
    <row r="39251">
      <c r="H39251" s="8" t="s">
        <v>364</v>
      </c>
    </row>
    <row r="39252">
      <c r="H39252" s="8" t="s">
        <v>364</v>
      </c>
    </row>
    <row r="39253">
      <c r="H39253" s="8" t="s">
        <v>364</v>
      </c>
    </row>
    <row r="39254">
      <c r="H39254" s="8" t="s">
        <v>364</v>
      </c>
    </row>
    <row r="39255">
      <c r="H39255" s="8" t="s">
        <v>364</v>
      </c>
    </row>
    <row r="39256">
      <c r="H39256" s="8" t="s">
        <v>364</v>
      </c>
    </row>
    <row r="39257">
      <c r="H39257" s="8" t="s">
        <v>364</v>
      </c>
    </row>
    <row r="39258">
      <c r="H39258" s="8" t="s">
        <v>364</v>
      </c>
    </row>
    <row r="39259">
      <c r="H39259" s="8" t="s">
        <v>364</v>
      </c>
    </row>
    <row r="39260">
      <c r="H39260" s="8" t="s">
        <v>364</v>
      </c>
    </row>
    <row r="39261">
      <c r="H39261" s="8" t="s">
        <v>364</v>
      </c>
    </row>
    <row r="39262">
      <c r="H39262" s="8" t="s">
        <v>364</v>
      </c>
    </row>
    <row r="39263">
      <c r="H39263" s="8" t="s">
        <v>364</v>
      </c>
    </row>
    <row r="39264">
      <c r="H39264" s="8" t="s">
        <v>364</v>
      </c>
    </row>
    <row r="39265">
      <c r="H39265" s="8" t="s">
        <v>364</v>
      </c>
    </row>
    <row r="39266">
      <c r="H39266" s="8" t="s">
        <v>364</v>
      </c>
    </row>
    <row r="39267">
      <c r="H39267" s="8" t="s">
        <v>364</v>
      </c>
    </row>
    <row r="39268">
      <c r="H39268" s="8" t="s">
        <v>364</v>
      </c>
    </row>
    <row r="39269">
      <c r="H39269" s="8" t="s">
        <v>364</v>
      </c>
    </row>
    <row r="39270">
      <c r="H39270" s="8" t="s">
        <v>364</v>
      </c>
    </row>
    <row r="39271">
      <c r="H39271" s="8" t="s">
        <v>364</v>
      </c>
    </row>
    <row r="39272">
      <c r="H39272" s="8" t="s">
        <v>364</v>
      </c>
    </row>
    <row r="39273">
      <c r="H39273" s="8" t="s">
        <v>364</v>
      </c>
    </row>
    <row r="39274">
      <c r="H39274" s="8" t="s">
        <v>364</v>
      </c>
    </row>
    <row r="39275">
      <c r="H39275" s="8" t="s">
        <v>364</v>
      </c>
    </row>
    <row r="39276">
      <c r="H39276" s="8" t="s">
        <v>364</v>
      </c>
    </row>
    <row r="39277">
      <c r="H39277" s="8" t="s">
        <v>364</v>
      </c>
    </row>
    <row r="39278">
      <c r="H39278" s="8" t="s">
        <v>364</v>
      </c>
    </row>
    <row r="39279">
      <c r="H39279" s="8" t="s">
        <v>364</v>
      </c>
    </row>
    <row r="39280">
      <c r="H39280" s="8" t="s">
        <v>364</v>
      </c>
    </row>
    <row r="39281">
      <c r="H39281" s="8" t="s">
        <v>364</v>
      </c>
    </row>
    <row r="39282">
      <c r="H39282" s="8" t="s">
        <v>364</v>
      </c>
    </row>
    <row r="39283">
      <c r="H39283" s="8" t="s">
        <v>364</v>
      </c>
    </row>
    <row r="39284">
      <c r="H39284" s="8" t="s">
        <v>364</v>
      </c>
    </row>
    <row r="39285">
      <c r="H39285" s="8" t="s">
        <v>364</v>
      </c>
    </row>
    <row r="39286">
      <c r="H39286" s="8" t="s">
        <v>364</v>
      </c>
    </row>
    <row r="39287">
      <c r="H39287" s="8" t="s">
        <v>364</v>
      </c>
    </row>
    <row r="39288">
      <c r="H39288" s="8" t="s">
        <v>364</v>
      </c>
    </row>
    <row r="39289">
      <c r="H39289" s="8" t="s">
        <v>364</v>
      </c>
    </row>
    <row r="39290">
      <c r="H39290" s="8" t="s">
        <v>364</v>
      </c>
    </row>
    <row r="39291">
      <c r="H39291" s="8" t="s">
        <v>364</v>
      </c>
    </row>
    <row r="39292">
      <c r="H39292" s="8" t="s">
        <v>364</v>
      </c>
    </row>
    <row r="39293">
      <c r="H39293" s="8" t="s">
        <v>364</v>
      </c>
    </row>
    <row r="39294">
      <c r="H39294" s="8" t="s">
        <v>364</v>
      </c>
    </row>
    <row r="39295">
      <c r="H39295" s="8" t="s">
        <v>364</v>
      </c>
    </row>
    <row r="39296">
      <c r="H39296" s="8" t="s">
        <v>364</v>
      </c>
    </row>
    <row r="39297">
      <c r="H39297" s="8" t="s">
        <v>364</v>
      </c>
    </row>
    <row r="39298">
      <c r="H39298" s="8" t="s">
        <v>364</v>
      </c>
    </row>
    <row r="39299">
      <c r="H39299" s="8" t="s">
        <v>364</v>
      </c>
    </row>
    <row r="39300">
      <c r="H39300" s="8" t="s">
        <v>364</v>
      </c>
    </row>
    <row r="39301">
      <c r="H39301" s="8" t="s">
        <v>364</v>
      </c>
    </row>
    <row r="39302">
      <c r="H39302" s="8" t="s">
        <v>364</v>
      </c>
    </row>
    <row r="39303">
      <c r="H39303" s="8" t="s">
        <v>364</v>
      </c>
    </row>
    <row r="39304">
      <c r="H39304" s="8" t="s">
        <v>364</v>
      </c>
    </row>
    <row r="39305">
      <c r="H39305" s="8" t="s">
        <v>364</v>
      </c>
    </row>
    <row r="39306">
      <c r="H39306" s="8" t="s">
        <v>364</v>
      </c>
    </row>
    <row r="39307">
      <c r="H39307" s="8" t="s">
        <v>364</v>
      </c>
    </row>
    <row r="39308">
      <c r="H39308" s="8" t="s">
        <v>364</v>
      </c>
    </row>
    <row r="39309">
      <c r="H39309" s="8" t="s">
        <v>364</v>
      </c>
    </row>
    <row r="39310">
      <c r="H39310" s="8" t="s">
        <v>364</v>
      </c>
    </row>
    <row r="39311">
      <c r="H39311" s="8" t="s">
        <v>364</v>
      </c>
    </row>
    <row r="39312">
      <c r="H39312" s="8" t="s">
        <v>364</v>
      </c>
    </row>
    <row r="39313">
      <c r="H39313" s="8" t="s">
        <v>364</v>
      </c>
    </row>
    <row r="39314">
      <c r="H39314" s="8" t="s">
        <v>364</v>
      </c>
    </row>
    <row r="39315">
      <c r="H39315" s="8" t="s">
        <v>364</v>
      </c>
    </row>
    <row r="39316">
      <c r="H39316" s="8" t="s">
        <v>364</v>
      </c>
    </row>
    <row r="39317">
      <c r="H39317" s="8" t="s">
        <v>364</v>
      </c>
    </row>
    <row r="39318">
      <c r="H39318" s="8" t="s">
        <v>364</v>
      </c>
    </row>
    <row r="39319">
      <c r="H39319" s="8" t="s">
        <v>364</v>
      </c>
    </row>
    <row r="39320">
      <c r="H39320" s="8" t="s">
        <v>364</v>
      </c>
    </row>
    <row r="39321">
      <c r="H39321" s="8" t="s">
        <v>364</v>
      </c>
    </row>
    <row r="39322">
      <c r="H39322" s="8" t="s">
        <v>364</v>
      </c>
    </row>
    <row r="39323">
      <c r="H39323" s="8" t="s">
        <v>364</v>
      </c>
    </row>
    <row r="39324">
      <c r="H39324" s="8" t="s">
        <v>364</v>
      </c>
    </row>
    <row r="39325">
      <c r="H39325" s="8" t="s">
        <v>364</v>
      </c>
    </row>
    <row r="39326">
      <c r="H39326" s="8" t="s">
        <v>364</v>
      </c>
    </row>
    <row r="39327">
      <c r="H39327" s="8" t="s">
        <v>364</v>
      </c>
    </row>
    <row r="39328">
      <c r="H39328" s="8" t="s">
        <v>364</v>
      </c>
    </row>
    <row r="39329">
      <c r="H39329" s="8" t="s">
        <v>364</v>
      </c>
    </row>
    <row r="39330">
      <c r="H39330" s="8" t="s">
        <v>364</v>
      </c>
    </row>
    <row r="39331">
      <c r="H39331" s="8" t="s">
        <v>364</v>
      </c>
    </row>
    <row r="39332">
      <c r="H39332" s="8" t="s">
        <v>364</v>
      </c>
    </row>
    <row r="39333">
      <c r="H39333" s="8" t="s">
        <v>364</v>
      </c>
    </row>
    <row r="39334">
      <c r="H39334" s="8" t="s">
        <v>364</v>
      </c>
    </row>
    <row r="39335">
      <c r="H39335" s="8" t="s">
        <v>364</v>
      </c>
    </row>
    <row r="39336">
      <c r="H39336" s="8" t="s">
        <v>364</v>
      </c>
    </row>
    <row r="39337">
      <c r="H39337" s="8" t="s">
        <v>364</v>
      </c>
    </row>
    <row r="39338">
      <c r="H39338" s="8" t="s">
        <v>364</v>
      </c>
    </row>
    <row r="39339">
      <c r="H39339" s="8" t="s">
        <v>364</v>
      </c>
    </row>
    <row r="39340">
      <c r="H39340" s="8" t="s">
        <v>364</v>
      </c>
    </row>
    <row r="39341">
      <c r="H39341" s="8" t="s">
        <v>364</v>
      </c>
    </row>
    <row r="39342">
      <c r="H39342" s="8" t="s">
        <v>364</v>
      </c>
    </row>
    <row r="39343">
      <c r="H39343" s="8" t="s">
        <v>364</v>
      </c>
    </row>
    <row r="39344">
      <c r="H39344" s="8" t="s">
        <v>364</v>
      </c>
    </row>
    <row r="39345">
      <c r="H39345" s="8" t="s">
        <v>364</v>
      </c>
    </row>
    <row r="39346">
      <c r="H39346" s="8" t="s">
        <v>364</v>
      </c>
    </row>
    <row r="39347">
      <c r="H39347" s="8" t="s">
        <v>364</v>
      </c>
    </row>
    <row r="39348">
      <c r="H39348" s="8" t="s">
        <v>364</v>
      </c>
    </row>
    <row r="39349">
      <c r="H39349" s="8" t="s">
        <v>364</v>
      </c>
    </row>
    <row r="39350">
      <c r="H39350" s="8" t="s">
        <v>364</v>
      </c>
    </row>
    <row r="39351">
      <c r="H39351" s="8" t="s">
        <v>364</v>
      </c>
    </row>
    <row r="39352">
      <c r="H39352" s="8" t="s">
        <v>364</v>
      </c>
    </row>
    <row r="39353">
      <c r="H39353" s="8" t="s">
        <v>364</v>
      </c>
    </row>
    <row r="39354">
      <c r="H39354" s="8" t="s">
        <v>364</v>
      </c>
    </row>
    <row r="39355">
      <c r="H39355" s="8" t="s">
        <v>364</v>
      </c>
    </row>
    <row r="39356">
      <c r="H39356" s="8" t="s">
        <v>364</v>
      </c>
    </row>
    <row r="39357">
      <c r="H39357" s="8" t="s">
        <v>364</v>
      </c>
    </row>
    <row r="39358">
      <c r="H39358" s="8" t="s">
        <v>364</v>
      </c>
    </row>
    <row r="39359">
      <c r="H39359" s="8" t="s">
        <v>364</v>
      </c>
    </row>
    <row r="39360">
      <c r="H39360" s="8" t="s">
        <v>364</v>
      </c>
    </row>
    <row r="39361">
      <c r="H39361" s="8" t="s">
        <v>364</v>
      </c>
    </row>
    <row r="39362">
      <c r="H39362" s="8" t="s">
        <v>364</v>
      </c>
    </row>
    <row r="39363">
      <c r="H39363" s="8" t="s">
        <v>364</v>
      </c>
    </row>
    <row r="39364">
      <c r="H39364" s="8" t="s">
        <v>364</v>
      </c>
    </row>
    <row r="39365">
      <c r="H39365" s="8" t="s">
        <v>364</v>
      </c>
    </row>
    <row r="39366">
      <c r="H39366" s="8" t="s">
        <v>364</v>
      </c>
    </row>
    <row r="39367">
      <c r="H39367" s="8" t="s">
        <v>364</v>
      </c>
    </row>
    <row r="39368">
      <c r="H39368" s="8" t="s">
        <v>364</v>
      </c>
    </row>
    <row r="39369">
      <c r="H39369" s="8" t="s">
        <v>364</v>
      </c>
    </row>
    <row r="39370">
      <c r="H39370" s="8" t="s">
        <v>364</v>
      </c>
    </row>
    <row r="39371">
      <c r="H39371" s="8" t="s">
        <v>364</v>
      </c>
    </row>
    <row r="39372">
      <c r="H39372" s="8" t="s">
        <v>364</v>
      </c>
    </row>
    <row r="39373">
      <c r="H39373" s="8" t="s">
        <v>364</v>
      </c>
    </row>
    <row r="39374">
      <c r="H39374" s="8" t="s">
        <v>364</v>
      </c>
    </row>
    <row r="39375">
      <c r="H39375" s="8" t="s">
        <v>364</v>
      </c>
    </row>
    <row r="39376">
      <c r="H39376" s="8" t="s">
        <v>364</v>
      </c>
    </row>
    <row r="39377">
      <c r="H39377" s="8" t="s">
        <v>364</v>
      </c>
    </row>
    <row r="39378">
      <c r="H39378" s="8" t="s">
        <v>364</v>
      </c>
    </row>
    <row r="39379">
      <c r="H39379" s="8" t="s">
        <v>364</v>
      </c>
    </row>
    <row r="39380">
      <c r="H39380" s="8" t="s">
        <v>364</v>
      </c>
    </row>
    <row r="39381">
      <c r="H39381" s="8" t="s">
        <v>364</v>
      </c>
    </row>
    <row r="39382">
      <c r="H39382" s="8" t="s">
        <v>364</v>
      </c>
    </row>
    <row r="39383">
      <c r="H39383" s="8" t="s">
        <v>364</v>
      </c>
    </row>
    <row r="39384">
      <c r="H39384" s="8" t="s">
        <v>364</v>
      </c>
    </row>
    <row r="39385">
      <c r="H39385" s="8" t="s">
        <v>364</v>
      </c>
    </row>
    <row r="39386">
      <c r="H39386" s="8" t="s">
        <v>364</v>
      </c>
    </row>
    <row r="39387">
      <c r="H39387" s="8" t="s">
        <v>364</v>
      </c>
    </row>
    <row r="39388">
      <c r="H39388" s="8" t="s">
        <v>364</v>
      </c>
    </row>
    <row r="39389">
      <c r="H39389" s="8" t="s">
        <v>364</v>
      </c>
    </row>
    <row r="39390">
      <c r="H39390" s="8" t="s">
        <v>364</v>
      </c>
    </row>
    <row r="39391">
      <c r="H39391" s="8" t="s">
        <v>364</v>
      </c>
    </row>
    <row r="39392">
      <c r="H39392" s="8" t="s">
        <v>364</v>
      </c>
    </row>
    <row r="39393">
      <c r="H39393" s="8" t="s">
        <v>364</v>
      </c>
    </row>
    <row r="39394">
      <c r="H39394" s="8" t="s">
        <v>364</v>
      </c>
    </row>
    <row r="39395">
      <c r="H39395" s="8" t="s">
        <v>364</v>
      </c>
    </row>
    <row r="39396">
      <c r="H39396" s="8" t="s">
        <v>364</v>
      </c>
    </row>
    <row r="39397">
      <c r="H39397" s="8" t="s">
        <v>364</v>
      </c>
    </row>
    <row r="39398">
      <c r="H39398" s="8" t="s">
        <v>364</v>
      </c>
    </row>
    <row r="39399">
      <c r="H39399" s="8" t="s">
        <v>364</v>
      </c>
    </row>
    <row r="39400">
      <c r="H39400" s="8" t="s">
        <v>364</v>
      </c>
    </row>
    <row r="39401">
      <c r="H39401" s="8" t="s">
        <v>364</v>
      </c>
    </row>
    <row r="39402">
      <c r="H39402" s="8" t="s">
        <v>364</v>
      </c>
    </row>
    <row r="39403">
      <c r="H39403" s="8" t="s">
        <v>364</v>
      </c>
    </row>
    <row r="39404">
      <c r="H39404" s="8" t="s">
        <v>364</v>
      </c>
    </row>
    <row r="39405">
      <c r="H39405" s="8" t="s">
        <v>364</v>
      </c>
    </row>
    <row r="39406">
      <c r="H39406" s="8" t="s">
        <v>364</v>
      </c>
    </row>
    <row r="39407">
      <c r="H39407" s="8" t="s">
        <v>364</v>
      </c>
    </row>
    <row r="39408">
      <c r="H39408" s="8" t="s">
        <v>364</v>
      </c>
    </row>
    <row r="39409">
      <c r="H39409" s="8" t="s">
        <v>364</v>
      </c>
    </row>
    <row r="39410">
      <c r="H39410" s="8" t="s">
        <v>364</v>
      </c>
    </row>
    <row r="39411">
      <c r="H39411" s="8" t="s">
        <v>364</v>
      </c>
    </row>
    <row r="39412">
      <c r="H39412" s="8" t="s">
        <v>364</v>
      </c>
    </row>
    <row r="39413">
      <c r="H39413" s="8" t="s">
        <v>364</v>
      </c>
    </row>
    <row r="39414">
      <c r="H39414" s="8" t="s">
        <v>364</v>
      </c>
    </row>
    <row r="39415">
      <c r="H39415" s="8" t="s">
        <v>364</v>
      </c>
    </row>
    <row r="39416">
      <c r="H39416" s="8" t="s">
        <v>364</v>
      </c>
    </row>
    <row r="39417">
      <c r="H39417" s="8" t="s">
        <v>364</v>
      </c>
    </row>
    <row r="39418">
      <c r="H39418" s="8" t="s">
        <v>364</v>
      </c>
    </row>
    <row r="39419">
      <c r="H39419" s="8" t="s">
        <v>364</v>
      </c>
    </row>
    <row r="39420">
      <c r="H39420" s="8" t="s">
        <v>364</v>
      </c>
    </row>
    <row r="39421">
      <c r="H39421" s="8" t="s">
        <v>364</v>
      </c>
    </row>
    <row r="39422">
      <c r="H39422" s="8" t="s">
        <v>364</v>
      </c>
    </row>
    <row r="39423">
      <c r="H39423" s="8" t="s">
        <v>364</v>
      </c>
    </row>
    <row r="39424">
      <c r="H39424" s="8" t="s">
        <v>364</v>
      </c>
    </row>
    <row r="39425">
      <c r="H39425" s="8" t="s">
        <v>364</v>
      </c>
    </row>
    <row r="39426">
      <c r="H39426" s="8" t="s">
        <v>364</v>
      </c>
    </row>
    <row r="39427">
      <c r="H39427" s="8" t="s">
        <v>364</v>
      </c>
    </row>
    <row r="39428">
      <c r="H39428" s="8" t="s">
        <v>364</v>
      </c>
    </row>
    <row r="39429">
      <c r="H39429" s="8" t="s">
        <v>364</v>
      </c>
    </row>
    <row r="39430">
      <c r="H39430" s="8" t="s">
        <v>364</v>
      </c>
    </row>
    <row r="39431">
      <c r="H39431" s="8" t="s">
        <v>364</v>
      </c>
    </row>
    <row r="39432">
      <c r="H39432" s="8" t="s">
        <v>364</v>
      </c>
    </row>
    <row r="39433">
      <c r="H39433" s="8" t="s">
        <v>364</v>
      </c>
    </row>
    <row r="39434">
      <c r="H39434" s="8" t="s">
        <v>364</v>
      </c>
    </row>
    <row r="39435">
      <c r="H39435" s="8" t="s">
        <v>364</v>
      </c>
    </row>
    <row r="39436">
      <c r="H39436" s="8" t="s">
        <v>364</v>
      </c>
    </row>
    <row r="39437">
      <c r="H39437" s="8" t="s">
        <v>364</v>
      </c>
    </row>
    <row r="39438">
      <c r="H39438" s="8" t="s">
        <v>364</v>
      </c>
    </row>
    <row r="39439">
      <c r="H39439" s="8" t="s">
        <v>364</v>
      </c>
    </row>
    <row r="39440">
      <c r="H39440" s="8" t="s">
        <v>364</v>
      </c>
    </row>
    <row r="39441">
      <c r="H39441" s="8" t="s">
        <v>364</v>
      </c>
    </row>
    <row r="39442">
      <c r="H39442" s="8" t="s">
        <v>364</v>
      </c>
    </row>
    <row r="39443">
      <c r="H39443" s="8" t="s">
        <v>364</v>
      </c>
    </row>
    <row r="39444">
      <c r="H39444" s="8" t="s">
        <v>364</v>
      </c>
    </row>
    <row r="39445">
      <c r="H39445" s="8" t="s">
        <v>364</v>
      </c>
    </row>
    <row r="39446">
      <c r="H39446" s="8" t="s">
        <v>364</v>
      </c>
    </row>
    <row r="39447">
      <c r="H39447" s="8" t="s">
        <v>364</v>
      </c>
    </row>
    <row r="39448">
      <c r="H39448" s="8" t="s">
        <v>364</v>
      </c>
    </row>
    <row r="39449">
      <c r="H39449" s="8" t="s">
        <v>364</v>
      </c>
    </row>
    <row r="39450">
      <c r="H39450" s="8" t="s">
        <v>364</v>
      </c>
    </row>
    <row r="39451">
      <c r="H39451" s="8" t="s">
        <v>364</v>
      </c>
    </row>
    <row r="39452">
      <c r="H39452" s="8" t="s">
        <v>364</v>
      </c>
    </row>
    <row r="39453">
      <c r="H39453" s="8" t="s">
        <v>364</v>
      </c>
    </row>
    <row r="39454">
      <c r="H39454" s="8" t="s">
        <v>364</v>
      </c>
    </row>
    <row r="39455">
      <c r="H39455" s="8" t="s">
        <v>364</v>
      </c>
    </row>
    <row r="39456">
      <c r="H39456" s="8" t="s">
        <v>364</v>
      </c>
    </row>
    <row r="39457">
      <c r="H39457" s="8" t="s">
        <v>364</v>
      </c>
    </row>
    <row r="39458">
      <c r="H39458" s="8" t="s">
        <v>364</v>
      </c>
    </row>
    <row r="39459">
      <c r="H39459" s="8" t="s">
        <v>364</v>
      </c>
    </row>
    <row r="39460">
      <c r="H39460" s="8" t="s">
        <v>364</v>
      </c>
    </row>
    <row r="39461">
      <c r="H39461" s="8" t="s">
        <v>364</v>
      </c>
    </row>
    <row r="39462">
      <c r="H39462" s="8" t="s">
        <v>364</v>
      </c>
    </row>
    <row r="39463">
      <c r="H39463" s="8" t="s">
        <v>364</v>
      </c>
    </row>
    <row r="39464">
      <c r="H39464" s="8" t="s">
        <v>364</v>
      </c>
    </row>
    <row r="39465">
      <c r="H39465" s="8" t="s">
        <v>364</v>
      </c>
    </row>
    <row r="39466">
      <c r="H39466" s="8" t="s">
        <v>364</v>
      </c>
    </row>
    <row r="39467">
      <c r="H39467" s="8" t="s">
        <v>364</v>
      </c>
    </row>
    <row r="39468">
      <c r="H39468" s="8" t="s">
        <v>364</v>
      </c>
    </row>
    <row r="39469">
      <c r="H39469" s="8" t="s">
        <v>364</v>
      </c>
    </row>
    <row r="39470">
      <c r="H39470" s="8" t="s">
        <v>364</v>
      </c>
    </row>
    <row r="39471">
      <c r="H39471" s="8" t="s">
        <v>364</v>
      </c>
    </row>
    <row r="39472">
      <c r="H39472" s="8" t="s">
        <v>364</v>
      </c>
    </row>
    <row r="39473">
      <c r="H39473" s="8" t="s">
        <v>364</v>
      </c>
    </row>
    <row r="39474">
      <c r="H39474" s="8" t="s">
        <v>364</v>
      </c>
    </row>
    <row r="39475">
      <c r="H39475" s="8" t="s">
        <v>364</v>
      </c>
    </row>
    <row r="39476">
      <c r="H39476" s="8" t="s">
        <v>364</v>
      </c>
    </row>
    <row r="39477">
      <c r="H39477" s="8" t="s">
        <v>364</v>
      </c>
    </row>
    <row r="39478">
      <c r="H39478" s="8" t="s">
        <v>364</v>
      </c>
    </row>
    <row r="39479">
      <c r="H39479" s="8" t="s">
        <v>364</v>
      </c>
    </row>
    <row r="39480">
      <c r="H39480" s="8" t="s">
        <v>364</v>
      </c>
    </row>
    <row r="39481">
      <c r="H39481" s="8" t="s">
        <v>364</v>
      </c>
    </row>
    <row r="39482">
      <c r="H39482" s="8" t="s">
        <v>364</v>
      </c>
    </row>
    <row r="39483">
      <c r="H39483" s="8" t="s">
        <v>364</v>
      </c>
    </row>
    <row r="39484">
      <c r="H39484" s="8" t="s">
        <v>364</v>
      </c>
    </row>
    <row r="39485">
      <c r="H39485" s="8" t="s">
        <v>364</v>
      </c>
    </row>
    <row r="39486">
      <c r="H39486" s="8" t="s">
        <v>364</v>
      </c>
    </row>
    <row r="39487">
      <c r="H39487" s="8" t="s">
        <v>364</v>
      </c>
    </row>
    <row r="39488">
      <c r="H39488" s="8" t="s">
        <v>364</v>
      </c>
    </row>
    <row r="39489">
      <c r="H39489" s="8" t="s">
        <v>364</v>
      </c>
    </row>
    <row r="39490">
      <c r="H39490" s="8" t="s">
        <v>364</v>
      </c>
    </row>
    <row r="39491">
      <c r="H39491" s="8" t="s">
        <v>364</v>
      </c>
    </row>
    <row r="39492">
      <c r="H39492" s="8" t="s">
        <v>364</v>
      </c>
    </row>
    <row r="39493">
      <c r="H39493" s="8" t="s">
        <v>364</v>
      </c>
    </row>
    <row r="39494">
      <c r="H39494" s="8" t="s">
        <v>364</v>
      </c>
    </row>
    <row r="39495">
      <c r="H39495" s="8" t="s">
        <v>364</v>
      </c>
    </row>
    <row r="39496">
      <c r="H39496" s="8" t="s">
        <v>364</v>
      </c>
    </row>
    <row r="39497">
      <c r="H39497" s="8" t="s">
        <v>364</v>
      </c>
    </row>
    <row r="39498">
      <c r="H39498" s="8" t="s">
        <v>364</v>
      </c>
    </row>
    <row r="39499">
      <c r="H39499" s="8" t="s">
        <v>364</v>
      </c>
    </row>
    <row r="39500">
      <c r="H39500" s="8" t="s">
        <v>364</v>
      </c>
    </row>
    <row r="39501">
      <c r="H39501" s="8" t="s">
        <v>364</v>
      </c>
    </row>
    <row r="39502">
      <c r="H39502" s="8" t="s">
        <v>364</v>
      </c>
    </row>
    <row r="39503">
      <c r="H39503" s="8" t="s">
        <v>364</v>
      </c>
    </row>
    <row r="39504">
      <c r="H39504" s="8" t="s">
        <v>364</v>
      </c>
    </row>
    <row r="39505">
      <c r="H39505" s="8" t="s">
        <v>364</v>
      </c>
    </row>
    <row r="39506">
      <c r="H39506" s="8" t="s">
        <v>364</v>
      </c>
    </row>
    <row r="39507">
      <c r="H39507" s="8" t="s">
        <v>364</v>
      </c>
    </row>
    <row r="39508">
      <c r="H39508" s="8" t="s">
        <v>364</v>
      </c>
    </row>
    <row r="39509">
      <c r="H39509" s="8" t="s">
        <v>364</v>
      </c>
    </row>
    <row r="39510">
      <c r="H39510" s="8" t="s">
        <v>364</v>
      </c>
    </row>
    <row r="39511">
      <c r="H39511" s="8" t="s">
        <v>364</v>
      </c>
    </row>
    <row r="39512">
      <c r="H39512" s="8" t="s">
        <v>364</v>
      </c>
    </row>
    <row r="39513">
      <c r="H39513" s="8" t="s">
        <v>364</v>
      </c>
    </row>
    <row r="39514">
      <c r="H39514" s="8" t="s">
        <v>364</v>
      </c>
    </row>
    <row r="39515">
      <c r="H39515" s="8" t="s">
        <v>364</v>
      </c>
    </row>
    <row r="39516">
      <c r="H39516" s="8" t="s">
        <v>364</v>
      </c>
    </row>
    <row r="39517">
      <c r="H39517" s="8" t="s">
        <v>364</v>
      </c>
    </row>
    <row r="39518">
      <c r="H39518" s="8" t="s">
        <v>364</v>
      </c>
    </row>
    <row r="39519">
      <c r="H39519" s="8" t="s">
        <v>364</v>
      </c>
    </row>
    <row r="39520">
      <c r="H39520" s="8" t="s">
        <v>364</v>
      </c>
    </row>
    <row r="39521">
      <c r="H39521" s="8" t="s">
        <v>364</v>
      </c>
    </row>
    <row r="39522">
      <c r="H39522" s="8" t="s">
        <v>364</v>
      </c>
    </row>
    <row r="39523">
      <c r="H39523" s="8" t="s">
        <v>364</v>
      </c>
    </row>
    <row r="39524">
      <c r="H39524" s="8" t="s">
        <v>364</v>
      </c>
    </row>
    <row r="39525">
      <c r="H39525" s="8" t="s">
        <v>364</v>
      </c>
    </row>
    <row r="39526">
      <c r="H39526" s="8" t="s">
        <v>364</v>
      </c>
    </row>
    <row r="39527">
      <c r="H39527" s="8" t="s">
        <v>364</v>
      </c>
    </row>
    <row r="39528">
      <c r="H39528" s="8" t="s">
        <v>364</v>
      </c>
    </row>
    <row r="39529">
      <c r="H39529" s="8" t="s">
        <v>364</v>
      </c>
    </row>
    <row r="39530">
      <c r="H39530" s="8" t="s">
        <v>364</v>
      </c>
    </row>
    <row r="39531">
      <c r="H39531" s="8" t="s">
        <v>364</v>
      </c>
    </row>
    <row r="39532">
      <c r="H39532" s="8" t="s">
        <v>364</v>
      </c>
    </row>
    <row r="39533">
      <c r="H39533" s="8" t="s">
        <v>364</v>
      </c>
    </row>
    <row r="39534">
      <c r="H39534" s="8" t="s">
        <v>364</v>
      </c>
    </row>
    <row r="39535">
      <c r="H39535" s="8" t="s">
        <v>364</v>
      </c>
    </row>
    <row r="39536">
      <c r="H39536" s="8" t="s">
        <v>364</v>
      </c>
    </row>
    <row r="39537">
      <c r="H39537" s="8" t="s">
        <v>364</v>
      </c>
    </row>
    <row r="39538">
      <c r="H39538" s="8" t="s">
        <v>364</v>
      </c>
    </row>
    <row r="39539">
      <c r="H39539" s="8" t="s">
        <v>364</v>
      </c>
    </row>
    <row r="39540">
      <c r="H39540" s="8" t="s">
        <v>364</v>
      </c>
    </row>
    <row r="39541">
      <c r="H39541" s="8" t="s">
        <v>364</v>
      </c>
    </row>
    <row r="39542">
      <c r="H39542" s="8" t="s">
        <v>364</v>
      </c>
    </row>
    <row r="39543">
      <c r="H39543" s="8" t="s">
        <v>364</v>
      </c>
    </row>
    <row r="39544">
      <c r="H39544" s="8" t="s">
        <v>364</v>
      </c>
    </row>
    <row r="39545">
      <c r="H39545" s="8" t="s">
        <v>364</v>
      </c>
    </row>
    <row r="39546">
      <c r="H39546" s="8" t="s">
        <v>364</v>
      </c>
    </row>
    <row r="39547">
      <c r="H39547" s="8" t="s">
        <v>364</v>
      </c>
    </row>
    <row r="39548">
      <c r="H39548" s="8" t="s">
        <v>364</v>
      </c>
    </row>
    <row r="39549">
      <c r="H39549" s="8" t="s">
        <v>364</v>
      </c>
    </row>
    <row r="39550">
      <c r="H39550" s="8" t="s">
        <v>364</v>
      </c>
    </row>
    <row r="39551">
      <c r="H39551" s="8" t="s">
        <v>364</v>
      </c>
    </row>
    <row r="39552">
      <c r="H39552" s="8" t="s">
        <v>364</v>
      </c>
    </row>
    <row r="39553">
      <c r="H39553" s="8" t="s">
        <v>364</v>
      </c>
    </row>
    <row r="39554">
      <c r="H39554" s="8" t="s">
        <v>364</v>
      </c>
    </row>
    <row r="39555">
      <c r="H39555" s="8" t="s">
        <v>364</v>
      </c>
    </row>
    <row r="39556">
      <c r="H39556" s="8" t="s">
        <v>364</v>
      </c>
    </row>
    <row r="39557">
      <c r="H39557" s="8" t="s">
        <v>364</v>
      </c>
    </row>
    <row r="39558">
      <c r="H39558" s="8" t="s">
        <v>364</v>
      </c>
    </row>
    <row r="39559">
      <c r="H39559" s="8" t="s">
        <v>364</v>
      </c>
    </row>
    <row r="39560">
      <c r="H39560" s="8" t="s">
        <v>364</v>
      </c>
    </row>
    <row r="39561">
      <c r="H39561" s="8" t="s">
        <v>364</v>
      </c>
    </row>
    <row r="39562">
      <c r="H39562" s="8" t="s">
        <v>364</v>
      </c>
    </row>
    <row r="39563">
      <c r="H39563" s="8" t="s">
        <v>364</v>
      </c>
    </row>
    <row r="39564">
      <c r="H39564" s="8" t="s">
        <v>364</v>
      </c>
    </row>
    <row r="39565">
      <c r="H39565" s="8" t="s">
        <v>364</v>
      </c>
    </row>
    <row r="39566">
      <c r="H39566" s="8" t="s">
        <v>364</v>
      </c>
    </row>
    <row r="39567">
      <c r="H39567" s="8" t="s">
        <v>364</v>
      </c>
    </row>
    <row r="39568">
      <c r="H39568" s="8" t="s">
        <v>364</v>
      </c>
    </row>
    <row r="39569">
      <c r="H39569" s="8" t="s">
        <v>364</v>
      </c>
    </row>
    <row r="39570">
      <c r="H39570" s="8" t="s">
        <v>364</v>
      </c>
    </row>
    <row r="39571">
      <c r="H39571" s="8" t="s">
        <v>364</v>
      </c>
    </row>
    <row r="39572">
      <c r="H39572" s="8" t="s">
        <v>364</v>
      </c>
    </row>
    <row r="39573">
      <c r="H39573" s="8" t="s">
        <v>364</v>
      </c>
    </row>
    <row r="39574">
      <c r="H39574" s="8" t="s">
        <v>364</v>
      </c>
    </row>
    <row r="39575">
      <c r="H39575" s="8" t="s">
        <v>364</v>
      </c>
    </row>
    <row r="39576">
      <c r="H39576" s="8" t="s">
        <v>364</v>
      </c>
    </row>
    <row r="39577">
      <c r="H39577" s="8" t="s">
        <v>364</v>
      </c>
    </row>
    <row r="39578">
      <c r="H39578" s="8" t="s">
        <v>364</v>
      </c>
    </row>
    <row r="39579">
      <c r="H39579" s="8" t="s">
        <v>364</v>
      </c>
    </row>
    <row r="39580">
      <c r="H39580" s="8" t="s">
        <v>364</v>
      </c>
    </row>
    <row r="39581">
      <c r="H39581" s="8" t="s">
        <v>364</v>
      </c>
    </row>
    <row r="39582">
      <c r="H39582" s="8" t="s">
        <v>364</v>
      </c>
    </row>
    <row r="39583">
      <c r="H39583" s="8" t="s">
        <v>364</v>
      </c>
    </row>
    <row r="39584">
      <c r="H39584" s="8" t="s">
        <v>364</v>
      </c>
    </row>
    <row r="39585">
      <c r="H39585" s="8" t="s">
        <v>364</v>
      </c>
    </row>
    <row r="39586">
      <c r="H39586" s="8" t="s">
        <v>364</v>
      </c>
    </row>
    <row r="39587">
      <c r="H39587" s="8" t="s">
        <v>364</v>
      </c>
    </row>
    <row r="39588">
      <c r="H39588" s="8" t="s">
        <v>364</v>
      </c>
    </row>
    <row r="39589">
      <c r="H39589" s="8" t="s">
        <v>364</v>
      </c>
    </row>
    <row r="39590">
      <c r="H39590" s="8" t="s">
        <v>364</v>
      </c>
    </row>
    <row r="39591">
      <c r="H39591" s="8" t="s">
        <v>364</v>
      </c>
    </row>
    <row r="39592">
      <c r="H39592" s="8" t="s">
        <v>364</v>
      </c>
    </row>
    <row r="39593">
      <c r="H39593" s="8" t="s">
        <v>364</v>
      </c>
    </row>
    <row r="39594">
      <c r="H39594" s="8" t="s">
        <v>364</v>
      </c>
    </row>
    <row r="39595">
      <c r="H39595" s="8" t="s">
        <v>364</v>
      </c>
    </row>
    <row r="39596">
      <c r="H39596" s="8" t="s">
        <v>364</v>
      </c>
    </row>
    <row r="39597">
      <c r="H39597" s="8" t="s">
        <v>364</v>
      </c>
    </row>
    <row r="39598">
      <c r="H39598" s="8" t="s">
        <v>364</v>
      </c>
    </row>
    <row r="39599">
      <c r="H39599" s="8" t="s">
        <v>364</v>
      </c>
    </row>
    <row r="39600">
      <c r="H39600" s="8" t="s">
        <v>364</v>
      </c>
    </row>
    <row r="39601">
      <c r="H39601" s="8" t="s">
        <v>364</v>
      </c>
    </row>
    <row r="39602">
      <c r="H39602" s="8" t="s">
        <v>364</v>
      </c>
    </row>
    <row r="39603">
      <c r="H39603" s="8" t="s">
        <v>364</v>
      </c>
    </row>
    <row r="39604">
      <c r="H39604" s="8" t="s">
        <v>364</v>
      </c>
    </row>
    <row r="39605">
      <c r="H39605" s="8" t="s">
        <v>364</v>
      </c>
    </row>
    <row r="39606">
      <c r="H39606" s="8" t="s">
        <v>364</v>
      </c>
    </row>
    <row r="39607">
      <c r="H39607" s="8" t="s">
        <v>364</v>
      </c>
    </row>
    <row r="39608">
      <c r="H39608" s="8" t="s">
        <v>364</v>
      </c>
    </row>
    <row r="39609">
      <c r="H39609" s="8" t="s">
        <v>364</v>
      </c>
    </row>
    <row r="39610">
      <c r="H39610" s="8" t="s">
        <v>364</v>
      </c>
    </row>
    <row r="39611">
      <c r="H39611" s="8" t="s">
        <v>364</v>
      </c>
    </row>
    <row r="39612">
      <c r="H39612" s="8" t="s">
        <v>364</v>
      </c>
    </row>
    <row r="39613">
      <c r="H39613" s="8" t="s">
        <v>364</v>
      </c>
    </row>
    <row r="39614">
      <c r="H39614" s="8" t="s">
        <v>364</v>
      </c>
    </row>
    <row r="39615">
      <c r="H39615" s="8" t="s">
        <v>364</v>
      </c>
    </row>
    <row r="39616">
      <c r="H39616" s="8" t="s">
        <v>364</v>
      </c>
    </row>
    <row r="39617">
      <c r="H39617" s="8" t="s">
        <v>364</v>
      </c>
    </row>
    <row r="39618">
      <c r="H39618" s="8" t="s">
        <v>364</v>
      </c>
    </row>
    <row r="39619">
      <c r="H39619" s="8" t="s">
        <v>364</v>
      </c>
    </row>
    <row r="39620">
      <c r="H39620" s="8" t="s">
        <v>364</v>
      </c>
    </row>
    <row r="39621">
      <c r="H39621" s="8" t="s">
        <v>364</v>
      </c>
    </row>
    <row r="39622">
      <c r="H39622" s="8" t="s">
        <v>364</v>
      </c>
    </row>
    <row r="39623">
      <c r="H39623" s="8" t="s">
        <v>364</v>
      </c>
    </row>
    <row r="39624">
      <c r="H39624" s="8" t="s">
        <v>364</v>
      </c>
    </row>
    <row r="39625">
      <c r="H39625" s="8" t="s">
        <v>364</v>
      </c>
    </row>
    <row r="39626">
      <c r="H39626" s="8" t="s">
        <v>364</v>
      </c>
    </row>
    <row r="39627">
      <c r="H39627" s="8" t="s">
        <v>364</v>
      </c>
    </row>
    <row r="39628">
      <c r="H39628" s="8" t="s">
        <v>364</v>
      </c>
    </row>
    <row r="39629">
      <c r="H39629" s="8" t="s">
        <v>364</v>
      </c>
    </row>
    <row r="39630">
      <c r="H39630" s="8" t="s">
        <v>364</v>
      </c>
    </row>
    <row r="39631">
      <c r="H39631" s="8" t="s">
        <v>364</v>
      </c>
    </row>
    <row r="39632">
      <c r="H39632" s="8" t="s">
        <v>364</v>
      </c>
    </row>
    <row r="39633">
      <c r="H39633" s="8" t="s">
        <v>364</v>
      </c>
    </row>
    <row r="39634">
      <c r="H39634" s="8" t="s">
        <v>364</v>
      </c>
    </row>
    <row r="39635">
      <c r="H39635" s="8" t="s">
        <v>364</v>
      </c>
    </row>
    <row r="39636">
      <c r="H39636" s="8" t="s">
        <v>364</v>
      </c>
    </row>
    <row r="39637">
      <c r="H39637" s="8" t="s">
        <v>364</v>
      </c>
    </row>
    <row r="39638">
      <c r="H39638" s="8" t="s">
        <v>364</v>
      </c>
    </row>
    <row r="39639">
      <c r="H39639" s="8" t="s">
        <v>364</v>
      </c>
    </row>
    <row r="39640">
      <c r="H39640" s="8" t="s">
        <v>364</v>
      </c>
    </row>
    <row r="39641">
      <c r="H39641" s="8" t="s">
        <v>364</v>
      </c>
    </row>
    <row r="39642">
      <c r="H39642" s="8" t="s">
        <v>364</v>
      </c>
    </row>
    <row r="39643">
      <c r="H39643" s="8" t="s">
        <v>364</v>
      </c>
    </row>
    <row r="39644">
      <c r="H39644" s="8" t="s">
        <v>364</v>
      </c>
    </row>
    <row r="39645">
      <c r="H39645" s="8" t="s">
        <v>364</v>
      </c>
    </row>
    <row r="39646">
      <c r="H39646" s="8" t="s">
        <v>364</v>
      </c>
    </row>
    <row r="39647">
      <c r="H39647" s="8" t="s">
        <v>364</v>
      </c>
    </row>
    <row r="39648">
      <c r="H39648" s="8" t="s">
        <v>364</v>
      </c>
    </row>
    <row r="39649">
      <c r="H39649" s="8" t="s">
        <v>364</v>
      </c>
    </row>
    <row r="39650">
      <c r="H39650" s="8" t="s">
        <v>364</v>
      </c>
    </row>
    <row r="39651">
      <c r="H39651" s="8" t="s">
        <v>364</v>
      </c>
    </row>
    <row r="39652">
      <c r="H39652" s="8" t="s">
        <v>364</v>
      </c>
    </row>
    <row r="39653">
      <c r="H39653" s="8" t="s">
        <v>364</v>
      </c>
    </row>
    <row r="39654">
      <c r="H39654" s="8" t="s">
        <v>364</v>
      </c>
    </row>
    <row r="39655">
      <c r="H39655" s="8" t="s">
        <v>364</v>
      </c>
    </row>
    <row r="39656">
      <c r="H39656" s="8" t="s">
        <v>364</v>
      </c>
    </row>
    <row r="39657">
      <c r="H39657" s="8" t="s">
        <v>364</v>
      </c>
    </row>
    <row r="39658">
      <c r="H39658" s="8" t="s">
        <v>364</v>
      </c>
    </row>
    <row r="39659">
      <c r="H39659" s="8" t="s">
        <v>364</v>
      </c>
    </row>
    <row r="39660">
      <c r="H39660" s="8" t="s">
        <v>364</v>
      </c>
    </row>
    <row r="39661">
      <c r="H39661" s="8" t="s">
        <v>364</v>
      </c>
    </row>
    <row r="39662">
      <c r="H39662" s="8" t="s">
        <v>364</v>
      </c>
    </row>
    <row r="39663">
      <c r="H39663" s="8" t="s">
        <v>364</v>
      </c>
    </row>
    <row r="39664">
      <c r="H39664" s="8" t="s">
        <v>364</v>
      </c>
    </row>
    <row r="39665">
      <c r="H39665" s="8" t="s">
        <v>364</v>
      </c>
    </row>
    <row r="39666">
      <c r="H39666" s="8" t="s">
        <v>364</v>
      </c>
    </row>
    <row r="39667">
      <c r="H39667" s="8" t="s">
        <v>364</v>
      </c>
    </row>
    <row r="39668">
      <c r="H39668" s="8" t="s">
        <v>364</v>
      </c>
    </row>
    <row r="39669">
      <c r="H39669" s="8" t="s">
        <v>364</v>
      </c>
    </row>
    <row r="39670">
      <c r="H39670" s="8" t="s">
        <v>364</v>
      </c>
    </row>
    <row r="39671">
      <c r="H39671" s="8" t="s">
        <v>364</v>
      </c>
    </row>
    <row r="39672">
      <c r="H39672" s="8" t="s">
        <v>364</v>
      </c>
    </row>
    <row r="39673">
      <c r="H39673" s="8" t="s">
        <v>364</v>
      </c>
    </row>
    <row r="39674">
      <c r="H39674" s="8" t="s">
        <v>364</v>
      </c>
    </row>
    <row r="39675">
      <c r="H39675" s="8" t="s">
        <v>364</v>
      </c>
    </row>
    <row r="39676">
      <c r="H39676" s="8" t="s">
        <v>364</v>
      </c>
    </row>
    <row r="39677">
      <c r="H39677" s="8" t="s">
        <v>364</v>
      </c>
    </row>
    <row r="39678">
      <c r="H39678" s="8" t="s">
        <v>364</v>
      </c>
    </row>
    <row r="39679">
      <c r="H39679" s="8" t="s">
        <v>364</v>
      </c>
    </row>
    <row r="39680">
      <c r="H39680" s="8" t="s">
        <v>364</v>
      </c>
    </row>
    <row r="39681">
      <c r="H39681" s="8" t="s">
        <v>364</v>
      </c>
    </row>
    <row r="39682">
      <c r="H39682" s="8" t="s">
        <v>364</v>
      </c>
    </row>
    <row r="39683">
      <c r="H39683" s="8" t="s">
        <v>364</v>
      </c>
    </row>
    <row r="39684">
      <c r="H39684" s="8" t="s">
        <v>364</v>
      </c>
    </row>
    <row r="39685">
      <c r="H39685" s="8" t="s">
        <v>364</v>
      </c>
    </row>
    <row r="39686">
      <c r="H39686" s="8" t="s">
        <v>364</v>
      </c>
    </row>
    <row r="39687">
      <c r="H39687" s="8" t="s">
        <v>364</v>
      </c>
    </row>
    <row r="39688">
      <c r="H39688" s="8" t="s">
        <v>364</v>
      </c>
    </row>
    <row r="39689">
      <c r="H39689" s="8" t="s">
        <v>364</v>
      </c>
    </row>
    <row r="39690">
      <c r="H39690" s="8" t="s">
        <v>364</v>
      </c>
    </row>
    <row r="39691">
      <c r="H39691" s="8" t="s">
        <v>364</v>
      </c>
    </row>
    <row r="39692">
      <c r="H39692" s="8" t="s">
        <v>364</v>
      </c>
    </row>
    <row r="39693">
      <c r="H39693" s="8" t="s">
        <v>364</v>
      </c>
    </row>
    <row r="39694">
      <c r="H39694" s="8" t="s">
        <v>364</v>
      </c>
    </row>
    <row r="39695">
      <c r="H39695" s="8" t="s">
        <v>364</v>
      </c>
    </row>
    <row r="39696">
      <c r="H39696" s="8" t="s">
        <v>364</v>
      </c>
    </row>
    <row r="39697">
      <c r="H39697" s="8" t="s">
        <v>364</v>
      </c>
    </row>
    <row r="39698">
      <c r="H39698" s="8" t="s">
        <v>364</v>
      </c>
    </row>
    <row r="39699">
      <c r="H39699" s="8" t="s">
        <v>364</v>
      </c>
    </row>
    <row r="39700">
      <c r="H39700" s="8" t="s">
        <v>364</v>
      </c>
    </row>
    <row r="39701">
      <c r="H39701" s="8" t="s">
        <v>364</v>
      </c>
    </row>
    <row r="39702">
      <c r="H39702" s="8" t="s">
        <v>364</v>
      </c>
    </row>
    <row r="39703">
      <c r="H39703" s="8" t="s">
        <v>364</v>
      </c>
    </row>
    <row r="39704">
      <c r="H39704" s="8" t="s">
        <v>364</v>
      </c>
    </row>
    <row r="39705">
      <c r="H39705" s="8" t="s">
        <v>364</v>
      </c>
    </row>
    <row r="39706">
      <c r="H39706" s="8" t="s">
        <v>364</v>
      </c>
    </row>
    <row r="39707">
      <c r="H39707" s="8" t="s">
        <v>364</v>
      </c>
    </row>
    <row r="39708">
      <c r="H39708" s="8" t="s">
        <v>364</v>
      </c>
    </row>
    <row r="39709">
      <c r="H39709" s="8" t="s">
        <v>364</v>
      </c>
    </row>
    <row r="39710">
      <c r="H39710" s="8" t="s">
        <v>364</v>
      </c>
    </row>
    <row r="39711">
      <c r="H39711" s="8" t="s">
        <v>364</v>
      </c>
    </row>
    <row r="39712">
      <c r="H39712" s="8" t="s">
        <v>364</v>
      </c>
    </row>
    <row r="39713">
      <c r="H39713" s="8" t="s">
        <v>364</v>
      </c>
    </row>
    <row r="39714">
      <c r="H39714" s="8" t="s">
        <v>364</v>
      </c>
    </row>
    <row r="39715">
      <c r="H39715" s="8" t="s">
        <v>364</v>
      </c>
    </row>
    <row r="39716">
      <c r="H39716" s="8" t="s">
        <v>364</v>
      </c>
    </row>
    <row r="39717">
      <c r="H39717" s="8" t="s">
        <v>364</v>
      </c>
    </row>
    <row r="39718">
      <c r="H39718" s="8" t="s">
        <v>364</v>
      </c>
    </row>
    <row r="39719">
      <c r="H39719" s="8" t="s">
        <v>364</v>
      </c>
    </row>
    <row r="39720">
      <c r="H39720" s="8" t="s">
        <v>364</v>
      </c>
    </row>
    <row r="39721">
      <c r="H39721" s="8" t="s">
        <v>364</v>
      </c>
    </row>
    <row r="39722">
      <c r="H39722" s="8" t="s">
        <v>364</v>
      </c>
    </row>
    <row r="39723">
      <c r="H39723" s="8" t="s">
        <v>364</v>
      </c>
    </row>
    <row r="39724">
      <c r="H39724" s="8" t="s">
        <v>364</v>
      </c>
    </row>
    <row r="39725">
      <c r="H39725" s="8" t="s">
        <v>364</v>
      </c>
    </row>
    <row r="39726">
      <c r="H39726" s="8" t="s">
        <v>364</v>
      </c>
    </row>
    <row r="39727">
      <c r="H39727" s="8" t="s">
        <v>364</v>
      </c>
    </row>
    <row r="39728">
      <c r="H39728" s="8" t="s">
        <v>364</v>
      </c>
    </row>
    <row r="39729">
      <c r="H39729" s="8" t="s">
        <v>364</v>
      </c>
    </row>
    <row r="39730">
      <c r="H39730" s="8" t="s">
        <v>364</v>
      </c>
    </row>
    <row r="39731">
      <c r="H39731" s="8" t="s">
        <v>364</v>
      </c>
    </row>
    <row r="39732">
      <c r="H39732" s="8" t="s">
        <v>364</v>
      </c>
    </row>
    <row r="39733">
      <c r="H39733" s="8" t="s">
        <v>364</v>
      </c>
    </row>
    <row r="39734">
      <c r="H39734" s="8" t="s">
        <v>364</v>
      </c>
    </row>
    <row r="39735">
      <c r="H39735" s="8" t="s">
        <v>364</v>
      </c>
    </row>
    <row r="39736">
      <c r="H39736" s="8" t="s">
        <v>364</v>
      </c>
    </row>
    <row r="39737">
      <c r="H39737" s="8" t="s">
        <v>364</v>
      </c>
    </row>
    <row r="39738">
      <c r="H39738" s="8" t="s">
        <v>364</v>
      </c>
    </row>
    <row r="39739">
      <c r="H39739" s="8" t="s">
        <v>364</v>
      </c>
    </row>
    <row r="39740">
      <c r="H39740" s="8" t="s">
        <v>364</v>
      </c>
    </row>
    <row r="39741">
      <c r="H39741" s="8" t="s">
        <v>364</v>
      </c>
    </row>
    <row r="39742">
      <c r="H39742" s="8" t="s">
        <v>364</v>
      </c>
    </row>
    <row r="39743">
      <c r="H39743" s="8" t="s">
        <v>364</v>
      </c>
    </row>
    <row r="39744">
      <c r="H39744" s="8" t="s">
        <v>364</v>
      </c>
    </row>
    <row r="39745">
      <c r="H39745" s="8" t="s">
        <v>364</v>
      </c>
    </row>
    <row r="39746">
      <c r="H39746" s="8" t="s">
        <v>364</v>
      </c>
    </row>
    <row r="39747">
      <c r="H39747" s="8" t="s">
        <v>364</v>
      </c>
    </row>
    <row r="39748">
      <c r="H39748" s="8" t="s">
        <v>364</v>
      </c>
    </row>
    <row r="39749">
      <c r="H39749" s="8" t="s">
        <v>364</v>
      </c>
    </row>
    <row r="39750">
      <c r="H39750" s="8" t="s">
        <v>364</v>
      </c>
    </row>
    <row r="39751">
      <c r="H39751" s="8" t="s">
        <v>364</v>
      </c>
    </row>
    <row r="39752">
      <c r="H39752" s="8" t="s">
        <v>364</v>
      </c>
    </row>
    <row r="39753">
      <c r="H39753" s="8" t="s">
        <v>364</v>
      </c>
    </row>
    <row r="39754">
      <c r="H39754" s="8" t="s">
        <v>364</v>
      </c>
    </row>
    <row r="39755">
      <c r="H39755" s="8" t="s">
        <v>364</v>
      </c>
    </row>
    <row r="39756">
      <c r="H39756" s="8" t="s">
        <v>364</v>
      </c>
    </row>
    <row r="39757">
      <c r="H39757" s="8" t="s">
        <v>364</v>
      </c>
    </row>
    <row r="39758">
      <c r="H39758" s="8" t="s">
        <v>364</v>
      </c>
    </row>
    <row r="39759">
      <c r="H39759" s="8" t="s">
        <v>364</v>
      </c>
    </row>
    <row r="39760">
      <c r="H39760" s="8" t="s">
        <v>364</v>
      </c>
    </row>
    <row r="39761">
      <c r="H39761" s="8" t="s">
        <v>364</v>
      </c>
    </row>
    <row r="39762">
      <c r="H39762" s="8" t="s">
        <v>364</v>
      </c>
    </row>
    <row r="39763">
      <c r="H39763" s="8" t="s">
        <v>364</v>
      </c>
    </row>
    <row r="39764">
      <c r="H39764" s="8" t="s">
        <v>364</v>
      </c>
    </row>
    <row r="39765">
      <c r="H39765" s="8" t="s">
        <v>364</v>
      </c>
    </row>
    <row r="39766">
      <c r="H39766" s="8" t="s">
        <v>364</v>
      </c>
    </row>
    <row r="39767">
      <c r="H39767" s="8" t="s">
        <v>364</v>
      </c>
    </row>
    <row r="39768">
      <c r="H39768" s="8" t="s">
        <v>364</v>
      </c>
    </row>
    <row r="39769">
      <c r="H39769" s="8" t="s">
        <v>364</v>
      </c>
    </row>
    <row r="39770">
      <c r="H39770" s="8" t="s">
        <v>364</v>
      </c>
    </row>
    <row r="39771">
      <c r="H39771" s="8" t="s">
        <v>364</v>
      </c>
    </row>
    <row r="39772">
      <c r="H39772" s="8" t="s">
        <v>364</v>
      </c>
    </row>
    <row r="39773">
      <c r="H39773" s="8" t="s">
        <v>364</v>
      </c>
    </row>
    <row r="39774">
      <c r="H39774" s="8" t="s">
        <v>364</v>
      </c>
    </row>
    <row r="39775">
      <c r="H39775" s="8" t="s">
        <v>364</v>
      </c>
    </row>
    <row r="39776">
      <c r="H39776" s="8" t="s">
        <v>364</v>
      </c>
    </row>
    <row r="39777">
      <c r="H39777" s="8" t="s">
        <v>364</v>
      </c>
    </row>
    <row r="39778">
      <c r="H39778" s="8" t="s">
        <v>364</v>
      </c>
    </row>
    <row r="39779">
      <c r="H39779" s="8" t="s">
        <v>364</v>
      </c>
    </row>
    <row r="39780">
      <c r="H39780" s="8" t="s">
        <v>364</v>
      </c>
    </row>
    <row r="39781">
      <c r="H39781" s="8" t="s">
        <v>364</v>
      </c>
    </row>
    <row r="39782">
      <c r="H39782" s="8" t="s">
        <v>364</v>
      </c>
    </row>
    <row r="39783">
      <c r="H39783" s="8" t="s">
        <v>364</v>
      </c>
    </row>
    <row r="39784">
      <c r="H39784" s="8" t="s">
        <v>364</v>
      </c>
    </row>
    <row r="39785">
      <c r="H39785" s="8" t="s">
        <v>364</v>
      </c>
    </row>
    <row r="39786">
      <c r="H39786" s="8" t="s">
        <v>364</v>
      </c>
    </row>
    <row r="39787">
      <c r="H39787" s="8" t="s">
        <v>364</v>
      </c>
    </row>
    <row r="39788">
      <c r="H39788" s="8" t="s">
        <v>364</v>
      </c>
    </row>
    <row r="39789">
      <c r="H39789" s="8" t="s">
        <v>364</v>
      </c>
    </row>
    <row r="39790">
      <c r="H39790" s="8" t="s">
        <v>364</v>
      </c>
    </row>
    <row r="39791">
      <c r="H39791" s="8" t="s">
        <v>364</v>
      </c>
    </row>
    <row r="39792">
      <c r="H39792" s="8" t="s">
        <v>364</v>
      </c>
    </row>
    <row r="39793">
      <c r="H39793" s="8" t="s">
        <v>364</v>
      </c>
    </row>
    <row r="39794">
      <c r="H39794" s="8" t="s">
        <v>364</v>
      </c>
    </row>
    <row r="39795">
      <c r="H39795" s="8" t="s">
        <v>364</v>
      </c>
    </row>
    <row r="39796">
      <c r="H39796" s="8" t="s">
        <v>364</v>
      </c>
    </row>
    <row r="39797">
      <c r="H39797" s="8" t="s">
        <v>364</v>
      </c>
    </row>
    <row r="39798">
      <c r="H39798" s="8" t="s">
        <v>364</v>
      </c>
    </row>
    <row r="39799">
      <c r="H39799" s="8" t="s">
        <v>364</v>
      </c>
    </row>
    <row r="39800">
      <c r="H39800" s="8" t="s">
        <v>364</v>
      </c>
    </row>
    <row r="39801">
      <c r="H39801" s="8" t="s">
        <v>364</v>
      </c>
    </row>
    <row r="39802">
      <c r="H39802" s="8" t="s">
        <v>364</v>
      </c>
    </row>
    <row r="39803">
      <c r="H39803" s="8" t="s">
        <v>364</v>
      </c>
    </row>
    <row r="39804">
      <c r="H39804" s="8" t="s">
        <v>364</v>
      </c>
    </row>
    <row r="39805">
      <c r="H39805" s="8" t="s">
        <v>364</v>
      </c>
    </row>
    <row r="39806">
      <c r="H39806" s="8" t="s">
        <v>364</v>
      </c>
    </row>
    <row r="39807">
      <c r="H39807" s="8" t="s">
        <v>364</v>
      </c>
    </row>
    <row r="39808">
      <c r="H39808" s="8" t="s">
        <v>364</v>
      </c>
    </row>
    <row r="39809">
      <c r="H39809" s="8" t="s">
        <v>364</v>
      </c>
    </row>
    <row r="39810">
      <c r="H39810" s="8" t="s">
        <v>364</v>
      </c>
    </row>
    <row r="39811">
      <c r="H39811" s="8" t="s">
        <v>364</v>
      </c>
    </row>
    <row r="39812">
      <c r="H39812" s="8" t="s">
        <v>364</v>
      </c>
    </row>
    <row r="39813">
      <c r="H39813" s="8" t="s">
        <v>364</v>
      </c>
    </row>
    <row r="39814">
      <c r="H39814" s="8" t="s">
        <v>364</v>
      </c>
    </row>
    <row r="39815">
      <c r="H39815" s="8" t="s">
        <v>364</v>
      </c>
    </row>
    <row r="39816">
      <c r="H39816" s="8" t="s">
        <v>364</v>
      </c>
    </row>
    <row r="39817">
      <c r="H39817" s="8" t="s">
        <v>364</v>
      </c>
    </row>
    <row r="39818">
      <c r="H39818" s="8" t="s">
        <v>364</v>
      </c>
    </row>
    <row r="39819">
      <c r="H39819" s="8" t="s">
        <v>364</v>
      </c>
    </row>
    <row r="39820">
      <c r="H39820" s="8" t="s">
        <v>364</v>
      </c>
    </row>
    <row r="39821">
      <c r="H39821" s="8" t="s">
        <v>364</v>
      </c>
    </row>
    <row r="39822">
      <c r="H39822" s="8" t="s">
        <v>364</v>
      </c>
    </row>
    <row r="39823">
      <c r="H39823" s="8" t="s">
        <v>364</v>
      </c>
    </row>
    <row r="39824">
      <c r="H39824" s="8" t="s">
        <v>364</v>
      </c>
    </row>
    <row r="39825">
      <c r="H39825" s="8" t="s">
        <v>364</v>
      </c>
    </row>
    <row r="39826">
      <c r="H39826" s="8" t="s">
        <v>364</v>
      </c>
    </row>
    <row r="39827">
      <c r="H39827" s="8" t="s">
        <v>364</v>
      </c>
    </row>
    <row r="39828">
      <c r="H39828" s="8" t="s">
        <v>364</v>
      </c>
    </row>
    <row r="39829">
      <c r="H39829" s="8" t="s">
        <v>364</v>
      </c>
    </row>
    <row r="39830">
      <c r="H39830" s="8" t="s">
        <v>364</v>
      </c>
    </row>
    <row r="39831">
      <c r="H39831" s="8" t="s">
        <v>364</v>
      </c>
    </row>
    <row r="39832">
      <c r="H39832" s="8" t="s">
        <v>364</v>
      </c>
    </row>
    <row r="39833">
      <c r="H39833" s="8" t="s">
        <v>364</v>
      </c>
    </row>
    <row r="39834">
      <c r="H39834" s="8" t="s">
        <v>364</v>
      </c>
    </row>
    <row r="39835">
      <c r="H39835" s="8" t="s">
        <v>364</v>
      </c>
    </row>
    <row r="39836">
      <c r="H39836" s="8" t="s">
        <v>364</v>
      </c>
    </row>
    <row r="39837">
      <c r="H39837" s="8" t="s">
        <v>364</v>
      </c>
    </row>
    <row r="39838">
      <c r="H39838" s="8" t="s">
        <v>364</v>
      </c>
    </row>
    <row r="39839">
      <c r="H39839" s="8" t="s">
        <v>364</v>
      </c>
    </row>
    <row r="39840">
      <c r="H39840" s="8" t="s">
        <v>364</v>
      </c>
    </row>
    <row r="39841">
      <c r="H39841" s="8" t="s">
        <v>364</v>
      </c>
    </row>
    <row r="39842">
      <c r="H39842" s="8" t="s">
        <v>364</v>
      </c>
    </row>
    <row r="39843">
      <c r="H39843" s="8" t="s">
        <v>364</v>
      </c>
    </row>
    <row r="39844">
      <c r="H39844" s="8" t="s">
        <v>364</v>
      </c>
    </row>
    <row r="39845">
      <c r="H39845" s="8" t="s">
        <v>364</v>
      </c>
    </row>
    <row r="39846">
      <c r="H39846" s="8" t="s">
        <v>364</v>
      </c>
    </row>
    <row r="39847">
      <c r="H39847" s="8" t="s">
        <v>364</v>
      </c>
    </row>
    <row r="39848">
      <c r="H39848" s="8" t="s">
        <v>364</v>
      </c>
    </row>
    <row r="39849">
      <c r="H39849" s="8" t="s">
        <v>364</v>
      </c>
    </row>
    <row r="39850">
      <c r="H39850" s="8" t="s">
        <v>364</v>
      </c>
    </row>
    <row r="39851">
      <c r="H39851" s="8" t="s">
        <v>364</v>
      </c>
    </row>
    <row r="39852">
      <c r="H39852" s="8" t="s">
        <v>364</v>
      </c>
    </row>
    <row r="39853">
      <c r="H39853" s="8" t="s">
        <v>364</v>
      </c>
    </row>
    <row r="39854">
      <c r="H39854" s="8" t="s">
        <v>364</v>
      </c>
    </row>
    <row r="39855">
      <c r="H39855" s="8" t="s">
        <v>364</v>
      </c>
    </row>
    <row r="39856">
      <c r="H39856" s="8" t="s">
        <v>364</v>
      </c>
    </row>
    <row r="39857">
      <c r="H39857" s="8" t="s">
        <v>364</v>
      </c>
    </row>
    <row r="39858">
      <c r="H39858" s="8" t="s">
        <v>364</v>
      </c>
    </row>
    <row r="39859">
      <c r="H39859" s="8" t="s">
        <v>364</v>
      </c>
    </row>
    <row r="39860">
      <c r="H39860" s="8" t="s">
        <v>364</v>
      </c>
    </row>
    <row r="39861">
      <c r="H39861" s="8" t="s">
        <v>364</v>
      </c>
    </row>
    <row r="39862">
      <c r="H39862" s="8" t="s">
        <v>364</v>
      </c>
    </row>
    <row r="39863">
      <c r="H39863" s="8" t="s">
        <v>364</v>
      </c>
    </row>
    <row r="39864">
      <c r="H39864" s="8" t="s">
        <v>364</v>
      </c>
    </row>
    <row r="39865">
      <c r="H39865" s="8" t="s">
        <v>364</v>
      </c>
    </row>
    <row r="39866">
      <c r="H39866" s="8" t="s">
        <v>364</v>
      </c>
    </row>
    <row r="39867">
      <c r="H39867" s="8" t="s">
        <v>364</v>
      </c>
    </row>
    <row r="39868">
      <c r="H39868" s="8" t="s">
        <v>364</v>
      </c>
    </row>
    <row r="39869">
      <c r="H39869" s="8" t="s">
        <v>364</v>
      </c>
    </row>
    <row r="39870">
      <c r="H39870" s="8" t="s">
        <v>364</v>
      </c>
    </row>
    <row r="39871">
      <c r="H39871" s="8" t="s">
        <v>364</v>
      </c>
    </row>
    <row r="39872">
      <c r="H39872" s="8" t="s">
        <v>364</v>
      </c>
    </row>
    <row r="39873">
      <c r="H39873" s="8" t="s">
        <v>364</v>
      </c>
    </row>
    <row r="39874">
      <c r="H39874" s="8" t="s">
        <v>364</v>
      </c>
    </row>
    <row r="39875">
      <c r="H39875" s="8" t="s">
        <v>364</v>
      </c>
    </row>
    <row r="39876">
      <c r="H39876" s="8" t="s">
        <v>364</v>
      </c>
    </row>
    <row r="39877">
      <c r="H39877" s="8" t="s">
        <v>364</v>
      </c>
    </row>
    <row r="39878">
      <c r="H39878" s="8" t="s">
        <v>364</v>
      </c>
    </row>
    <row r="39879">
      <c r="H39879" s="8" t="s">
        <v>364</v>
      </c>
    </row>
    <row r="39880">
      <c r="H39880" s="8" t="s">
        <v>364</v>
      </c>
    </row>
    <row r="39881">
      <c r="H39881" s="8" t="s">
        <v>364</v>
      </c>
    </row>
    <row r="39882">
      <c r="H39882" s="8" t="s">
        <v>364</v>
      </c>
    </row>
    <row r="39883">
      <c r="H39883" s="8" t="s">
        <v>364</v>
      </c>
    </row>
    <row r="39884">
      <c r="H39884" s="8" t="s">
        <v>364</v>
      </c>
    </row>
    <row r="39885">
      <c r="H39885" s="8" t="s">
        <v>364</v>
      </c>
    </row>
    <row r="39886">
      <c r="H39886" s="8" t="s">
        <v>364</v>
      </c>
    </row>
    <row r="39887">
      <c r="H39887" s="8" t="s">
        <v>364</v>
      </c>
    </row>
    <row r="39888">
      <c r="H39888" s="8" t="s">
        <v>364</v>
      </c>
    </row>
    <row r="39889">
      <c r="H39889" s="8" t="s">
        <v>364</v>
      </c>
    </row>
    <row r="39890">
      <c r="H39890" s="8" t="s">
        <v>364</v>
      </c>
    </row>
    <row r="39891">
      <c r="H39891" s="8" t="s">
        <v>364</v>
      </c>
    </row>
    <row r="39892">
      <c r="H39892" s="8" t="s">
        <v>364</v>
      </c>
    </row>
    <row r="39893">
      <c r="H39893" s="8" t="s">
        <v>364</v>
      </c>
    </row>
    <row r="39894">
      <c r="H39894" s="8" t="s">
        <v>364</v>
      </c>
    </row>
    <row r="39895">
      <c r="H39895" s="8" t="s">
        <v>364</v>
      </c>
    </row>
    <row r="39896">
      <c r="H39896" s="8" t="s">
        <v>364</v>
      </c>
    </row>
    <row r="39897">
      <c r="H39897" s="8" t="s">
        <v>364</v>
      </c>
    </row>
    <row r="39898">
      <c r="H39898" s="8" t="s">
        <v>364</v>
      </c>
    </row>
    <row r="39899">
      <c r="H39899" s="8" t="s">
        <v>364</v>
      </c>
    </row>
    <row r="39900">
      <c r="H39900" s="8" t="s">
        <v>364</v>
      </c>
    </row>
    <row r="39901">
      <c r="H39901" s="8" t="s">
        <v>364</v>
      </c>
    </row>
    <row r="39902">
      <c r="H39902" s="8" t="s">
        <v>364</v>
      </c>
    </row>
    <row r="39903">
      <c r="H39903" s="8" t="s">
        <v>364</v>
      </c>
    </row>
    <row r="39904">
      <c r="H39904" s="8" t="s">
        <v>364</v>
      </c>
    </row>
    <row r="39905">
      <c r="H39905" s="8" t="s">
        <v>364</v>
      </c>
    </row>
    <row r="39906">
      <c r="H39906" s="8" t="s">
        <v>364</v>
      </c>
    </row>
    <row r="39907">
      <c r="H39907" s="8" t="s">
        <v>364</v>
      </c>
    </row>
    <row r="39908">
      <c r="H39908" s="8" t="s">
        <v>364</v>
      </c>
    </row>
    <row r="39909">
      <c r="H39909" s="8" t="s">
        <v>364</v>
      </c>
    </row>
    <row r="39910">
      <c r="H39910" s="8" t="s">
        <v>364</v>
      </c>
    </row>
    <row r="39911">
      <c r="H39911" s="8" t="s">
        <v>364</v>
      </c>
    </row>
    <row r="39912">
      <c r="H39912" s="8" t="s">
        <v>364</v>
      </c>
    </row>
    <row r="39913">
      <c r="H39913" s="8" t="s">
        <v>364</v>
      </c>
    </row>
    <row r="39914">
      <c r="H39914" s="8" t="s">
        <v>364</v>
      </c>
    </row>
    <row r="39915">
      <c r="H39915" s="8" t="s">
        <v>364</v>
      </c>
    </row>
    <row r="39916">
      <c r="H39916" s="8" t="s">
        <v>364</v>
      </c>
    </row>
    <row r="39917">
      <c r="H39917" s="8" t="s">
        <v>364</v>
      </c>
    </row>
    <row r="39918">
      <c r="H39918" s="8" t="s">
        <v>364</v>
      </c>
    </row>
    <row r="39919">
      <c r="H39919" s="8" t="s">
        <v>364</v>
      </c>
    </row>
    <row r="39920">
      <c r="H39920" s="8" t="s">
        <v>364</v>
      </c>
    </row>
    <row r="39921">
      <c r="H39921" s="8" t="s">
        <v>364</v>
      </c>
    </row>
    <row r="39922">
      <c r="H39922" s="8" t="s">
        <v>364</v>
      </c>
    </row>
    <row r="39923">
      <c r="H39923" s="8" t="s">
        <v>364</v>
      </c>
    </row>
    <row r="39924">
      <c r="H39924" s="8" t="s">
        <v>364</v>
      </c>
    </row>
    <row r="39925">
      <c r="H39925" s="8" t="s">
        <v>364</v>
      </c>
    </row>
    <row r="39926">
      <c r="H39926" s="8" t="s">
        <v>364</v>
      </c>
    </row>
    <row r="39927">
      <c r="H39927" s="8" t="s">
        <v>364</v>
      </c>
    </row>
    <row r="39928">
      <c r="H39928" s="8" t="s">
        <v>364</v>
      </c>
    </row>
    <row r="39929">
      <c r="H39929" s="8" t="s">
        <v>364</v>
      </c>
    </row>
    <row r="39930">
      <c r="H39930" s="8" t="s">
        <v>364</v>
      </c>
    </row>
    <row r="39931">
      <c r="H39931" s="8" t="s">
        <v>364</v>
      </c>
    </row>
    <row r="39932">
      <c r="H39932" s="8" t="s">
        <v>364</v>
      </c>
    </row>
    <row r="39933">
      <c r="H39933" s="8" t="s">
        <v>364</v>
      </c>
    </row>
    <row r="39934">
      <c r="H39934" s="8" t="s">
        <v>364</v>
      </c>
    </row>
    <row r="39935">
      <c r="H39935" s="8" t="s">
        <v>364</v>
      </c>
    </row>
    <row r="39936">
      <c r="H39936" s="8" t="s">
        <v>364</v>
      </c>
    </row>
    <row r="39937">
      <c r="H39937" s="8" t="s">
        <v>364</v>
      </c>
    </row>
    <row r="39938">
      <c r="H39938" s="8" t="s">
        <v>364</v>
      </c>
    </row>
    <row r="39939">
      <c r="H39939" s="8" t="s">
        <v>364</v>
      </c>
    </row>
    <row r="39940">
      <c r="H39940" s="8" t="s">
        <v>364</v>
      </c>
    </row>
    <row r="39941">
      <c r="H39941" s="8" t="s">
        <v>364</v>
      </c>
    </row>
    <row r="39942">
      <c r="H39942" s="8" t="s">
        <v>364</v>
      </c>
    </row>
    <row r="39943">
      <c r="H39943" s="8" t="s">
        <v>364</v>
      </c>
    </row>
    <row r="39944">
      <c r="H39944" s="8" t="s">
        <v>364</v>
      </c>
    </row>
    <row r="39945">
      <c r="H39945" s="8" t="s">
        <v>364</v>
      </c>
    </row>
    <row r="39946">
      <c r="H39946" s="8" t="s">
        <v>364</v>
      </c>
    </row>
    <row r="39947">
      <c r="H39947" s="8" t="s">
        <v>364</v>
      </c>
    </row>
    <row r="39948">
      <c r="H39948" s="8" t="s">
        <v>364</v>
      </c>
    </row>
    <row r="39949">
      <c r="H39949" s="8" t="s">
        <v>364</v>
      </c>
    </row>
    <row r="39950">
      <c r="H39950" s="8" t="s">
        <v>364</v>
      </c>
    </row>
    <row r="39951">
      <c r="H39951" s="8" t="s">
        <v>364</v>
      </c>
    </row>
    <row r="39952">
      <c r="H39952" s="8" t="s">
        <v>364</v>
      </c>
    </row>
    <row r="39953">
      <c r="H39953" s="8" t="s">
        <v>364</v>
      </c>
    </row>
    <row r="39954">
      <c r="H39954" s="8" t="s">
        <v>364</v>
      </c>
    </row>
    <row r="39955">
      <c r="H39955" s="8" t="s">
        <v>364</v>
      </c>
    </row>
    <row r="39956">
      <c r="H39956" s="8" t="s">
        <v>364</v>
      </c>
    </row>
    <row r="39957">
      <c r="H39957" s="8" t="s">
        <v>364</v>
      </c>
    </row>
    <row r="39958">
      <c r="H39958" s="8" t="s">
        <v>364</v>
      </c>
    </row>
    <row r="39959">
      <c r="H39959" s="8" t="s">
        <v>364</v>
      </c>
    </row>
    <row r="39960">
      <c r="H39960" s="8" t="s">
        <v>364</v>
      </c>
    </row>
    <row r="39961">
      <c r="H39961" s="8" t="s">
        <v>364</v>
      </c>
    </row>
    <row r="39962">
      <c r="H39962" s="8" t="s">
        <v>364</v>
      </c>
    </row>
    <row r="39963">
      <c r="H39963" s="8" t="s">
        <v>364</v>
      </c>
    </row>
    <row r="39964">
      <c r="H39964" s="8" t="s">
        <v>364</v>
      </c>
    </row>
    <row r="39965">
      <c r="H39965" s="8" t="s">
        <v>364</v>
      </c>
    </row>
    <row r="39966">
      <c r="H39966" s="8" t="s">
        <v>364</v>
      </c>
    </row>
    <row r="39967">
      <c r="H39967" s="8" t="s">
        <v>364</v>
      </c>
    </row>
    <row r="39968">
      <c r="H39968" s="8" t="s">
        <v>364</v>
      </c>
    </row>
    <row r="39969">
      <c r="H39969" s="8" t="s">
        <v>364</v>
      </c>
    </row>
    <row r="39970">
      <c r="H39970" s="8" t="s">
        <v>364</v>
      </c>
    </row>
    <row r="39971">
      <c r="H39971" s="8" t="s">
        <v>364</v>
      </c>
    </row>
    <row r="39972">
      <c r="H39972" s="8" t="s">
        <v>364</v>
      </c>
    </row>
    <row r="39973">
      <c r="H39973" s="8" t="s">
        <v>364</v>
      </c>
    </row>
    <row r="39974">
      <c r="H39974" s="8" t="s">
        <v>364</v>
      </c>
    </row>
    <row r="39975">
      <c r="H39975" s="8" t="s">
        <v>364</v>
      </c>
    </row>
    <row r="39976">
      <c r="H39976" s="8" t="s">
        <v>364</v>
      </c>
    </row>
    <row r="39977">
      <c r="H39977" s="8" t="s">
        <v>364</v>
      </c>
    </row>
    <row r="39978">
      <c r="H39978" s="8" t="s">
        <v>364</v>
      </c>
    </row>
    <row r="39979">
      <c r="H39979" s="8" t="s">
        <v>364</v>
      </c>
    </row>
    <row r="39980">
      <c r="H39980" s="8" t="s">
        <v>364</v>
      </c>
    </row>
    <row r="39981">
      <c r="H39981" s="8" t="s">
        <v>364</v>
      </c>
    </row>
    <row r="39982">
      <c r="H39982" s="8" t="s">
        <v>364</v>
      </c>
    </row>
    <row r="39983">
      <c r="H39983" s="8" t="s">
        <v>364</v>
      </c>
    </row>
    <row r="39984">
      <c r="H39984" s="8" t="s">
        <v>364</v>
      </c>
    </row>
    <row r="39985">
      <c r="H39985" s="8" t="s">
        <v>364</v>
      </c>
    </row>
    <row r="39986">
      <c r="H39986" s="8" t="s">
        <v>364</v>
      </c>
    </row>
    <row r="39987">
      <c r="H39987" s="8" t="s">
        <v>364</v>
      </c>
    </row>
    <row r="39988">
      <c r="H39988" s="8" t="s">
        <v>364</v>
      </c>
    </row>
    <row r="39989">
      <c r="H39989" s="8" t="s">
        <v>364</v>
      </c>
    </row>
    <row r="39990">
      <c r="H39990" s="8" t="s">
        <v>364</v>
      </c>
    </row>
    <row r="39991">
      <c r="H39991" s="8" t="s">
        <v>364</v>
      </c>
    </row>
    <row r="39992">
      <c r="H39992" s="8" t="s">
        <v>364</v>
      </c>
    </row>
    <row r="39993">
      <c r="H39993" s="8" t="s">
        <v>364</v>
      </c>
    </row>
    <row r="39994">
      <c r="H39994" s="8" t="s">
        <v>364</v>
      </c>
    </row>
    <row r="39995">
      <c r="H39995" s="8" t="s">
        <v>364</v>
      </c>
    </row>
    <row r="39996">
      <c r="H39996" s="8" t="s">
        <v>364</v>
      </c>
    </row>
    <row r="39997">
      <c r="H39997" s="8" t="s">
        <v>364</v>
      </c>
    </row>
    <row r="39998">
      <c r="H39998" s="8" t="s">
        <v>364</v>
      </c>
    </row>
    <row r="39999">
      <c r="H39999" s="8" t="s">
        <v>364</v>
      </c>
    </row>
    <row r="40000">
      <c r="H40000" s="8" t="s">
        <v>364</v>
      </c>
    </row>
    <row r="40001">
      <c r="H40001" s="8" t="s">
        <v>364</v>
      </c>
    </row>
    <row r="40002">
      <c r="H40002" s="8" t="s">
        <v>364</v>
      </c>
    </row>
    <row r="40003">
      <c r="H40003" s="8" t="s">
        <v>364</v>
      </c>
    </row>
    <row r="40004">
      <c r="H40004" s="8" t="s">
        <v>364</v>
      </c>
    </row>
    <row r="40005">
      <c r="H40005" s="8" t="s">
        <v>364</v>
      </c>
    </row>
    <row r="40006">
      <c r="H40006" s="8" t="s">
        <v>364</v>
      </c>
    </row>
    <row r="40007">
      <c r="H40007" s="8" t="s">
        <v>364</v>
      </c>
    </row>
    <row r="40008">
      <c r="H40008" s="8" t="s">
        <v>364</v>
      </c>
    </row>
    <row r="40009">
      <c r="H40009" s="8" t="s">
        <v>364</v>
      </c>
    </row>
    <row r="40010">
      <c r="H40010" s="8" t="s">
        <v>364</v>
      </c>
    </row>
    <row r="40011">
      <c r="H40011" s="8" t="s">
        <v>364</v>
      </c>
    </row>
    <row r="40012">
      <c r="H40012" s="8" t="s">
        <v>364</v>
      </c>
    </row>
    <row r="40013">
      <c r="H40013" s="8" t="s">
        <v>364</v>
      </c>
    </row>
    <row r="40014">
      <c r="H40014" s="8" t="s">
        <v>364</v>
      </c>
    </row>
    <row r="40015">
      <c r="H40015" s="8" t="s">
        <v>364</v>
      </c>
    </row>
    <row r="40016">
      <c r="H40016" s="8" t="s">
        <v>364</v>
      </c>
    </row>
    <row r="40017">
      <c r="H40017" s="8" t="s">
        <v>364</v>
      </c>
    </row>
    <row r="40018">
      <c r="H40018" s="8" t="s">
        <v>364</v>
      </c>
    </row>
    <row r="40019">
      <c r="H40019" s="8" t="s">
        <v>364</v>
      </c>
    </row>
    <row r="40020">
      <c r="H40020" s="8" t="s">
        <v>364</v>
      </c>
    </row>
    <row r="40021">
      <c r="H40021" s="8" t="s">
        <v>364</v>
      </c>
    </row>
    <row r="40022">
      <c r="H40022" s="8" t="s">
        <v>364</v>
      </c>
    </row>
    <row r="40023">
      <c r="H40023" s="8" t="s">
        <v>364</v>
      </c>
    </row>
    <row r="40024">
      <c r="H40024" s="8" t="s">
        <v>364</v>
      </c>
    </row>
    <row r="40025">
      <c r="H40025" s="8" t="s">
        <v>364</v>
      </c>
    </row>
    <row r="40026">
      <c r="H40026" s="8" t="s">
        <v>364</v>
      </c>
    </row>
    <row r="40027">
      <c r="H40027" s="8" t="s">
        <v>364</v>
      </c>
    </row>
    <row r="40028">
      <c r="H40028" s="8" t="s">
        <v>364</v>
      </c>
    </row>
    <row r="40029">
      <c r="H40029" s="8" t="s">
        <v>364</v>
      </c>
    </row>
    <row r="40030">
      <c r="H40030" s="8" t="s">
        <v>364</v>
      </c>
    </row>
    <row r="40031">
      <c r="H40031" s="8" t="s">
        <v>364</v>
      </c>
    </row>
    <row r="40032">
      <c r="H40032" s="8" t="s">
        <v>364</v>
      </c>
    </row>
    <row r="40033">
      <c r="H40033" s="8" t="s">
        <v>364</v>
      </c>
    </row>
    <row r="40034">
      <c r="H40034" s="8" t="s">
        <v>364</v>
      </c>
    </row>
    <row r="40035">
      <c r="H40035" s="8" t="s">
        <v>364</v>
      </c>
    </row>
    <row r="40036">
      <c r="H40036" s="8" t="s">
        <v>364</v>
      </c>
    </row>
    <row r="40037">
      <c r="H40037" s="8" t="s">
        <v>364</v>
      </c>
    </row>
    <row r="40038">
      <c r="H40038" s="8" t="s">
        <v>364</v>
      </c>
    </row>
    <row r="40039">
      <c r="H40039" s="8" t="s">
        <v>364</v>
      </c>
    </row>
    <row r="40040">
      <c r="H40040" s="8" t="s">
        <v>364</v>
      </c>
    </row>
    <row r="40041">
      <c r="H40041" s="8" t="s">
        <v>364</v>
      </c>
    </row>
    <row r="40042">
      <c r="H40042" s="8" t="s">
        <v>364</v>
      </c>
    </row>
    <row r="40043">
      <c r="H40043" s="8" t="s">
        <v>364</v>
      </c>
    </row>
    <row r="40044">
      <c r="H40044" s="8" t="s">
        <v>364</v>
      </c>
    </row>
    <row r="40045">
      <c r="H40045" s="8" t="s">
        <v>364</v>
      </c>
    </row>
    <row r="40046">
      <c r="H40046" s="8" t="s">
        <v>364</v>
      </c>
    </row>
    <row r="40047">
      <c r="H40047" s="8" t="s">
        <v>364</v>
      </c>
    </row>
    <row r="40048">
      <c r="H40048" s="8" t="s">
        <v>364</v>
      </c>
    </row>
    <row r="40049">
      <c r="H40049" s="8" t="s">
        <v>364</v>
      </c>
    </row>
    <row r="40050">
      <c r="H40050" s="8" t="s">
        <v>364</v>
      </c>
    </row>
    <row r="40051">
      <c r="H40051" s="8" t="s">
        <v>364</v>
      </c>
    </row>
    <row r="40052">
      <c r="H40052" s="8" t="s">
        <v>364</v>
      </c>
    </row>
    <row r="40053">
      <c r="H40053" s="8" t="s">
        <v>364</v>
      </c>
    </row>
    <row r="40054">
      <c r="H40054" s="8" t="s">
        <v>364</v>
      </c>
    </row>
    <row r="40055">
      <c r="H40055" s="8" t="s">
        <v>364</v>
      </c>
    </row>
    <row r="40056">
      <c r="H40056" s="8" t="s">
        <v>364</v>
      </c>
    </row>
    <row r="40057">
      <c r="H40057" s="8" t="s">
        <v>364</v>
      </c>
    </row>
    <row r="40058">
      <c r="H40058" s="8" t="s">
        <v>364</v>
      </c>
    </row>
    <row r="40059">
      <c r="H40059" s="8" t="s">
        <v>364</v>
      </c>
    </row>
    <row r="40060">
      <c r="H40060" s="8" t="s">
        <v>364</v>
      </c>
    </row>
    <row r="40061">
      <c r="H40061" s="8" t="s">
        <v>364</v>
      </c>
    </row>
    <row r="40062">
      <c r="H40062" s="8" t="s">
        <v>364</v>
      </c>
    </row>
    <row r="40063">
      <c r="H40063" s="8" t="s">
        <v>364</v>
      </c>
    </row>
    <row r="40064">
      <c r="H40064" s="8" t="s">
        <v>364</v>
      </c>
    </row>
    <row r="40065">
      <c r="H40065" s="8" t="s">
        <v>364</v>
      </c>
    </row>
    <row r="40066">
      <c r="H40066" s="8" t="s">
        <v>364</v>
      </c>
    </row>
    <row r="40067">
      <c r="H40067" s="8" t="s">
        <v>364</v>
      </c>
    </row>
    <row r="40068">
      <c r="H40068" s="8" t="s">
        <v>364</v>
      </c>
    </row>
    <row r="40069">
      <c r="H40069" s="8" t="s">
        <v>364</v>
      </c>
    </row>
    <row r="40070">
      <c r="H40070" s="8" t="s">
        <v>364</v>
      </c>
    </row>
    <row r="40071">
      <c r="H40071" s="8" t="s">
        <v>364</v>
      </c>
    </row>
    <row r="40072">
      <c r="H40072" s="8" t="s">
        <v>364</v>
      </c>
    </row>
    <row r="40073">
      <c r="H40073" s="8" t="s">
        <v>364</v>
      </c>
    </row>
    <row r="40074">
      <c r="H40074" s="8" t="s">
        <v>364</v>
      </c>
    </row>
    <row r="40075">
      <c r="H40075" s="8" t="s">
        <v>364</v>
      </c>
    </row>
    <row r="40076">
      <c r="H40076" s="8" t="s">
        <v>364</v>
      </c>
    </row>
    <row r="40077">
      <c r="H40077" s="8" t="s">
        <v>364</v>
      </c>
    </row>
    <row r="40078">
      <c r="H40078" s="8" t="s">
        <v>364</v>
      </c>
    </row>
    <row r="40079">
      <c r="H40079" s="8" t="s">
        <v>364</v>
      </c>
    </row>
    <row r="40080">
      <c r="H40080" s="8" t="s">
        <v>364</v>
      </c>
    </row>
    <row r="40081">
      <c r="H40081" s="8" t="s">
        <v>364</v>
      </c>
    </row>
    <row r="40082">
      <c r="H40082" s="8" t="s">
        <v>364</v>
      </c>
    </row>
    <row r="40083">
      <c r="H40083" s="8" t="s">
        <v>364</v>
      </c>
    </row>
    <row r="40084">
      <c r="H40084" s="8" t="s">
        <v>364</v>
      </c>
    </row>
    <row r="40085">
      <c r="H40085" s="8" t="s">
        <v>364</v>
      </c>
    </row>
    <row r="40086">
      <c r="H40086" s="8" t="s">
        <v>364</v>
      </c>
    </row>
    <row r="40087">
      <c r="H40087" s="8" t="s">
        <v>364</v>
      </c>
    </row>
    <row r="40088">
      <c r="H40088" s="8" t="s">
        <v>364</v>
      </c>
    </row>
    <row r="40089">
      <c r="H40089" s="8" t="s">
        <v>364</v>
      </c>
    </row>
    <row r="40090">
      <c r="H40090" s="8" t="s">
        <v>364</v>
      </c>
    </row>
    <row r="40091">
      <c r="H40091" s="8" t="s">
        <v>364</v>
      </c>
    </row>
    <row r="40092">
      <c r="H40092" s="8" t="s">
        <v>364</v>
      </c>
    </row>
    <row r="40093">
      <c r="H40093" s="8" t="s">
        <v>364</v>
      </c>
    </row>
    <row r="40094">
      <c r="H40094" s="8" t="s">
        <v>364</v>
      </c>
    </row>
    <row r="40095">
      <c r="H40095" s="8" t="s">
        <v>364</v>
      </c>
    </row>
    <row r="40096">
      <c r="H40096" s="8" t="s">
        <v>364</v>
      </c>
    </row>
    <row r="40097">
      <c r="H40097" s="8" t="s">
        <v>364</v>
      </c>
    </row>
    <row r="40098">
      <c r="H40098" s="8" t="s">
        <v>364</v>
      </c>
    </row>
    <row r="40099">
      <c r="H40099" s="8" t="s">
        <v>364</v>
      </c>
    </row>
    <row r="40100">
      <c r="H40100" s="8" t="s">
        <v>364</v>
      </c>
    </row>
    <row r="40101">
      <c r="H40101" s="8" t="s">
        <v>364</v>
      </c>
    </row>
    <row r="40102">
      <c r="H40102" s="8" t="s">
        <v>364</v>
      </c>
    </row>
    <row r="40103">
      <c r="H40103" s="8" t="s">
        <v>364</v>
      </c>
    </row>
    <row r="40104">
      <c r="H40104" s="8" t="s">
        <v>364</v>
      </c>
    </row>
    <row r="40105">
      <c r="H40105" s="8" t="s">
        <v>364</v>
      </c>
    </row>
    <row r="40106">
      <c r="H40106" s="8" t="s">
        <v>364</v>
      </c>
    </row>
    <row r="40107">
      <c r="H40107" s="8" t="s">
        <v>364</v>
      </c>
    </row>
    <row r="40108">
      <c r="H40108" s="8" t="s">
        <v>364</v>
      </c>
    </row>
    <row r="40109">
      <c r="H40109" s="8" t="s">
        <v>364</v>
      </c>
    </row>
    <row r="40110">
      <c r="H40110" s="8" t="s">
        <v>364</v>
      </c>
    </row>
    <row r="40111">
      <c r="H40111" s="8" t="s">
        <v>364</v>
      </c>
    </row>
    <row r="40112">
      <c r="H40112" s="8" t="s">
        <v>364</v>
      </c>
    </row>
    <row r="40113">
      <c r="H40113" s="8" t="s">
        <v>364</v>
      </c>
    </row>
    <row r="40114">
      <c r="H40114" s="8" t="s">
        <v>364</v>
      </c>
    </row>
    <row r="40115">
      <c r="H40115" s="8" t="s">
        <v>364</v>
      </c>
    </row>
    <row r="40116">
      <c r="H40116" s="8" t="s">
        <v>364</v>
      </c>
    </row>
    <row r="40117">
      <c r="H40117" s="8" t="s">
        <v>364</v>
      </c>
    </row>
    <row r="40118">
      <c r="H40118" s="8" t="s">
        <v>364</v>
      </c>
    </row>
    <row r="40119">
      <c r="H40119" s="8" t="s">
        <v>364</v>
      </c>
    </row>
    <row r="40120">
      <c r="H40120" s="8" t="s">
        <v>364</v>
      </c>
    </row>
    <row r="40121">
      <c r="H40121" s="8" t="s">
        <v>364</v>
      </c>
    </row>
    <row r="40122">
      <c r="H40122" s="8" t="s">
        <v>364</v>
      </c>
    </row>
    <row r="40123">
      <c r="H40123" s="8" t="s">
        <v>364</v>
      </c>
    </row>
    <row r="40124">
      <c r="H40124" s="8" t="s">
        <v>364</v>
      </c>
    </row>
    <row r="40125">
      <c r="H40125" s="8" t="s">
        <v>364</v>
      </c>
    </row>
    <row r="40126">
      <c r="H40126" s="8" t="s">
        <v>364</v>
      </c>
    </row>
    <row r="40127">
      <c r="H40127" s="8" t="s">
        <v>364</v>
      </c>
    </row>
    <row r="40128">
      <c r="H40128" s="8" t="s">
        <v>364</v>
      </c>
    </row>
    <row r="40129">
      <c r="H40129" s="8" t="s">
        <v>364</v>
      </c>
    </row>
    <row r="40130">
      <c r="H40130" s="8" t="s">
        <v>364</v>
      </c>
    </row>
    <row r="40131">
      <c r="H40131" s="8" t="s">
        <v>364</v>
      </c>
    </row>
    <row r="40132">
      <c r="H40132" s="8" t="s">
        <v>364</v>
      </c>
    </row>
    <row r="40133">
      <c r="H40133" s="8" t="s">
        <v>364</v>
      </c>
    </row>
    <row r="40134">
      <c r="H40134" s="8" t="s">
        <v>364</v>
      </c>
    </row>
    <row r="40135">
      <c r="H40135" s="8" t="s">
        <v>364</v>
      </c>
    </row>
    <row r="40136">
      <c r="H40136" s="8" t="s">
        <v>364</v>
      </c>
    </row>
    <row r="40137">
      <c r="H40137" s="8" t="s">
        <v>364</v>
      </c>
    </row>
    <row r="40138">
      <c r="H40138" s="8" t="s">
        <v>364</v>
      </c>
    </row>
    <row r="40139">
      <c r="H40139" s="8" t="s">
        <v>364</v>
      </c>
    </row>
    <row r="40140">
      <c r="H40140" s="8" t="s">
        <v>364</v>
      </c>
    </row>
    <row r="40141">
      <c r="H40141" s="8" t="s">
        <v>364</v>
      </c>
    </row>
    <row r="40142">
      <c r="H40142" s="8" t="s">
        <v>364</v>
      </c>
    </row>
    <row r="40143">
      <c r="H40143" s="8" t="s">
        <v>364</v>
      </c>
    </row>
    <row r="40144">
      <c r="H40144" s="8" t="s">
        <v>364</v>
      </c>
    </row>
    <row r="40145">
      <c r="H40145" s="8" t="s">
        <v>364</v>
      </c>
    </row>
    <row r="40146">
      <c r="H40146" s="8" t="s">
        <v>364</v>
      </c>
    </row>
    <row r="40147">
      <c r="H40147" s="8" t="s">
        <v>364</v>
      </c>
    </row>
    <row r="40148">
      <c r="H40148" s="8" t="s">
        <v>364</v>
      </c>
    </row>
    <row r="40149">
      <c r="H40149" s="8" t="s">
        <v>364</v>
      </c>
    </row>
    <row r="40150">
      <c r="H40150" s="8" t="s">
        <v>364</v>
      </c>
    </row>
    <row r="40151">
      <c r="H40151" s="8" t="s">
        <v>364</v>
      </c>
    </row>
    <row r="40152">
      <c r="H40152" s="8" t="s">
        <v>364</v>
      </c>
    </row>
    <row r="40153">
      <c r="H40153" s="8" t="s">
        <v>364</v>
      </c>
    </row>
    <row r="40154">
      <c r="H40154" s="8" t="s">
        <v>364</v>
      </c>
    </row>
    <row r="40155">
      <c r="H40155" s="8" t="s">
        <v>364</v>
      </c>
    </row>
    <row r="40156">
      <c r="H40156" s="8" t="s">
        <v>364</v>
      </c>
    </row>
    <row r="40157">
      <c r="H40157" s="8" t="s">
        <v>364</v>
      </c>
    </row>
    <row r="40158">
      <c r="H40158" s="8" t="s">
        <v>364</v>
      </c>
    </row>
    <row r="40159">
      <c r="H40159" s="8" t="s">
        <v>364</v>
      </c>
    </row>
    <row r="40160">
      <c r="H40160" s="8" t="s">
        <v>364</v>
      </c>
    </row>
    <row r="40161">
      <c r="H40161" s="8" t="s">
        <v>364</v>
      </c>
    </row>
    <row r="40162">
      <c r="H40162" s="8" t="s">
        <v>364</v>
      </c>
    </row>
    <row r="40163">
      <c r="H40163" s="8" t="s">
        <v>364</v>
      </c>
    </row>
    <row r="40164">
      <c r="H40164" s="8" t="s">
        <v>364</v>
      </c>
    </row>
    <row r="40165">
      <c r="H40165" s="8" t="s">
        <v>364</v>
      </c>
    </row>
    <row r="40166">
      <c r="H40166" s="8" t="s">
        <v>364</v>
      </c>
    </row>
    <row r="40167">
      <c r="H40167" s="8" t="s">
        <v>364</v>
      </c>
    </row>
    <row r="40168">
      <c r="H40168" s="8" t="s">
        <v>364</v>
      </c>
    </row>
    <row r="40169">
      <c r="H40169" s="8" t="s">
        <v>364</v>
      </c>
    </row>
    <row r="40170">
      <c r="H40170" s="8" t="s">
        <v>364</v>
      </c>
    </row>
    <row r="40171">
      <c r="H40171" s="8" t="s">
        <v>364</v>
      </c>
    </row>
    <row r="40172">
      <c r="H40172" s="8" t="s">
        <v>364</v>
      </c>
    </row>
    <row r="40173">
      <c r="H40173" s="8" t="s">
        <v>364</v>
      </c>
    </row>
    <row r="40174">
      <c r="H40174" s="8" t="s">
        <v>364</v>
      </c>
    </row>
    <row r="40175">
      <c r="H40175" s="8" t="s">
        <v>364</v>
      </c>
    </row>
    <row r="40176">
      <c r="H40176" s="8" t="s">
        <v>364</v>
      </c>
    </row>
    <row r="40177">
      <c r="H40177" s="8" t="s">
        <v>364</v>
      </c>
    </row>
    <row r="40178">
      <c r="H40178" s="8" t="s">
        <v>364</v>
      </c>
    </row>
    <row r="40179">
      <c r="H40179" s="8" t="s">
        <v>364</v>
      </c>
    </row>
    <row r="40180">
      <c r="H40180" s="8" t="s">
        <v>364</v>
      </c>
    </row>
    <row r="40181">
      <c r="H40181" s="8" t="s">
        <v>364</v>
      </c>
    </row>
    <row r="40182">
      <c r="H40182" s="8" t="s">
        <v>364</v>
      </c>
    </row>
    <row r="40183">
      <c r="H40183" s="8" t="s">
        <v>364</v>
      </c>
    </row>
    <row r="40184">
      <c r="H40184" s="8" t="s">
        <v>364</v>
      </c>
    </row>
    <row r="40185">
      <c r="H40185" s="8" t="s">
        <v>364</v>
      </c>
    </row>
    <row r="40186">
      <c r="H40186" s="8" t="s">
        <v>364</v>
      </c>
    </row>
    <row r="40187">
      <c r="H40187" s="8" t="s">
        <v>364</v>
      </c>
    </row>
    <row r="40188">
      <c r="H40188" s="8" t="s">
        <v>364</v>
      </c>
    </row>
    <row r="40189">
      <c r="H40189" s="8" t="s">
        <v>364</v>
      </c>
    </row>
    <row r="40190">
      <c r="H40190" s="8" t="s">
        <v>364</v>
      </c>
    </row>
    <row r="40191">
      <c r="H40191" s="8" t="s">
        <v>364</v>
      </c>
    </row>
    <row r="40192">
      <c r="H40192" s="8" t="s">
        <v>364</v>
      </c>
    </row>
    <row r="40193">
      <c r="H40193" s="8" t="s">
        <v>364</v>
      </c>
    </row>
    <row r="40194">
      <c r="H40194" s="8" t="s">
        <v>364</v>
      </c>
    </row>
    <row r="40195">
      <c r="H40195" s="8" t="s">
        <v>364</v>
      </c>
    </row>
    <row r="40196">
      <c r="H40196" s="8" t="s">
        <v>364</v>
      </c>
    </row>
    <row r="40197">
      <c r="H40197" s="8" t="s">
        <v>364</v>
      </c>
    </row>
    <row r="40198">
      <c r="H40198" s="8" t="s">
        <v>364</v>
      </c>
    </row>
    <row r="40199">
      <c r="H40199" s="8" t="s">
        <v>364</v>
      </c>
    </row>
    <row r="40200">
      <c r="H40200" s="8" t="s">
        <v>364</v>
      </c>
    </row>
    <row r="40201">
      <c r="H40201" s="8" t="s">
        <v>364</v>
      </c>
    </row>
    <row r="40202">
      <c r="H40202" s="8" t="s">
        <v>364</v>
      </c>
    </row>
    <row r="40203">
      <c r="H40203" s="8" t="s">
        <v>364</v>
      </c>
    </row>
    <row r="40204">
      <c r="H40204" s="8" t="s">
        <v>364</v>
      </c>
    </row>
    <row r="40205">
      <c r="H40205" s="8" t="s">
        <v>364</v>
      </c>
    </row>
    <row r="40206">
      <c r="H40206" s="8" t="s">
        <v>364</v>
      </c>
    </row>
    <row r="40207">
      <c r="H40207" s="8" t="s">
        <v>364</v>
      </c>
    </row>
    <row r="40208">
      <c r="H40208" s="8" t="s">
        <v>364</v>
      </c>
    </row>
    <row r="40209">
      <c r="H40209" s="8" t="s">
        <v>364</v>
      </c>
    </row>
    <row r="40210">
      <c r="H40210" s="8" t="s">
        <v>364</v>
      </c>
    </row>
    <row r="40211">
      <c r="H40211" s="8" t="s">
        <v>364</v>
      </c>
    </row>
    <row r="40212">
      <c r="H40212" s="8" t="s">
        <v>364</v>
      </c>
    </row>
    <row r="40213">
      <c r="H40213" s="8" t="s">
        <v>364</v>
      </c>
    </row>
    <row r="40214">
      <c r="H40214" s="8" t="s">
        <v>364</v>
      </c>
    </row>
    <row r="40215">
      <c r="H40215" s="8" t="s">
        <v>364</v>
      </c>
    </row>
    <row r="40216">
      <c r="H40216" s="8" t="s">
        <v>364</v>
      </c>
    </row>
    <row r="40217">
      <c r="H40217" s="8" t="s">
        <v>364</v>
      </c>
    </row>
    <row r="40218">
      <c r="H40218" s="8" t="s">
        <v>364</v>
      </c>
    </row>
    <row r="40219">
      <c r="H40219" s="8" t="s">
        <v>364</v>
      </c>
    </row>
    <row r="40220">
      <c r="H40220" s="8" t="s">
        <v>364</v>
      </c>
    </row>
    <row r="40221">
      <c r="H40221" s="8" t="s">
        <v>364</v>
      </c>
    </row>
    <row r="40222">
      <c r="H40222" s="8" t="s">
        <v>364</v>
      </c>
    </row>
    <row r="40223">
      <c r="H40223" s="8" t="s">
        <v>364</v>
      </c>
    </row>
    <row r="40224">
      <c r="H40224" s="8" t="s">
        <v>364</v>
      </c>
    </row>
    <row r="40225">
      <c r="H40225" s="8" t="s">
        <v>364</v>
      </c>
    </row>
    <row r="40226">
      <c r="H40226" s="8" t="s">
        <v>364</v>
      </c>
    </row>
    <row r="40227">
      <c r="H40227" s="8" t="s">
        <v>364</v>
      </c>
    </row>
    <row r="40228">
      <c r="H40228" s="8" t="s">
        <v>364</v>
      </c>
    </row>
    <row r="40229">
      <c r="H40229" s="8" t="s">
        <v>364</v>
      </c>
    </row>
    <row r="40230">
      <c r="H40230" s="8" t="s">
        <v>364</v>
      </c>
    </row>
    <row r="40231">
      <c r="H40231" s="8" t="s">
        <v>364</v>
      </c>
    </row>
    <row r="40232">
      <c r="H40232" s="8" t="s">
        <v>364</v>
      </c>
    </row>
    <row r="40233">
      <c r="H40233" s="8" t="s">
        <v>364</v>
      </c>
    </row>
    <row r="40234">
      <c r="H40234" s="8" t="s">
        <v>364</v>
      </c>
    </row>
    <row r="40235">
      <c r="H40235" s="8" t="s">
        <v>364</v>
      </c>
    </row>
    <row r="40236">
      <c r="H40236" s="8" t="s">
        <v>364</v>
      </c>
    </row>
    <row r="40237">
      <c r="H40237" s="8" t="s">
        <v>364</v>
      </c>
    </row>
    <row r="40238">
      <c r="H40238" s="8" t="s">
        <v>364</v>
      </c>
    </row>
    <row r="40239">
      <c r="H40239" s="8" t="s">
        <v>364</v>
      </c>
    </row>
    <row r="40240">
      <c r="H40240" s="8" t="s">
        <v>364</v>
      </c>
    </row>
    <row r="40241">
      <c r="H40241" s="8" t="s">
        <v>364</v>
      </c>
    </row>
    <row r="40242">
      <c r="H40242" s="8" t="s">
        <v>364</v>
      </c>
    </row>
    <row r="40243">
      <c r="H40243" s="8" t="s">
        <v>364</v>
      </c>
    </row>
    <row r="40244">
      <c r="H40244" s="8" t="s">
        <v>364</v>
      </c>
    </row>
    <row r="40245">
      <c r="H40245" s="8" t="s">
        <v>364</v>
      </c>
    </row>
    <row r="40246">
      <c r="H40246" s="8" t="s">
        <v>364</v>
      </c>
    </row>
    <row r="40247">
      <c r="H40247" s="8" t="s">
        <v>364</v>
      </c>
    </row>
    <row r="40248">
      <c r="H40248" s="8" t="s">
        <v>364</v>
      </c>
    </row>
    <row r="40249">
      <c r="H40249" s="8" t="s">
        <v>364</v>
      </c>
    </row>
    <row r="40250">
      <c r="H40250" s="8" t="s">
        <v>364</v>
      </c>
    </row>
    <row r="40251">
      <c r="H40251" s="8" t="s">
        <v>364</v>
      </c>
    </row>
    <row r="40252">
      <c r="H40252" s="8" t="s">
        <v>364</v>
      </c>
    </row>
    <row r="40253">
      <c r="H40253" s="8" t="s">
        <v>364</v>
      </c>
    </row>
    <row r="40254">
      <c r="H40254" s="8" t="s">
        <v>364</v>
      </c>
    </row>
    <row r="40255">
      <c r="H40255" s="8" t="s">
        <v>364</v>
      </c>
    </row>
    <row r="40256">
      <c r="H40256" s="8" t="s">
        <v>364</v>
      </c>
    </row>
    <row r="40257">
      <c r="H40257" s="8" t="s">
        <v>364</v>
      </c>
    </row>
    <row r="40258">
      <c r="H40258" s="8" t="s">
        <v>364</v>
      </c>
    </row>
    <row r="40259">
      <c r="H40259" s="8" t="s">
        <v>364</v>
      </c>
    </row>
    <row r="40260">
      <c r="H40260" s="8" t="s">
        <v>364</v>
      </c>
    </row>
    <row r="40261">
      <c r="H40261" s="8" t="s">
        <v>364</v>
      </c>
    </row>
    <row r="40262">
      <c r="H40262" s="8" t="s">
        <v>364</v>
      </c>
    </row>
    <row r="40263">
      <c r="H40263" s="8" t="s">
        <v>364</v>
      </c>
    </row>
    <row r="40264">
      <c r="H40264" s="8" t="s">
        <v>364</v>
      </c>
    </row>
    <row r="40265">
      <c r="H40265" s="8" t="s">
        <v>364</v>
      </c>
    </row>
    <row r="40266">
      <c r="H40266" s="8" t="s">
        <v>364</v>
      </c>
    </row>
    <row r="40267">
      <c r="H40267" s="8" t="s">
        <v>364</v>
      </c>
    </row>
    <row r="40268">
      <c r="H40268" s="8" t="s">
        <v>364</v>
      </c>
    </row>
    <row r="40269">
      <c r="H40269" s="8" t="s">
        <v>364</v>
      </c>
    </row>
    <row r="40270">
      <c r="H40270" s="8" t="s">
        <v>364</v>
      </c>
    </row>
    <row r="40271">
      <c r="H40271" s="8" t="s">
        <v>364</v>
      </c>
    </row>
    <row r="40272">
      <c r="H40272" s="8" t="s">
        <v>364</v>
      </c>
    </row>
    <row r="40273">
      <c r="H40273" s="8" t="s">
        <v>364</v>
      </c>
    </row>
    <row r="40274">
      <c r="H40274" s="8" t="s">
        <v>364</v>
      </c>
    </row>
    <row r="40275">
      <c r="H40275" s="8" t="s">
        <v>364</v>
      </c>
    </row>
    <row r="40276">
      <c r="H40276" s="8" t="s">
        <v>364</v>
      </c>
    </row>
    <row r="40277">
      <c r="H40277" s="8" t="s">
        <v>364</v>
      </c>
    </row>
    <row r="40278">
      <c r="H40278" s="8" t="s">
        <v>364</v>
      </c>
    </row>
    <row r="40279">
      <c r="H40279" s="8" t="s">
        <v>364</v>
      </c>
    </row>
    <row r="40280">
      <c r="H40280" s="8" t="s">
        <v>364</v>
      </c>
    </row>
    <row r="40281">
      <c r="H40281" s="8" t="s">
        <v>364</v>
      </c>
    </row>
    <row r="40282">
      <c r="H40282" s="8" t="s">
        <v>364</v>
      </c>
    </row>
    <row r="40283">
      <c r="H40283" s="8" t="s">
        <v>364</v>
      </c>
    </row>
    <row r="40284">
      <c r="H40284" s="8" t="s">
        <v>364</v>
      </c>
    </row>
    <row r="40285">
      <c r="H40285" s="8" t="s">
        <v>364</v>
      </c>
    </row>
    <row r="40286">
      <c r="H40286" s="8" t="s">
        <v>364</v>
      </c>
    </row>
    <row r="40287">
      <c r="H40287" s="8" t="s">
        <v>364</v>
      </c>
    </row>
    <row r="40288">
      <c r="H40288" s="8" t="s">
        <v>364</v>
      </c>
    </row>
    <row r="40289">
      <c r="H40289" s="8" t="s">
        <v>364</v>
      </c>
    </row>
    <row r="40290">
      <c r="H40290" s="8" t="s">
        <v>364</v>
      </c>
    </row>
    <row r="40291">
      <c r="H40291" s="8" t="s">
        <v>364</v>
      </c>
    </row>
    <row r="40292">
      <c r="H40292" s="8" t="s">
        <v>364</v>
      </c>
    </row>
    <row r="40293">
      <c r="H40293" s="8" t="s">
        <v>364</v>
      </c>
    </row>
    <row r="40294">
      <c r="H40294" s="8" t="s">
        <v>364</v>
      </c>
    </row>
    <row r="40295">
      <c r="H40295" s="8" t="s">
        <v>364</v>
      </c>
    </row>
    <row r="40296">
      <c r="H40296" s="8" t="s">
        <v>364</v>
      </c>
    </row>
    <row r="40297">
      <c r="H40297" s="8" t="s">
        <v>364</v>
      </c>
    </row>
    <row r="40298">
      <c r="H40298" s="8" t="s">
        <v>364</v>
      </c>
    </row>
    <row r="40299">
      <c r="H40299" s="8" t="s">
        <v>364</v>
      </c>
    </row>
    <row r="40300">
      <c r="H40300" s="8" t="s">
        <v>364</v>
      </c>
    </row>
    <row r="40301">
      <c r="H40301" s="8" t="s">
        <v>364</v>
      </c>
    </row>
    <row r="40302">
      <c r="H40302" s="8" t="s">
        <v>364</v>
      </c>
    </row>
    <row r="40303">
      <c r="H40303" s="8" t="s">
        <v>364</v>
      </c>
    </row>
    <row r="40304">
      <c r="H40304" s="8" t="s">
        <v>364</v>
      </c>
    </row>
    <row r="40305">
      <c r="H40305" s="8" t="s">
        <v>364</v>
      </c>
    </row>
    <row r="40306">
      <c r="H40306" s="8" t="s">
        <v>364</v>
      </c>
    </row>
    <row r="40307">
      <c r="H40307" s="8" t="s">
        <v>364</v>
      </c>
    </row>
    <row r="40308">
      <c r="H40308" s="8" t="s">
        <v>364</v>
      </c>
    </row>
    <row r="40309">
      <c r="H40309" s="8" t="s">
        <v>364</v>
      </c>
    </row>
    <row r="40310">
      <c r="H40310" s="8" t="s">
        <v>364</v>
      </c>
    </row>
    <row r="40311">
      <c r="H40311" s="8" t="s">
        <v>364</v>
      </c>
    </row>
    <row r="40312">
      <c r="H40312" s="8" t="s">
        <v>364</v>
      </c>
    </row>
    <row r="40313">
      <c r="H40313" s="8" t="s">
        <v>364</v>
      </c>
    </row>
    <row r="40314">
      <c r="H40314" s="8" t="s">
        <v>364</v>
      </c>
    </row>
    <row r="40315">
      <c r="H40315" s="8" t="s">
        <v>364</v>
      </c>
    </row>
    <row r="40316">
      <c r="H40316" s="8" t="s">
        <v>364</v>
      </c>
    </row>
    <row r="40317">
      <c r="H40317" s="8" t="s">
        <v>364</v>
      </c>
    </row>
    <row r="40318">
      <c r="H40318" s="8" t="s">
        <v>364</v>
      </c>
    </row>
    <row r="40319">
      <c r="H40319" s="8" t="s">
        <v>364</v>
      </c>
    </row>
    <row r="40320">
      <c r="H40320" s="8" t="s">
        <v>364</v>
      </c>
    </row>
    <row r="40321">
      <c r="H40321" s="8" t="s">
        <v>364</v>
      </c>
    </row>
    <row r="40322">
      <c r="H40322" s="8" t="s">
        <v>364</v>
      </c>
    </row>
    <row r="40323">
      <c r="H40323" s="8" t="s">
        <v>364</v>
      </c>
    </row>
    <row r="40324">
      <c r="H40324" s="8" t="s">
        <v>364</v>
      </c>
    </row>
    <row r="40325">
      <c r="H40325" s="8" t="s">
        <v>364</v>
      </c>
    </row>
    <row r="40326">
      <c r="H40326" s="8" t="s">
        <v>364</v>
      </c>
    </row>
    <row r="40327">
      <c r="H40327" s="8" t="s">
        <v>364</v>
      </c>
    </row>
    <row r="40328">
      <c r="H40328" s="8" t="s">
        <v>364</v>
      </c>
    </row>
    <row r="40329">
      <c r="H40329" s="8" t="s">
        <v>364</v>
      </c>
    </row>
    <row r="40330">
      <c r="H40330" s="8" t="s">
        <v>364</v>
      </c>
    </row>
    <row r="40331">
      <c r="H40331" s="8" t="s">
        <v>364</v>
      </c>
    </row>
    <row r="40332">
      <c r="H40332" s="8" t="s">
        <v>364</v>
      </c>
    </row>
    <row r="40333">
      <c r="H40333" s="8" t="s">
        <v>364</v>
      </c>
    </row>
    <row r="40334">
      <c r="H40334" s="8" t="s">
        <v>364</v>
      </c>
    </row>
    <row r="40335">
      <c r="H40335" s="8" t="s">
        <v>364</v>
      </c>
    </row>
    <row r="40336">
      <c r="H40336" s="8" t="s">
        <v>364</v>
      </c>
    </row>
    <row r="40337">
      <c r="H40337" s="8" t="s">
        <v>364</v>
      </c>
    </row>
    <row r="40338">
      <c r="H40338" s="8" t="s">
        <v>364</v>
      </c>
    </row>
    <row r="40339">
      <c r="H40339" s="8" t="s">
        <v>364</v>
      </c>
    </row>
    <row r="40340">
      <c r="H40340" s="8" t="s">
        <v>364</v>
      </c>
    </row>
    <row r="40341">
      <c r="H40341" s="8" t="s">
        <v>364</v>
      </c>
    </row>
    <row r="40342">
      <c r="H40342" s="8" t="s">
        <v>364</v>
      </c>
    </row>
    <row r="40343">
      <c r="H40343" s="8" t="s">
        <v>364</v>
      </c>
    </row>
    <row r="40344">
      <c r="H40344" s="8" t="s">
        <v>364</v>
      </c>
    </row>
    <row r="40345">
      <c r="H40345" s="8" t="s">
        <v>364</v>
      </c>
    </row>
    <row r="40346">
      <c r="H40346" s="8" t="s">
        <v>364</v>
      </c>
    </row>
    <row r="40347">
      <c r="H40347" s="8" t="s">
        <v>364</v>
      </c>
    </row>
    <row r="40348">
      <c r="H40348" s="8" t="s">
        <v>364</v>
      </c>
    </row>
    <row r="40349">
      <c r="H40349" s="8" t="s">
        <v>364</v>
      </c>
    </row>
    <row r="40350">
      <c r="H40350" s="8" t="s">
        <v>364</v>
      </c>
    </row>
    <row r="40351">
      <c r="H40351" s="8" t="s">
        <v>364</v>
      </c>
    </row>
    <row r="40352">
      <c r="H40352" s="8" t="s">
        <v>364</v>
      </c>
    </row>
    <row r="40353">
      <c r="H40353" s="8" t="s">
        <v>364</v>
      </c>
    </row>
    <row r="40354">
      <c r="H40354" s="8" t="s">
        <v>364</v>
      </c>
    </row>
    <row r="40355">
      <c r="H40355" s="8" t="s">
        <v>364</v>
      </c>
    </row>
    <row r="40356">
      <c r="H40356" s="8" t="s">
        <v>364</v>
      </c>
    </row>
    <row r="40357">
      <c r="H40357" s="8" t="s">
        <v>364</v>
      </c>
    </row>
    <row r="40358">
      <c r="H40358" s="8" t="s">
        <v>364</v>
      </c>
    </row>
    <row r="40359">
      <c r="H40359" s="8" t="s">
        <v>364</v>
      </c>
    </row>
    <row r="40360">
      <c r="H40360" s="8" t="s">
        <v>364</v>
      </c>
    </row>
    <row r="40361">
      <c r="H40361" s="8" t="s">
        <v>364</v>
      </c>
    </row>
    <row r="40362">
      <c r="H40362" s="8" t="s">
        <v>364</v>
      </c>
    </row>
    <row r="40363">
      <c r="H40363" s="8" t="s">
        <v>364</v>
      </c>
    </row>
    <row r="40364">
      <c r="H40364" s="8" t="s">
        <v>364</v>
      </c>
    </row>
    <row r="40365">
      <c r="H40365" s="8" t="s">
        <v>364</v>
      </c>
    </row>
    <row r="40366">
      <c r="H40366" s="8" t="s">
        <v>364</v>
      </c>
    </row>
    <row r="40367">
      <c r="H40367" s="8" t="s">
        <v>364</v>
      </c>
    </row>
    <row r="40368">
      <c r="H40368" s="8" t="s">
        <v>364</v>
      </c>
    </row>
    <row r="40369">
      <c r="H40369" s="8" t="s">
        <v>364</v>
      </c>
    </row>
    <row r="40370">
      <c r="H40370" s="8" t="s">
        <v>364</v>
      </c>
    </row>
    <row r="40371">
      <c r="H40371" s="8" t="s">
        <v>364</v>
      </c>
    </row>
    <row r="40372">
      <c r="H40372" s="8" t="s">
        <v>364</v>
      </c>
    </row>
    <row r="40373">
      <c r="H40373" s="8" t="s">
        <v>364</v>
      </c>
    </row>
    <row r="40374">
      <c r="H40374" s="8" t="s">
        <v>364</v>
      </c>
    </row>
    <row r="40375">
      <c r="H40375" s="8" t="s">
        <v>364</v>
      </c>
    </row>
    <row r="40376">
      <c r="H40376" s="8" t="s">
        <v>364</v>
      </c>
    </row>
    <row r="40377">
      <c r="H40377" s="8" t="s">
        <v>364</v>
      </c>
    </row>
    <row r="40378">
      <c r="H40378" s="8" t="s">
        <v>364</v>
      </c>
    </row>
    <row r="40379">
      <c r="H40379" s="8" t="s">
        <v>364</v>
      </c>
    </row>
    <row r="40380">
      <c r="H40380" s="8" t="s">
        <v>364</v>
      </c>
    </row>
    <row r="40381">
      <c r="H40381" s="8" t="s">
        <v>364</v>
      </c>
    </row>
    <row r="40382">
      <c r="H40382" s="8" t="s">
        <v>364</v>
      </c>
    </row>
    <row r="40383">
      <c r="H40383" s="8" t="s">
        <v>364</v>
      </c>
    </row>
    <row r="40384">
      <c r="H40384" s="8" t="s">
        <v>364</v>
      </c>
    </row>
    <row r="40385">
      <c r="H40385" s="8" t="s">
        <v>364</v>
      </c>
    </row>
    <row r="40386">
      <c r="H40386" s="8" t="s">
        <v>364</v>
      </c>
    </row>
    <row r="40387">
      <c r="H40387" s="8" t="s">
        <v>364</v>
      </c>
    </row>
    <row r="40388">
      <c r="H40388" s="8" t="s">
        <v>364</v>
      </c>
    </row>
    <row r="40389">
      <c r="H40389" s="8" t="s">
        <v>364</v>
      </c>
    </row>
    <row r="40390">
      <c r="H40390" s="8" t="s">
        <v>364</v>
      </c>
    </row>
    <row r="40391">
      <c r="H40391" s="8" t="s">
        <v>364</v>
      </c>
    </row>
    <row r="40392">
      <c r="H40392" s="8" t="s">
        <v>364</v>
      </c>
    </row>
    <row r="40393">
      <c r="H40393" s="8" t="s">
        <v>364</v>
      </c>
    </row>
    <row r="40394">
      <c r="H40394" s="8" t="s">
        <v>364</v>
      </c>
    </row>
    <row r="40395">
      <c r="H40395" s="8" t="s">
        <v>364</v>
      </c>
    </row>
    <row r="40396">
      <c r="H40396" s="8" t="s">
        <v>364</v>
      </c>
    </row>
    <row r="40397">
      <c r="H40397" s="8" t="s">
        <v>364</v>
      </c>
    </row>
    <row r="40398">
      <c r="H40398" s="8" t="s">
        <v>364</v>
      </c>
    </row>
    <row r="40399">
      <c r="H40399" s="8" t="s">
        <v>364</v>
      </c>
    </row>
    <row r="40400">
      <c r="H40400" s="8" t="s">
        <v>364</v>
      </c>
    </row>
    <row r="40401">
      <c r="H40401" s="8" t="s">
        <v>364</v>
      </c>
    </row>
    <row r="40402">
      <c r="H40402" s="8" t="s">
        <v>364</v>
      </c>
    </row>
    <row r="40403">
      <c r="H40403" s="8" t="s">
        <v>364</v>
      </c>
    </row>
    <row r="40404">
      <c r="H40404" s="8" t="s">
        <v>364</v>
      </c>
    </row>
    <row r="40405">
      <c r="H40405" s="8" t="s">
        <v>364</v>
      </c>
    </row>
    <row r="40406">
      <c r="H40406" s="8" t="s">
        <v>364</v>
      </c>
    </row>
    <row r="40407">
      <c r="H40407" s="8" t="s">
        <v>364</v>
      </c>
    </row>
    <row r="40408">
      <c r="H40408" s="8" t="s">
        <v>364</v>
      </c>
    </row>
    <row r="40409">
      <c r="H40409" s="8" t="s">
        <v>364</v>
      </c>
    </row>
    <row r="40410">
      <c r="H40410" s="8" t="s">
        <v>364</v>
      </c>
    </row>
    <row r="40411">
      <c r="H40411" s="8" t="s">
        <v>364</v>
      </c>
    </row>
    <row r="40412">
      <c r="H40412" s="8" t="s">
        <v>364</v>
      </c>
    </row>
    <row r="40413">
      <c r="H40413" s="8" t="s">
        <v>364</v>
      </c>
    </row>
    <row r="40414">
      <c r="H40414" s="8" t="s">
        <v>364</v>
      </c>
    </row>
    <row r="40415">
      <c r="H40415" s="8" t="s">
        <v>364</v>
      </c>
    </row>
    <row r="40416">
      <c r="H40416" s="8" t="s">
        <v>364</v>
      </c>
    </row>
    <row r="40417">
      <c r="H40417" s="8" t="s">
        <v>364</v>
      </c>
    </row>
    <row r="40418">
      <c r="H40418" s="8" t="s">
        <v>364</v>
      </c>
    </row>
    <row r="40419">
      <c r="H40419" s="8" t="s">
        <v>364</v>
      </c>
    </row>
    <row r="40420">
      <c r="H40420" s="8" t="s">
        <v>364</v>
      </c>
    </row>
    <row r="40421">
      <c r="H40421" s="8" t="s">
        <v>364</v>
      </c>
    </row>
    <row r="40422">
      <c r="H40422" s="8" t="s">
        <v>364</v>
      </c>
    </row>
    <row r="40423">
      <c r="H40423" s="8" t="s">
        <v>364</v>
      </c>
    </row>
    <row r="40424">
      <c r="H40424" s="8" t="s">
        <v>364</v>
      </c>
    </row>
    <row r="40425">
      <c r="H40425" s="8" t="s">
        <v>364</v>
      </c>
    </row>
    <row r="40426">
      <c r="H40426" s="8" t="s">
        <v>364</v>
      </c>
    </row>
    <row r="40427">
      <c r="H40427" s="8" t="s">
        <v>364</v>
      </c>
    </row>
    <row r="40428">
      <c r="H40428" s="8" t="s">
        <v>364</v>
      </c>
    </row>
    <row r="40429">
      <c r="H40429" s="8" t="s">
        <v>364</v>
      </c>
    </row>
    <row r="40430">
      <c r="H40430" s="8" t="s">
        <v>364</v>
      </c>
    </row>
    <row r="40431">
      <c r="H40431" s="8" t="s">
        <v>364</v>
      </c>
    </row>
    <row r="40432">
      <c r="H40432" s="8" t="s">
        <v>364</v>
      </c>
    </row>
    <row r="40433">
      <c r="H40433" s="8" t="s">
        <v>364</v>
      </c>
    </row>
    <row r="40434">
      <c r="H40434" s="8" t="s">
        <v>364</v>
      </c>
    </row>
    <row r="40435">
      <c r="H40435" s="8" t="s">
        <v>364</v>
      </c>
    </row>
    <row r="40436">
      <c r="H40436" s="8" t="s">
        <v>364</v>
      </c>
    </row>
    <row r="40437">
      <c r="H40437" s="8" t="s">
        <v>364</v>
      </c>
    </row>
    <row r="40438">
      <c r="H40438" s="8" t="s">
        <v>364</v>
      </c>
    </row>
    <row r="40439">
      <c r="H40439" s="8" t="s">
        <v>364</v>
      </c>
    </row>
    <row r="40440">
      <c r="H40440" s="8" t="s">
        <v>364</v>
      </c>
    </row>
    <row r="40441">
      <c r="H40441" s="8" t="s">
        <v>364</v>
      </c>
    </row>
    <row r="40442">
      <c r="H40442" s="8" t="s">
        <v>364</v>
      </c>
    </row>
    <row r="40443">
      <c r="H40443" s="8" t="s">
        <v>364</v>
      </c>
    </row>
    <row r="40444">
      <c r="H40444" s="8" t="s">
        <v>364</v>
      </c>
    </row>
    <row r="40445">
      <c r="H40445" s="8" t="s">
        <v>364</v>
      </c>
    </row>
    <row r="40446">
      <c r="H40446" s="8" t="s">
        <v>364</v>
      </c>
    </row>
    <row r="40447">
      <c r="H40447" s="8" t="s">
        <v>364</v>
      </c>
    </row>
    <row r="40448">
      <c r="H40448" s="8" t="s">
        <v>364</v>
      </c>
    </row>
    <row r="40449">
      <c r="H40449" s="8" t="s">
        <v>364</v>
      </c>
    </row>
    <row r="40450">
      <c r="H40450" s="8" t="s">
        <v>364</v>
      </c>
    </row>
    <row r="40451">
      <c r="H40451" s="8" t="s">
        <v>364</v>
      </c>
    </row>
    <row r="40452">
      <c r="H40452" s="8" t="s">
        <v>364</v>
      </c>
    </row>
    <row r="40453">
      <c r="H40453" s="8" t="s">
        <v>364</v>
      </c>
    </row>
    <row r="40454">
      <c r="H40454" s="8" t="s">
        <v>364</v>
      </c>
    </row>
    <row r="40455">
      <c r="H40455" s="8" t="s">
        <v>364</v>
      </c>
    </row>
    <row r="40456">
      <c r="H40456" s="8" t="s">
        <v>364</v>
      </c>
    </row>
    <row r="40457">
      <c r="H40457" s="8" t="s">
        <v>364</v>
      </c>
    </row>
    <row r="40458">
      <c r="H40458" s="8" t="s">
        <v>364</v>
      </c>
    </row>
    <row r="40459">
      <c r="H40459" s="8" t="s">
        <v>364</v>
      </c>
    </row>
    <row r="40460">
      <c r="H40460" s="8" t="s">
        <v>364</v>
      </c>
    </row>
    <row r="40461">
      <c r="H40461" s="8" t="s">
        <v>364</v>
      </c>
    </row>
    <row r="40462">
      <c r="H40462" s="8" t="s">
        <v>364</v>
      </c>
    </row>
    <row r="40463">
      <c r="H40463" s="8" t="s">
        <v>364</v>
      </c>
    </row>
    <row r="40464">
      <c r="H40464" s="8" t="s">
        <v>364</v>
      </c>
    </row>
    <row r="40465">
      <c r="H40465" s="8" t="s">
        <v>364</v>
      </c>
    </row>
    <row r="40466">
      <c r="H40466" s="8" t="s">
        <v>364</v>
      </c>
    </row>
    <row r="40467">
      <c r="H40467" s="8" t="s">
        <v>364</v>
      </c>
    </row>
    <row r="40468">
      <c r="H40468" s="8" t="s">
        <v>364</v>
      </c>
    </row>
    <row r="40469">
      <c r="H40469" s="8" t="s">
        <v>364</v>
      </c>
    </row>
    <row r="40470">
      <c r="H40470" s="8" t="s">
        <v>364</v>
      </c>
    </row>
    <row r="40471">
      <c r="H40471" s="8" t="s">
        <v>364</v>
      </c>
    </row>
    <row r="40472">
      <c r="H40472" s="8" t="s">
        <v>364</v>
      </c>
    </row>
    <row r="40473">
      <c r="H40473" s="8" t="s">
        <v>364</v>
      </c>
    </row>
    <row r="40474">
      <c r="H40474" s="8" t="s">
        <v>364</v>
      </c>
    </row>
    <row r="40475">
      <c r="H40475" s="8" t="s">
        <v>364</v>
      </c>
    </row>
    <row r="40476">
      <c r="H40476" s="8" t="s">
        <v>364</v>
      </c>
    </row>
    <row r="40477">
      <c r="H40477" s="8" t="s">
        <v>364</v>
      </c>
    </row>
    <row r="40478">
      <c r="H40478" s="8" t="s">
        <v>364</v>
      </c>
    </row>
    <row r="40479">
      <c r="H40479" s="8" t="s">
        <v>364</v>
      </c>
    </row>
    <row r="40480">
      <c r="H40480" s="8" t="s">
        <v>364</v>
      </c>
    </row>
    <row r="40481">
      <c r="H40481" s="8" t="s">
        <v>364</v>
      </c>
    </row>
    <row r="40482">
      <c r="H40482" s="8" t="s">
        <v>364</v>
      </c>
    </row>
    <row r="40483">
      <c r="H40483" s="8" t="s">
        <v>364</v>
      </c>
    </row>
    <row r="40484">
      <c r="H40484" s="8" t="s">
        <v>364</v>
      </c>
    </row>
    <row r="40485">
      <c r="H40485" s="8" t="s">
        <v>364</v>
      </c>
    </row>
    <row r="40486">
      <c r="H40486" s="8" t="s">
        <v>364</v>
      </c>
    </row>
    <row r="40487">
      <c r="H40487" s="8" t="s">
        <v>364</v>
      </c>
    </row>
    <row r="40488">
      <c r="H40488" s="8" t="s">
        <v>364</v>
      </c>
    </row>
    <row r="40489">
      <c r="H40489" s="8" t="s">
        <v>364</v>
      </c>
    </row>
    <row r="40490">
      <c r="H40490" s="8" t="s">
        <v>364</v>
      </c>
    </row>
    <row r="40491">
      <c r="H40491" s="8" t="s">
        <v>364</v>
      </c>
    </row>
    <row r="40492">
      <c r="H40492" s="8" t="s">
        <v>364</v>
      </c>
    </row>
    <row r="40493">
      <c r="H40493" s="8" t="s">
        <v>364</v>
      </c>
    </row>
    <row r="40494">
      <c r="H40494" s="8" t="s">
        <v>364</v>
      </c>
    </row>
    <row r="40495">
      <c r="H40495" s="8" t="s">
        <v>364</v>
      </c>
    </row>
    <row r="40496">
      <c r="H40496" s="8" t="s">
        <v>364</v>
      </c>
    </row>
    <row r="40497">
      <c r="H40497" s="8" t="s">
        <v>364</v>
      </c>
    </row>
    <row r="40498">
      <c r="H40498" s="8" t="s">
        <v>364</v>
      </c>
    </row>
    <row r="40499">
      <c r="H40499" s="8" t="s">
        <v>364</v>
      </c>
    </row>
    <row r="40500">
      <c r="H40500" s="8" t="s">
        <v>364</v>
      </c>
    </row>
    <row r="40501">
      <c r="H40501" s="8" t="s">
        <v>364</v>
      </c>
    </row>
    <row r="40502">
      <c r="H40502" s="8" t="s">
        <v>364</v>
      </c>
    </row>
    <row r="40503">
      <c r="H40503" s="8" t="s">
        <v>364</v>
      </c>
    </row>
    <row r="40504">
      <c r="H40504" s="8" t="s">
        <v>364</v>
      </c>
    </row>
    <row r="40505">
      <c r="H40505" s="8" t="s">
        <v>364</v>
      </c>
    </row>
    <row r="40506">
      <c r="H40506" s="8" t="s">
        <v>364</v>
      </c>
    </row>
    <row r="40507">
      <c r="H40507" s="8" t="s">
        <v>364</v>
      </c>
    </row>
    <row r="40508">
      <c r="H40508" s="8" t="s">
        <v>364</v>
      </c>
    </row>
    <row r="40509">
      <c r="H40509" s="8" t="s">
        <v>364</v>
      </c>
    </row>
    <row r="40510">
      <c r="H40510" s="8" t="s">
        <v>364</v>
      </c>
    </row>
    <row r="40511">
      <c r="H40511" s="8" t="s">
        <v>364</v>
      </c>
    </row>
    <row r="40512">
      <c r="H40512" s="8" t="s">
        <v>364</v>
      </c>
    </row>
    <row r="40513">
      <c r="H40513" s="8" t="s">
        <v>364</v>
      </c>
    </row>
    <row r="40514">
      <c r="H40514" s="8" t="s">
        <v>364</v>
      </c>
    </row>
    <row r="40515">
      <c r="H40515" s="8" t="s">
        <v>364</v>
      </c>
    </row>
    <row r="40516">
      <c r="H40516" s="8" t="s">
        <v>364</v>
      </c>
    </row>
    <row r="40517">
      <c r="H40517" s="8" t="s">
        <v>364</v>
      </c>
    </row>
    <row r="40518">
      <c r="H40518" s="8" t="s">
        <v>364</v>
      </c>
    </row>
    <row r="40519">
      <c r="H40519" s="8" t="s">
        <v>364</v>
      </c>
    </row>
    <row r="40520">
      <c r="H40520" s="8" t="s">
        <v>364</v>
      </c>
    </row>
    <row r="40521">
      <c r="H40521" s="8" t="s">
        <v>364</v>
      </c>
    </row>
    <row r="40522">
      <c r="H40522" s="8" t="s">
        <v>364</v>
      </c>
    </row>
    <row r="40523">
      <c r="H40523" s="8" t="s">
        <v>364</v>
      </c>
    </row>
    <row r="40524">
      <c r="H40524" s="8" t="s">
        <v>364</v>
      </c>
    </row>
    <row r="40525">
      <c r="H40525" s="8" t="s">
        <v>364</v>
      </c>
    </row>
    <row r="40526">
      <c r="H40526" s="8" t="s">
        <v>364</v>
      </c>
    </row>
    <row r="40527">
      <c r="H40527" s="8" t="s">
        <v>364</v>
      </c>
    </row>
    <row r="40528">
      <c r="H40528" s="8" t="s">
        <v>364</v>
      </c>
    </row>
    <row r="40529">
      <c r="H40529" s="8" t="s">
        <v>364</v>
      </c>
    </row>
    <row r="40530">
      <c r="H40530" s="8" t="s">
        <v>364</v>
      </c>
    </row>
    <row r="40531">
      <c r="H40531" s="8" t="s">
        <v>364</v>
      </c>
    </row>
    <row r="40532">
      <c r="H40532" s="8" t="s">
        <v>364</v>
      </c>
    </row>
    <row r="40533">
      <c r="H40533" s="8" t="s">
        <v>364</v>
      </c>
    </row>
    <row r="40534">
      <c r="H40534" s="8" t="s">
        <v>364</v>
      </c>
    </row>
    <row r="40535">
      <c r="H40535" s="8" t="s">
        <v>364</v>
      </c>
    </row>
    <row r="40536">
      <c r="H40536" s="8" t="s">
        <v>364</v>
      </c>
    </row>
    <row r="40537">
      <c r="H40537" s="8" t="s">
        <v>364</v>
      </c>
    </row>
    <row r="40538">
      <c r="H40538" s="8" t="s">
        <v>364</v>
      </c>
    </row>
    <row r="40539">
      <c r="H40539" s="8" t="s">
        <v>364</v>
      </c>
    </row>
    <row r="40540">
      <c r="H40540" s="8" t="s">
        <v>364</v>
      </c>
    </row>
    <row r="40541">
      <c r="H40541" s="8" t="s">
        <v>364</v>
      </c>
    </row>
    <row r="40542">
      <c r="H40542" s="8" t="s">
        <v>364</v>
      </c>
    </row>
    <row r="40543">
      <c r="H40543" s="8" t="s">
        <v>364</v>
      </c>
    </row>
    <row r="40544">
      <c r="H40544" s="8" t="s">
        <v>364</v>
      </c>
    </row>
    <row r="40545">
      <c r="H40545" s="8" t="s">
        <v>364</v>
      </c>
    </row>
    <row r="40546">
      <c r="H40546" s="8" t="s">
        <v>364</v>
      </c>
    </row>
    <row r="40547">
      <c r="H40547" s="8" t="s">
        <v>364</v>
      </c>
    </row>
    <row r="40548">
      <c r="H40548" s="8" t="s">
        <v>364</v>
      </c>
    </row>
    <row r="40549">
      <c r="H40549" s="8" t="s">
        <v>364</v>
      </c>
    </row>
    <row r="40550">
      <c r="H40550" s="8" t="s">
        <v>364</v>
      </c>
    </row>
    <row r="40551">
      <c r="H40551" s="8" t="s">
        <v>364</v>
      </c>
    </row>
    <row r="40552">
      <c r="H40552" s="8" t="s">
        <v>364</v>
      </c>
    </row>
    <row r="40553">
      <c r="H40553" s="8" t="s">
        <v>364</v>
      </c>
    </row>
    <row r="40554">
      <c r="H40554" s="8" t="s">
        <v>364</v>
      </c>
    </row>
    <row r="40555">
      <c r="H40555" s="8" t="s">
        <v>364</v>
      </c>
    </row>
    <row r="40556">
      <c r="H40556" s="8" t="s">
        <v>364</v>
      </c>
    </row>
    <row r="40557">
      <c r="H40557" s="8" t="s">
        <v>364</v>
      </c>
    </row>
    <row r="40558">
      <c r="H40558" s="8" t="s">
        <v>364</v>
      </c>
    </row>
    <row r="40559">
      <c r="H40559" s="8" t="s">
        <v>364</v>
      </c>
    </row>
    <row r="40560">
      <c r="H40560" s="8" t="s">
        <v>364</v>
      </c>
    </row>
    <row r="40561">
      <c r="H40561" s="8" t="s">
        <v>364</v>
      </c>
    </row>
    <row r="40562">
      <c r="H40562" s="8" t="s">
        <v>364</v>
      </c>
    </row>
    <row r="40563">
      <c r="H40563" s="8" t="s">
        <v>364</v>
      </c>
    </row>
    <row r="40564">
      <c r="H40564" s="8" t="s">
        <v>364</v>
      </c>
    </row>
    <row r="40565">
      <c r="H40565" s="8" t="s">
        <v>364</v>
      </c>
    </row>
    <row r="40566">
      <c r="H40566" s="8" t="s">
        <v>364</v>
      </c>
    </row>
    <row r="40567">
      <c r="H40567" s="8" t="s">
        <v>364</v>
      </c>
    </row>
    <row r="40568">
      <c r="H40568" s="8" t="s">
        <v>364</v>
      </c>
    </row>
    <row r="40569">
      <c r="H40569" s="8" t="s">
        <v>364</v>
      </c>
    </row>
    <row r="40570">
      <c r="H40570" s="8" t="s">
        <v>364</v>
      </c>
    </row>
    <row r="40571">
      <c r="H40571" s="8" t="s">
        <v>364</v>
      </c>
    </row>
    <row r="40572">
      <c r="H40572" s="8" t="s">
        <v>364</v>
      </c>
    </row>
    <row r="40573">
      <c r="H40573" s="8" t="s">
        <v>364</v>
      </c>
    </row>
    <row r="40574">
      <c r="H40574" s="8" t="s">
        <v>364</v>
      </c>
    </row>
    <row r="40575">
      <c r="H40575" s="8" t="s">
        <v>364</v>
      </c>
    </row>
    <row r="40576">
      <c r="H40576" s="8" t="s">
        <v>364</v>
      </c>
    </row>
    <row r="40577">
      <c r="H40577" s="8" t="s">
        <v>364</v>
      </c>
    </row>
    <row r="40578">
      <c r="H40578" s="8" t="s">
        <v>364</v>
      </c>
    </row>
    <row r="40579">
      <c r="H40579" s="8" t="s">
        <v>364</v>
      </c>
    </row>
    <row r="40580">
      <c r="H40580" s="8" t="s">
        <v>364</v>
      </c>
    </row>
    <row r="40581">
      <c r="H40581" s="8" t="s">
        <v>364</v>
      </c>
    </row>
    <row r="40582">
      <c r="H40582" s="8" t="s">
        <v>364</v>
      </c>
    </row>
    <row r="40583">
      <c r="H40583" s="8" t="s">
        <v>364</v>
      </c>
    </row>
    <row r="40584">
      <c r="H40584" s="8" t="s">
        <v>364</v>
      </c>
    </row>
    <row r="40585">
      <c r="H40585" s="8" t="s">
        <v>364</v>
      </c>
    </row>
    <row r="40586">
      <c r="H40586" s="8" t="s">
        <v>364</v>
      </c>
    </row>
    <row r="40587">
      <c r="H40587" s="8" t="s">
        <v>364</v>
      </c>
    </row>
    <row r="40588">
      <c r="H40588" s="8" t="s">
        <v>364</v>
      </c>
    </row>
    <row r="40589">
      <c r="H40589" s="8" t="s">
        <v>364</v>
      </c>
    </row>
    <row r="40590">
      <c r="H40590" s="8" t="s">
        <v>364</v>
      </c>
    </row>
    <row r="40591">
      <c r="H40591" s="8" t="s">
        <v>364</v>
      </c>
    </row>
    <row r="40592">
      <c r="H40592" s="8" t="s">
        <v>364</v>
      </c>
    </row>
    <row r="40593">
      <c r="H40593" s="8" t="s">
        <v>364</v>
      </c>
    </row>
    <row r="40594">
      <c r="H40594" s="8" t="s">
        <v>364</v>
      </c>
    </row>
    <row r="40595">
      <c r="H40595" s="8" t="s">
        <v>364</v>
      </c>
    </row>
    <row r="40596">
      <c r="H40596" s="8" t="s">
        <v>364</v>
      </c>
    </row>
    <row r="40597">
      <c r="H40597" s="8" t="s">
        <v>364</v>
      </c>
    </row>
    <row r="40598">
      <c r="H40598" s="8" t="s">
        <v>364</v>
      </c>
    </row>
    <row r="40599">
      <c r="H40599" s="8" t="s">
        <v>364</v>
      </c>
    </row>
    <row r="40600">
      <c r="H40600" s="8" t="s">
        <v>364</v>
      </c>
    </row>
    <row r="40601">
      <c r="H40601" s="8" t="s">
        <v>364</v>
      </c>
    </row>
    <row r="40602">
      <c r="H40602" s="8" t="s">
        <v>364</v>
      </c>
    </row>
    <row r="40603">
      <c r="H40603" s="8" t="s">
        <v>364</v>
      </c>
    </row>
    <row r="40604">
      <c r="H40604" s="8" t="s">
        <v>364</v>
      </c>
    </row>
    <row r="40605">
      <c r="H40605" s="8" t="s">
        <v>364</v>
      </c>
    </row>
    <row r="40606">
      <c r="H40606" s="8" t="s">
        <v>364</v>
      </c>
    </row>
    <row r="40607">
      <c r="H40607" s="8" t="s">
        <v>364</v>
      </c>
    </row>
    <row r="40608">
      <c r="H40608" s="8" t="s">
        <v>364</v>
      </c>
    </row>
    <row r="40609">
      <c r="H40609" s="8" t="s">
        <v>364</v>
      </c>
    </row>
    <row r="40610">
      <c r="H40610" s="8" t="s">
        <v>364</v>
      </c>
    </row>
    <row r="40611">
      <c r="H40611" s="8" t="s">
        <v>364</v>
      </c>
    </row>
    <row r="40612">
      <c r="H40612" s="8" t="s">
        <v>364</v>
      </c>
    </row>
    <row r="40613">
      <c r="H40613" s="8" t="s">
        <v>364</v>
      </c>
    </row>
    <row r="40614">
      <c r="H40614" s="8" t="s">
        <v>364</v>
      </c>
    </row>
    <row r="40615">
      <c r="H40615" s="8" t="s">
        <v>364</v>
      </c>
    </row>
    <row r="40616">
      <c r="H40616" s="8" t="s">
        <v>364</v>
      </c>
    </row>
    <row r="40617">
      <c r="H40617" s="8" t="s">
        <v>364</v>
      </c>
    </row>
    <row r="40618">
      <c r="H40618" s="8" t="s">
        <v>364</v>
      </c>
    </row>
    <row r="40619">
      <c r="H40619" s="8" t="s">
        <v>364</v>
      </c>
    </row>
    <row r="40620">
      <c r="H40620" s="8" t="s">
        <v>364</v>
      </c>
    </row>
    <row r="40621">
      <c r="H40621" s="8" t="s">
        <v>364</v>
      </c>
    </row>
    <row r="40622">
      <c r="H40622" s="8" t="s">
        <v>364</v>
      </c>
    </row>
    <row r="40623">
      <c r="H40623" s="8" t="s">
        <v>364</v>
      </c>
    </row>
    <row r="40624">
      <c r="H40624" s="8" t="s">
        <v>364</v>
      </c>
    </row>
    <row r="40625">
      <c r="H40625" s="8" t="s">
        <v>364</v>
      </c>
    </row>
    <row r="40626">
      <c r="H40626" s="8" t="s">
        <v>364</v>
      </c>
    </row>
    <row r="40627">
      <c r="H40627" s="8" t="s">
        <v>364</v>
      </c>
    </row>
    <row r="40628">
      <c r="H40628" s="8" t="s">
        <v>364</v>
      </c>
    </row>
    <row r="40629">
      <c r="H40629" s="8" t="s">
        <v>364</v>
      </c>
    </row>
    <row r="40630">
      <c r="H40630" s="8" t="s">
        <v>364</v>
      </c>
    </row>
    <row r="40631">
      <c r="H40631" s="8" t="s">
        <v>364</v>
      </c>
    </row>
    <row r="40632">
      <c r="H40632" s="8" t="s">
        <v>364</v>
      </c>
    </row>
    <row r="40633">
      <c r="H40633" s="8" t="s">
        <v>364</v>
      </c>
    </row>
    <row r="40634">
      <c r="H40634" s="8" t="s">
        <v>364</v>
      </c>
    </row>
    <row r="40635">
      <c r="H40635" s="8" t="s">
        <v>364</v>
      </c>
    </row>
    <row r="40636">
      <c r="H40636" s="8" t="s">
        <v>364</v>
      </c>
    </row>
    <row r="40637">
      <c r="H40637" s="8" t="s">
        <v>364</v>
      </c>
    </row>
    <row r="40638">
      <c r="H40638" s="8" t="s">
        <v>364</v>
      </c>
    </row>
    <row r="40639">
      <c r="H40639" s="8" t="s">
        <v>364</v>
      </c>
    </row>
    <row r="40640">
      <c r="H40640" s="8" t="s">
        <v>364</v>
      </c>
    </row>
    <row r="40641">
      <c r="H40641" s="8" t="s">
        <v>364</v>
      </c>
    </row>
    <row r="40642">
      <c r="H40642" s="8" t="s">
        <v>364</v>
      </c>
    </row>
    <row r="40643">
      <c r="H40643" s="8" t="s">
        <v>364</v>
      </c>
    </row>
    <row r="40644">
      <c r="H40644" s="8" t="s">
        <v>364</v>
      </c>
    </row>
    <row r="40645">
      <c r="H40645" s="8" t="s">
        <v>364</v>
      </c>
    </row>
    <row r="40646">
      <c r="H40646" s="8" t="s">
        <v>364</v>
      </c>
    </row>
    <row r="40647">
      <c r="H40647" s="8" t="s">
        <v>364</v>
      </c>
    </row>
    <row r="40648">
      <c r="H40648" s="8" t="s">
        <v>364</v>
      </c>
    </row>
    <row r="40649">
      <c r="H40649" s="8" t="s">
        <v>364</v>
      </c>
    </row>
    <row r="40650">
      <c r="H40650" s="8" t="s">
        <v>364</v>
      </c>
    </row>
    <row r="40651">
      <c r="H40651" s="8" t="s">
        <v>364</v>
      </c>
    </row>
    <row r="40652">
      <c r="H40652" s="8" t="s">
        <v>364</v>
      </c>
    </row>
    <row r="40653">
      <c r="H40653" s="8" t="s">
        <v>364</v>
      </c>
    </row>
    <row r="40654">
      <c r="H40654" s="8" t="s">
        <v>364</v>
      </c>
    </row>
    <row r="40655">
      <c r="H40655" s="8" t="s">
        <v>364</v>
      </c>
    </row>
    <row r="40656">
      <c r="H40656" s="8" t="s">
        <v>364</v>
      </c>
    </row>
    <row r="40657">
      <c r="H40657" s="8" t="s">
        <v>364</v>
      </c>
    </row>
    <row r="40658">
      <c r="H40658" s="8" t="s">
        <v>364</v>
      </c>
    </row>
    <row r="40659">
      <c r="H40659" s="8" t="s">
        <v>364</v>
      </c>
    </row>
    <row r="40660">
      <c r="H40660" s="8" t="s">
        <v>364</v>
      </c>
    </row>
    <row r="40661">
      <c r="H40661" s="8" t="s">
        <v>364</v>
      </c>
    </row>
    <row r="40662">
      <c r="H40662" s="8" t="s">
        <v>364</v>
      </c>
    </row>
    <row r="40663">
      <c r="H40663" s="8" t="s">
        <v>364</v>
      </c>
    </row>
    <row r="40664">
      <c r="H40664" s="8" t="s">
        <v>364</v>
      </c>
    </row>
    <row r="40665">
      <c r="H40665" s="8" t="s">
        <v>364</v>
      </c>
    </row>
    <row r="40666">
      <c r="H40666" s="8" t="s">
        <v>364</v>
      </c>
    </row>
    <row r="40667">
      <c r="H40667" s="8" t="s">
        <v>364</v>
      </c>
    </row>
    <row r="40668">
      <c r="H40668" s="8" t="s">
        <v>364</v>
      </c>
    </row>
    <row r="40669">
      <c r="H40669" s="8" t="s">
        <v>364</v>
      </c>
    </row>
    <row r="40670">
      <c r="H40670" s="8" t="s">
        <v>364</v>
      </c>
    </row>
    <row r="40671">
      <c r="H40671" s="8" t="s">
        <v>364</v>
      </c>
    </row>
    <row r="40672">
      <c r="H40672" s="8" t="s">
        <v>364</v>
      </c>
    </row>
    <row r="40673">
      <c r="H40673" s="8" t="s">
        <v>364</v>
      </c>
    </row>
    <row r="40674">
      <c r="H40674" s="8" t="s">
        <v>364</v>
      </c>
    </row>
    <row r="40675">
      <c r="H40675" s="8" t="s">
        <v>364</v>
      </c>
    </row>
    <row r="40676">
      <c r="H40676" s="8" t="s">
        <v>364</v>
      </c>
    </row>
    <row r="40677">
      <c r="H40677" s="8" t="s">
        <v>364</v>
      </c>
    </row>
    <row r="40678">
      <c r="H40678" s="8" t="s">
        <v>364</v>
      </c>
    </row>
    <row r="40679">
      <c r="H40679" s="8" t="s">
        <v>364</v>
      </c>
    </row>
    <row r="40680">
      <c r="H40680" s="8" t="s">
        <v>364</v>
      </c>
    </row>
    <row r="40681">
      <c r="H40681" s="8" t="s">
        <v>364</v>
      </c>
    </row>
    <row r="40682">
      <c r="H40682" s="8" t="s">
        <v>364</v>
      </c>
    </row>
    <row r="40683">
      <c r="H40683" s="8" t="s">
        <v>364</v>
      </c>
    </row>
    <row r="40684">
      <c r="H40684" s="8" t="s">
        <v>364</v>
      </c>
    </row>
    <row r="40685">
      <c r="H40685" s="8" t="s">
        <v>364</v>
      </c>
    </row>
    <row r="40686">
      <c r="H40686" s="8" t="s">
        <v>364</v>
      </c>
    </row>
    <row r="40687">
      <c r="H40687" s="8" t="s">
        <v>364</v>
      </c>
    </row>
    <row r="40688">
      <c r="H40688" s="8" t="s">
        <v>364</v>
      </c>
    </row>
    <row r="40689">
      <c r="H40689" s="8" t="s">
        <v>364</v>
      </c>
    </row>
    <row r="40690">
      <c r="H40690" s="8" t="s">
        <v>364</v>
      </c>
    </row>
    <row r="40691">
      <c r="H40691" s="8" t="s">
        <v>364</v>
      </c>
    </row>
    <row r="40692">
      <c r="H40692" s="8" t="s">
        <v>364</v>
      </c>
    </row>
    <row r="40693">
      <c r="H40693" s="8" t="s">
        <v>364</v>
      </c>
    </row>
    <row r="40694">
      <c r="H40694" s="8" t="s">
        <v>364</v>
      </c>
    </row>
    <row r="40695">
      <c r="H40695" s="8" t="s">
        <v>364</v>
      </c>
    </row>
    <row r="40696">
      <c r="H40696" s="8" t="s">
        <v>364</v>
      </c>
    </row>
    <row r="40697">
      <c r="H40697" s="8" t="s">
        <v>364</v>
      </c>
    </row>
    <row r="40698">
      <c r="H40698" s="8" t="s">
        <v>364</v>
      </c>
    </row>
    <row r="40699">
      <c r="H40699" s="8" t="s">
        <v>364</v>
      </c>
    </row>
    <row r="40700">
      <c r="H40700" s="8" t="s">
        <v>364</v>
      </c>
    </row>
    <row r="40701">
      <c r="H40701" s="8" t="s">
        <v>364</v>
      </c>
    </row>
    <row r="40702">
      <c r="H40702" s="8" t="s">
        <v>364</v>
      </c>
    </row>
    <row r="40703">
      <c r="H40703" s="8" t="s">
        <v>364</v>
      </c>
    </row>
    <row r="40704">
      <c r="H40704" s="8" t="s">
        <v>364</v>
      </c>
    </row>
    <row r="40705">
      <c r="H40705" s="8" t="s">
        <v>364</v>
      </c>
    </row>
    <row r="40706">
      <c r="H40706" s="8" t="s">
        <v>364</v>
      </c>
    </row>
    <row r="40707">
      <c r="H40707" s="8" t="s">
        <v>364</v>
      </c>
    </row>
    <row r="40708">
      <c r="H40708" s="8" t="s">
        <v>364</v>
      </c>
    </row>
    <row r="40709">
      <c r="H40709" s="8" t="s">
        <v>364</v>
      </c>
    </row>
    <row r="40710">
      <c r="H40710" s="8" t="s">
        <v>364</v>
      </c>
    </row>
    <row r="40711">
      <c r="H40711" s="8" t="s">
        <v>364</v>
      </c>
    </row>
    <row r="40712">
      <c r="H40712" s="8" t="s">
        <v>364</v>
      </c>
    </row>
    <row r="40713">
      <c r="H40713" s="8" t="s">
        <v>364</v>
      </c>
    </row>
    <row r="40714">
      <c r="H40714" s="8" t="s">
        <v>364</v>
      </c>
    </row>
    <row r="40715">
      <c r="H40715" s="8" t="s">
        <v>364</v>
      </c>
    </row>
    <row r="40716">
      <c r="H40716" s="8" t="s">
        <v>364</v>
      </c>
    </row>
    <row r="40717">
      <c r="H40717" s="8" t="s">
        <v>364</v>
      </c>
    </row>
    <row r="40718">
      <c r="H40718" s="8" t="s">
        <v>364</v>
      </c>
    </row>
    <row r="40719">
      <c r="H40719" s="8" t="s">
        <v>364</v>
      </c>
    </row>
    <row r="40720">
      <c r="H40720" s="8" t="s">
        <v>364</v>
      </c>
    </row>
    <row r="40721">
      <c r="H40721" s="8" t="s">
        <v>364</v>
      </c>
    </row>
    <row r="40722">
      <c r="H40722" s="8" t="s">
        <v>364</v>
      </c>
    </row>
    <row r="40723">
      <c r="H40723" s="8" t="s">
        <v>364</v>
      </c>
    </row>
    <row r="40724">
      <c r="H40724" s="8" t="s">
        <v>364</v>
      </c>
    </row>
    <row r="40725">
      <c r="H40725" s="8" t="s">
        <v>364</v>
      </c>
    </row>
    <row r="40726">
      <c r="H40726" s="8" t="s">
        <v>364</v>
      </c>
    </row>
    <row r="40727">
      <c r="H40727" s="8" t="s">
        <v>364</v>
      </c>
    </row>
    <row r="40728">
      <c r="H40728" s="8" t="s">
        <v>364</v>
      </c>
    </row>
    <row r="40729">
      <c r="H40729" s="8" t="s">
        <v>364</v>
      </c>
    </row>
    <row r="40730">
      <c r="H40730" s="8" t="s">
        <v>364</v>
      </c>
    </row>
    <row r="40731">
      <c r="H40731" s="8" t="s">
        <v>364</v>
      </c>
    </row>
    <row r="40732">
      <c r="H40732" s="8" t="s">
        <v>364</v>
      </c>
    </row>
    <row r="40733">
      <c r="H40733" s="8" t="s">
        <v>364</v>
      </c>
    </row>
    <row r="40734">
      <c r="H40734" s="8" t="s">
        <v>364</v>
      </c>
    </row>
    <row r="40735">
      <c r="H40735" s="8" t="s">
        <v>364</v>
      </c>
    </row>
    <row r="40736">
      <c r="H40736" s="8" t="s">
        <v>364</v>
      </c>
    </row>
    <row r="40737">
      <c r="H40737" s="8" t="s">
        <v>364</v>
      </c>
    </row>
    <row r="40738">
      <c r="H40738" s="8" t="s">
        <v>364</v>
      </c>
    </row>
    <row r="40739">
      <c r="H40739" s="8" t="s">
        <v>364</v>
      </c>
    </row>
    <row r="40740">
      <c r="H40740" s="8" t="s">
        <v>364</v>
      </c>
    </row>
    <row r="40741">
      <c r="H40741" s="8" t="s">
        <v>364</v>
      </c>
    </row>
    <row r="40742">
      <c r="H40742" s="8" t="s">
        <v>364</v>
      </c>
    </row>
    <row r="40743">
      <c r="H40743" s="8" t="s">
        <v>364</v>
      </c>
    </row>
    <row r="40744">
      <c r="H40744" s="8" t="s">
        <v>364</v>
      </c>
    </row>
    <row r="40745">
      <c r="H40745" s="8" t="s">
        <v>364</v>
      </c>
    </row>
    <row r="40746">
      <c r="H40746" s="8" t="s">
        <v>364</v>
      </c>
    </row>
    <row r="40747">
      <c r="H40747" s="8" t="s">
        <v>364</v>
      </c>
    </row>
    <row r="40748">
      <c r="H40748" s="8" t="s">
        <v>364</v>
      </c>
    </row>
    <row r="40749">
      <c r="H40749" s="8" t="s">
        <v>364</v>
      </c>
    </row>
    <row r="40750">
      <c r="H40750" s="8" t="s">
        <v>364</v>
      </c>
    </row>
    <row r="40751">
      <c r="H40751" s="8" t="s">
        <v>364</v>
      </c>
    </row>
    <row r="40752">
      <c r="H40752" s="8" t="s">
        <v>364</v>
      </c>
    </row>
    <row r="40753">
      <c r="H40753" s="8" t="s">
        <v>364</v>
      </c>
    </row>
    <row r="40754">
      <c r="H40754" s="8" t="s">
        <v>364</v>
      </c>
    </row>
    <row r="40755">
      <c r="H40755" s="8" t="s">
        <v>364</v>
      </c>
    </row>
    <row r="40756">
      <c r="H40756" s="8" t="s">
        <v>364</v>
      </c>
    </row>
    <row r="40757">
      <c r="H40757" s="8" t="s">
        <v>364</v>
      </c>
    </row>
    <row r="40758">
      <c r="H40758" s="8" t="s">
        <v>364</v>
      </c>
    </row>
    <row r="40759">
      <c r="H40759" s="8" t="s">
        <v>364</v>
      </c>
    </row>
    <row r="40760">
      <c r="H40760" s="8" t="s">
        <v>364</v>
      </c>
    </row>
    <row r="40761">
      <c r="H40761" s="8" t="s">
        <v>364</v>
      </c>
    </row>
    <row r="40762">
      <c r="H40762" s="8" t="s">
        <v>364</v>
      </c>
    </row>
    <row r="40763">
      <c r="H40763" s="8" t="s">
        <v>364</v>
      </c>
    </row>
    <row r="40764">
      <c r="H40764" s="8" t="s">
        <v>364</v>
      </c>
    </row>
    <row r="40765">
      <c r="H40765" s="8" t="s">
        <v>364</v>
      </c>
    </row>
    <row r="40766">
      <c r="H40766" s="8" t="s">
        <v>364</v>
      </c>
    </row>
    <row r="40767">
      <c r="H40767" s="8" t="s">
        <v>364</v>
      </c>
    </row>
    <row r="40768">
      <c r="H40768" s="8" t="s">
        <v>364</v>
      </c>
    </row>
    <row r="40769">
      <c r="H40769" s="8" t="s">
        <v>364</v>
      </c>
    </row>
    <row r="40770">
      <c r="H40770" s="8" t="s">
        <v>364</v>
      </c>
    </row>
    <row r="40771">
      <c r="H40771" s="8" t="s">
        <v>364</v>
      </c>
    </row>
    <row r="40772">
      <c r="H40772" s="8" t="s">
        <v>364</v>
      </c>
    </row>
    <row r="40773">
      <c r="H40773" s="8" t="s">
        <v>364</v>
      </c>
    </row>
    <row r="40774">
      <c r="H40774" s="8" t="s">
        <v>364</v>
      </c>
    </row>
    <row r="40775">
      <c r="H40775" s="8" t="s">
        <v>364</v>
      </c>
    </row>
    <row r="40776">
      <c r="H40776" s="8" t="s">
        <v>364</v>
      </c>
    </row>
    <row r="40777">
      <c r="H40777" s="8" t="s">
        <v>364</v>
      </c>
    </row>
    <row r="40778">
      <c r="H40778" s="8" t="s">
        <v>364</v>
      </c>
    </row>
    <row r="40779">
      <c r="H40779" s="8" t="s">
        <v>364</v>
      </c>
    </row>
    <row r="40780">
      <c r="H40780" s="8" t="s">
        <v>364</v>
      </c>
    </row>
    <row r="40781">
      <c r="H40781" s="8" t="s">
        <v>364</v>
      </c>
    </row>
    <row r="40782">
      <c r="H40782" s="8" t="s">
        <v>364</v>
      </c>
    </row>
    <row r="40783">
      <c r="H40783" s="8" t="s">
        <v>364</v>
      </c>
    </row>
    <row r="40784">
      <c r="H40784" s="8" t="s">
        <v>364</v>
      </c>
    </row>
    <row r="40785">
      <c r="H40785" s="8" t="s">
        <v>364</v>
      </c>
    </row>
    <row r="40786">
      <c r="H40786" s="8" t="s">
        <v>364</v>
      </c>
    </row>
    <row r="40787">
      <c r="H40787" s="8" t="s">
        <v>364</v>
      </c>
    </row>
    <row r="40788">
      <c r="H40788" s="8" t="s">
        <v>364</v>
      </c>
    </row>
    <row r="40789">
      <c r="H40789" s="8" t="s">
        <v>364</v>
      </c>
    </row>
    <row r="40790">
      <c r="H40790" s="8" t="s">
        <v>364</v>
      </c>
    </row>
    <row r="40791">
      <c r="H40791" s="8" t="s">
        <v>364</v>
      </c>
    </row>
    <row r="40792">
      <c r="H40792" s="8" t="s">
        <v>364</v>
      </c>
    </row>
    <row r="40793">
      <c r="H40793" s="8" t="s">
        <v>364</v>
      </c>
    </row>
    <row r="40794">
      <c r="H40794" s="8" t="s">
        <v>364</v>
      </c>
    </row>
    <row r="40795">
      <c r="H40795" s="8" t="s">
        <v>364</v>
      </c>
    </row>
    <row r="40796">
      <c r="H40796" s="8" t="s">
        <v>364</v>
      </c>
    </row>
    <row r="40797">
      <c r="H40797" s="8" t="s">
        <v>364</v>
      </c>
    </row>
    <row r="40798">
      <c r="H40798" s="8" t="s">
        <v>364</v>
      </c>
    </row>
    <row r="40799">
      <c r="H40799" s="8" t="s">
        <v>364</v>
      </c>
    </row>
    <row r="40800">
      <c r="H40800" s="8" t="s">
        <v>364</v>
      </c>
    </row>
    <row r="40801">
      <c r="H40801" s="8" t="s">
        <v>364</v>
      </c>
    </row>
    <row r="40802">
      <c r="H40802" s="8" t="s">
        <v>364</v>
      </c>
    </row>
    <row r="40803">
      <c r="H40803" s="8" t="s">
        <v>364</v>
      </c>
    </row>
    <row r="40804">
      <c r="H40804" s="8" t="s">
        <v>364</v>
      </c>
    </row>
    <row r="40805">
      <c r="H40805" s="8" t="s">
        <v>364</v>
      </c>
    </row>
    <row r="40806">
      <c r="H40806" s="8" t="s">
        <v>364</v>
      </c>
    </row>
    <row r="40807">
      <c r="H40807" s="8" t="s">
        <v>364</v>
      </c>
    </row>
    <row r="40808">
      <c r="H40808" s="8" t="s">
        <v>364</v>
      </c>
    </row>
    <row r="40809">
      <c r="H40809" s="8" t="s">
        <v>364</v>
      </c>
    </row>
    <row r="40810">
      <c r="H40810" s="8" t="s">
        <v>364</v>
      </c>
    </row>
    <row r="40811">
      <c r="H40811" s="8" t="s">
        <v>364</v>
      </c>
    </row>
    <row r="40812">
      <c r="H40812" s="8" t="s">
        <v>364</v>
      </c>
    </row>
    <row r="40813">
      <c r="H40813" s="8" t="s">
        <v>364</v>
      </c>
    </row>
    <row r="40814">
      <c r="H40814" s="8" t="s">
        <v>364</v>
      </c>
    </row>
    <row r="40815">
      <c r="H40815" s="8" t="s">
        <v>364</v>
      </c>
    </row>
    <row r="40816">
      <c r="H40816" s="8" t="s">
        <v>364</v>
      </c>
    </row>
    <row r="40817">
      <c r="H40817" s="8" t="s">
        <v>364</v>
      </c>
    </row>
    <row r="40818">
      <c r="H40818" s="8" t="s">
        <v>364</v>
      </c>
    </row>
    <row r="40819">
      <c r="H40819" s="8" t="s">
        <v>364</v>
      </c>
    </row>
    <row r="40820">
      <c r="H40820" s="8" t="s">
        <v>364</v>
      </c>
    </row>
    <row r="40821">
      <c r="H40821" s="8" t="s">
        <v>364</v>
      </c>
    </row>
    <row r="40822">
      <c r="H40822" s="8" t="s">
        <v>364</v>
      </c>
    </row>
    <row r="40823">
      <c r="H40823" s="8" t="s">
        <v>364</v>
      </c>
    </row>
    <row r="40824">
      <c r="H40824" s="8" t="s">
        <v>364</v>
      </c>
    </row>
    <row r="40825">
      <c r="H40825" s="8" t="s">
        <v>364</v>
      </c>
    </row>
    <row r="40826">
      <c r="H40826" s="8" t="s">
        <v>364</v>
      </c>
    </row>
    <row r="40827">
      <c r="H40827" s="8" t="s">
        <v>364</v>
      </c>
    </row>
    <row r="40828">
      <c r="H40828" s="8" t="s">
        <v>364</v>
      </c>
    </row>
    <row r="40829">
      <c r="H40829" s="8" t="s">
        <v>364</v>
      </c>
    </row>
    <row r="40830">
      <c r="H40830" s="8" t="s">
        <v>364</v>
      </c>
    </row>
    <row r="40831">
      <c r="H40831" s="8" t="s">
        <v>364</v>
      </c>
    </row>
    <row r="40832">
      <c r="H40832" s="8" t="s">
        <v>364</v>
      </c>
    </row>
    <row r="40833">
      <c r="H40833" s="8" t="s">
        <v>364</v>
      </c>
    </row>
    <row r="40834">
      <c r="H40834" s="8" t="s">
        <v>364</v>
      </c>
    </row>
    <row r="40835">
      <c r="H40835" s="8" t="s">
        <v>364</v>
      </c>
    </row>
    <row r="40836">
      <c r="H40836" s="8" t="s">
        <v>364</v>
      </c>
    </row>
    <row r="40837">
      <c r="H40837" s="8" t="s">
        <v>364</v>
      </c>
    </row>
    <row r="40838">
      <c r="H40838" s="8" t="s">
        <v>364</v>
      </c>
    </row>
    <row r="40839">
      <c r="H40839" s="8" t="s">
        <v>364</v>
      </c>
    </row>
    <row r="40840">
      <c r="H40840" s="8" t="s">
        <v>364</v>
      </c>
    </row>
    <row r="40841">
      <c r="H40841" s="8" t="s">
        <v>364</v>
      </c>
    </row>
    <row r="40842">
      <c r="H40842" s="8" t="s">
        <v>364</v>
      </c>
    </row>
    <row r="40843">
      <c r="H40843" s="8" t="s">
        <v>364</v>
      </c>
    </row>
    <row r="40844">
      <c r="H40844" s="8" t="s">
        <v>364</v>
      </c>
    </row>
    <row r="40845">
      <c r="H40845" s="8" t="s">
        <v>364</v>
      </c>
    </row>
    <row r="40846">
      <c r="H40846" s="8" t="s">
        <v>364</v>
      </c>
    </row>
    <row r="40847">
      <c r="H40847" s="8" t="s">
        <v>364</v>
      </c>
    </row>
    <row r="40848">
      <c r="H40848" s="8" t="s">
        <v>364</v>
      </c>
    </row>
    <row r="40849">
      <c r="H40849" s="8" t="s">
        <v>364</v>
      </c>
    </row>
    <row r="40850">
      <c r="H40850" s="8" t="s">
        <v>364</v>
      </c>
    </row>
    <row r="40851">
      <c r="H40851" s="8" t="s">
        <v>364</v>
      </c>
    </row>
    <row r="40852">
      <c r="H40852" s="8" t="s">
        <v>364</v>
      </c>
    </row>
    <row r="40853">
      <c r="H40853" s="8" t="s">
        <v>364</v>
      </c>
    </row>
    <row r="40854">
      <c r="H40854" s="8" t="s">
        <v>364</v>
      </c>
    </row>
    <row r="40855">
      <c r="H40855" s="8" t="s">
        <v>364</v>
      </c>
    </row>
    <row r="40856">
      <c r="H40856" s="8" t="s">
        <v>364</v>
      </c>
    </row>
    <row r="40857">
      <c r="H40857" s="8" t="s">
        <v>364</v>
      </c>
    </row>
    <row r="40858">
      <c r="H40858" s="8" t="s">
        <v>364</v>
      </c>
    </row>
    <row r="40859">
      <c r="H40859" s="8" t="s">
        <v>364</v>
      </c>
    </row>
    <row r="40860">
      <c r="H40860" s="8" t="s">
        <v>364</v>
      </c>
    </row>
    <row r="40861">
      <c r="H40861" s="8" t="s">
        <v>364</v>
      </c>
    </row>
    <row r="40862">
      <c r="H40862" s="8" t="s">
        <v>364</v>
      </c>
    </row>
    <row r="40863">
      <c r="H40863" s="8" t="s">
        <v>364</v>
      </c>
    </row>
    <row r="40864">
      <c r="H40864" s="8" t="s">
        <v>364</v>
      </c>
    </row>
    <row r="40865">
      <c r="H40865" s="8" t="s">
        <v>364</v>
      </c>
    </row>
    <row r="40866">
      <c r="H40866" s="8" t="s">
        <v>364</v>
      </c>
    </row>
    <row r="40867">
      <c r="H40867" s="8" t="s">
        <v>364</v>
      </c>
    </row>
    <row r="40868">
      <c r="H40868" s="8" t="s">
        <v>364</v>
      </c>
    </row>
    <row r="40869">
      <c r="H40869" s="8" t="s">
        <v>364</v>
      </c>
    </row>
    <row r="40870">
      <c r="H40870" s="8" t="s">
        <v>364</v>
      </c>
    </row>
    <row r="40871">
      <c r="H40871" s="8" t="s">
        <v>364</v>
      </c>
    </row>
    <row r="40872">
      <c r="H40872" s="8" t="s">
        <v>364</v>
      </c>
    </row>
    <row r="40873">
      <c r="H40873" s="8" t="s">
        <v>364</v>
      </c>
    </row>
    <row r="40874">
      <c r="H40874" s="8" t="s">
        <v>364</v>
      </c>
    </row>
    <row r="40875">
      <c r="H40875" s="8" t="s">
        <v>364</v>
      </c>
    </row>
    <row r="40876">
      <c r="H40876" s="8" t="s">
        <v>364</v>
      </c>
    </row>
    <row r="40877">
      <c r="H40877" s="8" t="s">
        <v>364</v>
      </c>
    </row>
    <row r="40878">
      <c r="H40878" s="8" t="s">
        <v>364</v>
      </c>
    </row>
    <row r="40879">
      <c r="H40879" s="8" t="s">
        <v>364</v>
      </c>
    </row>
    <row r="40880">
      <c r="H40880" s="8" t="s">
        <v>364</v>
      </c>
    </row>
    <row r="40881">
      <c r="H40881" s="8" t="s">
        <v>364</v>
      </c>
    </row>
    <row r="40882">
      <c r="H40882" s="8" t="s">
        <v>364</v>
      </c>
    </row>
    <row r="40883">
      <c r="H40883" s="8" t="s">
        <v>364</v>
      </c>
    </row>
    <row r="40884">
      <c r="H40884" s="8" t="s">
        <v>364</v>
      </c>
    </row>
    <row r="40885">
      <c r="H40885" s="8" t="s">
        <v>364</v>
      </c>
    </row>
    <row r="40886">
      <c r="H40886" s="8" t="s">
        <v>364</v>
      </c>
    </row>
    <row r="40887">
      <c r="H40887" s="8" t="s">
        <v>364</v>
      </c>
    </row>
    <row r="40888">
      <c r="H40888" s="8" t="s">
        <v>364</v>
      </c>
    </row>
    <row r="40889">
      <c r="H40889" s="8" t="s">
        <v>364</v>
      </c>
    </row>
    <row r="40890">
      <c r="H40890" s="8" t="s">
        <v>364</v>
      </c>
    </row>
    <row r="40891">
      <c r="H40891" s="8" t="s">
        <v>364</v>
      </c>
    </row>
    <row r="40892">
      <c r="H40892" s="8" t="s">
        <v>364</v>
      </c>
    </row>
    <row r="40893">
      <c r="H40893" s="8" t="s">
        <v>364</v>
      </c>
    </row>
    <row r="40894">
      <c r="H40894" s="8" t="s">
        <v>364</v>
      </c>
    </row>
    <row r="40895">
      <c r="H40895" s="8" t="s">
        <v>364</v>
      </c>
    </row>
    <row r="40896">
      <c r="H40896" s="8" t="s">
        <v>364</v>
      </c>
    </row>
    <row r="40897">
      <c r="H40897" s="8" t="s">
        <v>364</v>
      </c>
    </row>
    <row r="40898">
      <c r="H40898" s="8" t="s">
        <v>364</v>
      </c>
    </row>
    <row r="40899">
      <c r="H40899" s="8" t="s">
        <v>364</v>
      </c>
    </row>
    <row r="40900">
      <c r="H40900" s="8" t="s">
        <v>364</v>
      </c>
    </row>
    <row r="40901">
      <c r="H40901" s="8" t="s">
        <v>364</v>
      </c>
    </row>
    <row r="40902">
      <c r="H40902" s="8" t="s">
        <v>364</v>
      </c>
    </row>
    <row r="40903">
      <c r="H40903" s="8" t="s">
        <v>364</v>
      </c>
    </row>
    <row r="40904">
      <c r="H40904" s="8" t="s">
        <v>364</v>
      </c>
    </row>
    <row r="40905">
      <c r="H40905" s="8" t="s">
        <v>364</v>
      </c>
    </row>
    <row r="40906">
      <c r="H40906" s="8" t="s">
        <v>364</v>
      </c>
    </row>
    <row r="40907">
      <c r="H40907" s="8" t="s">
        <v>364</v>
      </c>
    </row>
    <row r="40908">
      <c r="H40908" s="8" t="s">
        <v>364</v>
      </c>
    </row>
    <row r="40909">
      <c r="H40909" s="8" t="s">
        <v>364</v>
      </c>
    </row>
    <row r="40910">
      <c r="H40910" s="8" t="s">
        <v>364</v>
      </c>
    </row>
    <row r="40911">
      <c r="H40911" s="8" t="s">
        <v>364</v>
      </c>
    </row>
    <row r="40912">
      <c r="H40912" s="8" t="s">
        <v>364</v>
      </c>
    </row>
    <row r="40913">
      <c r="H40913" s="8" t="s">
        <v>364</v>
      </c>
    </row>
    <row r="40914">
      <c r="H40914" s="8" t="s">
        <v>364</v>
      </c>
    </row>
    <row r="40915">
      <c r="H40915" s="8" t="s">
        <v>364</v>
      </c>
    </row>
    <row r="40916">
      <c r="H40916" s="8" t="s">
        <v>364</v>
      </c>
    </row>
    <row r="40917">
      <c r="H40917" s="8" t="s">
        <v>364</v>
      </c>
    </row>
    <row r="40918">
      <c r="H40918" s="8" t="s">
        <v>364</v>
      </c>
    </row>
    <row r="40919">
      <c r="H40919" s="8" t="s">
        <v>364</v>
      </c>
    </row>
    <row r="40920">
      <c r="H40920" s="8" t="s">
        <v>364</v>
      </c>
    </row>
    <row r="40921">
      <c r="H40921" s="8" t="s">
        <v>364</v>
      </c>
    </row>
    <row r="40922">
      <c r="H40922" s="8" t="s">
        <v>364</v>
      </c>
    </row>
    <row r="40923">
      <c r="H40923" s="8" t="s">
        <v>364</v>
      </c>
    </row>
    <row r="40924">
      <c r="H40924" s="8" t="s">
        <v>364</v>
      </c>
    </row>
    <row r="40925">
      <c r="H40925" s="8" t="s">
        <v>364</v>
      </c>
    </row>
    <row r="40926">
      <c r="H40926" s="8" t="s">
        <v>364</v>
      </c>
    </row>
    <row r="40927">
      <c r="H40927" s="8" t="s">
        <v>364</v>
      </c>
    </row>
    <row r="40928">
      <c r="H40928" s="8" t="s">
        <v>364</v>
      </c>
    </row>
    <row r="40929">
      <c r="H40929" s="8" t="s">
        <v>364</v>
      </c>
    </row>
    <row r="40930">
      <c r="H40930" s="8" t="s">
        <v>364</v>
      </c>
    </row>
    <row r="40931">
      <c r="H40931" s="8" t="s">
        <v>364</v>
      </c>
    </row>
    <row r="40932">
      <c r="H40932" s="8" t="s">
        <v>364</v>
      </c>
    </row>
    <row r="40933">
      <c r="H40933" s="8" t="s">
        <v>364</v>
      </c>
    </row>
    <row r="40934">
      <c r="H40934" s="8" t="s">
        <v>364</v>
      </c>
    </row>
    <row r="40935">
      <c r="H40935" s="8" t="s">
        <v>364</v>
      </c>
    </row>
    <row r="40936">
      <c r="H40936" s="8" t="s">
        <v>364</v>
      </c>
    </row>
    <row r="40937">
      <c r="H40937" s="8" t="s">
        <v>364</v>
      </c>
    </row>
    <row r="40938">
      <c r="H40938" s="8" t="s">
        <v>364</v>
      </c>
    </row>
    <row r="40939">
      <c r="H40939" s="8" t="s">
        <v>364</v>
      </c>
    </row>
    <row r="40940">
      <c r="H40940" s="8" t="s">
        <v>364</v>
      </c>
    </row>
    <row r="40941">
      <c r="H40941" s="8" t="s">
        <v>364</v>
      </c>
    </row>
    <row r="40942">
      <c r="H40942" s="8" t="s">
        <v>364</v>
      </c>
    </row>
    <row r="40943">
      <c r="H40943" s="8" t="s">
        <v>364</v>
      </c>
    </row>
    <row r="40944">
      <c r="H40944" s="8" t="s">
        <v>364</v>
      </c>
    </row>
    <row r="40945">
      <c r="H40945" s="8" t="s">
        <v>364</v>
      </c>
    </row>
    <row r="40946">
      <c r="H40946" s="8" t="s">
        <v>364</v>
      </c>
    </row>
    <row r="40947">
      <c r="H40947" s="8" t="s">
        <v>364</v>
      </c>
    </row>
    <row r="40948">
      <c r="H40948" s="8" t="s">
        <v>364</v>
      </c>
    </row>
    <row r="40949">
      <c r="H40949" s="8" t="s">
        <v>364</v>
      </c>
    </row>
    <row r="40950">
      <c r="H40950" s="8" t="s">
        <v>364</v>
      </c>
    </row>
    <row r="40951">
      <c r="H40951" s="8" t="s">
        <v>364</v>
      </c>
    </row>
    <row r="40952">
      <c r="H40952" s="8" t="s">
        <v>364</v>
      </c>
    </row>
    <row r="40953">
      <c r="H40953" s="8" t="s">
        <v>364</v>
      </c>
    </row>
    <row r="40954">
      <c r="H40954" s="8" t="s">
        <v>364</v>
      </c>
    </row>
    <row r="40955">
      <c r="H40955" s="8" t="s">
        <v>364</v>
      </c>
    </row>
    <row r="40956">
      <c r="H40956" s="8" t="s">
        <v>364</v>
      </c>
    </row>
    <row r="40957">
      <c r="H40957" s="8" t="s">
        <v>364</v>
      </c>
    </row>
    <row r="40958">
      <c r="H40958" s="8" t="s">
        <v>364</v>
      </c>
    </row>
    <row r="40959">
      <c r="H40959" s="8" t="s">
        <v>364</v>
      </c>
    </row>
    <row r="40960">
      <c r="H40960" s="8" t="s">
        <v>364</v>
      </c>
    </row>
    <row r="40961">
      <c r="H40961" s="8" t="s">
        <v>364</v>
      </c>
    </row>
    <row r="40962">
      <c r="H40962" s="8" t="s">
        <v>364</v>
      </c>
    </row>
    <row r="40963">
      <c r="H40963" s="8" t="s">
        <v>364</v>
      </c>
    </row>
    <row r="40964">
      <c r="H40964" s="8" t="s">
        <v>364</v>
      </c>
    </row>
    <row r="40965">
      <c r="H40965" s="8" t="s">
        <v>364</v>
      </c>
    </row>
    <row r="40966">
      <c r="H40966" s="8" t="s">
        <v>364</v>
      </c>
    </row>
    <row r="40967">
      <c r="H40967" s="8" t="s">
        <v>364</v>
      </c>
    </row>
    <row r="40968">
      <c r="H40968" s="8" t="s">
        <v>364</v>
      </c>
    </row>
    <row r="40969">
      <c r="H40969" s="8" t="s">
        <v>364</v>
      </c>
    </row>
    <row r="40970">
      <c r="H40970" s="8" t="s">
        <v>364</v>
      </c>
    </row>
    <row r="40971">
      <c r="H40971" s="8" t="s">
        <v>364</v>
      </c>
    </row>
    <row r="40972">
      <c r="H40972" s="8" t="s">
        <v>364</v>
      </c>
    </row>
    <row r="40973">
      <c r="H40973" s="8" t="s">
        <v>364</v>
      </c>
    </row>
    <row r="40974">
      <c r="H40974" s="8" t="s">
        <v>364</v>
      </c>
    </row>
    <row r="40975">
      <c r="H40975" s="8" t="s">
        <v>364</v>
      </c>
    </row>
    <row r="40976">
      <c r="H40976" s="8" t="s">
        <v>364</v>
      </c>
    </row>
    <row r="40977">
      <c r="H40977" s="8" t="s">
        <v>364</v>
      </c>
    </row>
    <row r="40978">
      <c r="H40978" s="8" t="s">
        <v>364</v>
      </c>
    </row>
    <row r="40979">
      <c r="H40979" s="8" t="s">
        <v>364</v>
      </c>
    </row>
    <row r="40980">
      <c r="H40980" s="8" t="s">
        <v>364</v>
      </c>
    </row>
    <row r="40981">
      <c r="H40981" s="8" t="s">
        <v>364</v>
      </c>
    </row>
    <row r="40982">
      <c r="H40982" s="8" t="s">
        <v>364</v>
      </c>
    </row>
    <row r="40983">
      <c r="H40983" s="8" t="s">
        <v>364</v>
      </c>
    </row>
    <row r="40984">
      <c r="H40984" s="8" t="s">
        <v>364</v>
      </c>
    </row>
    <row r="40985">
      <c r="H40985" s="8" t="s">
        <v>364</v>
      </c>
    </row>
    <row r="40986">
      <c r="H40986" s="8" t="s">
        <v>364</v>
      </c>
    </row>
    <row r="40987">
      <c r="H40987" s="8" t="s">
        <v>364</v>
      </c>
    </row>
    <row r="40988">
      <c r="H40988" s="8" t="s">
        <v>364</v>
      </c>
    </row>
    <row r="40989">
      <c r="H40989" s="8" t="s">
        <v>364</v>
      </c>
    </row>
    <row r="40990">
      <c r="H40990" s="8" t="s">
        <v>364</v>
      </c>
    </row>
    <row r="40991">
      <c r="H40991" s="8" t="s">
        <v>364</v>
      </c>
    </row>
    <row r="40992">
      <c r="H40992" s="8" t="s">
        <v>364</v>
      </c>
    </row>
    <row r="40993">
      <c r="H40993" s="8" t="s">
        <v>364</v>
      </c>
    </row>
    <row r="40994">
      <c r="H40994" s="8" t="s">
        <v>364</v>
      </c>
    </row>
    <row r="40995">
      <c r="H40995" s="8" t="s">
        <v>364</v>
      </c>
    </row>
    <row r="40996">
      <c r="H40996" s="8" t="s">
        <v>364</v>
      </c>
    </row>
    <row r="40997">
      <c r="H40997" s="8" t="s">
        <v>364</v>
      </c>
    </row>
    <row r="40998">
      <c r="H40998" s="8" t="s">
        <v>364</v>
      </c>
    </row>
    <row r="40999">
      <c r="H40999" s="8" t="s">
        <v>364</v>
      </c>
    </row>
    <row r="41000">
      <c r="H41000" s="8" t="s">
        <v>364</v>
      </c>
    </row>
    <row r="41001">
      <c r="H41001" s="8" t="s">
        <v>364</v>
      </c>
    </row>
    <row r="41002">
      <c r="H41002" s="8" t="s">
        <v>364</v>
      </c>
    </row>
    <row r="41003">
      <c r="H41003" s="8" t="s">
        <v>364</v>
      </c>
    </row>
    <row r="41004">
      <c r="H41004" s="8" t="s">
        <v>364</v>
      </c>
    </row>
    <row r="41005">
      <c r="H41005" s="8" t="s">
        <v>364</v>
      </c>
    </row>
    <row r="41006">
      <c r="H41006" s="8" t="s">
        <v>364</v>
      </c>
    </row>
    <row r="41007">
      <c r="H41007" s="8" t="s">
        <v>364</v>
      </c>
    </row>
    <row r="41008">
      <c r="H41008" s="8" t="s">
        <v>364</v>
      </c>
    </row>
    <row r="41009">
      <c r="H41009" s="8" t="s">
        <v>364</v>
      </c>
    </row>
    <row r="41010">
      <c r="H41010" s="8" t="s">
        <v>364</v>
      </c>
    </row>
    <row r="41011">
      <c r="H41011" s="8" t="s">
        <v>364</v>
      </c>
    </row>
    <row r="41012">
      <c r="H41012" s="8" t="s">
        <v>364</v>
      </c>
    </row>
    <row r="41013">
      <c r="H41013" s="8" t="s">
        <v>364</v>
      </c>
    </row>
    <row r="41014">
      <c r="H41014" s="8" t="s">
        <v>364</v>
      </c>
    </row>
    <row r="41015">
      <c r="H41015" s="8" t="s">
        <v>364</v>
      </c>
    </row>
    <row r="41016">
      <c r="H41016" s="8" t="s">
        <v>364</v>
      </c>
    </row>
    <row r="41017">
      <c r="H41017" s="8" t="s">
        <v>364</v>
      </c>
    </row>
    <row r="41018">
      <c r="H41018" s="8" t="s">
        <v>364</v>
      </c>
    </row>
    <row r="41019">
      <c r="H41019" s="8" t="s">
        <v>364</v>
      </c>
    </row>
    <row r="41020">
      <c r="H41020" s="8" t="s">
        <v>364</v>
      </c>
    </row>
    <row r="41021">
      <c r="H41021" s="8" t="s">
        <v>364</v>
      </c>
    </row>
    <row r="41022">
      <c r="H41022" s="8" t="s">
        <v>364</v>
      </c>
    </row>
    <row r="41023">
      <c r="H41023" s="8" t="s">
        <v>364</v>
      </c>
    </row>
    <row r="41024">
      <c r="H41024" s="8" t="s">
        <v>364</v>
      </c>
    </row>
    <row r="41025">
      <c r="H41025" s="8" t="s">
        <v>364</v>
      </c>
    </row>
    <row r="41026">
      <c r="H41026" s="8" t="s">
        <v>364</v>
      </c>
    </row>
    <row r="41027">
      <c r="H41027" s="8" t="s">
        <v>364</v>
      </c>
    </row>
    <row r="41028">
      <c r="H41028" s="8" t="s">
        <v>364</v>
      </c>
    </row>
    <row r="41029">
      <c r="H41029" s="8" t="s">
        <v>364</v>
      </c>
    </row>
    <row r="41030">
      <c r="H41030" s="8" t="s">
        <v>364</v>
      </c>
    </row>
    <row r="41031">
      <c r="H41031" s="8" t="s">
        <v>364</v>
      </c>
    </row>
    <row r="41032">
      <c r="H41032" s="8" t="s">
        <v>364</v>
      </c>
    </row>
    <row r="41033">
      <c r="H41033" s="8" t="s">
        <v>364</v>
      </c>
    </row>
    <row r="41034">
      <c r="H41034" s="8" t="s">
        <v>364</v>
      </c>
    </row>
    <row r="41035">
      <c r="H41035" s="8" t="s">
        <v>364</v>
      </c>
    </row>
    <row r="41036">
      <c r="H41036" s="8" t="s">
        <v>364</v>
      </c>
    </row>
    <row r="41037">
      <c r="H41037" s="8" t="s">
        <v>364</v>
      </c>
    </row>
    <row r="41038">
      <c r="H41038" s="8" t="s">
        <v>364</v>
      </c>
    </row>
    <row r="41039">
      <c r="H41039" s="8" t="s">
        <v>364</v>
      </c>
    </row>
    <row r="41040">
      <c r="H41040" s="8" t="s">
        <v>364</v>
      </c>
    </row>
    <row r="41041">
      <c r="H41041" s="8" t="s">
        <v>364</v>
      </c>
    </row>
    <row r="41042">
      <c r="H41042" s="8" t="s">
        <v>364</v>
      </c>
    </row>
    <row r="41043">
      <c r="H41043" s="8" t="s">
        <v>364</v>
      </c>
    </row>
    <row r="41044">
      <c r="H41044" s="8" t="s">
        <v>364</v>
      </c>
    </row>
    <row r="41045">
      <c r="H41045" s="8" t="s">
        <v>364</v>
      </c>
    </row>
    <row r="41046">
      <c r="H41046" s="8" t="s">
        <v>364</v>
      </c>
    </row>
    <row r="41047">
      <c r="H41047" s="8" t="s">
        <v>364</v>
      </c>
    </row>
    <row r="41048">
      <c r="H41048" s="8" t="s">
        <v>364</v>
      </c>
    </row>
    <row r="41049">
      <c r="H41049" s="8" t="s">
        <v>364</v>
      </c>
    </row>
    <row r="41050">
      <c r="H41050" s="8" t="s">
        <v>364</v>
      </c>
    </row>
    <row r="41051">
      <c r="H41051" s="8" t="s">
        <v>364</v>
      </c>
    </row>
    <row r="41052">
      <c r="H41052" s="8" t="s">
        <v>364</v>
      </c>
    </row>
    <row r="41053">
      <c r="H41053" s="8" t="s">
        <v>364</v>
      </c>
    </row>
    <row r="41054">
      <c r="H41054" s="8" t="s">
        <v>364</v>
      </c>
    </row>
    <row r="41055">
      <c r="H41055" s="8" t="s">
        <v>364</v>
      </c>
    </row>
    <row r="41056">
      <c r="H41056" s="8" t="s">
        <v>364</v>
      </c>
    </row>
    <row r="41057">
      <c r="H41057" s="8" t="s">
        <v>364</v>
      </c>
    </row>
    <row r="41058">
      <c r="H41058" s="8" t="s">
        <v>364</v>
      </c>
    </row>
    <row r="41059">
      <c r="H41059" s="8" t="s">
        <v>364</v>
      </c>
    </row>
    <row r="41060">
      <c r="H41060" s="8" t="s">
        <v>364</v>
      </c>
    </row>
    <row r="41061">
      <c r="H41061" s="8" t="s">
        <v>364</v>
      </c>
    </row>
    <row r="41062">
      <c r="H41062" s="8" t="s">
        <v>364</v>
      </c>
    </row>
    <row r="41063">
      <c r="H41063" s="8" t="s">
        <v>364</v>
      </c>
    </row>
    <row r="41064">
      <c r="H41064" s="8" t="s">
        <v>364</v>
      </c>
    </row>
    <row r="41065">
      <c r="H41065" s="8" t="s">
        <v>364</v>
      </c>
    </row>
    <row r="41066">
      <c r="H41066" s="8" t="s">
        <v>364</v>
      </c>
    </row>
    <row r="41067">
      <c r="H41067" s="8" t="s">
        <v>364</v>
      </c>
    </row>
    <row r="41068">
      <c r="H41068" s="8" t="s">
        <v>364</v>
      </c>
    </row>
    <row r="41069">
      <c r="H41069" s="8" t="s">
        <v>364</v>
      </c>
    </row>
    <row r="41070">
      <c r="H41070" s="8" t="s">
        <v>364</v>
      </c>
    </row>
    <row r="41071">
      <c r="H41071" s="8" t="s">
        <v>364</v>
      </c>
    </row>
    <row r="41072">
      <c r="H41072" s="8" t="s">
        <v>364</v>
      </c>
    </row>
    <row r="41073">
      <c r="H41073" s="8" t="s">
        <v>364</v>
      </c>
    </row>
    <row r="41074">
      <c r="H41074" s="8" t="s">
        <v>364</v>
      </c>
    </row>
    <row r="41075">
      <c r="H41075" s="8" t="s">
        <v>364</v>
      </c>
    </row>
    <row r="41076">
      <c r="H41076" s="8" t="s">
        <v>364</v>
      </c>
    </row>
    <row r="41077">
      <c r="H41077" s="8" t="s">
        <v>364</v>
      </c>
    </row>
    <row r="41078">
      <c r="H41078" s="8" t="s">
        <v>364</v>
      </c>
    </row>
    <row r="41079">
      <c r="H41079" s="8" t="s">
        <v>364</v>
      </c>
    </row>
    <row r="41080">
      <c r="H41080" s="8" t="s">
        <v>364</v>
      </c>
    </row>
    <row r="41081">
      <c r="H41081" s="8" t="s">
        <v>364</v>
      </c>
    </row>
    <row r="41082">
      <c r="H41082" s="8" t="s">
        <v>364</v>
      </c>
    </row>
    <row r="41083">
      <c r="H41083" s="8" t="s">
        <v>364</v>
      </c>
    </row>
    <row r="41084">
      <c r="H41084" s="8" t="s">
        <v>364</v>
      </c>
    </row>
    <row r="41085">
      <c r="H41085" s="8" t="s">
        <v>364</v>
      </c>
    </row>
    <row r="41086">
      <c r="H41086" s="8" t="s">
        <v>364</v>
      </c>
    </row>
    <row r="41087">
      <c r="H41087" s="8" t="s">
        <v>364</v>
      </c>
    </row>
    <row r="41088">
      <c r="H41088" s="8" t="s">
        <v>364</v>
      </c>
    </row>
    <row r="41089">
      <c r="H41089" s="8" t="s">
        <v>364</v>
      </c>
    </row>
    <row r="41090">
      <c r="H41090" s="8" t="s">
        <v>364</v>
      </c>
    </row>
    <row r="41091">
      <c r="H41091" s="8" t="s">
        <v>364</v>
      </c>
    </row>
    <row r="41092">
      <c r="H41092" s="8" t="s">
        <v>364</v>
      </c>
    </row>
    <row r="41093">
      <c r="H41093" s="8" t="s">
        <v>364</v>
      </c>
    </row>
    <row r="41094">
      <c r="H41094" s="8" t="s">
        <v>364</v>
      </c>
    </row>
    <row r="41095">
      <c r="H41095" s="8" t="s">
        <v>364</v>
      </c>
    </row>
    <row r="41096">
      <c r="H41096" s="8" t="s">
        <v>364</v>
      </c>
    </row>
    <row r="41097">
      <c r="H41097" s="8" t="s">
        <v>364</v>
      </c>
    </row>
    <row r="41098">
      <c r="H41098" s="8" t="s">
        <v>364</v>
      </c>
    </row>
    <row r="41099">
      <c r="H41099" s="8" t="s">
        <v>364</v>
      </c>
    </row>
    <row r="41100">
      <c r="H41100" s="8" t="s">
        <v>364</v>
      </c>
    </row>
    <row r="41101">
      <c r="H41101" s="8" t="s">
        <v>364</v>
      </c>
    </row>
    <row r="41102">
      <c r="H41102" s="8" t="s">
        <v>364</v>
      </c>
    </row>
    <row r="41103">
      <c r="H41103" s="8" t="s">
        <v>364</v>
      </c>
    </row>
    <row r="41104">
      <c r="H41104" s="8" t="s">
        <v>364</v>
      </c>
    </row>
    <row r="41105">
      <c r="H41105" s="8" t="s">
        <v>364</v>
      </c>
    </row>
    <row r="41106">
      <c r="H41106" s="8" t="s">
        <v>364</v>
      </c>
    </row>
    <row r="41107">
      <c r="H41107" s="8" t="s">
        <v>364</v>
      </c>
    </row>
    <row r="41108">
      <c r="H41108" s="8" t="s">
        <v>364</v>
      </c>
    </row>
    <row r="41109">
      <c r="H41109" s="8" t="s">
        <v>364</v>
      </c>
    </row>
    <row r="41110">
      <c r="H41110" s="8" t="s">
        <v>364</v>
      </c>
    </row>
    <row r="41111">
      <c r="H41111" s="8" t="s">
        <v>364</v>
      </c>
    </row>
    <row r="41112">
      <c r="H41112" s="8" t="s">
        <v>364</v>
      </c>
    </row>
    <row r="41113">
      <c r="H41113" s="8" t="s">
        <v>364</v>
      </c>
    </row>
    <row r="41114">
      <c r="H41114" s="8" t="s">
        <v>364</v>
      </c>
    </row>
    <row r="41115">
      <c r="H41115" s="8" t="s">
        <v>364</v>
      </c>
    </row>
    <row r="41116">
      <c r="H41116" s="8" t="s">
        <v>364</v>
      </c>
    </row>
    <row r="41117">
      <c r="H41117" s="8" t="s">
        <v>364</v>
      </c>
    </row>
    <row r="41118">
      <c r="H41118" s="8" t="s">
        <v>364</v>
      </c>
    </row>
    <row r="41119">
      <c r="H41119" s="8" t="s">
        <v>364</v>
      </c>
    </row>
    <row r="41120">
      <c r="H41120" s="8" t="s">
        <v>364</v>
      </c>
    </row>
    <row r="41121">
      <c r="H41121" s="8" t="s">
        <v>364</v>
      </c>
    </row>
    <row r="41122">
      <c r="H41122" s="8" t="s">
        <v>364</v>
      </c>
    </row>
    <row r="41123">
      <c r="H41123" s="8" t="s">
        <v>364</v>
      </c>
    </row>
    <row r="41124">
      <c r="H41124" s="8" t="s">
        <v>364</v>
      </c>
    </row>
    <row r="41125">
      <c r="H41125" s="8" t="s">
        <v>364</v>
      </c>
    </row>
    <row r="41126">
      <c r="H41126" s="8" t="s">
        <v>364</v>
      </c>
    </row>
    <row r="41127">
      <c r="H41127" s="8" t="s">
        <v>364</v>
      </c>
    </row>
    <row r="41128">
      <c r="H41128" s="8" t="s">
        <v>364</v>
      </c>
    </row>
    <row r="41129">
      <c r="H41129" s="8" t="s">
        <v>364</v>
      </c>
    </row>
    <row r="41130">
      <c r="H41130" s="8" t="s">
        <v>364</v>
      </c>
    </row>
    <row r="41131">
      <c r="H41131" s="8" t="s">
        <v>364</v>
      </c>
    </row>
    <row r="41132">
      <c r="H41132" s="8" t="s">
        <v>364</v>
      </c>
    </row>
    <row r="41133">
      <c r="H41133" s="8" t="s">
        <v>364</v>
      </c>
    </row>
    <row r="41134">
      <c r="H41134" s="8" t="s">
        <v>364</v>
      </c>
    </row>
    <row r="41135">
      <c r="H41135" s="8" t="s">
        <v>364</v>
      </c>
    </row>
    <row r="41136">
      <c r="H41136" s="8" t="s">
        <v>364</v>
      </c>
    </row>
    <row r="41137">
      <c r="H41137" s="8" t="s">
        <v>364</v>
      </c>
    </row>
    <row r="41138">
      <c r="H41138" s="8" t="s">
        <v>364</v>
      </c>
    </row>
    <row r="41139">
      <c r="H41139" s="8" t="s">
        <v>364</v>
      </c>
    </row>
    <row r="41140">
      <c r="H41140" s="8" t="s">
        <v>364</v>
      </c>
    </row>
    <row r="41141">
      <c r="H41141" s="8" t="s">
        <v>364</v>
      </c>
    </row>
    <row r="41142">
      <c r="H41142" s="8" t="s">
        <v>364</v>
      </c>
    </row>
    <row r="41143">
      <c r="H41143" s="8" t="s">
        <v>364</v>
      </c>
    </row>
    <row r="41144">
      <c r="H41144" s="8" t="s">
        <v>364</v>
      </c>
    </row>
    <row r="41145">
      <c r="H41145" s="8" t="s">
        <v>364</v>
      </c>
    </row>
    <row r="41146">
      <c r="H41146" s="8" t="s">
        <v>364</v>
      </c>
    </row>
    <row r="41147">
      <c r="H41147" s="8" t="s">
        <v>364</v>
      </c>
    </row>
    <row r="41148">
      <c r="H41148" s="8" t="s">
        <v>364</v>
      </c>
    </row>
    <row r="41149">
      <c r="H41149" s="8" t="s">
        <v>364</v>
      </c>
    </row>
    <row r="41150">
      <c r="H41150" s="8" t="s">
        <v>364</v>
      </c>
    </row>
    <row r="41151">
      <c r="H41151" s="8" t="s">
        <v>364</v>
      </c>
    </row>
    <row r="41152">
      <c r="H41152" s="8" t="s">
        <v>364</v>
      </c>
    </row>
    <row r="41153">
      <c r="H41153" s="8" t="s">
        <v>364</v>
      </c>
    </row>
    <row r="41154">
      <c r="H41154" s="8" t="s">
        <v>364</v>
      </c>
    </row>
    <row r="41155">
      <c r="H41155" s="8" t="s">
        <v>364</v>
      </c>
    </row>
    <row r="41156">
      <c r="H41156" s="8" t="s">
        <v>364</v>
      </c>
    </row>
    <row r="41157">
      <c r="H41157" s="8" t="s">
        <v>364</v>
      </c>
    </row>
    <row r="41158">
      <c r="H41158" s="8" t="s">
        <v>364</v>
      </c>
    </row>
    <row r="41159">
      <c r="H41159" s="8" t="s">
        <v>364</v>
      </c>
    </row>
    <row r="41160">
      <c r="H41160" s="8" t="s">
        <v>364</v>
      </c>
    </row>
    <row r="41161">
      <c r="H41161" s="8" t="s">
        <v>364</v>
      </c>
    </row>
    <row r="41162">
      <c r="H41162" s="8" t="s">
        <v>364</v>
      </c>
    </row>
    <row r="41163">
      <c r="H41163" s="8" t="s">
        <v>364</v>
      </c>
    </row>
    <row r="41164">
      <c r="H41164" s="8" t="s">
        <v>364</v>
      </c>
    </row>
    <row r="41165">
      <c r="H41165" s="8" t="s">
        <v>364</v>
      </c>
    </row>
    <row r="41166">
      <c r="H41166" s="8" t="s">
        <v>364</v>
      </c>
    </row>
    <row r="41167">
      <c r="H41167" s="8" t="s">
        <v>364</v>
      </c>
    </row>
    <row r="41168">
      <c r="H41168" s="8" t="s">
        <v>364</v>
      </c>
    </row>
    <row r="41169">
      <c r="H41169" s="8" t="s">
        <v>364</v>
      </c>
    </row>
    <row r="41170">
      <c r="H41170" s="8" t="s">
        <v>364</v>
      </c>
    </row>
    <row r="41171">
      <c r="H41171" s="8" t="s">
        <v>364</v>
      </c>
    </row>
    <row r="41172">
      <c r="H41172" s="8" t="s">
        <v>364</v>
      </c>
    </row>
    <row r="41173">
      <c r="H41173" s="8" t="s">
        <v>364</v>
      </c>
    </row>
    <row r="41174">
      <c r="H41174" s="8" t="s">
        <v>364</v>
      </c>
    </row>
    <row r="41175">
      <c r="H41175" s="8" t="s">
        <v>364</v>
      </c>
    </row>
    <row r="41176">
      <c r="H41176" s="8" t="s">
        <v>364</v>
      </c>
    </row>
    <row r="41177">
      <c r="H41177" s="8" t="s">
        <v>364</v>
      </c>
    </row>
    <row r="41178">
      <c r="H41178" s="8" t="s">
        <v>364</v>
      </c>
    </row>
    <row r="41179">
      <c r="H41179" s="8" t="s">
        <v>364</v>
      </c>
    </row>
    <row r="41180">
      <c r="H41180" s="8" t="s">
        <v>364</v>
      </c>
    </row>
    <row r="41181">
      <c r="H41181" s="8" t="s">
        <v>364</v>
      </c>
    </row>
    <row r="41182">
      <c r="H41182" s="8" t="s">
        <v>364</v>
      </c>
    </row>
    <row r="41183">
      <c r="H41183" s="8" t="s">
        <v>364</v>
      </c>
    </row>
    <row r="41184">
      <c r="H41184" s="8" t="s">
        <v>364</v>
      </c>
    </row>
    <row r="41185">
      <c r="H41185" s="8" t="s">
        <v>364</v>
      </c>
    </row>
    <row r="41186">
      <c r="H41186" s="8" t="s">
        <v>364</v>
      </c>
    </row>
    <row r="41187">
      <c r="H41187" s="8" t="s">
        <v>364</v>
      </c>
    </row>
    <row r="41188">
      <c r="H41188" s="8" t="s">
        <v>364</v>
      </c>
    </row>
    <row r="41189">
      <c r="H41189" s="8" t="s">
        <v>364</v>
      </c>
    </row>
    <row r="41190">
      <c r="H41190" s="8" t="s">
        <v>364</v>
      </c>
    </row>
    <row r="41191">
      <c r="H41191" s="8" t="s">
        <v>364</v>
      </c>
    </row>
    <row r="41192">
      <c r="H41192" s="8" t="s">
        <v>364</v>
      </c>
    </row>
    <row r="41193">
      <c r="H41193" s="8" t="s">
        <v>364</v>
      </c>
    </row>
    <row r="41194">
      <c r="H41194" s="8" t="s">
        <v>364</v>
      </c>
    </row>
    <row r="41195">
      <c r="H41195" s="8" t="s">
        <v>364</v>
      </c>
    </row>
    <row r="41196">
      <c r="H41196" s="8" t="s">
        <v>364</v>
      </c>
    </row>
    <row r="41197">
      <c r="H41197" s="8" t="s">
        <v>364</v>
      </c>
    </row>
    <row r="41198">
      <c r="H41198" s="8" t="s">
        <v>364</v>
      </c>
    </row>
    <row r="41199">
      <c r="H41199" s="8" t="s">
        <v>364</v>
      </c>
    </row>
    <row r="41200">
      <c r="H41200" s="8" t="s">
        <v>364</v>
      </c>
    </row>
    <row r="41201">
      <c r="H41201" s="8" t="s">
        <v>364</v>
      </c>
    </row>
    <row r="41202">
      <c r="H41202" s="8" t="s">
        <v>364</v>
      </c>
    </row>
    <row r="41203">
      <c r="H41203" s="8" t="s">
        <v>364</v>
      </c>
    </row>
    <row r="41204">
      <c r="H41204" s="8" t="s">
        <v>364</v>
      </c>
    </row>
    <row r="41205">
      <c r="H41205" s="8" t="s">
        <v>364</v>
      </c>
    </row>
    <row r="41206">
      <c r="H41206" s="8" t="s">
        <v>364</v>
      </c>
    </row>
    <row r="41207">
      <c r="H41207" s="8" t="s">
        <v>364</v>
      </c>
    </row>
    <row r="41208">
      <c r="H41208" s="8" t="s">
        <v>364</v>
      </c>
    </row>
    <row r="41209">
      <c r="H41209" s="8" t="s">
        <v>364</v>
      </c>
    </row>
    <row r="41210">
      <c r="H41210" s="8" t="s">
        <v>364</v>
      </c>
    </row>
    <row r="41211">
      <c r="H41211" s="8" t="s">
        <v>364</v>
      </c>
    </row>
    <row r="41212">
      <c r="H41212" s="8" t="s">
        <v>364</v>
      </c>
    </row>
    <row r="41213">
      <c r="H41213" s="8" t="s">
        <v>364</v>
      </c>
    </row>
    <row r="41214">
      <c r="H41214" s="8" t="s">
        <v>364</v>
      </c>
    </row>
    <row r="41215">
      <c r="H41215" s="8" t="s">
        <v>364</v>
      </c>
    </row>
    <row r="41216">
      <c r="H41216" s="8" t="s">
        <v>364</v>
      </c>
    </row>
    <row r="41217">
      <c r="H41217" s="8" t="s">
        <v>364</v>
      </c>
    </row>
    <row r="41218">
      <c r="H41218" s="8" t="s">
        <v>364</v>
      </c>
    </row>
    <row r="41219">
      <c r="H41219" s="8" t="s">
        <v>364</v>
      </c>
    </row>
    <row r="41220">
      <c r="H41220" s="8" t="s">
        <v>364</v>
      </c>
    </row>
    <row r="41221">
      <c r="H41221" s="8" t="s">
        <v>364</v>
      </c>
    </row>
    <row r="41222">
      <c r="H41222" s="8" t="s">
        <v>364</v>
      </c>
    </row>
    <row r="41223">
      <c r="H41223" s="8" t="s">
        <v>364</v>
      </c>
    </row>
    <row r="41224">
      <c r="H41224" s="8" t="s">
        <v>364</v>
      </c>
    </row>
    <row r="41225">
      <c r="H41225" s="8" t="s">
        <v>364</v>
      </c>
    </row>
    <row r="41226">
      <c r="H41226" s="8" t="s">
        <v>364</v>
      </c>
    </row>
    <row r="41227">
      <c r="H41227" s="8" t="s">
        <v>364</v>
      </c>
    </row>
    <row r="41228">
      <c r="H41228" s="8" t="s">
        <v>364</v>
      </c>
    </row>
    <row r="41229">
      <c r="H41229" s="8" t="s">
        <v>364</v>
      </c>
    </row>
    <row r="41230">
      <c r="H41230" s="8" t="s">
        <v>364</v>
      </c>
    </row>
    <row r="41231">
      <c r="H41231" s="8" t="s">
        <v>364</v>
      </c>
    </row>
    <row r="41232">
      <c r="H41232" s="8" t="s">
        <v>364</v>
      </c>
    </row>
    <row r="41233">
      <c r="H41233" s="8" t="s">
        <v>364</v>
      </c>
    </row>
    <row r="41234">
      <c r="H41234" s="8" t="s">
        <v>364</v>
      </c>
    </row>
    <row r="41235">
      <c r="H41235" s="8" t="s">
        <v>364</v>
      </c>
    </row>
    <row r="41236">
      <c r="H41236" s="8" t="s">
        <v>364</v>
      </c>
    </row>
    <row r="41237">
      <c r="H41237" s="8" t="s">
        <v>364</v>
      </c>
    </row>
    <row r="41238">
      <c r="H41238" s="8" t="s">
        <v>364</v>
      </c>
    </row>
    <row r="41239">
      <c r="H41239" s="8" t="s">
        <v>364</v>
      </c>
    </row>
    <row r="41240">
      <c r="H41240" s="8" t="s">
        <v>364</v>
      </c>
    </row>
    <row r="41241">
      <c r="H41241" s="8" t="s">
        <v>364</v>
      </c>
    </row>
    <row r="41242">
      <c r="H41242" s="8" t="s">
        <v>364</v>
      </c>
    </row>
    <row r="41243">
      <c r="H41243" s="8" t="s">
        <v>364</v>
      </c>
    </row>
    <row r="41244">
      <c r="H41244" s="8" t="s">
        <v>364</v>
      </c>
    </row>
    <row r="41245">
      <c r="H41245" s="8" t="s">
        <v>364</v>
      </c>
    </row>
    <row r="41246">
      <c r="H41246" s="8" t="s">
        <v>364</v>
      </c>
    </row>
    <row r="41247">
      <c r="H41247" s="8" t="s">
        <v>364</v>
      </c>
    </row>
    <row r="41248">
      <c r="H41248" s="8" t="s">
        <v>364</v>
      </c>
    </row>
    <row r="41249">
      <c r="H41249" s="8" t="s">
        <v>364</v>
      </c>
    </row>
    <row r="41250">
      <c r="H41250" s="8" t="s">
        <v>364</v>
      </c>
    </row>
    <row r="41251">
      <c r="H41251" s="8" t="s">
        <v>364</v>
      </c>
    </row>
    <row r="41252">
      <c r="H41252" s="8" t="s">
        <v>364</v>
      </c>
    </row>
    <row r="41253">
      <c r="H41253" s="8" t="s">
        <v>364</v>
      </c>
    </row>
    <row r="41254">
      <c r="H41254" s="8" t="s">
        <v>364</v>
      </c>
    </row>
    <row r="41255">
      <c r="H41255" s="8" t="s">
        <v>364</v>
      </c>
    </row>
    <row r="41256">
      <c r="H41256" s="8" t="s">
        <v>364</v>
      </c>
    </row>
    <row r="41257">
      <c r="H41257" s="8" t="s">
        <v>364</v>
      </c>
    </row>
    <row r="41258">
      <c r="H41258" s="8" t="s">
        <v>364</v>
      </c>
    </row>
    <row r="41259">
      <c r="H41259" s="8" t="s">
        <v>364</v>
      </c>
    </row>
    <row r="41260">
      <c r="H41260" s="8" t="s">
        <v>364</v>
      </c>
    </row>
    <row r="41261">
      <c r="H41261" s="8" t="s">
        <v>364</v>
      </c>
    </row>
    <row r="41262">
      <c r="H41262" s="8" t="s">
        <v>364</v>
      </c>
    </row>
    <row r="41263">
      <c r="H41263" s="8" t="s">
        <v>364</v>
      </c>
    </row>
    <row r="41264">
      <c r="H41264" s="8" t="s">
        <v>364</v>
      </c>
    </row>
    <row r="41265">
      <c r="H41265" s="8" t="s">
        <v>364</v>
      </c>
    </row>
    <row r="41266">
      <c r="H41266" s="8" t="s">
        <v>364</v>
      </c>
    </row>
    <row r="41267">
      <c r="H41267" s="8" t="s">
        <v>364</v>
      </c>
    </row>
    <row r="41268">
      <c r="H41268" s="8" t="s">
        <v>364</v>
      </c>
    </row>
    <row r="41269">
      <c r="H41269" s="8" t="s">
        <v>364</v>
      </c>
    </row>
    <row r="41270">
      <c r="H41270" s="8" t="s">
        <v>364</v>
      </c>
    </row>
    <row r="41271">
      <c r="H41271" s="8" t="s">
        <v>364</v>
      </c>
    </row>
    <row r="41272">
      <c r="H41272" s="8" t="s">
        <v>364</v>
      </c>
    </row>
    <row r="41273">
      <c r="H41273" s="8" t="s">
        <v>364</v>
      </c>
    </row>
    <row r="41274">
      <c r="H41274" s="8" t="s">
        <v>364</v>
      </c>
    </row>
    <row r="41275">
      <c r="H41275" s="8" t="s">
        <v>364</v>
      </c>
    </row>
    <row r="41276">
      <c r="H41276" s="8" t="s">
        <v>364</v>
      </c>
    </row>
    <row r="41277">
      <c r="H41277" s="8" t="s">
        <v>364</v>
      </c>
    </row>
    <row r="41278">
      <c r="H41278" s="8" t="s">
        <v>364</v>
      </c>
    </row>
    <row r="41279">
      <c r="H41279" s="8" t="s">
        <v>364</v>
      </c>
    </row>
    <row r="41280">
      <c r="H41280" s="8" t="s">
        <v>364</v>
      </c>
    </row>
    <row r="41281">
      <c r="H41281" s="8" t="s">
        <v>364</v>
      </c>
    </row>
    <row r="41282">
      <c r="H41282" s="8" t="s">
        <v>364</v>
      </c>
    </row>
    <row r="41283">
      <c r="H41283" s="8" t="s">
        <v>364</v>
      </c>
    </row>
    <row r="41284">
      <c r="H41284" s="8" t="s">
        <v>364</v>
      </c>
    </row>
    <row r="41285">
      <c r="H41285" s="8" t="s">
        <v>364</v>
      </c>
    </row>
    <row r="41286">
      <c r="H41286" s="8" t="s">
        <v>364</v>
      </c>
    </row>
    <row r="41287">
      <c r="H41287" s="8" t="s">
        <v>364</v>
      </c>
    </row>
    <row r="41288">
      <c r="H41288" s="8" t="s">
        <v>364</v>
      </c>
    </row>
    <row r="41289">
      <c r="H41289" s="8" t="s">
        <v>364</v>
      </c>
    </row>
    <row r="41290">
      <c r="H41290" s="8" t="s">
        <v>364</v>
      </c>
    </row>
    <row r="41291">
      <c r="H41291" s="8" t="s">
        <v>364</v>
      </c>
    </row>
    <row r="41292">
      <c r="H41292" s="8" t="s">
        <v>364</v>
      </c>
    </row>
    <row r="41293">
      <c r="H41293" s="8" t="s">
        <v>364</v>
      </c>
    </row>
    <row r="41294">
      <c r="H41294" s="8" t="s">
        <v>364</v>
      </c>
    </row>
    <row r="41295">
      <c r="H41295" s="8" t="s">
        <v>364</v>
      </c>
    </row>
    <row r="41296">
      <c r="H41296" s="8" t="s">
        <v>364</v>
      </c>
    </row>
    <row r="41297">
      <c r="H41297" s="8" t="s">
        <v>364</v>
      </c>
    </row>
    <row r="41298">
      <c r="H41298" s="8" t="s">
        <v>364</v>
      </c>
    </row>
    <row r="41299">
      <c r="H41299" s="8" t="s">
        <v>364</v>
      </c>
    </row>
    <row r="41300">
      <c r="H41300" s="8" t="s">
        <v>364</v>
      </c>
    </row>
    <row r="41301">
      <c r="H41301" s="8" t="s">
        <v>364</v>
      </c>
    </row>
    <row r="41302">
      <c r="H41302" s="8" t="s">
        <v>364</v>
      </c>
    </row>
    <row r="41303">
      <c r="H41303" s="8" t="s">
        <v>364</v>
      </c>
    </row>
    <row r="41304">
      <c r="H41304" s="8" t="s">
        <v>364</v>
      </c>
    </row>
    <row r="41305">
      <c r="H41305" s="8" t="s">
        <v>364</v>
      </c>
    </row>
    <row r="41306">
      <c r="H41306" s="8" t="s">
        <v>364</v>
      </c>
    </row>
    <row r="41307">
      <c r="H41307" s="8" t="s">
        <v>364</v>
      </c>
    </row>
    <row r="41308">
      <c r="H41308" s="8" t="s">
        <v>364</v>
      </c>
    </row>
    <row r="41309">
      <c r="H41309" s="8" t="s">
        <v>364</v>
      </c>
    </row>
    <row r="41310">
      <c r="H41310" s="8" t="s">
        <v>364</v>
      </c>
    </row>
    <row r="41311">
      <c r="H41311" s="8" t="s">
        <v>364</v>
      </c>
    </row>
    <row r="41312">
      <c r="H41312" s="8" t="s">
        <v>364</v>
      </c>
    </row>
    <row r="41313">
      <c r="H41313" s="8" t="s">
        <v>364</v>
      </c>
    </row>
    <row r="41314">
      <c r="H41314" s="8" t="s">
        <v>364</v>
      </c>
    </row>
    <row r="41315">
      <c r="H41315" s="8" t="s">
        <v>364</v>
      </c>
    </row>
    <row r="41316">
      <c r="H41316" s="8" t="s">
        <v>364</v>
      </c>
    </row>
    <row r="41317">
      <c r="H41317" s="8" t="s">
        <v>364</v>
      </c>
    </row>
    <row r="41318">
      <c r="H41318" s="8" t="s">
        <v>364</v>
      </c>
    </row>
    <row r="41319">
      <c r="H41319" s="8" t="s">
        <v>364</v>
      </c>
    </row>
    <row r="41320">
      <c r="H41320" s="8" t="s">
        <v>364</v>
      </c>
    </row>
    <row r="41321">
      <c r="H41321" s="8" t="s">
        <v>364</v>
      </c>
    </row>
    <row r="41322">
      <c r="H41322" s="8" t="s">
        <v>364</v>
      </c>
    </row>
    <row r="41323">
      <c r="H41323" s="8" t="s">
        <v>364</v>
      </c>
    </row>
    <row r="41324">
      <c r="H41324" s="8" t="s">
        <v>364</v>
      </c>
    </row>
    <row r="41325">
      <c r="H41325" s="8" t="s">
        <v>364</v>
      </c>
    </row>
    <row r="41326">
      <c r="H41326" s="8" t="s">
        <v>364</v>
      </c>
    </row>
    <row r="41327">
      <c r="H41327" s="8" t="s">
        <v>364</v>
      </c>
    </row>
    <row r="41328">
      <c r="H41328" s="8" t="s">
        <v>364</v>
      </c>
    </row>
    <row r="41329">
      <c r="H41329" s="8" t="s">
        <v>364</v>
      </c>
    </row>
    <row r="41330">
      <c r="H41330" s="8" t="s">
        <v>364</v>
      </c>
    </row>
    <row r="41331">
      <c r="H41331" s="8" t="s">
        <v>364</v>
      </c>
    </row>
    <row r="41332">
      <c r="H41332" s="8" t="s">
        <v>364</v>
      </c>
    </row>
    <row r="41333">
      <c r="H41333" s="8" t="s">
        <v>364</v>
      </c>
    </row>
    <row r="41334">
      <c r="H41334" s="8" t="s">
        <v>364</v>
      </c>
    </row>
    <row r="41335">
      <c r="H41335" s="8" t="s">
        <v>364</v>
      </c>
    </row>
    <row r="41336">
      <c r="H41336" s="8" t="s">
        <v>364</v>
      </c>
    </row>
    <row r="41337">
      <c r="H41337" s="8" t="s">
        <v>364</v>
      </c>
    </row>
    <row r="41338">
      <c r="H41338" s="8" t="s">
        <v>364</v>
      </c>
    </row>
    <row r="41339">
      <c r="H41339" s="8" t="s">
        <v>364</v>
      </c>
    </row>
    <row r="41340">
      <c r="H41340" s="8" t="s">
        <v>364</v>
      </c>
    </row>
    <row r="41341">
      <c r="H41341" s="8" t="s">
        <v>364</v>
      </c>
    </row>
    <row r="41342">
      <c r="H41342" s="8" t="s">
        <v>364</v>
      </c>
    </row>
    <row r="41343">
      <c r="H41343" s="8" t="s">
        <v>364</v>
      </c>
    </row>
    <row r="41344">
      <c r="H41344" s="8" t="s">
        <v>364</v>
      </c>
    </row>
    <row r="41345">
      <c r="H41345" s="8" t="s">
        <v>364</v>
      </c>
    </row>
    <row r="41346">
      <c r="H41346" s="8" t="s">
        <v>364</v>
      </c>
    </row>
    <row r="41347">
      <c r="H41347" s="8" t="s">
        <v>364</v>
      </c>
    </row>
    <row r="41348">
      <c r="H41348" s="8" t="s">
        <v>364</v>
      </c>
    </row>
    <row r="41349">
      <c r="H41349" s="8" t="s">
        <v>364</v>
      </c>
    </row>
    <row r="41350">
      <c r="H41350" s="8" t="s">
        <v>364</v>
      </c>
    </row>
    <row r="41351">
      <c r="H41351" s="8" t="s">
        <v>364</v>
      </c>
    </row>
    <row r="41352">
      <c r="H41352" s="8" t="s">
        <v>364</v>
      </c>
    </row>
    <row r="41353">
      <c r="H41353" s="8" t="s">
        <v>364</v>
      </c>
    </row>
    <row r="41354">
      <c r="H41354" s="8" t="s">
        <v>364</v>
      </c>
    </row>
    <row r="41355">
      <c r="H41355" s="8" t="s">
        <v>364</v>
      </c>
    </row>
    <row r="41356">
      <c r="H41356" s="8" t="s">
        <v>364</v>
      </c>
    </row>
    <row r="41357">
      <c r="H41357" s="8" t="s">
        <v>364</v>
      </c>
    </row>
    <row r="41358">
      <c r="H41358" s="8" t="s">
        <v>364</v>
      </c>
    </row>
    <row r="41359">
      <c r="H41359" s="8" t="s">
        <v>364</v>
      </c>
    </row>
    <row r="41360">
      <c r="H41360" s="8" t="s">
        <v>364</v>
      </c>
    </row>
    <row r="41361">
      <c r="H41361" s="8" t="s">
        <v>364</v>
      </c>
    </row>
    <row r="41362">
      <c r="H41362" s="8" t="s">
        <v>364</v>
      </c>
    </row>
    <row r="41363">
      <c r="H41363" s="8" t="s">
        <v>364</v>
      </c>
    </row>
    <row r="41364">
      <c r="H41364" s="8" t="s">
        <v>364</v>
      </c>
    </row>
    <row r="41365">
      <c r="H41365" s="8" t="s">
        <v>364</v>
      </c>
    </row>
    <row r="41366">
      <c r="H41366" s="8" t="s">
        <v>364</v>
      </c>
    </row>
    <row r="41367">
      <c r="H41367" s="8" t="s">
        <v>364</v>
      </c>
    </row>
    <row r="41368">
      <c r="H41368" s="8" t="s">
        <v>364</v>
      </c>
    </row>
    <row r="41369">
      <c r="H41369" s="8" t="s">
        <v>364</v>
      </c>
    </row>
    <row r="41370">
      <c r="H41370" s="8" t="s">
        <v>364</v>
      </c>
    </row>
    <row r="41371">
      <c r="H41371" s="8" t="s">
        <v>364</v>
      </c>
    </row>
    <row r="41372">
      <c r="H41372" s="8" t="s">
        <v>364</v>
      </c>
    </row>
    <row r="41373">
      <c r="H41373" s="8" t="s">
        <v>364</v>
      </c>
    </row>
    <row r="41374">
      <c r="H41374" s="8" t="s">
        <v>364</v>
      </c>
    </row>
    <row r="41375">
      <c r="H41375" s="8" t="s">
        <v>364</v>
      </c>
    </row>
    <row r="41376">
      <c r="H41376" s="8" t="s">
        <v>364</v>
      </c>
    </row>
    <row r="41377">
      <c r="H41377" s="8" t="s">
        <v>364</v>
      </c>
    </row>
    <row r="41378">
      <c r="H41378" s="8" t="s">
        <v>364</v>
      </c>
    </row>
    <row r="41379">
      <c r="H41379" s="8" t="s">
        <v>364</v>
      </c>
    </row>
    <row r="41380">
      <c r="H41380" s="8" t="s">
        <v>364</v>
      </c>
    </row>
    <row r="41381">
      <c r="H41381" s="8" t="s">
        <v>364</v>
      </c>
    </row>
    <row r="41382">
      <c r="H41382" s="8" t="s">
        <v>364</v>
      </c>
    </row>
    <row r="41383">
      <c r="H41383" s="8" t="s">
        <v>364</v>
      </c>
    </row>
    <row r="41384">
      <c r="H41384" s="8" t="s">
        <v>364</v>
      </c>
    </row>
    <row r="41385">
      <c r="H41385" s="8" t="s">
        <v>364</v>
      </c>
    </row>
    <row r="41386">
      <c r="H41386" s="8" t="s">
        <v>364</v>
      </c>
    </row>
    <row r="41387">
      <c r="H41387" s="8" t="s">
        <v>364</v>
      </c>
    </row>
    <row r="41388">
      <c r="H41388" s="8" t="s">
        <v>364</v>
      </c>
    </row>
    <row r="41389">
      <c r="H41389" s="8" t="s">
        <v>364</v>
      </c>
    </row>
    <row r="41390">
      <c r="H41390" s="8" t="s">
        <v>364</v>
      </c>
    </row>
    <row r="41391">
      <c r="H41391" s="8" t="s">
        <v>364</v>
      </c>
    </row>
    <row r="41392">
      <c r="H41392" s="8" t="s">
        <v>364</v>
      </c>
    </row>
    <row r="41393">
      <c r="H41393" s="8" t="s">
        <v>364</v>
      </c>
    </row>
    <row r="41394">
      <c r="H41394" s="8" t="s">
        <v>364</v>
      </c>
    </row>
    <row r="41395">
      <c r="H41395" s="8" t="s">
        <v>364</v>
      </c>
    </row>
    <row r="41396">
      <c r="H41396" s="8" t="s">
        <v>364</v>
      </c>
    </row>
    <row r="41397">
      <c r="H41397" s="8" t="s">
        <v>364</v>
      </c>
    </row>
    <row r="41398">
      <c r="H41398" s="8" t="s">
        <v>364</v>
      </c>
    </row>
    <row r="41399">
      <c r="H41399" s="8" t="s">
        <v>364</v>
      </c>
    </row>
    <row r="41400">
      <c r="H41400" s="8" t="s">
        <v>364</v>
      </c>
    </row>
    <row r="41401">
      <c r="H41401" s="8" t="s">
        <v>364</v>
      </c>
    </row>
    <row r="41402">
      <c r="H41402" s="8" t="s">
        <v>364</v>
      </c>
    </row>
    <row r="41403">
      <c r="H41403" s="8" t="s">
        <v>364</v>
      </c>
    </row>
    <row r="41404">
      <c r="H41404" s="8" t="s">
        <v>364</v>
      </c>
    </row>
    <row r="41405">
      <c r="H41405" s="8" t="s">
        <v>364</v>
      </c>
    </row>
    <row r="41406">
      <c r="H41406" s="8" t="s">
        <v>364</v>
      </c>
    </row>
    <row r="41407">
      <c r="H41407" s="8" t="s">
        <v>364</v>
      </c>
    </row>
    <row r="41408">
      <c r="H41408" s="8" t="s">
        <v>364</v>
      </c>
    </row>
    <row r="41409">
      <c r="H41409" s="8" t="s">
        <v>364</v>
      </c>
    </row>
    <row r="41410">
      <c r="H41410" s="8" t="s">
        <v>364</v>
      </c>
    </row>
    <row r="41411">
      <c r="H41411" s="8" t="s">
        <v>364</v>
      </c>
    </row>
    <row r="41412">
      <c r="H41412" s="8" t="s">
        <v>364</v>
      </c>
    </row>
    <row r="41413">
      <c r="H41413" s="8" t="s">
        <v>364</v>
      </c>
    </row>
    <row r="41414">
      <c r="H41414" s="8" t="s">
        <v>364</v>
      </c>
    </row>
    <row r="41415">
      <c r="H41415" s="8" t="s">
        <v>364</v>
      </c>
    </row>
    <row r="41416">
      <c r="H41416" s="8" t="s">
        <v>364</v>
      </c>
    </row>
    <row r="41417">
      <c r="H41417" s="8" t="s">
        <v>364</v>
      </c>
    </row>
    <row r="41418">
      <c r="H41418" s="8" t="s">
        <v>364</v>
      </c>
    </row>
    <row r="41419">
      <c r="H41419" s="8" t="s">
        <v>364</v>
      </c>
    </row>
    <row r="41420">
      <c r="H41420" s="8" t="s">
        <v>364</v>
      </c>
    </row>
    <row r="41421">
      <c r="H41421" s="8" t="s">
        <v>364</v>
      </c>
    </row>
    <row r="41422">
      <c r="H41422" s="8" t="s">
        <v>364</v>
      </c>
    </row>
    <row r="41423">
      <c r="H41423" s="8" t="s">
        <v>364</v>
      </c>
    </row>
    <row r="41424">
      <c r="H41424" s="8" t="s">
        <v>364</v>
      </c>
    </row>
    <row r="41425">
      <c r="H41425" s="8" t="s">
        <v>364</v>
      </c>
    </row>
    <row r="41426">
      <c r="H41426" s="8" t="s">
        <v>364</v>
      </c>
    </row>
    <row r="41427">
      <c r="H41427" s="8" t="s">
        <v>364</v>
      </c>
    </row>
    <row r="41428">
      <c r="H41428" s="8" t="s">
        <v>364</v>
      </c>
    </row>
    <row r="41429">
      <c r="H41429" s="8" t="s">
        <v>364</v>
      </c>
    </row>
    <row r="41430">
      <c r="H41430" s="8" t="s">
        <v>364</v>
      </c>
    </row>
    <row r="41431">
      <c r="H41431" s="8" t="s">
        <v>364</v>
      </c>
    </row>
    <row r="41432">
      <c r="H41432" s="8" t="s">
        <v>364</v>
      </c>
    </row>
    <row r="41433">
      <c r="H41433" s="8" t="s">
        <v>364</v>
      </c>
    </row>
    <row r="41434">
      <c r="H41434" s="8" t="s">
        <v>364</v>
      </c>
    </row>
    <row r="41435">
      <c r="H41435" s="8" t="s">
        <v>364</v>
      </c>
    </row>
    <row r="41436">
      <c r="H41436" s="8" t="s">
        <v>364</v>
      </c>
    </row>
    <row r="41437">
      <c r="H41437" s="8" t="s">
        <v>364</v>
      </c>
    </row>
    <row r="41438">
      <c r="H41438" s="8" t="s">
        <v>364</v>
      </c>
    </row>
    <row r="41439">
      <c r="H41439" s="8" t="s">
        <v>364</v>
      </c>
    </row>
    <row r="41440">
      <c r="H41440" s="8" t="s">
        <v>364</v>
      </c>
    </row>
    <row r="41441">
      <c r="H41441" s="8" t="s">
        <v>364</v>
      </c>
    </row>
    <row r="41442">
      <c r="H41442" s="8" t="s">
        <v>364</v>
      </c>
    </row>
    <row r="41443">
      <c r="H41443" s="8" t="s">
        <v>364</v>
      </c>
    </row>
    <row r="41444">
      <c r="H41444" s="8" t="s">
        <v>364</v>
      </c>
    </row>
    <row r="41445">
      <c r="H41445" s="8" t="s">
        <v>364</v>
      </c>
    </row>
    <row r="41446">
      <c r="H41446" s="8" t="s">
        <v>364</v>
      </c>
    </row>
    <row r="41447">
      <c r="H41447" s="8" t="s">
        <v>364</v>
      </c>
    </row>
    <row r="41448">
      <c r="H41448" s="8" t="s">
        <v>364</v>
      </c>
    </row>
    <row r="41449">
      <c r="H41449" s="8" t="s">
        <v>364</v>
      </c>
    </row>
    <row r="41450">
      <c r="H41450" s="8" t="s">
        <v>364</v>
      </c>
    </row>
    <row r="41451">
      <c r="H41451" s="8" t="s">
        <v>364</v>
      </c>
    </row>
    <row r="41452">
      <c r="H41452" s="8" t="s">
        <v>364</v>
      </c>
    </row>
    <row r="41453">
      <c r="H41453" s="8" t="s">
        <v>364</v>
      </c>
    </row>
    <row r="41454">
      <c r="H41454" s="8" t="s">
        <v>364</v>
      </c>
    </row>
    <row r="41455">
      <c r="H41455" s="8" t="s">
        <v>364</v>
      </c>
    </row>
    <row r="41456">
      <c r="H41456" s="8" t="s">
        <v>364</v>
      </c>
    </row>
    <row r="41457">
      <c r="H41457" s="8" t="s">
        <v>364</v>
      </c>
    </row>
    <row r="41458">
      <c r="H41458" s="8" t="s">
        <v>364</v>
      </c>
    </row>
    <row r="41459">
      <c r="H41459" s="8" t="s">
        <v>364</v>
      </c>
    </row>
    <row r="41460">
      <c r="H41460" s="8" t="s">
        <v>364</v>
      </c>
    </row>
    <row r="41461">
      <c r="H41461" s="8" t="s">
        <v>364</v>
      </c>
    </row>
    <row r="41462">
      <c r="H41462" s="8" t="s">
        <v>364</v>
      </c>
    </row>
    <row r="41463">
      <c r="H41463" s="8" t="s">
        <v>364</v>
      </c>
    </row>
    <row r="41464">
      <c r="H41464" s="8" t="s">
        <v>364</v>
      </c>
    </row>
    <row r="41465">
      <c r="H41465" s="8" t="s">
        <v>364</v>
      </c>
    </row>
    <row r="41466">
      <c r="H41466" s="8" t="s">
        <v>364</v>
      </c>
    </row>
    <row r="41467">
      <c r="H41467" s="8" t="s">
        <v>364</v>
      </c>
    </row>
    <row r="41468">
      <c r="H41468" s="8" t="s">
        <v>364</v>
      </c>
    </row>
    <row r="41469">
      <c r="H41469" s="8" t="s">
        <v>364</v>
      </c>
    </row>
    <row r="41470">
      <c r="H41470" s="8" t="s">
        <v>364</v>
      </c>
    </row>
    <row r="41471">
      <c r="H41471" s="8" t="s">
        <v>364</v>
      </c>
    </row>
    <row r="41472">
      <c r="H41472" s="8" t="s">
        <v>364</v>
      </c>
    </row>
    <row r="41473">
      <c r="H41473" s="8" t="s">
        <v>364</v>
      </c>
    </row>
    <row r="41474">
      <c r="H41474" s="8" t="s">
        <v>364</v>
      </c>
    </row>
    <row r="41475">
      <c r="H41475" s="8" t="s">
        <v>364</v>
      </c>
    </row>
    <row r="41476">
      <c r="H41476" s="8" t="s">
        <v>364</v>
      </c>
    </row>
    <row r="41477">
      <c r="H41477" s="8" t="s">
        <v>364</v>
      </c>
    </row>
    <row r="41478">
      <c r="H41478" s="8" t="s">
        <v>364</v>
      </c>
    </row>
    <row r="41479">
      <c r="H41479" s="8" t="s">
        <v>364</v>
      </c>
    </row>
    <row r="41480">
      <c r="H41480" s="8" t="s">
        <v>364</v>
      </c>
    </row>
    <row r="41481">
      <c r="H41481" s="8" t="s">
        <v>364</v>
      </c>
    </row>
    <row r="41482">
      <c r="H41482" s="8" t="s">
        <v>364</v>
      </c>
    </row>
    <row r="41483">
      <c r="H41483" s="8" t="s">
        <v>364</v>
      </c>
    </row>
    <row r="41484">
      <c r="H41484" s="8" t="s">
        <v>364</v>
      </c>
    </row>
    <row r="41485">
      <c r="H41485" s="8" t="s">
        <v>364</v>
      </c>
    </row>
    <row r="41486">
      <c r="H41486" s="8" t="s">
        <v>364</v>
      </c>
    </row>
    <row r="41487">
      <c r="H41487" s="8" t="s">
        <v>364</v>
      </c>
    </row>
    <row r="41488">
      <c r="H41488" s="8" t="s">
        <v>364</v>
      </c>
    </row>
    <row r="41489">
      <c r="H41489" s="8" t="s">
        <v>364</v>
      </c>
    </row>
    <row r="41490">
      <c r="H41490" s="8" t="s">
        <v>364</v>
      </c>
    </row>
    <row r="41491">
      <c r="H41491" s="8" t="s">
        <v>364</v>
      </c>
    </row>
    <row r="41492">
      <c r="H41492" s="8" t="s">
        <v>364</v>
      </c>
    </row>
    <row r="41493">
      <c r="H41493" s="8" t="s">
        <v>364</v>
      </c>
    </row>
    <row r="41494">
      <c r="H41494" s="8" t="s">
        <v>364</v>
      </c>
    </row>
    <row r="41495">
      <c r="H41495" s="8" t="s">
        <v>364</v>
      </c>
    </row>
    <row r="41496">
      <c r="H41496" s="8" t="s">
        <v>364</v>
      </c>
    </row>
    <row r="41497">
      <c r="H41497" s="8" t="s">
        <v>364</v>
      </c>
    </row>
    <row r="41498">
      <c r="H41498" s="8" t="s">
        <v>364</v>
      </c>
    </row>
    <row r="41499">
      <c r="H41499" s="8" t="s">
        <v>364</v>
      </c>
    </row>
    <row r="41500">
      <c r="H41500" s="8" t="s">
        <v>364</v>
      </c>
    </row>
    <row r="41501">
      <c r="H41501" s="8" t="s">
        <v>364</v>
      </c>
    </row>
    <row r="41502">
      <c r="H41502" s="8" t="s">
        <v>364</v>
      </c>
    </row>
    <row r="41503">
      <c r="H41503" s="8" t="s">
        <v>364</v>
      </c>
    </row>
    <row r="41504">
      <c r="H41504" s="8" t="s">
        <v>364</v>
      </c>
    </row>
    <row r="41505">
      <c r="H41505" s="8" t="s">
        <v>364</v>
      </c>
    </row>
    <row r="41506">
      <c r="H41506" s="8" t="s">
        <v>364</v>
      </c>
    </row>
    <row r="41507">
      <c r="H41507" s="8" t="s">
        <v>364</v>
      </c>
    </row>
    <row r="41508">
      <c r="H41508" s="8" t="s">
        <v>364</v>
      </c>
    </row>
    <row r="41509">
      <c r="H41509" s="8" t="s">
        <v>364</v>
      </c>
    </row>
    <row r="41510">
      <c r="H41510" s="8" t="s">
        <v>364</v>
      </c>
    </row>
    <row r="41511">
      <c r="H41511" s="8" t="s">
        <v>364</v>
      </c>
    </row>
    <row r="41512">
      <c r="H41512" s="8" t="s">
        <v>364</v>
      </c>
    </row>
    <row r="41513">
      <c r="H41513" s="8" t="s">
        <v>364</v>
      </c>
    </row>
    <row r="41514">
      <c r="H41514" s="8" t="s">
        <v>364</v>
      </c>
    </row>
    <row r="41515">
      <c r="H41515" s="8" t="s">
        <v>364</v>
      </c>
    </row>
    <row r="41516">
      <c r="H41516" s="8" t="s">
        <v>364</v>
      </c>
    </row>
    <row r="41517">
      <c r="H41517" s="8" t="s">
        <v>364</v>
      </c>
    </row>
    <row r="41518">
      <c r="H41518" s="8" t="s">
        <v>364</v>
      </c>
    </row>
    <row r="41519">
      <c r="H41519" s="8" t="s">
        <v>364</v>
      </c>
    </row>
    <row r="41520">
      <c r="H41520" s="8" t="s">
        <v>364</v>
      </c>
    </row>
    <row r="41521">
      <c r="H41521" s="8" t="s">
        <v>364</v>
      </c>
    </row>
    <row r="41522">
      <c r="H41522" s="8" t="s">
        <v>364</v>
      </c>
    </row>
    <row r="41523">
      <c r="H41523" s="8" t="s">
        <v>364</v>
      </c>
    </row>
    <row r="41524">
      <c r="H41524" s="8" t="s">
        <v>364</v>
      </c>
    </row>
    <row r="41525">
      <c r="H41525" s="8" t="s">
        <v>364</v>
      </c>
    </row>
    <row r="41526">
      <c r="H41526" s="8" t="s">
        <v>364</v>
      </c>
    </row>
    <row r="41527">
      <c r="H41527" s="8" t="s">
        <v>364</v>
      </c>
    </row>
    <row r="41528">
      <c r="H41528" s="8" t="s">
        <v>364</v>
      </c>
    </row>
    <row r="41529">
      <c r="H41529" s="8" t="s">
        <v>364</v>
      </c>
    </row>
    <row r="41530">
      <c r="H41530" s="8" t="s">
        <v>364</v>
      </c>
    </row>
    <row r="41531">
      <c r="H41531" s="8" t="s">
        <v>364</v>
      </c>
    </row>
    <row r="41532">
      <c r="H41532" s="8" t="s">
        <v>364</v>
      </c>
    </row>
    <row r="41533">
      <c r="H41533" s="8" t="s">
        <v>364</v>
      </c>
    </row>
    <row r="41534">
      <c r="H41534" s="8" t="s">
        <v>364</v>
      </c>
    </row>
    <row r="41535">
      <c r="H41535" s="8" t="s">
        <v>364</v>
      </c>
    </row>
    <row r="41536">
      <c r="H41536" s="8" t="s">
        <v>364</v>
      </c>
    </row>
    <row r="41537">
      <c r="H41537" s="8" t="s">
        <v>364</v>
      </c>
    </row>
    <row r="41538">
      <c r="H41538" s="8" t="s">
        <v>364</v>
      </c>
    </row>
    <row r="41539">
      <c r="H41539" s="8" t="s">
        <v>364</v>
      </c>
    </row>
    <row r="41540">
      <c r="H41540" s="8" t="s">
        <v>364</v>
      </c>
    </row>
    <row r="41541">
      <c r="H41541" s="8" t="s">
        <v>364</v>
      </c>
    </row>
    <row r="41542">
      <c r="H41542" s="8" t="s">
        <v>364</v>
      </c>
    </row>
    <row r="41543">
      <c r="H41543" s="8" t="s">
        <v>364</v>
      </c>
    </row>
    <row r="41544">
      <c r="H41544" s="8" t="s">
        <v>364</v>
      </c>
    </row>
    <row r="41545">
      <c r="H41545" s="8" t="s">
        <v>364</v>
      </c>
    </row>
    <row r="41546">
      <c r="H41546" s="8" t="s">
        <v>364</v>
      </c>
    </row>
    <row r="41547">
      <c r="H41547" s="8" t="s">
        <v>364</v>
      </c>
    </row>
    <row r="41548">
      <c r="H41548" s="8" t="s">
        <v>364</v>
      </c>
    </row>
    <row r="41549">
      <c r="H41549" s="8" t="s">
        <v>364</v>
      </c>
    </row>
    <row r="41550">
      <c r="H41550" s="8" t="s">
        <v>364</v>
      </c>
    </row>
    <row r="41551">
      <c r="H41551" s="8" t="s">
        <v>364</v>
      </c>
    </row>
    <row r="41552">
      <c r="H41552" s="8" t="s">
        <v>364</v>
      </c>
    </row>
    <row r="41553">
      <c r="H41553" s="8" t="s">
        <v>364</v>
      </c>
    </row>
    <row r="41554">
      <c r="H41554" s="8" t="s">
        <v>364</v>
      </c>
    </row>
    <row r="41555">
      <c r="H41555" s="8" t="s">
        <v>364</v>
      </c>
    </row>
    <row r="41556">
      <c r="H41556" s="8" t="s">
        <v>364</v>
      </c>
    </row>
    <row r="41557">
      <c r="H41557" s="8" t="s">
        <v>364</v>
      </c>
    </row>
    <row r="41558">
      <c r="H41558" s="8" t="s">
        <v>364</v>
      </c>
    </row>
    <row r="41559">
      <c r="H41559" s="8" t="s">
        <v>364</v>
      </c>
    </row>
    <row r="41560">
      <c r="H41560" s="8" t="s">
        <v>364</v>
      </c>
    </row>
    <row r="41561">
      <c r="H41561" s="8" t="s">
        <v>364</v>
      </c>
    </row>
    <row r="41562">
      <c r="H41562" s="8" t="s">
        <v>364</v>
      </c>
    </row>
    <row r="41563">
      <c r="H41563" s="8" t="s">
        <v>364</v>
      </c>
    </row>
    <row r="41564">
      <c r="H41564" s="8" t="s">
        <v>364</v>
      </c>
    </row>
    <row r="41565">
      <c r="H41565" s="8" t="s">
        <v>364</v>
      </c>
    </row>
    <row r="41566">
      <c r="H41566" s="8" t="s">
        <v>364</v>
      </c>
    </row>
    <row r="41567">
      <c r="H41567" s="8" t="s">
        <v>364</v>
      </c>
    </row>
    <row r="41568">
      <c r="H41568" s="8" t="s">
        <v>364</v>
      </c>
    </row>
    <row r="41569">
      <c r="H41569" s="8" t="s">
        <v>364</v>
      </c>
    </row>
    <row r="41570">
      <c r="H41570" s="8" t="s">
        <v>364</v>
      </c>
    </row>
    <row r="41571">
      <c r="H41571" s="8" t="s">
        <v>364</v>
      </c>
    </row>
    <row r="41572">
      <c r="H41572" s="8" t="s">
        <v>364</v>
      </c>
    </row>
    <row r="41573">
      <c r="H41573" s="8" t="s">
        <v>364</v>
      </c>
    </row>
    <row r="41574">
      <c r="H41574" s="8" t="s">
        <v>364</v>
      </c>
    </row>
    <row r="41575">
      <c r="H41575" s="8" t="s">
        <v>364</v>
      </c>
    </row>
    <row r="41576">
      <c r="H41576" s="8" t="s">
        <v>364</v>
      </c>
    </row>
    <row r="41577">
      <c r="H41577" s="8" t="s">
        <v>364</v>
      </c>
    </row>
    <row r="41578">
      <c r="H41578" s="8" t="s">
        <v>364</v>
      </c>
    </row>
    <row r="41579">
      <c r="H41579" s="8" t="s">
        <v>364</v>
      </c>
    </row>
    <row r="41580">
      <c r="H41580" s="8" t="s">
        <v>364</v>
      </c>
    </row>
    <row r="41581">
      <c r="H41581" s="8" t="s">
        <v>364</v>
      </c>
    </row>
    <row r="41582">
      <c r="H41582" s="8" t="s">
        <v>364</v>
      </c>
    </row>
    <row r="41583">
      <c r="H41583" s="8" t="s">
        <v>364</v>
      </c>
    </row>
    <row r="41584">
      <c r="H41584" s="8" t="s">
        <v>364</v>
      </c>
    </row>
    <row r="41585">
      <c r="H41585" s="8" t="s">
        <v>364</v>
      </c>
    </row>
    <row r="41586">
      <c r="H41586" s="8" t="s">
        <v>364</v>
      </c>
    </row>
    <row r="41587">
      <c r="H41587" s="8" t="s">
        <v>364</v>
      </c>
    </row>
    <row r="41588">
      <c r="H41588" s="8" t="s">
        <v>364</v>
      </c>
    </row>
    <row r="41589">
      <c r="H41589" s="8" t="s">
        <v>364</v>
      </c>
    </row>
    <row r="41590">
      <c r="H41590" s="8" t="s">
        <v>364</v>
      </c>
    </row>
    <row r="41591">
      <c r="H41591" s="8" t="s">
        <v>364</v>
      </c>
    </row>
    <row r="41592">
      <c r="H41592" s="8" t="s">
        <v>364</v>
      </c>
    </row>
    <row r="41593">
      <c r="H41593" s="8" t="s">
        <v>364</v>
      </c>
    </row>
    <row r="41594">
      <c r="H41594" s="8" t="s">
        <v>364</v>
      </c>
    </row>
    <row r="41595">
      <c r="H41595" s="8" t="s">
        <v>364</v>
      </c>
    </row>
    <row r="41596">
      <c r="H41596" s="8" t="s">
        <v>364</v>
      </c>
    </row>
    <row r="41597">
      <c r="H41597" s="8" t="s">
        <v>364</v>
      </c>
    </row>
    <row r="41598">
      <c r="H41598" s="8" t="s">
        <v>364</v>
      </c>
    </row>
    <row r="41599">
      <c r="H41599" s="8" t="s">
        <v>364</v>
      </c>
    </row>
    <row r="41600">
      <c r="H41600" s="8" t="s">
        <v>364</v>
      </c>
    </row>
    <row r="41601">
      <c r="H41601" s="8" t="s">
        <v>364</v>
      </c>
    </row>
    <row r="41602">
      <c r="H41602" s="8" t="s">
        <v>364</v>
      </c>
    </row>
    <row r="41603">
      <c r="H41603" s="8" t="s">
        <v>364</v>
      </c>
    </row>
    <row r="41604">
      <c r="H41604" s="8" t="s">
        <v>364</v>
      </c>
    </row>
    <row r="41605">
      <c r="H41605" s="8" t="s">
        <v>364</v>
      </c>
    </row>
    <row r="41606">
      <c r="H41606" s="8" t="s">
        <v>364</v>
      </c>
    </row>
    <row r="41607">
      <c r="H41607" s="8" t="s">
        <v>364</v>
      </c>
    </row>
    <row r="41608">
      <c r="H41608" s="8" t="s">
        <v>364</v>
      </c>
    </row>
    <row r="41609">
      <c r="H41609" s="8" t="s">
        <v>364</v>
      </c>
    </row>
    <row r="41610">
      <c r="H41610" s="8" t="s">
        <v>364</v>
      </c>
    </row>
    <row r="41611">
      <c r="H41611" s="8" t="s">
        <v>364</v>
      </c>
    </row>
    <row r="41612">
      <c r="H41612" s="8" t="s">
        <v>364</v>
      </c>
    </row>
    <row r="41613">
      <c r="H41613" s="8" t="s">
        <v>364</v>
      </c>
    </row>
    <row r="41614">
      <c r="H41614" s="8" t="s">
        <v>364</v>
      </c>
    </row>
    <row r="41615">
      <c r="H41615" s="8" t="s">
        <v>364</v>
      </c>
    </row>
    <row r="41616">
      <c r="H41616" s="8" t="s">
        <v>364</v>
      </c>
    </row>
    <row r="41617">
      <c r="H41617" s="8" t="s">
        <v>364</v>
      </c>
    </row>
    <row r="41618">
      <c r="H41618" s="8" t="s">
        <v>364</v>
      </c>
    </row>
    <row r="41619">
      <c r="H41619" s="8" t="s">
        <v>364</v>
      </c>
    </row>
    <row r="41620">
      <c r="H41620" s="8" t="s">
        <v>364</v>
      </c>
    </row>
    <row r="41621">
      <c r="H41621" s="8" t="s">
        <v>364</v>
      </c>
    </row>
    <row r="41622">
      <c r="H41622" s="8" t="s">
        <v>364</v>
      </c>
    </row>
    <row r="41623">
      <c r="H41623" s="8" t="s">
        <v>364</v>
      </c>
    </row>
    <row r="41624">
      <c r="H41624" s="8" t="s">
        <v>364</v>
      </c>
    </row>
    <row r="41625">
      <c r="H41625" s="8" t="s">
        <v>364</v>
      </c>
    </row>
    <row r="41626">
      <c r="H41626" s="8" t="s">
        <v>364</v>
      </c>
    </row>
    <row r="41627">
      <c r="H41627" s="8" t="s">
        <v>364</v>
      </c>
    </row>
    <row r="41628">
      <c r="H41628" s="8" t="s">
        <v>364</v>
      </c>
    </row>
    <row r="41629">
      <c r="H41629" s="8" t="s">
        <v>364</v>
      </c>
    </row>
    <row r="41630">
      <c r="H41630" s="8" t="s">
        <v>364</v>
      </c>
    </row>
    <row r="41631">
      <c r="H41631" s="8" t="s">
        <v>364</v>
      </c>
    </row>
    <row r="41632">
      <c r="H41632" s="8" t="s">
        <v>364</v>
      </c>
    </row>
    <row r="41633">
      <c r="H41633" s="8" t="s">
        <v>364</v>
      </c>
    </row>
    <row r="41634">
      <c r="H41634" s="8" t="s">
        <v>364</v>
      </c>
    </row>
    <row r="41635">
      <c r="H41635" s="8" t="s">
        <v>364</v>
      </c>
    </row>
    <row r="41636">
      <c r="H41636" s="8" t="s">
        <v>364</v>
      </c>
    </row>
    <row r="41637">
      <c r="H41637" s="8" t="s">
        <v>364</v>
      </c>
    </row>
    <row r="41638">
      <c r="H41638" s="8" t="s">
        <v>364</v>
      </c>
    </row>
    <row r="41639">
      <c r="H41639" s="8" t="s">
        <v>364</v>
      </c>
    </row>
    <row r="41640">
      <c r="H41640" s="8" t="s">
        <v>364</v>
      </c>
    </row>
    <row r="41641">
      <c r="H41641" s="8" t="s">
        <v>364</v>
      </c>
    </row>
    <row r="41642">
      <c r="H41642" s="8" t="s">
        <v>364</v>
      </c>
    </row>
    <row r="41643">
      <c r="H41643" s="8" t="s">
        <v>364</v>
      </c>
    </row>
    <row r="41644">
      <c r="H41644" s="8" t="s">
        <v>364</v>
      </c>
    </row>
    <row r="41645">
      <c r="H41645" s="8" t="s">
        <v>364</v>
      </c>
    </row>
    <row r="41646">
      <c r="H41646" s="8" t="s">
        <v>364</v>
      </c>
    </row>
    <row r="41647">
      <c r="H41647" s="8" t="s">
        <v>364</v>
      </c>
    </row>
    <row r="41648">
      <c r="H41648" s="8" t="s">
        <v>364</v>
      </c>
    </row>
    <row r="41649">
      <c r="H41649" s="8" t="s">
        <v>364</v>
      </c>
    </row>
    <row r="41650">
      <c r="H41650" s="8" t="s">
        <v>364</v>
      </c>
    </row>
    <row r="41651">
      <c r="H41651" s="8" t="s">
        <v>364</v>
      </c>
    </row>
    <row r="41652">
      <c r="H41652" s="8" t="s">
        <v>364</v>
      </c>
    </row>
    <row r="41653">
      <c r="H41653" s="8" t="s">
        <v>364</v>
      </c>
    </row>
    <row r="41654">
      <c r="H41654" s="8" t="s">
        <v>364</v>
      </c>
    </row>
    <row r="41655">
      <c r="H41655" s="8" t="s">
        <v>364</v>
      </c>
    </row>
    <row r="41656">
      <c r="H41656" s="8" t="s">
        <v>364</v>
      </c>
    </row>
    <row r="41657">
      <c r="H41657" s="8" t="s">
        <v>364</v>
      </c>
    </row>
    <row r="41658">
      <c r="H41658" s="8" t="s">
        <v>364</v>
      </c>
    </row>
    <row r="41659">
      <c r="H41659" s="8" t="s">
        <v>364</v>
      </c>
    </row>
    <row r="41660">
      <c r="H41660" s="8" t="s">
        <v>364</v>
      </c>
    </row>
    <row r="41661">
      <c r="H41661" s="8" t="s">
        <v>364</v>
      </c>
    </row>
    <row r="41662">
      <c r="H41662" s="8" t="s">
        <v>364</v>
      </c>
    </row>
    <row r="41663">
      <c r="H41663" s="8" t="s">
        <v>364</v>
      </c>
    </row>
    <row r="41664">
      <c r="H41664" s="8" t="s">
        <v>364</v>
      </c>
    </row>
    <row r="41665">
      <c r="H41665" s="8" t="s">
        <v>364</v>
      </c>
    </row>
    <row r="41666">
      <c r="H41666" s="8" t="s">
        <v>364</v>
      </c>
    </row>
    <row r="41667">
      <c r="H41667" s="8" t="s">
        <v>364</v>
      </c>
    </row>
    <row r="41668">
      <c r="H41668" s="8" t="s">
        <v>364</v>
      </c>
    </row>
    <row r="41669">
      <c r="H41669" s="8" t="s">
        <v>364</v>
      </c>
    </row>
    <row r="41670">
      <c r="H41670" s="8" t="s">
        <v>364</v>
      </c>
    </row>
    <row r="41671">
      <c r="H41671" s="8" t="s">
        <v>364</v>
      </c>
    </row>
    <row r="41672">
      <c r="H41672" s="8" t="s">
        <v>364</v>
      </c>
    </row>
    <row r="41673">
      <c r="H41673" s="8" t="s">
        <v>364</v>
      </c>
    </row>
    <row r="41674">
      <c r="H41674" s="8" t="s">
        <v>364</v>
      </c>
    </row>
    <row r="41675">
      <c r="H41675" s="8" t="s">
        <v>364</v>
      </c>
    </row>
    <row r="41676">
      <c r="H41676" s="8" t="s">
        <v>364</v>
      </c>
    </row>
    <row r="41677">
      <c r="H41677" s="8" t="s">
        <v>364</v>
      </c>
    </row>
    <row r="41678">
      <c r="H41678" s="8" t="s">
        <v>364</v>
      </c>
    </row>
    <row r="41679">
      <c r="H41679" s="8" t="s">
        <v>364</v>
      </c>
    </row>
    <row r="41680">
      <c r="H41680" s="8" t="s">
        <v>364</v>
      </c>
    </row>
    <row r="41681">
      <c r="H41681" s="8" t="s">
        <v>364</v>
      </c>
    </row>
    <row r="41682">
      <c r="H41682" s="8" t="s">
        <v>364</v>
      </c>
    </row>
    <row r="41683">
      <c r="H41683" s="8" t="s">
        <v>364</v>
      </c>
    </row>
    <row r="41684">
      <c r="H41684" s="8" t="s">
        <v>364</v>
      </c>
    </row>
    <row r="41685">
      <c r="H41685" s="8" t="s">
        <v>364</v>
      </c>
    </row>
    <row r="41686">
      <c r="H41686" s="8" t="s">
        <v>364</v>
      </c>
    </row>
    <row r="41687">
      <c r="H41687" s="8" t="s">
        <v>364</v>
      </c>
    </row>
    <row r="41688">
      <c r="H41688" s="8" t="s">
        <v>364</v>
      </c>
    </row>
    <row r="41689">
      <c r="H41689" s="8" t="s">
        <v>364</v>
      </c>
    </row>
    <row r="41690">
      <c r="H41690" s="8" t="s">
        <v>364</v>
      </c>
    </row>
    <row r="41691">
      <c r="H41691" s="8" t="s">
        <v>364</v>
      </c>
    </row>
    <row r="41692">
      <c r="H41692" s="8" t="s">
        <v>364</v>
      </c>
    </row>
    <row r="41693">
      <c r="H41693" s="8" t="s">
        <v>364</v>
      </c>
    </row>
    <row r="41694">
      <c r="H41694" s="8" t="s">
        <v>364</v>
      </c>
    </row>
    <row r="41695">
      <c r="H41695" s="8" t="s">
        <v>364</v>
      </c>
    </row>
    <row r="41696">
      <c r="H41696" s="8" t="s">
        <v>364</v>
      </c>
    </row>
    <row r="41697">
      <c r="H41697" s="8" t="s">
        <v>364</v>
      </c>
    </row>
    <row r="41698">
      <c r="H41698" s="8" t="s">
        <v>364</v>
      </c>
    </row>
    <row r="41699">
      <c r="H41699" s="8" t="s">
        <v>364</v>
      </c>
    </row>
    <row r="41700">
      <c r="H41700" s="8" t="s">
        <v>364</v>
      </c>
    </row>
    <row r="41701">
      <c r="H41701" s="8" t="s">
        <v>364</v>
      </c>
    </row>
    <row r="41702">
      <c r="H41702" s="8" t="s">
        <v>364</v>
      </c>
    </row>
    <row r="41703">
      <c r="H41703" s="8" t="s">
        <v>364</v>
      </c>
    </row>
    <row r="41704">
      <c r="H41704" s="8" t="s">
        <v>364</v>
      </c>
    </row>
    <row r="41705">
      <c r="H41705" s="8" t="s">
        <v>364</v>
      </c>
    </row>
    <row r="41706">
      <c r="H41706" s="8" t="s">
        <v>364</v>
      </c>
    </row>
    <row r="41707">
      <c r="H41707" s="8" t="s">
        <v>364</v>
      </c>
    </row>
    <row r="41708">
      <c r="H41708" s="8" t="s">
        <v>364</v>
      </c>
    </row>
    <row r="41709">
      <c r="H41709" s="8" t="s">
        <v>364</v>
      </c>
    </row>
    <row r="41710">
      <c r="H41710" s="8" t="s">
        <v>364</v>
      </c>
    </row>
    <row r="41711">
      <c r="H41711" s="8" t="s">
        <v>364</v>
      </c>
    </row>
    <row r="41712">
      <c r="H41712" s="8" t="s">
        <v>364</v>
      </c>
    </row>
    <row r="41713">
      <c r="H41713" s="8" t="s">
        <v>364</v>
      </c>
    </row>
    <row r="41714">
      <c r="H41714" s="8" t="s">
        <v>364</v>
      </c>
    </row>
    <row r="41715">
      <c r="H41715" s="8" t="s">
        <v>364</v>
      </c>
    </row>
    <row r="41716">
      <c r="H41716" s="8" t="s">
        <v>364</v>
      </c>
    </row>
    <row r="41717">
      <c r="H41717" s="8" t="s">
        <v>364</v>
      </c>
    </row>
    <row r="41718">
      <c r="H41718" s="8" t="s">
        <v>364</v>
      </c>
    </row>
    <row r="41719">
      <c r="H41719" s="8" t="s">
        <v>364</v>
      </c>
    </row>
    <row r="41720">
      <c r="H41720" s="8" t="s">
        <v>364</v>
      </c>
    </row>
    <row r="41721">
      <c r="H41721" s="8" t="s">
        <v>364</v>
      </c>
    </row>
    <row r="41722">
      <c r="H41722" s="8" t="s">
        <v>364</v>
      </c>
    </row>
    <row r="41723">
      <c r="H41723" s="8" t="s">
        <v>364</v>
      </c>
    </row>
    <row r="41724">
      <c r="H41724" s="8" t="s">
        <v>364</v>
      </c>
    </row>
    <row r="41725">
      <c r="H41725" s="8" t="s">
        <v>364</v>
      </c>
    </row>
    <row r="41726">
      <c r="H41726" s="8" t="s">
        <v>364</v>
      </c>
    </row>
    <row r="41727">
      <c r="H41727" s="8" t="s">
        <v>364</v>
      </c>
    </row>
    <row r="41728">
      <c r="H41728" s="8" t="s">
        <v>364</v>
      </c>
    </row>
    <row r="41729">
      <c r="H41729" s="8" t="s">
        <v>364</v>
      </c>
    </row>
    <row r="41730">
      <c r="H41730" s="8" t="s">
        <v>364</v>
      </c>
    </row>
    <row r="41731">
      <c r="H41731" s="8" t="s">
        <v>364</v>
      </c>
    </row>
    <row r="41732">
      <c r="H41732" s="8" t="s">
        <v>364</v>
      </c>
    </row>
    <row r="41733">
      <c r="H41733" s="8" t="s">
        <v>364</v>
      </c>
    </row>
    <row r="41734">
      <c r="H41734" s="8" t="s">
        <v>364</v>
      </c>
    </row>
    <row r="41735">
      <c r="H41735" s="8" t="s">
        <v>364</v>
      </c>
    </row>
    <row r="41736">
      <c r="H41736" s="8" t="s">
        <v>364</v>
      </c>
    </row>
    <row r="41737">
      <c r="H41737" s="8" t="s">
        <v>364</v>
      </c>
    </row>
    <row r="41738">
      <c r="H41738" s="8" t="s">
        <v>364</v>
      </c>
    </row>
    <row r="41739">
      <c r="H41739" s="8" t="s">
        <v>364</v>
      </c>
    </row>
    <row r="41740">
      <c r="H41740" s="8" t="s">
        <v>364</v>
      </c>
    </row>
    <row r="41741">
      <c r="H41741" s="8" t="s">
        <v>364</v>
      </c>
    </row>
    <row r="41742">
      <c r="H41742" s="8" t="s">
        <v>364</v>
      </c>
    </row>
    <row r="41743">
      <c r="H41743" s="8" t="s">
        <v>364</v>
      </c>
    </row>
    <row r="41744">
      <c r="H41744" s="8" t="s">
        <v>364</v>
      </c>
    </row>
    <row r="41745">
      <c r="H41745" s="8" t="s">
        <v>364</v>
      </c>
    </row>
    <row r="41746">
      <c r="H41746" s="8" t="s">
        <v>364</v>
      </c>
    </row>
    <row r="41747">
      <c r="H41747" s="8" t="s">
        <v>364</v>
      </c>
    </row>
    <row r="41748">
      <c r="H41748" s="8" t="s">
        <v>364</v>
      </c>
    </row>
    <row r="41749">
      <c r="H41749" s="8" t="s">
        <v>364</v>
      </c>
    </row>
    <row r="41750">
      <c r="H41750" s="8" t="s">
        <v>364</v>
      </c>
    </row>
    <row r="41751">
      <c r="H41751" s="8" t="s">
        <v>364</v>
      </c>
    </row>
    <row r="41752">
      <c r="H41752" s="8" t="s">
        <v>364</v>
      </c>
    </row>
    <row r="41753">
      <c r="H41753" s="8" t="s">
        <v>364</v>
      </c>
    </row>
    <row r="41754">
      <c r="H41754" s="8" t="s">
        <v>364</v>
      </c>
    </row>
    <row r="41755">
      <c r="H41755" s="8" t="s">
        <v>364</v>
      </c>
    </row>
    <row r="41756">
      <c r="H41756" s="8" t="s">
        <v>364</v>
      </c>
    </row>
    <row r="41757">
      <c r="H41757" s="8" t="s">
        <v>364</v>
      </c>
    </row>
    <row r="41758">
      <c r="H41758" s="8" t="s">
        <v>364</v>
      </c>
    </row>
    <row r="41759">
      <c r="H41759" s="8" t="s">
        <v>364</v>
      </c>
    </row>
    <row r="41760">
      <c r="H41760" s="8" t="s">
        <v>364</v>
      </c>
    </row>
    <row r="41761">
      <c r="H41761" s="8" t="s">
        <v>364</v>
      </c>
    </row>
    <row r="41762">
      <c r="H41762" s="8" t="s">
        <v>364</v>
      </c>
    </row>
    <row r="41763">
      <c r="H41763" s="8" t="s">
        <v>364</v>
      </c>
    </row>
    <row r="41764">
      <c r="H41764" s="8" t="s">
        <v>364</v>
      </c>
    </row>
    <row r="41765">
      <c r="H41765" s="8" t="s">
        <v>364</v>
      </c>
    </row>
    <row r="41766">
      <c r="H41766" s="8" t="s">
        <v>364</v>
      </c>
    </row>
    <row r="41767">
      <c r="H41767" s="8" t="s">
        <v>364</v>
      </c>
    </row>
    <row r="41768">
      <c r="H41768" s="8" t="s">
        <v>364</v>
      </c>
    </row>
    <row r="41769">
      <c r="H41769" s="8" t="s">
        <v>364</v>
      </c>
    </row>
    <row r="41770">
      <c r="H41770" s="8" t="s">
        <v>364</v>
      </c>
    </row>
    <row r="41771">
      <c r="H41771" s="8" t="s">
        <v>364</v>
      </c>
    </row>
    <row r="41772">
      <c r="H41772" s="8" t="s">
        <v>364</v>
      </c>
    </row>
    <row r="41773">
      <c r="H41773" s="8" t="s">
        <v>364</v>
      </c>
    </row>
    <row r="41774">
      <c r="H41774" s="8" t="s">
        <v>364</v>
      </c>
    </row>
    <row r="41775">
      <c r="H41775" s="8" t="s">
        <v>364</v>
      </c>
    </row>
    <row r="41776">
      <c r="H41776" s="8" t="s">
        <v>364</v>
      </c>
    </row>
    <row r="41777">
      <c r="H41777" s="8" t="s">
        <v>364</v>
      </c>
    </row>
    <row r="41778">
      <c r="H41778" s="8" t="s">
        <v>364</v>
      </c>
    </row>
    <row r="41779">
      <c r="H41779" s="8" t="s">
        <v>364</v>
      </c>
    </row>
    <row r="41780">
      <c r="H41780" s="8" t="s">
        <v>364</v>
      </c>
    </row>
    <row r="41781">
      <c r="H41781" s="8" t="s">
        <v>364</v>
      </c>
    </row>
    <row r="41782">
      <c r="H41782" s="8" t="s">
        <v>364</v>
      </c>
    </row>
    <row r="41783">
      <c r="H41783" s="8" t="s">
        <v>364</v>
      </c>
    </row>
    <row r="41784">
      <c r="H41784" s="8" t="s">
        <v>364</v>
      </c>
    </row>
    <row r="41785">
      <c r="H41785" s="8" t="s">
        <v>364</v>
      </c>
    </row>
    <row r="41786">
      <c r="H41786" s="8" t="s">
        <v>364</v>
      </c>
    </row>
    <row r="41787">
      <c r="H41787" s="8" t="s">
        <v>364</v>
      </c>
    </row>
    <row r="41788">
      <c r="H41788" s="8" t="s">
        <v>364</v>
      </c>
    </row>
    <row r="41789">
      <c r="H41789" s="8" t="s">
        <v>364</v>
      </c>
    </row>
    <row r="41790">
      <c r="H41790" s="8" t="s">
        <v>364</v>
      </c>
    </row>
    <row r="41791">
      <c r="H41791" s="8" t="s">
        <v>364</v>
      </c>
    </row>
    <row r="41792">
      <c r="H41792" s="8" t="s">
        <v>364</v>
      </c>
    </row>
    <row r="41793">
      <c r="H41793" s="8" t="s">
        <v>364</v>
      </c>
    </row>
    <row r="41794">
      <c r="H41794" s="8" t="s">
        <v>364</v>
      </c>
    </row>
    <row r="41795">
      <c r="H41795" s="8" t="s">
        <v>364</v>
      </c>
    </row>
    <row r="41796">
      <c r="H41796" s="8" t="s">
        <v>364</v>
      </c>
    </row>
    <row r="41797">
      <c r="H41797" s="8" t="s">
        <v>364</v>
      </c>
    </row>
    <row r="41798">
      <c r="H41798" s="8" t="s">
        <v>364</v>
      </c>
    </row>
    <row r="41799">
      <c r="H41799" s="8" t="s">
        <v>364</v>
      </c>
    </row>
    <row r="41800">
      <c r="H41800" s="8" t="s">
        <v>364</v>
      </c>
    </row>
    <row r="41801">
      <c r="H41801" s="8" t="s">
        <v>364</v>
      </c>
    </row>
    <row r="41802">
      <c r="H41802" s="8" t="s">
        <v>364</v>
      </c>
    </row>
    <row r="41803">
      <c r="H41803" s="8" t="s">
        <v>364</v>
      </c>
    </row>
    <row r="41804">
      <c r="H41804" s="8" t="s">
        <v>364</v>
      </c>
    </row>
    <row r="41805">
      <c r="H41805" s="8" t="s">
        <v>364</v>
      </c>
    </row>
    <row r="41806">
      <c r="H41806" s="8" t="s">
        <v>364</v>
      </c>
    </row>
    <row r="41807">
      <c r="H41807" s="8" t="s">
        <v>364</v>
      </c>
    </row>
    <row r="41808">
      <c r="H41808" s="8" t="s">
        <v>364</v>
      </c>
    </row>
    <row r="41809">
      <c r="H41809" s="8" t="s">
        <v>364</v>
      </c>
    </row>
    <row r="41810">
      <c r="H41810" s="8" t="s">
        <v>364</v>
      </c>
    </row>
    <row r="41811">
      <c r="H41811" s="8" t="s">
        <v>364</v>
      </c>
    </row>
    <row r="41812">
      <c r="H41812" s="8" t="s">
        <v>364</v>
      </c>
    </row>
    <row r="41813">
      <c r="H41813" s="8" t="s">
        <v>364</v>
      </c>
    </row>
    <row r="41814">
      <c r="H41814" s="8" t="s">
        <v>364</v>
      </c>
    </row>
    <row r="41815">
      <c r="H41815" s="8" t="s">
        <v>364</v>
      </c>
    </row>
    <row r="41816">
      <c r="H41816" s="8" t="s">
        <v>364</v>
      </c>
    </row>
    <row r="41817">
      <c r="H41817" s="8" t="s">
        <v>364</v>
      </c>
    </row>
    <row r="41818">
      <c r="H41818" s="8" t="s">
        <v>364</v>
      </c>
    </row>
    <row r="41819">
      <c r="H41819" s="8" t="s">
        <v>364</v>
      </c>
    </row>
    <row r="41820">
      <c r="H41820" s="8" t="s">
        <v>364</v>
      </c>
    </row>
    <row r="41821">
      <c r="H41821" s="8" t="s">
        <v>364</v>
      </c>
    </row>
    <row r="41822">
      <c r="H41822" s="8" t="s">
        <v>364</v>
      </c>
    </row>
    <row r="41823">
      <c r="H41823" s="8" t="s">
        <v>364</v>
      </c>
    </row>
    <row r="41824">
      <c r="H41824" s="8" t="s">
        <v>364</v>
      </c>
    </row>
    <row r="41825">
      <c r="H41825" s="8" t="s">
        <v>364</v>
      </c>
    </row>
    <row r="41826">
      <c r="H41826" s="8" t="s">
        <v>364</v>
      </c>
    </row>
    <row r="41827">
      <c r="H41827" s="8" t="s">
        <v>364</v>
      </c>
    </row>
    <row r="41828">
      <c r="H41828" s="8" t="s">
        <v>364</v>
      </c>
    </row>
    <row r="41829">
      <c r="H41829" s="8" t="s">
        <v>364</v>
      </c>
    </row>
    <row r="41830">
      <c r="H41830" s="8" t="s">
        <v>364</v>
      </c>
    </row>
    <row r="41831">
      <c r="H41831" s="8" t="s">
        <v>364</v>
      </c>
    </row>
    <row r="41832">
      <c r="H41832" s="8" t="s">
        <v>364</v>
      </c>
    </row>
    <row r="41833">
      <c r="H41833" s="8" t="s">
        <v>364</v>
      </c>
    </row>
    <row r="41834">
      <c r="H41834" s="8" t="s">
        <v>364</v>
      </c>
    </row>
    <row r="41835">
      <c r="H41835" s="8" t="s">
        <v>364</v>
      </c>
    </row>
    <row r="41836">
      <c r="H41836" s="8" t="s">
        <v>364</v>
      </c>
    </row>
    <row r="41837">
      <c r="H41837" s="8" t="s">
        <v>364</v>
      </c>
    </row>
    <row r="41838">
      <c r="H41838" s="8" t="s">
        <v>364</v>
      </c>
    </row>
    <row r="41839">
      <c r="H41839" s="8" t="s">
        <v>364</v>
      </c>
    </row>
    <row r="41840">
      <c r="H41840" s="8" t="s">
        <v>364</v>
      </c>
    </row>
    <row r="41841">
      <c r="H41841" s="8" t="s">
        <v>364</v>
      </c>
    </row>
    <row r="41842">
      <c r="H41842" s="8" t="s">
        <v>364</v>
      </c>
    </row>
    <row r="41843">
      <c r="H41843" s="8" t="s">
        <v>364</v>
      </c>
    </row>
    <row r="41844">
      <c r="H41844" s="8" t="s">
        <v>364</v>
      </c>
    </row>
    <row r="41845">
      <c r="H41845" s="8" t="s">
        <v>364</v>
      </c>
    </row>
    <row r="41846">
      <c r="H41846" s="8" t="s">
        <v>364</v>
      </c>
    </row>
    <row r="41847">
      <c r="H41847" s="8" t="s">
        <v>364</v>
      </c>
    </row>
    <row r="41848">
      <c r="H41848" s="8" t="s">
        <v>364</v>
      </c>
    </row>
    <row r="41849">
      <c r="H41849" s="8" t="s">
        <v>364</v>
      </c>
    </row>
    <row r="41850">
      <c r="H41850" s="8" t="s">
        <v>364</v>
      </c>
    </row>
    <row r="41851">
      <c r="H41851" s="8" t="s">
        <v>364</v>
      </c>
    </row>
    <row r="41852">
      <c r="H41852" s="8" t="s">
        <v>364</v>
      </c>
    </row>
    <row r="41853">
      <c r="H41853" s="8" t="s">
        <v>364</v>
      </c>
    </row>
    <row r="41854">
      <c r="H41854" s="8" t="s">
        <v>364</v>
      </c>
    </row>
    <row r="41855">
      <c r="H41855" s="8" t="s">
        <v>364</v>
      </c>
    </row>
    <row r="41856">
      <c r="H41856" s="8" t="s">
        <v>364</v>
      </c>
    </row>
    <row r="41857">
      <c r="H41857" s="8" t="s">
        <v>364</v>
      </c>
    </row>
    <row r="41858">
      <c r="H41858" s="8" t="s">
        <v>364</v>
      </c>
    </row>
    <row r="41859">
      <c r="H41859" s="8" t="s">
        <v>364</v>
      </c>
    </row>
    <row r="41860">
      <c r="H41860" s="8" t="s">
        <v>364</v>
      </c>
    </row>
    <row r="41861">
      <c r="H41861" s="8" t="s">
        <v>364</v>
      </c>
    </row>
    <row r="41862">
      <c r="H41862" s="8" t="s">
        <v>364</v>
      </c>
    </row>
    <row r="41863">
      <c r="H41863" s="8" t="s">
        <v>364</v>
      </c>
    </row>
    <row r="41864">
      <c r="H41864" s="8" t="s">
        <v>364</v>
      </c>
    </row>
    <row r="41865">
      <c r="H41865" s="8" t="s">
        <v>364</v>
      </c>
    </row>
    <row r="41866">
      <c r="H41866" s="8" t="s">
        <v>364</v>
      </c>
    </row>
    <row r="41867">
      <c r="H41867" s="8" t="s">
        <v>364</v>
      </c>
    </row>
    <row r="41868">
      <c r="H41868" s="8" t="s">
        <v>364</v>
      </c>
    </row>
    <row r="41869">
      <c r="H41869" s="8" t="s">
        <v>364</v>
      </c>
    </row>
    <row r="41870">
      <c r="H41870" s="8" t="s">
        <v>364</v>
      </c>
    </row>
    <row r="41871">
      <c r="H41871" s="8" t="s">
        <v>364</v>
      </c>
    </row>
    <row r="41872">
      <c r="H41872" s="8" t="s">
        <v>364</v>
      </c>
    </row>
    <row r="41873">
      <c r="H41873" s="8" t="s">
        <v>364</v>
      </c>
    </row>
    <row r="41874">
      <c r="H41874" s="8" t="s">
        <v>364</v>
      </c>
    </row>
    <row r="41875">
      <c r="H41875" s="8" t="s">
        <v>364</v>
      </c>
    </row>
    <row r="41876">
      <c r="H41876" s="8" t="s">
        <v>364</v>
      </c>
    </row>
    <row r="41877">
      <c r="H41877" s="8" t="s">
        <v>364</v>
      </c>
    </row>
    <row r="41878">
      <c r="H41878" s="8" t="s">
        <v>364</v>
      </c>
    </row>
    <row r="41879">
      <c r="H41879" s="8" t="s">
        <v>364</v>
      </c>
    </row>
    <row r="41880">
      <c r="H41880" s="8" t="s">
        <v>364</v>
      </c>
    </row>
    <row r="41881">
      <c r="H41881" s="8" t="s">
        <v>364</v>
      </c>
    </row>
    <row r="41882">
      <c r="H41882" s="8" t="s">
        <v>364</v>
      </c>
    </row>
    <row r="41883">
      <c r="H41883" s="8" t="s">
        <v>364</v>
      </c>
    </row>
    <row r="41884">
      <c r="H41884" s="8" t="s">
        <v>364</v>
      </c>
    </row>
    <row r="41885">
      <c r="H41885" s="8" t="s">
        <v>364</v>
      </c>
    </row>
    <row r="41886">
      <c r="H41886" s="8" t="s">
        <v>364</v>
      </c>
    </row>
    <row r="41887">
      <c r="H41887" s="8" t="s">
        <v>364</v>
      </c>
    </row>
    <row r="41888">
      <c r="H41888" s="8" t="s">
        <v>364</v>
      </c>
    </row>
    <row r="41889">
      <c r="H41889" s="8" t="s">
        <v>364</v>
      </c>
    </row>
    <row r="41890">
      <c r="H41890" s="8" t="s">
        <v>364</v>
      </c>
    </row>
    <row r="41891">
      <c r="H41891" s="8" t="s">
        <v>364</v>
      </c>
    </row>
    <row r="41892">
      <c r="H41892" s="8" t="s">
        <v>364</v>
      </c>
    </row>
    <row r="41893">
      <c r="H41893" s="8" t="s">
        <v>364</v>
      </c>
    </row>
    <row r="41894">
      <c r="H41894" s="8" t="s">
        <v>364</v>
      </c>
    </row>
    <row r="41895">
      <c r="H41895" s="8" t="s">
        <v>364</v>
      </c>
    </row>
    <row r="41896">
      <c r="H41896" s="8" t="s">
        <v>364</v>
      </c>
    </row>
    <row r="41897">
      <c r="H41897" s="8" t="s">
        <v>364</v>
      </c>
    </row>
    <row r="41898">
      <c r="H41898" s="8" t="s">
        <v>364</v>
      </c>
    </row>
    <row r="41899">
      <c r="H41899" s="8" t="s">
        <v>364</v>
      </c>
    </row>
    <row r="41900">
      <c r="H41900" s="8" t="s">
        <v>364</v>
      </c>
    </row>
    <row r="41901">
      <c r="H41901" s="8" t="s">
        <v>364</v>
      </c>
    </row>
    <row r="41902">
      <c r="H41902" s="8" t="s">
        <v>364</v>
      </c>
    </row>
    <row r="41903">
      <c r="H41903" s="8" t="s">
        <v>364</v>
      </c>
    </row>
    <row r="41904">
      <c r="H41904" s="8" t="s">
        <v>364</v>
      </c>
    </row>
    <row r="41905">
      <c r="H41905" s="8" t="s">
        <v>364</v>
      </c>
    </row>
    <row r="41906">
      <c r="H41906" s="8" t="s">
        <v>364</v>
      </c>
    </row>
    <row r="41907">
      <c r="H41907" s="8" t="s">
        <v>364</v>
      </c>
    </row>
    <row r="41908">
      <c r="H41908" s="8" t="s">
        <v>364</v>
      </c>
    </row>
    <row r="41909">
      <c r="H41909" s="8" t="s">
        <v>364</v>
      </c>
    </row>
    <row r="41910">
      <c r="H41910" s="8" t="s">
        <v>364</v>
      </c>
    </row>
    <row r="41911">
      <c r="H41911" s="8" t="s">
        <v>364</v>
      </c>
    </row>
    <row r="41912">
      <c r="H41912" s="8" t="s">
        <v>364</v>
      </c>
    </row>
    <row r="41913">
      <c r="H41913" s="8" t="s">
        <v>364</v>
      </c>
    </row>
    <row r="41914">
      <c r="H41914" s="8" t="s">
        <v>364</v>
      </c>
    </row>
    <row r="41915">
      <c r="H41915" s="8" t="s">
        <v>364</v>
      </c>
    </row>
    <row r="41916">
      <c r="H41916" s="8" t="s">
        <v>364</v>
      </c>
    </row>
    <row r="41917">
      <c r="H41917" s="8" t="s">
        <v>364</v>
      </c>
    </row>
    <row r="41918">
      <c r="H41918" s="8" t="s">
        <v>364</v>
      </c>
    </row>
    <row r="41919">
      <c r="H41919" s="8" t="s">
        <v>364</v>
      </c>
    </row>
    <row r="41920">
      <c r="H41920" s="8" t="s">
        <v>364</v>
      </c>
    </row>
    <row r="41921">
      <c r="H41921" s="8" t="s">
        <v>364</v>
      </c>
    </row>
    <row r="41922">
      <c r="H41922" s="8" t="s">
        <v>364</v>
      </c>
    </row>
    <row r="41923">
      <c r="H41923" s="8" t="s">
        <v>364</v>
      </c>
    </row>
    <row r="41924">
      <c r="H41924" s="8" t="s">
        <v>364</v>
      </c>
    </row>
    <row r="41925">
      <c r="H41925" s="8" t="s">
        <v>364</v>
      </c>
    </row>
    <row r="41926">
      <c r="H41926" s="8" t="s">
        <v>364</v>
      </c>
    </row>
    <row r="41927">
      <c r="H41927" s="8" t="s">
        <v>364</v>
      </c>
    </row>
    <row r="41928">
      <c r="H41928" s="8" t="s">
        <v>364</v>
      </c>
    </row>
    <row r="41929">
      <c r="H41929" s="8" t="s">
        <v>364</v>
      </c>
    </row>
    <row r="41930">
      <c r="H41930" s="8" t="s">
        <v>364</v>
      </c>
    </row>
    <row r="41931">
      <c r="H41931" s="8" t="s">
        <v>364</v>
      </c>
    </row>
    <row r="41932">
      <c r="H41932" s="8" t="s">
        <v>364</v>
      </c>
    </row>
    <row r="41933">
      <c r="H41933" s="8" t="s">
        <v>364</v>
      </c>
    </row>
    <row r="41934">
      <c r="H41934" s="8" t="s">
        <v>364</v>
      </c>
    </row>
    <row r="41935">
      <c r="H41935" s="8" t="s">
        <v>364</v>
      </c>
    </row>
    <row r="41936">
      <c r="H41936" s="8" t="s">
        <v>364</v>
      </c>
    </row>
    <row r="41937">
      <c r="H41937" s="8" t="s">
        <v>364</v>
      </c>
    </row>
    <row r="41938">
      <c r="H41938" s="8" t="s">
        <v>364</v>
      </c>
    </row>
    <row r="41939">
      <c r="H41939" s="8" t="s">
        <v>364</v>
      </c>
    </row>
    <row r="41940">
      <c r="H41940" s="8" t="s">
        <v>364</v>
      </c>
    </row>
    <row r="41941">
      <c r="H41941" s="8" t="s">
        <v>364</v>
      </c>
    </row>
    <row r="41942">
      <c r="H41942" s="8" t="s">
        <v>364</v>
      </c>
    </row>
    <row r="41943">
      <c r="H41943" s="8" t="s">
        <v>364</v>
      </c>
    </row>
    <row r="41944">
      <c r="H41944" s="8" t="s">
        <v>364</v>
      </c>
    </row>
    <row r="41945">
      <c r="H41945" s="8" t="s">
        <v>364</v>
      </c>
    </row>
    <row r="41946">
      <c r="H41946" s="8" t="s">
        <v>364</v>
      </c>
    </row>
    <row r="41947">
      <c r="H41947" s="8" t="s">
        <v>364</v>
      </c>
    </row>
    <row r="41948">
      <c r="H41948" s="8" t="s">
        <v>364</v>
      </c>
    </row>
    <row r="41949">
      <c r="H41949" s="8" t="s">
        <v>364</v>
      </c>
    </row>
    <row r="41950">
      <c r="H41950" s="8" t="s">
        <v>364</v>
      </c>
    </row>
    <row r="41951">
      <c r="H41951" s="8" t="s">
        <v>364</v>
      </c>
    </row>
    <row r="41952">
      <c r="H41952" s="8" t="s">
        <v>364</v>
      </c>
    </row>
    <row r="41953">
      <c r="H41953" s="8" t="s">
        <v>364</v>
      </c>
    </row>
    <row r="41954">
      <c r="H41954" s="8" t="s">
        <v>364</v>
      </c>
    </row>
    <row r="41955">
      <c r="H41955" s="8" t="s">
        <v>364</v>
      </c>
    </row>
    <row r="41956">
      <c r="H41956" s="8" t="s">
        <v>364</v>
      </c>
    </row>
    <row r="41957">
      <c r="H41957" s="8" t="s">
        <v>364</v>
      </c>
    </row>
    <row r="41958">
      <c r="H41958" s="8" t="s">
        <v>364</v>
      </c>
    </row>
    <row r="41959">
      <c r="H41959" s="8" t="s">
        <v>364</v>
      </c>
    </row>
    <row r="41960">
      <c r="H41960" s="8" t="s">
        <v>364</v>
      </c>
    </row>
    <row r="41961">
      <c r="H41961" s="8" t="s">
        <v>364</v>
      </c>
    </row>
    <row r="41962">
      <c r="H41962" s="8" t="s">
        <v>364</v>
      </c>
    </row>
    <row r="41963">
      <c r="H41963" s="8" t="s">
        <v>364</v>
      </c>
    </row>
    <row r="41964">
      <c r="H41964" s="8" t="s">
        <v>364</v>
      </c>
    </row>
    <row r="41965">
      <c r="H41965" s="8" t="s">
        <v>364</v>
      </c>
    </row>
    <row r="41966">
      <c r="H41966" s="8" t="s">
        <v>364</v>
      </c>
    </row>
    <row r="41967">
      <c r="H41967" s="8" t="s">
        <v>364</v>
      </c>
    </row>
    <row r="41968">
      <c r="H41968" s="8" t="s">
        <v>364</v>
      </c>
    </row>
    <row r="41969">
      <c r="H41969" s="8" t="s">
        <v>364</v>
      </c>
    </row>
    <row r="41970">
      <c r="H41970" s="8" t="s">
        <v>364</v>
      </c>
    </row>
    <row r="41971">
      <c r="H41971" s="8" t="s">
        <v>364</v>
      </c>
    </row>
    <row r="41972">
      <c r="H41972" s="8" t="s">
        <v>364</v>
      </c>
    </row>
    <row r="41973">
      <c r="H41973" s="8" t="s">
        <v>364</v>
      </c>
    </row>
    <row r="41974">
      <c r="H41974" s="8" t="s">
        <v>364</v>
      </c>
    </row>
    <row r="41975">
      <c r="H41975" s="8" t="s">
        <v>364</v>
      </c>
    </row>
    <row r="41976">
      <c r="H41976" s="8" t="s">
        <v>364</v>
      </c>
    </row>
    <row r="41977">
      <c r="H41977" s="8" t="s">
        <v>364</v>
      </c>
    </row>
    <row r="41978">
      <c r="H41978" s="8" t="s">
        <v>364</v>
      </c>
    </row>
    <row r="41979">
      <c r="H41979" s="8" t="s">
        <v>364</v>
      </c>
    </row>
    <row r="41980">
      <c r="H41980" s="8" t="s">
        <v>364</v>
      </c>
    </row>
    <row r="41981">
      <c r="H41981" s="8" t="s">
        <v>364</v>
      </c>
    </row>
    <row r="41982">
      <c r="H41982" s="8" t="s">
        <v>364</v>
      </c>
    </row>
    <row r="41983">
      <c r="H41983" s="8" t="s">
        <v>364</v>
      </c>
    </row>
    <row r="41984">
      <c r="H41984" s="8" t="s">
        <v>364</v>
      </c>
    </row>
    <row r="41985">
      <c r="H41985" s="8" t="s">
        <v>364</v>
      </c>
    </row>
    <row r="41986">
      <c r="H41986" s="8" t="s">
        <v>364</v>
      </c>
    </row>
    <row r="41987">
      <c r="H41987" s="8" t="s">
        <v>364</v>
      </c>
    </row>
    <row r="41988">
      <c r="H41988" s="8" t="s">
        <v>364</v>
      </c>
    </row>
    <row r="41989">
      <c r="H41989" s="8" t="s">
        <v>364</v>
      </c>
    </row>
    <row r="41990">
      <c r="H41990" s="8" t="s">
        <v>364</v>
      </c>
    </row>
    <row r="41991">
      <c r="H41991" s="8" t="s">
        <v>364</v>
      </c>
    </row>
    <row r="41992">
      <c r="H41992" s="8" t="s">
        <v>364</v>
      </c>
    </row>
    <row r="41993">
      <c r="H41993" s="8" t="s">
        <v>364</v>
      </c>
    </row>
    <row r="41994">
      <c r="H41994" s="8" t="s">
        <v>364</v>
      </c>
    </row>
    <row r="41995">
      <c r="H41995" s="8" t="s">
        <v>364</v>
      </c>
    </row>
    <row r="41996">
      <c r="H41996" s="8" t="s">
        <v>364</v>
      </c>
    </row>
    <row r="41997">
      <c r="H41997" s="8" t="s">
        <v>364</v>
      </c>
    </row>
    <row r="41998">
      <c r="H41998" s="8" t="s">
        <v>364</v>
      </c>
    </row>
    <row r="41999">
      <c r="H41999" s="8" t="s">
        <v>364</v>
      </c>
    </row>
    <row r="42000">
      <c r="H42000" s="8" t="s">
        <v>364</v>
      </c>
    </row>
    <row r="42001">
      <c r="H42001" s="8" t="s">
        <v>364</v>
      </c>
    </row>
    <row r="42002">
      <c r="H42002" s="8" t="s">
        <v>364</v>
      </c>
    </row>
    <row r="42003">
      <c r="H42003" s="8" t="s">
        <v>364</v>
      </c>
    </row>
    <row r="42004">
      <c r="H42004" s="8" t="s">
        <v>364</v>
      </c>
    </row>
    <row r="42005">
      <c r="H42005" s="8" t="s">
        <v>364</v>
      </c>
    </row>
    <row r="42006">
      <c r="H42006" s="8" t="s">
        <v>364</v>
      </c>
    </row>
    <row r="42007">
      <c r="H42007" s="8" t="s">
        <v>364</v>
      </c>
    </row>
    <row r="42008">
      <c r="H42008" s="8" t="s">
        <v>364</v>
      </c>
    </row>
    <row r="42009">
      <c r="H42009" s="8" t="s">
        <v>364</v>
      </c>
    </row>
    <row r="42010">
      <c r="H42010" s="8" t="s">
        <v>364</v>
      </c>
    </row>
    <row r="42011">
      <c r="H42011" s="8" t="s">
        <v>364</v>
      </c>
    </row>
    <row r="42012">
      <c r="H42012" s="8" t="s">
        <v>364</v>
      </c>
    </row>
    <row r="42013">
      <c r="H42013" s="8" t="s">
        <v>364</v>
      </c>
    </row>
    <row r="42014">
      <c r="H42014" s="8" t="s">
        <v>364</v>
      </c>
    </row>
    <row r="42015">
      <c r="H42015" s="8" t="s">
        <v>364</v>
      </c>
    </row>
    <row r="42016">
      <c r="H42016" s="8" t="s">
        <v>364</v>
      </c>
    </row>
    <row r="42017">
      <c r="H42017" s="8" t="s">
        <v>364</v>
      </c>
    </row>
    <row r="42018">
      <c r="H42018" s="8" t="s">
        <v>364</v>
      </c>
    </row>
    <row r="42019">
      <c r="H42019" s="8" t="s">
        <v>364</v>
      </c>
    </row>
    <row r="42020">
      <c r="H42020" s="8" t="s">
        <v>364</v>
      </c>
    </row>
    <row r="42021">
      <c r="H42021" s="8" t="s">
        <v>364</v>
      </c>
    </row>
    <row r="42022">
      <c r="H42022" s="8" t="s">
        <v>364</v>
      </c>
    </row>
    <row r="42023">
      <c r="H42023" s="8" t="s">
        <v>364</v>
      </c>
    </row>
    <row r="42024">
      <c r="H42024" s="8" t="s">
        <v>364</v>
      </c>
    </row>
    <row r="42025">
      <c r="H42025" s="8" t="s">
        <v>364</v>
      </c>
    </row>
    <row r="42026">
      <c r="H42026" s="8" t="s">
        <v>364</v>
      </c>
    </row>
    <row r="42027">
      <c r="H42027" s="8" t="s">
        <v>364</v>
      </c>
    </row>
    <row r="42028">
      <c r="H42028" s="8" t="s">
        <v>364</v>
      </c>
    </row>
    <row r="42029">
      <c r="H42029" s="8" t="s">
        <v>364</v>
      </c>
    </row>
    <row r="42030">
      <c r="H42030" s="8" t="s">
        <v>364</v>
      </c>
    </row>
    <row r="42031">
      <c r="H42031" s="8" t="s">
        <v>364</v>
      </c>
    </row>
    <row r="42032">
      <c r="H42032" s="8" t="s">
        <v>364</v>
      </c>
    </row>
    <row r="42033">
      <c r="H42033" s="8" t="s">
        <v>364</v>
      </c>
    </row>
    <row r="42034">
      <c r="H42034" s="8" t="s">
        <v>364</v>
      </c>
    </row>
    <row r="42035">
      <c r="H42035" s="8" t="s">
        <v>364</v>
      </c>
    </row>
    <row r="42036">
      <c r="H42036" s="8" t="s">
        <v>364</v>
      </c>
    </row>
    <row r="42037">
      <c r="H42037" s="8" t="s">
        <v>364</v>
      </c>
    </row>
    <row r="42038">
      <c r="H42038" s="8" t="s">
        <v>364</v>
      </c>
    </row>
    <row r="42039">
      <c r="H42039" s="8" t="s">
        <v>364</v>
      </c>
    </row>
    <row r="42040">
      <c r="H42040" s="8" t="s">
        <v>364</v>
      </c>
    </row>
    <row r="42041">
      <c r="H42041" s="8" t="s">
        <v>364</v>
      </c>
    </row>
    <row r="42042">
      <c r="H42042" s="8" t="s">
        <v>364</v>
      </c>
    </row>
    <row r="42043">
      <c r="H42043" s="8" t="s">
        <v>364</v>
      </c>
    </row>
    <row r="42044">
      <c r="H42044" s="8" t="s">
        <v>364</v>
      </c>
    </row>
    <row r="42045">
      <c r="H42045" s="8" t="s">
        <v>364</v>
      </c>
    </row>
    <row r="42046">
      <c r="H42046" s="8" t="s">
        <v>364</v>
      </c>
    </row>
    <row r="42047">
      <c r="H42047" s="8" t="s">
        <v>364</v>
      </c>
    </row>
    <row r="42048">
      <c r="H42048" s="8" t="s">
        <v>364</v>
      </c>
    </row>
    <row r="42049">
      <c r="H42049" s="8" t="s">
        <v>364</v>
      </c>
    </row>
    <row r="42050">
      <c r="H42050" s="8" t="s">
        <v>364</v>
      </c>
    </row>
    <row r="42051">
      <c r="H42051" s="8" t="s">
        <v>364</v>
      </c>
    </row>
    <row r="42052">
      <c r="H42052" s="8" t="s">
        <v>364</v>
      </c>
    </row>
    <row r="42053">
      <c r="H42053" s="8" t="s">
        <v>364</v>
      </c>
    </row>
    <row r="42054">
      <c r="H42054" s="8" t="s">
        <v>364</v>
      </c>
    </row>
    <row r="42055">
      <c r="H42055" s="8" t="s">
        <v>364</v>
      </c>
    </row>
    <row r="42056">
      <c r="H42056" s="8" t="s">
        <v>364</v>
      </c>
    </row>
    <row r="42057">
      <c r="H42057" s="8" t="s">
        <v>364</v>
      </c>
    </row>
    <row r="42058">
      <c r="H42058" s="8" t="s">
        <v>364</v>
      </c>
    </row>
    <row r="42059">
      <c r="H42059" s="8" t="s">
        <v>364</v>
      </c>
    </row>
    <row r="42060">
      <c r="H42060" s="8" t="s">
        <v>364</v>
      </c>
    </row>
    <row r="42061">
      <c r="H42061" s="8" t="s">
        <v>364</v>
      </c>
    </row>
    <row r="42062">
      <c r="H42062" s="8" t="s">
        <v>364</v>
      </c>
    </row>
    <row r="42063">
      <c r="H42063" s="8" t="s">
        <v>364</v>
      </c>
    </row>
    <row r="42064">
      <c r="H42064" s="8" t="s">
        <v>364</v>
      </c>
    </row>
    <row r="42065">
      <c r="H42065" s="8" t="s">
        <v>364</v>
      </c>
    </row>
    <row r="42066">
      <c r="H42066" s="8" t="s">
        <v>364</v>
      </c>
    </row>
    <row r="42067">
      <c r="H42067" s="8" t="s">
        <v>364</v>
      </c>
    </row>
    <row r="42068">
      <c r="H42068" s="8" t="s">
        <v>364</v>
      </c>
    </row>
    <row r="42069">
      <c r="H42069" s="8" t="s">
        <v>364</v>
      </c>
    </row>
    <row r="42070">
      <c r="H42070" s="8" t="s">
        <v>364</v>
      </c>
    </row>
    <row r="42071">
      <c r="H42071" s="8" t="s">
        <v>364</v>
      </c>
    </row>
    <row r="42072">
      <c r="H42072" s="8" t="s">
        <v>364</v>
      </c>
    </row>
    <row r="42073">
      <c r="H42073" s="8" t="s">
        <v>364</v>
      </c>
    </row>
    <row r="42074">
      <c r="H42074" s="8" t="s">
        <v>364</v>
      </c>
    </row>
    <row r="42075">
      <c r="H42075" s="8" t="s">
        <v>364</v>
      </c>
    </row>
    <row r="42076">
      <c r="H42076" s="8" t="s">
        <v>364</v>
      </c>
    </row>
    <row r="42077">
      <c r="H42077" s="8" t="s">
        <v>364</v>
      </c>
    </row>
    <row r="42078">
      <c r="H42078" s="8" t="s">
        <v>364</v>
      </c>
    </row>
    <row r="42079">
      <c r="H42079" s="8" t="s">
        <v>364</v>
      </c>
    </row>
    <row r="42080">
      <c r="H42080" s="8" t="s">
        <v>364</v>
      </c>
    </row>
    <row r="42081">
      <c r="H42081" s="8" t="s">
        <v>364</v>
      </c>
    </row>
    <row r="42082">
      <c r="H42082" s="8" t="s">
        <v>364</v>
      </c>
    </row>
    <row r="42083">
      <c r="H42083" s="8" t="s">
        <v>364</v>
      </c>
    </row>
    <row r="42084">
      <c r="H42084" s="8" t="s">
        <v>364</v>
      </c>
    </row>
    <row r="42085">
      <c r="H42085" s="8" t="s">
        <v>364</v>
      </c>
    </row>
    <row r="42086">
      <c r="H42086" s="8" t="s">
        <v>364</v>
      </c>
    </row>
    <row r="42087">
      <c r="H42087" s="8" t="s">
        <v>364</v>
      </c>
    </row>
    <row r="42088">
      <c r="H42088" s="8" t="s">
        <v>364</v>
      </c>
    </row>
    <row r="42089">
      <c r="H42089" s="8" t="s">
        <v>364</v>
      </c>
    </row>
    <row r="42090">
      <c r="H42090" s="8" t="s">
        <v>364</v>
      </c>
    </row>
    <row r="42091">
      <c r="H42091" s="8" t="s">
        <v>364</v>
      </c>
    </row>
    <row r="42092">
      <c r="H42092" s="8" t="s">
        <v>364</v>
      </c>
    </row>
    <row r="42093">
      <c r="H42093" s="8" t="s">
        <v>364</v>
      </c>
    </row>
    <row r="42094">
      <c r="H42094" s="8" t="s">
        <v>364</v>
      </c>
    </row>
    <row r="42095">
      <c r="H42095" s="8" t="s">
        <v>364</v>
      </c>
    </row>
    <row r="42096">
      <c r="H42096" s="8" t="s">
        <v>364</v>
      </c>
    </row>
    <row r="42097">
      <c r="H42097" s="8" t="s">
        <v>364</v>
      </c>
    </row>
    <row r="42098">
      <c r="H42098" s="8" t="s">
        <v>364</v>
      </c>
    </row>
    <row r="42099">
      <c r="H42099" s="8" t="s">
        <v>364</v>
      </c>
    </row>
    <row r="42100">
      <c r="H42100" s="8" t="s">
        <v>364</v>
      </c>
    </row>
    <row r="42101">
      <c r="H42101" s="8" t="s">
        <v>364</v>
      </c>
    </row>
    <row r="42102">
      <c r="H42102" s="8" t="s">
        <v>364</v>
      </c>
    </row>
    <row r="42103">
      <c r="H42103" s="8" t="s">
        <v>364</v>
      </c>
    </row>
    <row r="42104">
      <c r="H42104" s="8" t="s">
        <v>364</v>
      </c>
    </row>
    <row r="42105">
      <c r="H42105" s="8" t="s">
        <v>364</v>
      </c>
    </row>
    <row r="42106">
      <c r="H42106" s="8" t="s">
        <v>364</v>
      </c>
    </row>
    <row r="42107">
      <c r="H42107" s="8" t="s">
        <v>364</v>
      </c>
    </row>
    <row r="42108">
      <c r="H42108" s="8" t="s">
        <v>364</v>
      </c>
    </row>
    <row r="42109">
      <c r="H42109" s="8" t="s">
        <v>364</v>
      </c>
    </row>
    <row r="42110">
      <c r="H42110" s="8" t="s">
        <v>364</v>
      </c>
    </row>
    <row r="42111">
      <c r="H42111" s="8" t="s">
        <v>364</v>
      </c>
    </row>
    <row r="42112">
      <c r="H42112" s="8" t="s">
        <v>364</v>
      </c>
    </row>
    <row r="42113">
      <c r="H42113" s="8" t="s">
        <v>364</v>
      </c>
    </row>
    <row r="42114">
      <c r="H42114" s="8" t="s">
        <v>364</v>
      </c>
    </row>
    <row r="42115">
      <c r="H42115" s="8" t="s">
        <v>364</v>
      </c>
    </row>
    <row r="42116">
      <c r="H42116" s="8" t="s">
        <v>364</v>
      </c>
    </row>
    <row r="42117">
      <c r="H42117" s="8" t="s">
        <v>364</v>
      </c>
    </row>
    <row r="42118">
      <c r="H42118" s="8" t="s">
        <v>364</v>
      </c>
    </row>
    <row r="42119">
      <c r="H42119" s="8" t="s">
        <v>364</v>
      </c>
    </row>
    <row r="42120">
      <c r="H42120" s="8" t="s">
        <v>364</v>
      </c>
    </row>
    <row r="42121">
      <c r="H42121" s="8" t="s">
        <v>364</v>
      </c>
    </row>
    <row r="42122">
      <c r="H42122" s="8" t="s">
        <v>364</v>
      </c>
    </row>
    <row r="42123">
      <c r="H42123" s="8" t="s">
        <v>364</v>
      </c>
    </row>
    <row r="42124">
      <c r="H42124" s="8" t="s">
        <v>364</v>
      </c>
    </row>
    <row r="42125">
      <c r="H42125" s="8" t="s">
        <v>364</v>
      </c>
    </row>
    <row r="42126">
      <c r="H42126" s="8" t="s">
        <v>364</v>
      </c>
    </row>
    <row r="42127">
      <c r="H42127" s="8" t="s">
        <v>364</v>
      </c>
    </row>
    <row r="42128">
      <c r="H42128" s="8" t="s">
        <v>364</v>
      </c>
    </row>
    <row r="42129">
      <c r="H42129" s="8" t="s">
        <v>364</v>
      </c>
    </row>
    <row r="42130">
      <c r="H42130" s="8" t="s">
        <v>364</v>
      </c>
    </row>
    <row r="42131">
      <c r="H42131" s="8" t="s">
        <v>364</v>
      </c>
    </row>
    <row r="42132">
      <c r="H42132" s="8" t="s">
        <v>364</v>
      </c>
    </row>
    <row r="42133">
      <c r="H42133" s="8" t="s">
        <v>364</v>
      </c>
    </row>
    <row r="42134">
      <c r="H42134" s="8" t="s">
        <v>364</v>
      </c>
    </row>
    <row r="42135">
      <c r="H42135" s="8" t="s">
        <v>364</v>
      </c>
    </row>
    <row r="42136">
      <c r="H42136" s="8" t="s">
        <v>364</v>
      </c>
    </row>
    <row r="42137">
      <c r="H42137" s="8" t="s">
        <v>364</v>
      </c>
    </row>
    <row r="42138">
      <c r="H42138" s="8" t="s">
        <v>364</v>
      </c>
    </row>
    <row r="42139">
      <c r="H42139" s="8" t="s">
        <v>364</v>
      </c>
    </row>
    <row r="42140">
      <c r="H42140" s="8" t="s">
        <v>364</v>
      </c>
    </row>
    <row r="42141">
      <c r="H42141" s="8" t="s">
        <v>364</v>
      </c>
    </row>
    <row r="42142">
      <c r="H42142" s="8" t="s">
        <v>364</v>
      </c>
    </row>
    <row r="42143">
      <c r="H42143" s="8" t="s">
        <v>364</v>
      </c>
    </row>
    <row r="42144">
      <c r="H42144" s="8" t="s">
        <v>364</v>
      </c>
    </row>
    <row r="42145">
      <c r="H42145" s="8" t="s">
        <v>364</v>
      </c>
    </row>
    <row r="42146">
      <c r="H42146" s="8" t="s">
        <v>364</v>
      </c>
    </row>
    <row r="42147">
      <c r="H42147" s="8" t="s">
        <v>364</v>
      </c>
    </row>
    <row r="42148">
      <c r="H42148" s="8" t="s">
        <v>364</v>
      </c>
    </row>
    <row r="42149">
      <c r="H42149" s="8" t="s">
        <v>364</v>
      </c>
    </row>
    <row r="42150">
      <c r="H42150" s="8" t="s">
        <v>364</v>
      </c>
    </row>
    <row r="42151">
      <c r="H42151" s="8" t="s">
        <v>364</v>
      </c>
    </row>
    <row r="42152">
      <c r="H42152" s="8" t="s">
        <v>364</v>
      </c>
    </row>
    <row r="42153">
      <c r="H42153" s="8" t="s">
        <v>364</v>
      </c>
    </row>
    <row r="42154">
      <c r="H42154" s="8" t="s">
        <v>364</v>
      </c>
    </row>
    <row r="42155">
      <c r="H42155" s="8" t="s">
        <v>364</v>
      </c>
    </row>
    <row r="42156">
      <c r="H42156" s="8" t="s">
        <v>364</v>
      </c>
    </row>
    <row r="42157">
      <c r="H42157" s="8" t="s">
        <v>364</v>
      </c>
    </row>
    <row r="42158">
      <c r="H42158" s="8" t="s">
        <v>364</v>
      </c>
    </row>
    <row r="42159">
      <c r="H42159" s="8" t="s">
        <v>364</v>
      </c>
    </row>
    <row r="42160">
      <c r="H42160" s="8" t="s">
        <v>364</v>
      </c>
    </row>
    <row r="42161">
      <c r="H42161" s="8" t="s">
        <v>364</v>
      </c>
    </row>
    <row r="42162">
      <c r="H42162" s="8" t="s">
        <v>364</v>
      </c>
    </row>
    <row r="42163">
      <c r="H42163" s="8" t="s">
        <v>364</v>
      </c>
    </row>
    <row r="42164">
      <c r="H42164" s="8" t="s">
        <v>364</v>
      </c>
    </row>
    <row r="42165">
      <c r="H42165" s="8" t="s">
        <v>364</v>
      </c>
    </row>
    <row r="42166">
      <c r="H42166" s="8" t="s">
        <v>364</v>
      </c>
    </row>
    <row r="42167">
      <c r="H42167" s="8" t="s">
        <v>364</v>
      </c>
    </row>
    <row r="42168">
      <c r="H42168" s="8" t="s">
        <v>364</v>
      </c>
    </row>
    <row r="42169">
      <c r="H42169" s="8" t="s">
        <v>364</v>
      </c>
    </row>
    <row r="42170">
      <c r="H42170" s="8" t="s">
        <v>364</v>
      </c>
    </row>
    <row r="42171">
      <c r="H42171" s="8" t="s">
        <v>364</v>
      </c>
    </row>
    <row r="42172">
      <c r="H42172" s="8" t="s">
        <v>364</v>
      </c>
    </row>
    <row r="42173">
      <c r="H42173" s="8" t="s">
        <v>364</v>
      </c>
    </row>
    <row r="42174">
      <c r="H42174" s="8" t="s">
        <v>364</v>
      </c>
    </row>
    <row r="42175">
      <c r="H42175" s="8" t="s">
        <v>364</v>
      </c>
    </row>
    <row r="42176">
      <c r="H42176" s="8" t="s">
        <v>364</v>
      </c>
    </row>
    <row r="42177">
      <c r="H42177" s="8" t="s">
        <v>364</v>
      </c>
    </row>
    <row r="42178">
      <c r="H42178" s="8" t="s">
        <v>364</v>
      </c>
    </row>
    <row r="42179">
      <c r="H42179" s="8" t="s">
        <v>364</v>
      </c>
    </row>
    <row r="42180">
      <c r="H42180" s="8" t="s">
        <v>364</v>
      </c>
    </row>
    <row r="42181">
      <c r="H42181" s="8" t="s">
        <v>364</v>
      </c>
    </row>
    <row r="42182">
      <c r="H42182" s="8" t="s">
        <v>364</v>
      </c>
    </row>
    <row r="42183">
      <c r="H42183" s="8" t="s">
        <v>364</v>
      </c>
    </row>
    <row r="42184">
      <c r="H42184" s="8" t="s">
        <v>364</v>
      </c>
    </row>
    <row r="42185">
      <c r="H42185" s="8" t="s">
        <v>364</v>
      </c>
    </row>
    <row r="42186">
      <c r="H42186" s="8" t="s">
        <v>364</v>
      </c>
    </row>
    <row r="42187">
      <c r="H42187" s="8" t="s">
        <v>364</v>
      </c>
    </row>
    <row r="42188">
      <c r="H42188" s="8" t="s">
        <v>364</v>
      </c>
    </row>
    <row r="42189">
      <c r="H42189" s="8" t="s">
        <v>364</v>
      </c>
    </row>
    <row r="42190">
      <c r="H42190" s="8" t="s">
        <v>364</v>
      </c>
    </row>
    <row r="42191">
      <c r="H42191" s="8" t="s">
        <v>364</v>
      </c>
    </row>
    <row r="42192">
      <c r="H42192" s="8" t="s">
        <v>364</v>
      </c>
    </row>
    <row r="42193">
      <c r="H42193" s="8" t="s">
        <v>364</v>
      </c>
    </row>
    <row r="42194">
      <c r="H42194" s="8" t="s">
        <v>364</v>
      </c>
    </row>
    <row r="42195">
      <c r="H42195" s="8" t="s">
        <v>364</v>
      </c>
    </row>
    <row r="42196">
      <c r="H42196" s="8" t="s">
        <v>364</v>
      </c>
    </row>
    <row r="42197">
      <c r="H42197" s="8" t="s">
        <v>364</v>
      </c>
    </row>
    <row r="42198">
      <c r="H42198" s="8" t="s">
        <v>364</v>
      </c>
    </row>
    <row r="42199">
      <c r="H42199" s="8" t="s">
        <v>364</v>
      </c>
    </row>
    <row r="42200">
      <c r="H42200" s="8" t="s">
        <v>364</v>
      </c>
    </row>
    <row r="42201">
      <c r="H42201" s="8" t="s">
        <v>364</v>
      </c>
    </row>
    <row r="42202">
      <c r="H42202" s="8" t="s">
        <v>364</v>
      </c>
    </row>
    <row r="42203">
      <c r="H42203" s="8" t="s">
        <v>364</v>
      </c>
    </row>
    <row r="42204">
      <c r="H42204" s="8" t="s">
        <v>364</v>
      </c>
    </row>
    <row r="42205">
      <c r="H42205" s="8" t="s">
        <v>364</v>
      </c>
    </row>
    <row r="42206">
      <c r="H42206" s="8" t="s">
        <v>364</v>
      </c>
    </row>
    <row r="42207">
      <c r="H42207" s="8" t="s">
        <v>364</v>
      </c>
    </row>
    <row r="42208">
      <c r="H42208" s="8" t="s">
        <v>364</v>
      </c>
    </row>
    <row r="42209">
      <c r="H42209" s="8" t="s">
        <v>364</v>
      </c>
    </row>
    <row r="42210">
      <c r="H42210" s="8" t="s">
        <v>364</v>
      </c>
    </row>
    <row r="42211">
      <c r="H42211" s="8" t="s">
        <v>364</v>
      </c>
    </row>
    <row r="42212">
      <c r="H42212" s="8" t="s">
        <v>364</v>
      </c>
    </row>
    <row r="42213">
      <c r="H42213" s="8" t="s">
        <v>364</v>
      </c>
    </row>
    <row r="42214">
      <c r="H42214" s="8" t="s">
        <v>364</v>
      </c>
    </row>
    <row r="42215">
      <c r="H42215" s="8" t="s">
        <v>364</v>
      </c>
    </row>
    <row r="42216">
      <c r="H42216" s="8" t="s">
        <v>364</v>
      </c>
    </row>
    <row r="42217">
      <c r="H42217" s="8" t="s">
        <v>364</v>
      </c>
    </row>
    <row r="42218">
      <c r="H42218" s="8" t="s">
        <v>364</v>
      </c>
    </row>
    <row r="42219">
      <c r="H42219" s="8" t="s">
        <v>364</v>
      </c>
    </row>
    <row r="42220">
      <c r="H42220" s="8" t="s">
        <v>364</v>
      </c>
    </row>
    <row r="42221">
      <c r="H42221" s="8" t="s">
        <v>364</v>
      </c>
    </row>
    <row r="42222">
      <c r="H42222" s="8" t="s">
        <v>364</v>
      </c>
    </row>
    <row r="42223">
      <c r="H42223" s="8" t="s">
        <v>364</v>
      </c>
    </row>
    <row r="42224">
      <c r="H42224" s="8" t="s">
        <v>364</v>
      </c>
    </row>
    <row r="42225">
      <c r="H42225" s="8" t="s">
        <v>364</v>
      </c>
    </row>
    <row r="42226">
      <c r="H42226" s="8" t="s">
        <v>364</v>
      </c>
    </row>
    <row r="42227">
      <c r="H42227" s="8" t="s">
        <v>364</v>
      </c>
    </row>
    <row r="42228">
      <c r="H42228" s="8" t="s">
        <v>364</v>
      </c>
    </row>
    <row r="42229">
      <c r="H42229" s="8" t="s">
        <v>364</v>
      </c>
    </row>
    <row r="42230">
      <c r="H42230" s="8" t="s">
        <v>364</v>
      </c>
    </row>
    <row r="42231">
      <c r="H42231" s="8" t="s">
        <v>364</v>
      </c>
    </row>
    <row r="42232">
      <c r="H42232" s="8" t="s">
        <v>364</v>
      </c>
    </row>
    <row r="42233">
      <c r="H42233" s="8" t="s">
        <v>364</v>
      </c>
    </row>
    <row r="42234">
      <c r="H42234" s="8" t="s">
        <v>364</v>
      </c>
    </row>
    <row r="42235">
      <c r="H42235" s="8" t="s">
        <v>364</v>
      </c>
    </row>
    <row r="42236">
      <c r="H42236" s="8" t="s">
        <v>364</v>
      </c>
    </row>
    <row r="42237">
      <c r="H42237" s="8" t="s">
        <v>364</v>
      </c>
    </row>
    <row r="42238">
      <c r="H42238" s="8" t="s">
        <v>364</v>
      </c>
    </row>
    <row r="42239">
      <c r="H42239" s="8" t="s">
        <v>364</v>
      </c>
    </row>
    <row r="42240">
      <c r="H42240" s="8" t="s">
        <v>364</v>
      </c>
    </row>
    <row r="42241">
      <c r="H42241" s="8" t="s">
        <v>364</v>
      </c>
    </row>
    <row r="42242">
      <c r="H42242" s="8" t="s">
        <v>364</v>
      </c>
    </row>
    <row r="42243">
      <c r="H42243" s="8" t="s">
        <v>364</v>
      </c>
    </row>
    <row r="42244">
      <c r="H42244" s="8" t="s">
        <v>364</v>
      </c>
    </row>
    <row r="42245">
      <c r="H42245" s="8" t="s">
        <v>364</v>
      </c>
    </row>
    <row r="42246">
      <c r="H42246" s="8" t="s">
        <v>364</v>
      </c>
    </row>
    <row r="42247">
      <c r="H42247" s="8" t="s">
        <v>364</v>
      </c>
    </row>
    <row r="42248">
      <c r="H42248" s="8" t="s">
        <v>364</v>
      </c>
    </row>
    <row r="42249">
      <c r="H42249" s="8" t="s">
        <v>364</v>
      </c>
    </row>
    <row r="42250">
      <c r="H42250" s="8" t="s">
        <v>364</v>
      </c>
    </row>
    <row r="42251">
      <c r="H42251" s="8" t="s">
        <v>364</v>
      </c>
    </row>
    <row r="42252">
      <c r="H42252" s="8" t="s">
        <v>364</v>
      </c>
    </row>
    <row r="42253">
      <c r="H42253" s="8" t="s">
        <v>364</v>
      </c>
    </row>
    <row r="42254">
      <c r="H42254" s="8" t="s">
        <v>364</v>
      </c>
    </row>
    <row r="42255">
      <c r="H42255" s="8" t="s">
        <v>364</v>
      </c>
    </row>
    <row r="42256">
      <c r="H42256" s="8" t="s">
        <v>364</v>
      </c>
    </row>
    <row r="42257">
      <c r="H42257" s="8" t="s">
        <v>364</v>
      </c>
    </row>
    <row r="42258">
      <c r="H42258" s="8" t="s">
        <v>364</v>
      </c>
    </row>
    <row r="42259">
      <c r="H42259" s="8" t="s">
        <v>364</v>
      </c>
    </row>
    <row r="42260">
      <c r="H42260" s="8" t="s">
        <v>364</v>
      </c>
    </row>
    <row r="42261">
      <c r="H42261" s="8" t="s">
        <v>364</v>
      </c>
    </row>
    <row r="42262">
      <c r="H42262" s="8" t="s">
        <v>364</v>
      </c>
    </row>
    <row r="42263">
      <c r="H42263" s="8" t="s">
        <v>364</v>
      </c>
    </row>
    <row r="42264">
      <c r="H42264" s="8" t="s">
        <v>364</v>
      </c>
    </row>
    <row r="42265">
      <c r="H42265" s="8" t="s">
        <v>364</v>
      </c>
    </row>
    <row r="42266">
      <c r="H42266" s="8" t="s">
        <v>364</v>
      </c>
    </row>
    <row r="42267">
      <c r="H42267" s="8" t="s">
        <v>364</v>
      </c>
    </row>
    <row r="42268">
      <c r="H42268" s="8" t="s">
        <v>364</v>
      </c>
    </row>
    <row r="42269">
      <c r="H42269" s="8" t="s">
        <v>364</v>
      </c>
    </row>
    <row r="42270">
      <c r="H42270" s="8" t="s">
        <v>364</v>
      </c>
    </row>
    <row r="42271">
      <c r="H42271" s="8" t="s">
        <v>364</v>
      </c>
    </row>
    <row r="42272">
      <c r="H42272" s="8" t="s">
        <v>364</v>
      </c>
    </row>
    <row r="42273">
      <c r="H42273" s="8" t="s">
        <v>364</v>
      </c>
    </row>
    <row r="42274">
      <c r="H42274" s="8" t="s">
        <v>364</v>
      </c>
    </row>
    <row r="42275">
      <c r="H42275" s="8" t="s">
        <v>364</v>
      </c>
    </row>
    <row r="42276">
      <c r="H42276" s="8" t="s">
        <v>364</v>
      </c>
    </row>
    <row r="42277">
      <c r="H42277" s="8" t="s">
        <v>364</v>
      </c>
    </row>
    <row r="42278">
      <c r="H42278" s="8" t="s">
        <v>364</v>
      </c>
    </row>
    <row r="42279">
      <c r="H42279" s="8" t="s">
        <v>364</v>
      </c>
    </row>
    <row r="42280">
      <c r="H42280" s="8" t="s">
        <v>364</v>
      </c>
    </row>
    <row r="42281">
      <c r="H42281" s="8" t="s">
        <v>364</v>
      </c>
    </row>
    <row r="42282">
      <c r="H42282" s="8" t="s">
        <v>364</v>
      </c>
    </row>
    <row r="42283">
      <c r="H42283" s="8" t="s">
        <v>364</v>
      </c>
    </row>
    <row r="42284">
      <c r="H42284" s="8" t="s">
        <v>364</v>
      </c>
    </row>
    <row r="42285">
      <c r="H42285" s="8" t="s">
        <v>364</v>
      </c>
    </row>
    <row r="42286">
      <c r="H42286" s="8" t="s">
        <v>364</v>
      </c>
    </row>
    <row r="42287">
      <c r="H42287" s="8" t="s">
        <v>364</v>
      </c>
    </row>
    <row r="42288">
      <c r="H42288" s="8" t="s">
        <v>364</v>
      </c>
    </row>
    <row r="42289">
      <c r="H42289" s="8" t="s">
        <v>364</v>
      </c>
    </row>
    <row r="42290">
      <c r="H42290" s="8" t="s">
        <v>364</v>
      </c>
    </row>
    <row r="42291">
      <c r="H42291" s="8" t="s">
        <v>364</v>
      </c>
    </row>
    <row r="42292">
      <c r="H42292" s="8" t="s">
        <v>364</v>
      </c>
    </row>
    <row r="42293">
      <c r="H42293" s="8" t="s">
        <v>364</v>
      </c>
    </row>
    <row r="42294">
      <c r="H42294" s="8" t="s">
        <v>364</v>
      </c>
    </row>
    <row r="42295">
      <c r="H42295" s="8" t="s">
        <v>364</v>
      </c>
    </row>
    <row r="42296">
      <c r="H42296" s="8" t="s">
        <v>364</v>
      </c>
    </row>
    <row r="42297">
      <c r="H42297" s="8" t="s">
        <v>364</v>
      </c>
    </row>
    <row r="42298">
      <c r="H42298" s="8" t="s">
        <v>364</v>
      </c>
    </row>
    <row r="42299">
      <c r="H42299" s="8" t="s">
        <v>364</v>
      </c>
    </row>
    <row r="42300">
      <c r="H42300" s="8" t="s">
        <v>364</v>
      </c>
    </row>
    <row r="42301">
      <c r="H42301" s="8" t="s">
        <v>364</v>
      </c>
    </row>
    <row r="42302">
      <c r="H42302" s="8" t="s">
        <v>364</v>
      </c>
    </row>
    <row r="42303">
      <c r="H42303" s="8" t="s">
        <v>364</v>
      </c>
    </row>
    <row r="42304">
      <c r="H42304" s="8" t="s">
        <v>364</v>
      </c>
    </row>
    <row r="42305">
      <c r="H42305" s="8" t="s">
        <v>364</v>
      </c>
    </row>
    <row r="42306">
      <c r="H42306" s="8" t="s">
        <v>364</v>
      </c>
    </row>
    <row r="42307">
      <c r="H42307" s="8" t="s">
        <v>364</v>
      </c>
    </row>
    <row r="42308">
      <c r="H42308" s="8" t="s">
        <v>364</v>
      </c>
    </row>
    <row r="42309">
      <c r="H42309" s="8" t="s">
        <v>364</v>
      </c>
    </row>
    <row r="42310">
      <c r="H42310" s="8" t="s">
        <v>364</v>
      </c>
    </row>
    <row r="42311">
      <c r="H42311" s="8" t="s">
        <v>364</v>
      </c>
    </row>
    <row r="42312">
      <c r="H42312" s="8" t="s">
        <v>364</v>
      </c>
    </row>
    <row r="42313">
      <c r="H42313" s="8" t="s">
        <v>364</v>
      </c>
    </row>
    <row r="42314">
      <c r="H42314" s="8" t="s">
        <v>364</v>
      </c>
    </row>
    <row r="42315">
      <c r="H42315" s="8" t="s">
        <v>364</v>
      </c>
    </row>
    <row r="42316">
      <c r="H42316" s="8" t="s">
        <v>364</v>
      </c>
    </row>
    <row r="42317">
      <c r="H42317" s="8" t="s">
        <v>364</v>
      </c>
    </row>
    <row r="42318">
      <c r="H42318" s="8" t="s">
        <v>364</v>
      </c>
    </row>
    <row r="42319">
      <c r="H42319" s="8" t="s">
        <v>364</v>
      </c>
    </row>
    <row r="42320">
      <c r="H42320" s="8" t="s">
        <v>364</v>
      </c>
    </row>
    <row r="42321">
      <c r="H42321" s="8" t="s">
        <v>364</v>
      </c>
    </row>
    <row r="42322">
      <c r="H42322" s="8" t="s">
        <v>364</v>
      </c>
    </row>
    <row r="42323">
      <c r="H42323" s="8" t="s">
        <v>364</v>
      </c>
    </row>
    <row r="42324">
      <c r="H42324" s="8" t="s">
        <v>364</v>
      </c>
    </row>
    <row r="42325">
      <c r="H42325" s="8" t="s">
        <v>364</v>
      </c>
    </row>
    <row r="42326">
      <c r="H42326" s="8" t="s">
        <v>364</v>
      </c>
    </row>
    <row r="42327">
      <c r="H42327" s="8" t="s">
        <v>364</v>
      </c>
    </row>
    <row r="42328">
      <c r="H42328" s="8" t="s">
        <v>364</v>
      </c>
    </row>
    <row r="42329">
      <c r="H42329" s="8" t="s">
        <v>364</v>
      </c>
    </row>
    <row r="42330">
      <c r="H42330" s="8" t="s">
        <v>364</v>
      </c>
    </row>
    <row r="42331">
      <c r="H42331" s="8" t="s">
        <v>364</v>
      </c>
    </row>
    <row r="42332">
      <c r="H42332" s="8" t="s">
        <v>364</v>
      </c>
    </row>
    <row r="42333">
      <c r="H42333" s="8" t="s">
        <v>364</v>
      </c>
    </row>
    <row r="42334">
      <c r="H42334" s="8" t="s">
        <v>364</v>
      </c>
    </row>
    <row r="42335">
      <c r="H42335" s="8" t="s">
        <v>364</v>
      </c>
    </row>
    <row r="42336">
      <c r="H42336" s="8" t="s">
        <v>364</v>
      </c>
    </row>
    <row r="42337">
      <c r="H42337" s="8" t="s">
        <v>364</v>
      </c>
    </row>
    <row r="42338">
      <c r="H42338" s="8" t="s">
        <v>364</v>
      </c>
    </row>
    <row r="42339">
      <c r="H42339" s="8" t="s">
        <v>364</v>
      </c>
    </row>
    <row r="42340">
      <c r="H42340" s="8" t="s">
        <v>364</v>
      </c>
    </row>
    <row r="42341">
      <c r="H42341" s="8" t="s">
        <v>364</v>
      </c>
    </row>
    <row r="42342">
      <c r="H42342" s="8" t="s">
        <v>364</v>
      </c>
    </row>
    <row r="42343">
      <c r="H42343" s="8" t="s">
        <v>364</v>
      </c>
    </row>
    <row r="42344">
      <c r="H42344" s="8" t="s">
        <v>364</v>
      </c>
    </row>
    <row r="42345">
      <c r="H42345" s="8" t="s">
        <v>364</v>
      </c>
    </row>
    <row r="42346">
      <c r="H42346" s="8" t="s">
        <v>364</v>
      </c>
    </row>
    <row r="42347">
      <c r="H42347" s="8" t="s">
        <v>364</v>
      </c>
    </row>
    <row r="42348">
      <c r="H42348" s="8" t="s">
        <v>364</v>
      </c>
    </row>
    <row r="42349">
      <c r="H42349" s="8" t="s">
        <v>364</v>
      </c>
    </row>
    <row r="42350">
      <c r="H42350" s="8" t="s">
        <v>364</v>
      </c>
    </row>
    <row r="42351">
      <c r="H42351" s="8" t="s">
        <v>364</v>
      </c>
    </row>
    <row r="42352">
      <c r="H42352" s="8" t="s">
        <v>364</v>
      </c>
    </row>
    <row r="42353">
      <c r="H42353" s="8" t="s">
        <v>364</v>
      </c>
    </row>
    <row r="42354">
      <c r="H42354" s="8" t="s">
        <v>364</v>
      </c>
    </row>
    <row r="42355">
      <c r="H42355" s="8" t="s">
        <v>364</v>
      </c>
    </row>
    <row r="42356">
      <c r="H42356" s="8" t="s">
        <v>364</v>
      </c>
    </row>
    <row r="42357">
      <c r="H42357" s="8" t="s">
        <v>364</v>
      </c>
    </row>
    <row r="42358">
      <c r="H42358" s="8" t="s">
        <v>364</v>
      </c>
    </row>
    <row r="42359">
      <c r="H42359" s="8" t="s">
        <v>364</v>
      </c>
    </row>
    <row r="42360">
      <c r="H42360" s="8" t="s">
        <v>364</v>
      </c>
    </row>
    <row r="42361">
      <c r="H42361" s="8" t="s">
        <v>364</v>
      </c>
    </row>
    <row r="42362">
      <c r="H42362" s="8" t="s">
        <v>364</v>
      </c>
    </row>
    <row r="42363">
      <c r="H42363" s="8" t="s">
        <v>364</v>
      </c>
    </row>
    <row r="42364">
      <c r="H42364" s="8" t="s">
        <v>364</v>
      </c>
    </row>
    <row r="42365">
      <c r="H42365" s="8" t="s">
        <v>364</v>
      </c>
    </row>
    <row r="42366">
      <c r="H42366" s="8" t="s">
        <v>364</v>
      </c>
    </row>
    <row r="42367">
      <c r="H42367" s="8" t="s">
        <v>364</v>
      </c>
    </row>
    <row r="42368">
      <c r="H42368" s="8" t="s">
        <v>364</v>
      </c>
    </row>
    <row r="42369">
      <c r="H42369" s="8" t="s">
        <v>364</v>
      </c>
    </row>
    <row r="42370">
      <c r="H42370" s="8" t="s">
        <v>364</v>
      </c>
    </row>
    <row r="42371">
      <c r="H42371" s="8" t="s">
        <v>364</v>
      </c>
    </row>
    <row r="42372">
      <c r="H42372" s="8" t="s">
        <v>364</v>
      </c>
    </row>
    <row r="42373">
      <c r="H42373" s="8" t="s">
        <v>364</v>
      </c>
    </row>
    <row r="42374">
      <c r="H42374" s="8" t="s">
        <v>364</v>
      </c>
    </row>
    <row r="42375">
      <c r="H42375" s="8" t="s">
        <v>364</v>
      </c>
    </row>
    <row r="42376">
      <c r="H42376" s="8" t="s">
        <v>364</v>
      </c>
    </row>
    <row r="42377">
      <c r="H42377" s="8" t="s">
        <v>364</v>
      </c>
    </row>
    <row r="42378">
      <c r="H42378" s="8" t="s">
        <v>364</v>
      </c>
    </row>
    <row r="42379">
      <c r="H42379" s="8" t="s">
        <v>364</v>
      </c>
    </row>
    <row r="42380">
      <c r="H42380" s="8" t="s">
        <v>364</v>
      </c>
    </row>
    <row r="42381">
      <c r="H42381" s="8" t="s">
        <v>364</v>
      </c>
    </row>
    <row r="42382">
      <c r="H42382" s="8" t="s">
        <v>364</v>
      </c>
    </row>
    <row r="42383">
      <c r="H42383" s="8" t="s">
        <v>364</v>
      </c>
    </row>
    <row r="42384">
      <c r="H42384" s="8" t="s">
        <v>364</v>
      </c>
    </row>
    <row r="42385">
      <c r="H42385" s="8" t="s">
        <v>364</v>
      </c>
    </row>
    <row r="42386">
      <c r="H42386" s="8" t="s">
        <v>364</v>
      </c>
    </row>
    <row r="42387">
      <c r="H42387" s="8" t="s">
        <v>364</v>
      </c>
    </row>
    <row r="42388">
      <c r="H42388" s="8" t="s">
        <v>364</v>
      </c>
    </row>
    <row r="42389">
      <c r="H42389" s="8" t="s">
        <v>364</v>
      </c>
    </row>
    <row r="42390">
      <c r="H42390" s="8" t="s">
        <v>364</v>
      </c>
    </row>
    <row r="42391">
      <c r="H42391" s="8" t="s">
        <v>364</v>
      </c>
    </row>
    <row r="42392">
      <c r="H42392" s="8" t="s">
        <v>364</v>
      </c>
    </row>
    <row r="42393">
      <c r="H42393" s="8" t="s">
        <v>364</v>
      </c>
    </row>
    <row r="42394">
      <c r="H42394" s="8" t="s">
        <v>364</v>
      </c>
    </row>
    <row r="42395">
      <c r="H42395" s="8" t="s">
        <v>364</v>
      </c>
    </row>
    <row r="42396">
      <c r="H42396" s="8" t="s">
        <v>364</v>
      </c>
    </row>
    <row r="42397">
      <c r="H42397" s="8" t="s">
        <v>364</v>
      </c>
    </row>
    <row r="42398">
      <c r="H42398" s="8" t="s">
        <v>364</v>
      </c>
    </row>
    <row r="42399">
      <c r="H42399" s="8" t="s">
        <v>364</v>
      </c>
    </row>
    <row r="42400">
      <c r="H42400" s="8" t="s">
        <v>364</v>
      </c>
    </row>
    <row r="42401">
      <c r="H42401" s="8" t="s">
        <v>364</v>
      </c>
    </row>
    <row r="42402">
      <c r="H42402" s="8" t="s">
        <v>364</v>
      </c>
    </row>
    <row r="42403">
      <c r="H42403" s="8" t="s">
        <v>364</v>
      </c>
    </row>
    <row r="42404">
      <c r="H42404" s="8" t="s">
        <v>364</v>
      </c>
    </row>
    <row r="42405">
      <c r="H42405" s="8" t="s">
        <v>364</v>
      </c>
    </row>
    <row r="42406">
      <c r="H42406" s="8" t="s">
        <v>364</v>
      </c>
    </row>
    <row r="42407">
      <c r="H42407" s="8" t="s">
        <v>364</v>
      </c>
    </row>
    <row r="42408">
      <c r="H42408" s="8" t="s">
        <v>364</v>
      </c>
    </row>
    <row r="42409">
      <c r="H42409" s="8" t="s">
        <v>364</v>
      </c>
    </row>
    <row r="42410">
      <c r="H42410" s="8" t="s">
        <v>364</v>
      </c>
    </row>
    <row r="42411">
      <c r="H42411" s="8" t="s">
        <v>364</v>
      </c>
    </row>
    <row r="42412">
      <c r="H42412" s="8" t="s">
        <v>364</v>
      </c>
    </row>
    <row r="42413">
      <c r="H42413" s="8" t="s">
        <v>364</v>
      </c>
    </row>
    <row r="42414">
      <c r="H42414" s="8" t="s">
        <v>364</v>
      </c>
    </row>
    <row r="42415">
      <c r="H42415" s="8" t="s">
        <v>364</v>
      </c>
    </row>
    <row r="42416">
      <c r="H42416" s="8" t="s">
        <v>364</v>
      </c>
    </row>
    <row r="42417">
      <c r="H42417" s="8" t="s">
        <v>364</v>
      </c>
    </row>
    <row r="42418">
      <c r="H42418" s="8" t="s">
        <v>364</v>
      </c>
    </row>
    <row r="42419">
      <c r="H42419" s="8" t="s">
        <v>364</v>
      </c>
    </row>
    <row r="42420">
      <c r="H42420" s="8" t="s">
        <v>364</v>
      </c>
    </row>
    <row r="42421">
      <c r="H42421" s="8" t="s">
        <v>364</v>
      </c>
    </row>
    <row r="42422">
      <c r="H42422" s="8" t="s">
        <v>364</v>
      </c>
    </row>
    <row r="42423">
      <c r="H42423" s="8" t="s">
        <v>364</v>
      </c>
    </row>
    <row r="42424">
      <c r="H42424" s="8" t="s">
        <v>364</v>
      </c>
    </row>
    <row r="42425">
      <c r="H42425" s="8" t="s">
        <v>364</v>
      </c>
    </row>
    <row r="42426">
      <c r="H42426" s="8" t="s">
        <v>364</v>
      </c>
    </row>
    <row r="42427">
      <c r="H42427" s="8" t="s">
        <v>364</v>
      </c>
    </row>
    <row r="42428">
      <c r="H42428" s="8" t="s">
        <v>364</v>
      </c>
    </row>
    <row r="42429">
      <c r="H42429" s="8" t="s">
        <v>364</v>
      </c>
    </row>
    <row r="42430">
      <c r="H42430" s="8" t="s">
        <v>364</v>
      </c>
    </row>
    <row r="42431">
      <c r="H42431" s="8" t="s">
        <v>364</v>
      </c>
    </row>
    <row r="42432">
      <c r="H42432" s="8" t="s">
        <v>364</v>
      </c>
    </row>
    <row r="42433">
      <c r="H42433" s="8" t="s">
        <v>364</v>
      </c>
    </row>
    <row r="42434">
      <c r="H42434" s="8" t="s">
        <v>364</v>
      </c>
    </row>
    <row r="42435">
      <c r="H42435" s="8" t="s">
        <v>364</v>
      </c>
    </row>
    <row r="42436">
      <c r="H42436" s="8" t="s">
        <v>364</v>
      </c>
    </row>
    <row r="42437">
      <c r="H42437" s="8" t="s">
        <v>364</v>
      </c>
    </row>
    <row r="42438">
      <c r="H42438" s="8" t="s">
        <v>364</v>
      </c>
    </row>
    <row r="42439">
      <c r="H42439" s="8" t="s">
        <v>364</v>
      </c>
    </row>
    <row r="42440">
      <c r="H42440" s="8" t="s">
        <v>364</v>
      </c>
    </row>
    <row r="42441">
      <c r="H42441" s="8" t="s">
        <v>364</v>
      </c>
    </row>
    <row r="42442">
      <c r="H42442" s="8" t="s">
        <v>364</v>
      </c>
    </row>
    <row r="42443">
      <c r="H42443" s="8" t="s">
        <v>364</v>
      </c>
    </row>
    <row r="42444">
      <c r="H42444" s="8" t="s">
        <v>364</v>
      </c>
    </row>
    <row r="42445">
      <c r="H42445" s="8" t="s">
        <v>364</v>
      </c>
    </row>
    <row r="42446">
      <c r="H42446" s="8" t="s">
        <v>364</v>
      </c>
    </row>
    <row r="42447">
      <c r="H42447" s="8" t="s">
        <v>364</v>
      </c>
    </row>
    <row r="42448">
      <c r="H42448" s="8" t="s">
        <v>364</v>
      </c>
    </row>
    <row r="42449">
      <c r="H42449" s="8" t="s">
        <v>364</v>
      </c>
    </row>
    <row r="42450">
      <c r="H42450" s="8" t="s">
        <v>364</v>
      </c>
    </row>
    <row r="42451">
      <c r="H42451" s="8" t="s">
        <v>364</v>
      </c>
    </row>
    <row r="42452">
      <c r="H42452" s="8" t="s">
        <v>364</v>
      </c>
    </row>
    <row r="42453">
      <c r="H42453" s="8" t="s">
        <v>364</v>
      </c>
    </row>
    <row r="42454">
      <c r="H42454" s="8" t="s">
        <v>364</v>
      </c>
    </row>
    <row r="42455">
      <c r="H42455" s="8" t="s">
        <v>364</v>
      </c>
    </row>
    <row r="42456">
      <c r="H42456" s="8" t="s">
        <v>364</v>
      </c>
    </row>
    <row r="42457">
      <c r="H42457" s="8" t="s">
        <v>364</v>
      </c>
    </row>
    <row r="42458">
      <c r="H42458" s="8" t="s">
        <v>364</v>
      </c>
    </row>
    <row r="42459">
      <c r="H42459" s="8" t="s">
        <v>364</v>
      </c>
    </row>
    <row r="42460">
      <c r="H42460" s="8" t="s">
        <v>364</v>
      </c>
    </row>
    <row r="42461">
      <c r="H42461" s="8" t="s">
        <v>364</v>
      </c>
    </row>
    <row r="42462">
      <c r="H42462" s="8" t="s">
        <v>364</v>
      </c>
    </row>
    <row r="42463">
      <c r="H42463" s="8" t="s">
        <v>364</v>
      </c>
    </row>
    <row r="42464">
      <c r="H42464" s="8" t="s">
        <v>364</v>
      </c>
    </row>
    <row r="42465">
      <c r="H42465" s="8" t="s">
        <v>364</v>
      </c>
    </row>
    <row r="42466">
      <c r="H42466" s="8" t="s">
        <v>364</v>
      </c>
    </row>
    <row r="42467">
      <c r="H42467" s="8" t="s">
        <v>364</v>
      </c>
    </row>
    <row r="42468">
      <c r="H42468" s="8" t="s">
        <v>364</v>
      </c>
    </row>
    <row r="42469">
      <c r="H42469" s="8" t="s">
        <v>364</v>
      </c>
    </row>
    <row r="42470">
      <c r="H42470" s="8" t="s">
        <v>364</v>
      </c>
    </row>
    <row r="42471">
      <c r="H42471" s="8" t="s">
        <v>364</v>
      </c>
    </row>
    <row r="42472">
      <c r="H42472" s="8" t="s">
        <v>364</v>
      </c>
    </row>
    <row r="42473">
      <c r="H42473" s="8" t="s">
        <v>364</v>
      </c>
    </row>
    <row r="42474">
      <c r="H42474" s="8" t="s">
        <v>364</v>
      </c>
    </row>
    <row r="42475">
      <c r="H42475" s="8" t="s">
        <v>364</v>
      </c>
    </row>
    <row r="42476">
      <c r="H42476" s="8" t="s">
        <v>364</v>
      </c>
    </row>
    <row r="42477">
      <c r="H42477" s="8" t="s">
        <v>364</v>
      </c>
    </row>
    <row r="42478">
      <c r="H42478" s="8" t="s">
        <v>364</v>
      </c>
    </row>
    <row r="42479">
      <c r="H42479" s="8" t="s">
        <v>364</v>
      </c>
    </row>
    <row r="42480">
      <c r="H42480" s="8" t="s">
        <v>364</v>
      </c>
    </row>
    <row r="42481">
      <c r="H42481" s="8" t="s">
        <v>364</v>
      </c>
    </row>
    <row r="42482">
      <c r="H42482" s="8" t="s">
        <v>364</v>
      </c>
    </row>
    <row r="42483">
      <c r="H42483" s="8" t="s">
        <v>364</v>
      </c>
    </row>
    <row r="42484">
      <c r="H42484" s="8" t="s">
        <v>364</v>
      </c>
    </row>
    <row r="42485">
      <c r="H42485" s="8" t="s">
        <v>364</v>
      </c>
    </row>
    <row r="42486">
      <c r="H42486" s="8" t="s">
        <v>364</v>
      </c>
    </row>
    <row r="42487">
      <c r="H42487" s="8" t="s">
        <v>364</v>
      </c>
    </row>
    <row r="42488">
      <c r="H42488" s="8" t="s">
        <v>364</v>
      </c>
    </row>
    <row r="42489">
      <c r="H42489" s="8" t="s">
        <v>364</v>
      </c>
    </row>
    <row r="42490">
      <c r="H42490" s="8" t="s">
        <v>364</v>
      </c>
    </row>
    <row r="42491">
      <c r="H42491" s="8" t="s">
        <v>364</v>
      </c>
    </row>
    <row r="42492">
      <c r="H42492" s="8" t="s">
        <v>364</v>
      </c>
    </row>
    <row r="42493">
      <c r="H42493" s="8" t="s">
        <v>364</v>
      </c>
    </row>
    <row r="42494">
      <c r="H42494" s="8" t="s">
        <v>364</v>
      </c>
    </row>
    <row r="42495">
      <c r="H42495" s="8" t="s">
        <v>364</v>
      </c>
    </row>
    <row r="42496">
      <c r="H42496" s="8" t="s">
        <v>364</v>
      </c>
    </row>
    <row r="42497">
      <c r="H42497" s="8" t="s">
        <v>364</v>
      </c>
    </row>
    <row r="42498">
      <c r="H42498" s="8" t="s">
        <v>364</v>
      </c>
    </row>
    <row r="42499">
      <c r="H42499" s="8" t="s">
        <v>364</v>
      </c>
    </row>
    <row r="42500">
      <c r="H42500" s="8" t="s">
        <v>364</v>
      </c>
    </row>
    <row r="42501">
      <c r="H42501" s="8" t="s">
        <v>364</v>
      </c>
    </row>
    <row r="42502">
      <c r="H42502" s="8" t="s">
        <v>364</v>
      </c>
    </row>
    <row r="42503">
      <c r="H42503" s="8" t="s">
        <v>364</v>
      </c>
    </row>
    <row r="42504">
      <c r="H42504" s="8" t="s">
        <v>364</v>
      </c>
    </row>
    <row r="42505">
      <c r="H42505" s="8" t="s">
        <v>364</v>
      </c>
    </row>
    <row r="42506">
      <c r="H42506" s="8" t="s">
        <v>364</v>
      </c>
    </row>
    <row r="42507">
      <c r="H42507" s="8" t="s">
        <v>364</v>
      </c>
    </row>
    <row r="42508">
      <c r="H42508" s="8" t="s">
        <v>364</v>
      </c>
    </row>
    <row r="42509">
      <c r="H42509" s="8" t="s">
        <v>364</v>
      </c>
    </row>
    <row r="42510">
      <c r="H42510" s="8" t="s">
        <v>364</v>
      </c>
    </row>
    <row r="42511">
      <c r="H42511" s="8" t="s">
        <v>364</v>
      </c>
    </row>
    <row r="42512">
      <c r="H42512" s="8" t="s">
        <v>364</v>
      </c>
    </row>
    <row r="42513">
      <c r="H42513" s="8" t="s">
        <v>364</v>
      </c>
    </row>
    <row r="42514">
      <c r="H42514" s="8" t="s">
        <v>364</v>
      </c>
    </row>
    <row r="42515">
      <c r="H42515" s="8" t="s">
        <v>364</v>
      </c>
    </row>
    <row r="42516">
      <c r="H42516" s="8" t="s">
        <v>364</v>
      </c>
    </row>
    <row r="42517">
      <c r="H42517" s="8" t="s">
        <v>364</v>
      </c>
    </row>
    <row r="42518">
      <c r="H42518" s="8" t="s">
        <v>364</v>
      </c>
    </row>
    <row r="42519">
      <c r="H42519" s="8" t="s">
        <v>364</v>
      </c>
    </row>
    <row r="42520">
      <c r="H42520" s="8" t="s">
        <v>364</v>
      </c>
    </row>
    <row r="42521">
      <c r="H42521" s="8" t="s">
        <v>364</v>
      </c>
    </row>
    <row r="42522">
      <c r="H42522" s="8" t="s">
        <v>364</v>
      </c>
    </row>
    <row r="42523">
      <c r="H42523" s="8" t="s">
        <v>364</v>
      </c>
    </row>
    <row r="42524">
      <c r="H42524" s="8" t="s">
        <v>364</v>
      </c>
    </row>
    <row r="42525">
      <c r="H42525" s="8" t="s">
        <v>364</v>
      </c>
    </row>
    <row r="42526">
      <c r="H42526" s="8" t="s">
        <v>364</v>
      </c>
    </row>
    <row r="42527">
      <c r="H42527" s="8" t="s">
        <v>364</v>
      </c>
    </row>
    <row r="42528">
      <c r="H42528" s="8" t="s">
        <v>364</v>
      </c>
    </row>
    <row r="42529">
      <c r="H42529" s="8" t="s">
        <v>364</v>
      </c>
    </row>
    <row r="42530">
      <c r="H42530" s="8" t="s">
        <v>364</v>
      </c>
    </row>
    <row r="42531">
      <c r="H42531" s="8" t="s">
        <v>364</v>
      </c>
    </row>
    <row r="42532">
      <c r="H42532" s="8" t="s">
        <v>364</v>
      </c>
    </row>
    <row r="42533">
      <c r="H42533" s="8" t="s">
        <v>364</v>
      </c>
    </row>
    <row r="42534">
      <c r="H42534" s="8" t="s">
        <v>364</v>
      </c>
    </row>
    <row r="42535">
      <c r="H42535" s="8" t="s">
        <v>364</v>
      </c>
    </row>
    <row r="42536">
      <c r="H42536" s="8" t="s">
        <v>364</v>
      </c>
    </row>
    <row r="42537">
      <c r="H42537" s="8" t="s">
        <v>364</v>
      </c>
    </row>
    <row r="42538">
      <c r="H42538" s="8" t="s">
        <v>364</v>
      </c>
    </row>
    <row r="42539">
      <c r="H42539" s="8" t="s">
        <v>364</v>
      </c>
    </row>
    <row r="42540">
      <c r="H42540" s="8" t="s">
        <v>364</v>
      </c>
    </row>
    <row r="42541">
      <c r="H42541" s="8" t="s">
        <v>364</v>
      </c>
    </row>
    <row r="42542">
      <c r="H42542" s="8" t="s">
        <v>364</v>
      </c>
    </row>
    <row r="42543">
      <c r="H42543" s="8" t="s">
        <v>364</v>
      </c>
    </row>
    <row r="42544">
      <c r="H42544" s="8" t="s">
        <v>364</v>
      </c>
    </row>
    <row r="42545">
      <c r="H42545" s="8" t="s">
        <v>364</v>
      </c>
    </row>
    <row r="42546">
      <c r="H42546" s="8" t="s">
        <v>364</v>
      </c>
    </row>
    <row r="42547">
      <c r="H42547" s="8" t="s">
        <v>364</v>
      </c>
    </row>
    <row r="42548">
      <c r="H42548" s="8" t="s">
        <v>364</v>
      </c>
    </row>
    <row r="42549">
      <c r="H42549" s="8" t="s">
        <v>364</v>
      </c>
    </row>
    <row r="42550">
      <c r="H42550" s="8" t="s">
        <v>364</v>
      </c>
    </row>
    <row r="42551">
      <c r="H42551" s="8" t="s">
        <v>364</v>
      </c>
    </row>
    <row r="42552">
      <c r="H42552" s="8" t="s">
        <v>364</v>
      </c>
    </row>
    <row r="42553">
      <c r="H42553" s="8" t="s">
        <v>364</v>
      </c>
    </row>
    <row r="42554">
      <c r="H42554" s="8" t="s">
        <v>364</v>
      </c>
    </row>
    <row r="42555">
      <c r="H42555" s="8" t="s">
        <v>364</v>
      </c>
    </row>
    <row r="42556">
      <c r="H42556" s="8" t="s">
        <v>364</v>
      </c>
    </row>
    <row r="42557">
      <c r="H42557" s="8" t="s">
        <v>364</v>
      </c>
    </row>
    <row r="42558">
      <c r="H42558" s="8" t="s">
        <v>364</v>
      </c>
    </row>
    <row r="42559">
      <c r="H42559" s="8" t="s">
        <v>364</v>
      </c>
    </row>
    <row r="42560">
      <c r="H42560" s="8" t="s">
        <v>364</v>
      </c>
    </row>
    <row r="42561">
      <c r="H42561" s="8" t="s">
        <v>364</v>
      </c>
    </row>
    <row r="42562">
      <c r="H42562" s="8" t="s">
        <v>364</v>
      </c>
    </row>
    <row r="42563">
      <c r="H42563" s="8" t="s">
        <v>364</v>
      </c>
    </row>
    <row r="42564">
      <c r="H42564" s="8" t="s">
        <v>364</v>
      </c>
    </row>
    <row r="42565">
      <c r="H42565" s="8" t="s">
        <v>364</v>
      </c>
    </row>
    <row r="42566">
      <c r="H42566" s="8" t="s">
        <v>364</v>
      </c>
    </row>
    <row r="42567">
      <c r="H42567" s="8" t="s">
        <v>364</v>
      </c>
    </row>
    <row r="42568">
      <c r="H42568" s="8" t="s">
        <v>364</v>
      </c>
    </row>
    <row r="42569">
      <c r="H42569" s="8" t="s">
        <v>364</v>
      </c>
    </row>
    <row r="42570">
      <c r="H42570" s="8" t="s">
        <v>364</v>
      </c>
    </row>
    <row r="42571">
      <c r="H42571" s="8" t="s">
        <v>364</v>
      </c>
    </row>
    <row r="42572">
      <c r="H42572" s="8" t="s">
        <v>364</v>
      </c>
    </row>
    <row r="42573">
      <c r="H42573" s="8" t="s">
        <v>364</v>
      </c>
    </row>
    <row r="42574">
      <c r="H42574" s="8" t="s">
        <v>364</v>
      </c>
    </row>
    <row r="42575">
      <c r="H42575" s="8" t="s">
        <v>364</v>
      </c>
    </row>
    <row r="42576">
      <c r="H42576" s="8" t="s">
        <v>364</v>
      </c>
    </row>
    <row r="42577">
      <c r="H42577" s="8" t="s">
        <v>364</v>
      </c>
    </row>
    <row r="42578">
      <c r="H42578" s="8" t="s">
        <v>364</v>
      </c>
    </row>
    <row r="42579">
      <c r="H42579" s="8" t="s">
        <v>364</v>
      </c>
    </row>
    <row r="42580">
      <c r="H42580" s="8" t="s">
        <v>364</v>
      </c>
    </row>
    <row r="42581">
      <c r="H42581" s="8" t="s">
        <v>364</v>
      </c>
    </row>
    <row r="42582">
      <c r="H42582" s="8" t="s">
        <v>364</v>
      </c>
    </row>
    <row r="42583">
      <c r="H42583" s="8" t="s">
        <v>364</v>
      </c>
    </row>
    <row r="42584">
      <c r="H42584" s="8" t="s">
        <v>364</v>
      </c>
    </row>
    <row r="42585">
      <c r="H42585" s="8" t="s">
        <v>364</v>
      </c>
    </row>
    <row r="42586">
      <c r="H42586" s="8" t="s">
        <v>364</v>
      </c>
    </row>
    <row r="42587">
      <c r="H42587" s="8" t="s">
        <v>364</v>
      </c>
    </row>
    <row r="42588">
      <c r="H42588" s="8" t="s">
        <v>364</v>
      </c>
    </row>
    <row r="42589">
      <c r="H42589" s="8" t="s">
        <v>364</v>
      </c>
    </row>
    <row r="42590">
      <c r="H42590" s="8" t="s">
        <v>364</v>
      </c>
    </row>
    <row r="42591">
      <c r="H42591" s="8" t="s">
        <v>364</v>
      </c>
    </row>
    <row r="42592">
      <c r="H42592" s="8" t="s">
        <v>364</v>
      </c>
    </row>
    <row r="42593">
      <c r="H42593" s="8" t="s">
        <v>364</v>
      </c>
    </row>
    <row r="42594">
      <c r="H42594" s="8" t="s">
        <v>364</v>
      </c>
    </row>
    <row r="42595">
      <c r="H42595" s="8" t="s">
        <v>364</v>
      </c>
    </row>
    <row r="42596">
      <c r="H42596" s="8" t="s">
        <v>364</v>
      </c>
    </row>
    <row r="42597">
      <c r="H42597" s="8" t="s">
        <v>364</v>
      </c>
    </row>
    <row r="42598">
      <c r="H42598" s="8" t="s">
        <v>364</v>
      </c>
    </row>
    <row r="42599">
      <c r="H42599" s="8" t="s">
        <v>364</v>
      </c>
    </row>
    <row r="42600">
      <c r="H42600" s="8" t="s">
        <v>364</v>
      </c>
    </row>
    <row r="42601">
      <c r="H42601" s="8" t="s">
        <v>364</v>
      </c>
    </row>
    <row r="42602">
      <c r="H42602" s="8" t="s">
        <v>364</v>
      </c>
    </row>
    <row r="42603">
      <c r="H42603" s="8" t="s">
        <v>364</v>
      </c>
    </row>
    <row r="42604">
      <c r="H42604" s="8" t="s">
        <v>364</v>
      </c>
    </row>
    <row r="42605">
      <c r="H42605" s="8" t="s">
        <v>364</v>
      </c>
    </row>
    <row r="42606">
      <c r="H42606" s="8" t="s">
        <v>364</v>
      </c>
    </row>
    <row r="42607">
      <c r="H42607" s="8" t="s">
        <v>364</v>
      </c>
    </row>
    <row r="42608">
      <c r="H42608" s="8" t="s">
        <v>364</v>
      </c>
    </row>
    <row r="42609">
      <c r="H42609" s="8" t="s">
        <v>364</v>
      </c>
    </row>
    <row r="42610">
      <c r="H42610" s="8" t="s">
        <v>364</v>
      </c>
    </row>
    <row r="42611">
      <c r="H42611" s="8" t="s">
        <v>364</v>
      </c>
    </row>
    <row r="42612">
      <c r="H42612" s="8" t="s">
        <v>364</v>
      </c>
    </row>
    <row r="42613">
      <c r="H42613" s="8" t="s">
        <v>364</v>
      </c>
    </row>
    <row r="42614">
      <c r="H42614" s="8" t="s">
        <v>364</v>
      </c>
    </row>
    <row r="42615">
      <c r="H42615" s="8" t="s">
        <v>364</v>
      </c>
    </row>
    <row r="42616">
      <c r="H42616" s="8" t="s">
        <v>364</v>
      </c>
    </row>
    <row r="42617">
      <c r="H42617" s="8" t="s">
        <v>364</v>
      </c>
    </row>
    <row r="42618">
      <c r="H42618" s="8" t="s">
        <v>364</v>
      </c>
    </row>
    <row r="42619">
      <c r="H42619" s="8" t="s">
        <v>364</v>
      </c>
    </row>
    <row r="42620">
      <c r="H42620" s="8" t="s">
        <v>364</v>
      </c>
    </row>
    <row r="42621">
      <c r="H42621" s="8" t="s">
        <v>364</v>
      </c>
    </row>
    <row r="42622">
      <c r="H42622" s="8" t="s">
        <v>364</v>
      </c>
    </row>
    <row r="42623">
      <c r="H42623" s="8" t="s">
        <v>364</v>
      </c>
    </row>
    <row r="42624">
      <c r="H42624" s="8" t="s">
        <v>364</v>
      </c>
    </row>
    <row r="42625">
      <c r="H42625" s="8" t="s">
        <v>364</v>
      </c>
    </row>
    <row r="42626">
      <c r="H42626" s="8" t="s">
        <v>364</v>
      </c>
    </row>
    <row r="42627">
      <c r="H42627" s="8" t="s">
        <v>364</v>
      </c>
    </row>
    <row r="42628">
      <c r="H42628" s="8" t="s">
        <v>364</v>
      </c>
    </row>
    <row r="42629">
      <c r="H42629" s="8" t="s">
        <v>364</v>
      </c>
    </row>
    <row r="42630">
      <c r="H42630" s="8" t="s">
        <v>364</v>
      </c>
    </row>
    <row r="42631">
      <c r="H42631" s="8" t="s">
        <v>364</v>
      </c>
    </row>
    <row r="42632">
      <c r="H42632" s="8" t="s">
        <v>364</v>
      </c>
    </row>
    <row r="42633">
      <c r="H42633" s="8" t="s">
        <v>364</v>
      </c>
    </row>
    <row r="42634">
      <c r="H42634" s="8" t="s">
        <v>364</v>
      </c>
    </row>
    <row r="42635">
      <c r="H42635" s="8" t="s">
        <v>364</v>
      </c>
    </row>
    <row r="42636">
      <c r="H42636" s="8" t="s">
        <v>364</v>
      </c>
    </row>
    <row r="42637">
      <c r="H42637" s="8" t="s">
        <v>364</v>
      </c>
    </row>
    <row r="42638">
      <c r="H42638" s="8" t="s">
        <v>364</v>
      </c>
    </row>
    <row r="42639">
      <c r="H42639" s="8" t="s">
        <v>364</v>
      </c>
    </row>
    <row r="42640">
      <c r="H42640" s="8" t="s">
        <v>364</v>
      </c>
    </row>
    <row r="42641">
      <c r="H42641" s="8" t="s">
        <v>364</v>
      </c>
    </row>
    <row r="42642">
      <c r="H42642" s="8" t="s">
        <v>364</v>
      </c>
    </row>
    <row r="42643">
      <c r="H42643" s="8" t="s">
        <v>364</v>
      </c>
    </row>
    <row r="42644">
      <c r="H42644" s="8" t="s">
        <v>364</v>
      </c>
    </row>
    <row r="42645">
      <c r="H42645" s="8" t="s">
        <v>364</v>
      </c>
    </row>
    <row r="42646">
      <c r="H42646" s="8" t="s">
        <v>364</v>
      </c>
    </row>
    <row r="42647">
      <c r="H42647" s="8" t="s">
        <v>364</v>
      </c>
    </row>
    <row r="42648">
      <c r="H42648" s="8" t="s">
        <v>364</v>
      </c>
    </row>
    <row r="42649">
      <c r="H42649" s="8" t="s">
        <v>364</v>
      </c>
    </row>
    <row r="42650">
      <c r="H42650" s="8" t="s">
        <v>364</v>
      </c>
    </row>
    <row r="42651">
      <c r="H42651" s="8" t="s">
        <v>364</v>
      </c>
    </row>
    <row r="42652">
      <c r="H42652" s="8" t="s">
        <v>364</v>
      </c>
    </row>
    <row r="42653">
      <c r="H42653" s="8" t="s">
        <v>364</v>
      </c>
    </row>
    <row r="42654">
      <c r="H42654" s="8" t="s">
        <v>364</v>
      </c>
    </row>
    <row r="42655">
      <c r="H42655" s="8" t="s">
        <v>364</v>
      </c>
    </row>
    <row r="42656">
      <c r="H42656" s="8" t="s">
        <v>364</v>
      </c>
    </row>
    <row r="42657">
      <c r="H42657" s="8" t="s">
        <v>364</v>
      </c>
    </row>
    <row r="42658">
      <c r="H42658" s="8" t="s">
        <v>364</v>
      </c>
    </row>
    <row r="42659">
      <c r="H42659" s="8" t="s">
        <v>364</v>
      </c>
    </row>
    <row r="42660">
      <c r="H42660" s="8" t="s">
        <v>364</v>
      </c>
    </row>
    <row r="42661">
      <c r="H42661" s="8" t="s">
        <v>364</v>
      </c>
    </row>
    <row r="42662">
      <c r="H42662" s="8" t="s">
        <v>364</v>
      </c>
    </row>
    <row r="42663">
      <c r="H42663" s="8" t="s">
        <v>364</v>
      </c>
    </row>
    <row r="42664">
      <c r="H42664" s="8" t="s">
        <v>364</v>
      </c>
    </row>
    <row r="42665">
      <c r="H42665" s="8" t="s">
        <v>364</v>
      </c>
    </row>
    <row r="42666">
      <c r="H42666" s="8" t="s">
        <v>364</v>
      </c>
    </row>
    <row r="42667">
      <c r="H42667" s="8" t="s">
        <v>364</v>
      </c>
    </row>
    <row r="42668">
      <c r="H42668" s="8" t="s">
        <v>364</v>
      </c>
    </row>
    <row r="42669">
      <c r="H42669" s="8" t="s">
        <v>364</v>
      </c>
    </row>
    <row r="42670">
      <c r="H42670" s="8" t="s">
        <v>364</v>
      </c>
    </row>
    <row r="42671">
      <c r="H42671" s="8" t="s">
        <v>364</v>
      </c>
    </row>
    <row r="42672">
      <c r="H42672" s="8" t="s">
        <v>364</v>
      </c>
    </row>
    <row r="42673">
      <c r="H42673" s="8" t="s">
        <v>364</v>
      </c>
    </row>
    <row r="42674">
      <c r="H42674" s="8" t="s">
        <v>364</v>
      </c>
    </row>
    <row r="42675">
      <c r="H42675" s="8" t="s">
        <v>364</v>
      </c>
    </row>
    <row r="42676">
      <c r="H42676" s="8" t="s">
        <v>364</v>
      </c>
    </row>
    <row r="42677">
      <c r="H42677" s="8" t="s">
        <v>364</v>
      </c>
    </row>
    <row r="42678">
      <c r="H42678" s="8" t="s">
        <v>364</v>
      </c>
    </row>
    <row r="42679">
      <c r="H42679" s="8" t="s">
        <v>364</v>
      </c>
    </row>
    <row r="42680">
      <c r="H42680" s="8" t="s">
        <v>364</v>
      </c>
    </row>
    <row r="42681">
      <c r="H42681" s="8" t="s">
        <v>364</v>
      </c>
    </row>
    <row r="42682">
      <c r="H42682" s="8" t="s">
        <v>364</v>
      </c>
    </row>
    <row r="42683">
      <c r="H42683" s="8" t="s">
        <v>364</v>
      </c>
    </row>
    <row r="42684">
      <c r="H42684" s="8" t="s">
        <v>364</v>
      </c>
    </row>
    <row r="42685">
      <c r="H42685" s="8" t="s">
        <v>364</v>
      </c>
    </row>
    <row r="42686">
      <c r="H42686" s="8" t="s">
        <v>364</v>
      </c>
    </row>
    <row r="42687">
      <c r="H42687" s="8" t="s">
        <v>364</v>
      </c>
    </row>
    <row r="42688">
      <c r="H42688" s="8" t="s">
        <v>364</v>
      </c>
    </row>
    <row r="42689">
      <c r="H42689" s="8" t="s">
        <v>364</v>
      </c>
    </row>
    <row r="42690">
      <c r="H42690" s="8" t="s">
        <v>364</v>
      </c>
    </row>
    <row r="42691">
      <c r="H42691" s="8" t="s">
        <v>364</v>
      </c>
    </row>
    <row r="42692">
      <c r="H42692" s="8" t="s">
        <v>364</v>
      </c>
    </row>
    <row r="42693">
      <c r="H42693" s="8" t="s">
        <v>364</v>
      </c>
    </row>
    <row r="42694">
      <c r="H42694" s="8" t="s">
        <v>364</v>
      </c>
    </row>
    <row r="42695">
      <c r="H42695" s="8" t="s">
        <v>364</v>
      </c>
    </row>
    <row r="42696">
      <c r="H42696" s="8" t="s">
        <v>364</v>
      </c>
    </row>
    <row r="42697">
      <c r="H42697" s="8" t="s">
        <v>364</v>
      </c>
    </row>
    <row r="42698">
      <c r="H42698" s="8" t="s">
        <v>364</v>
      </c>
    </row>
    <row r="42699">
      <c r="H42699" s="8" t="s">
        <v>364</v>
      </c>
    </row>
    <row r="42700">
      <c r="H42700" s="8" t="s">
        <v>364</v>
      </c>
    </row>
    <row r="42701">
      <c r="H42701" s="8" t="s">
        <v>364</v>
      </c>
    </row>
    <row r="42702">
      <c r="H42702" s="8" t="s">
        <v>364</v>
      </c>
    </row>
    <row r="42703">
      <c r="H42703" s="8" t="s">
        <v>364</v>
      </c>
    </row>
    <row r="42704">
      <c r="H42704" s="8" t="s">
        <v>364</v>
      </c>
    </row>
    <row r="42705">
      <c r="H42705" s="8" t="s">
        <v>364</v>
      </c>
    </row>
    <row r="42706">
      <c r="H42706" s="8" t="s">
        <v>364</v>
      </c>
    </row>
    <row r="42707">
      <c r="H42707" s="8" t="s">
        <v>364</v>
      </c>
    </row>
    <row r="42708">
      <c r="H42708" s="8" t="s">
        <v>364</v>
      </c>
    </row>
    <row r="42709">
      <c r="H42709" s="8" t="s">
        <v>364</v>
      </c>
    </row>
    <row r="42710">
      <c r="H42710" s="8" t="s">
        <v>364</v>
      </c>
    </row>
    <row r="42711">
      <c r="H42711" s="8" t="s">
        <v>364</v>
      </c>
    </row>
    <row r="42712">
      <c r="H42712" s="8" t="s">
        <v>364</v>
      </c>
    </row>
    <row r="42713">
      <c r="H42713" s="8" t="s">
        <v>364</v>
      </c>
    </row>
    <row r="42714">
      <c r="H42714" s="8" t="s">
        <v>364</v>
      </c>
    </row>
    <row r="42715">
      <c r="H42715" s="8" t="s">
        <v>364</v>
      </c>
    </row>
    <row r="42716">
      <c r="H42716" s="8" t="s">
        <v>364</v>
      </c>
    </row>
    <row r="42717">
      <c r="H42717" s="8" t="s">
        <v>364</v>
      </c>
    </row>
    <row r="42718">
      <c r="H42718" s="8" t="s">
        <v>364</v>
      </c>
    </row>
    <row r="42719">
      <c r="H42719" s="8" t="s">
        <v>364</v>
      </c>
    </row>
    <row r="42720">
      <c r="H42720" s="8" t="s">
        <v>364</v>
      </c>
    </row>
    <row r="42721">
      <c r="H42721" s="8" t="s">
        <v>364</v>
      </c>
    </row>
    <row r="42722">
      <c r="H42722" s="8" t="s">
        <v>364</v>
      </c>
    </row>
    <row r="42723">
      <c r="H42723" s="8" t="s">
        <v>364</v>
      </c>
    </row>
    <row r="42724">
      <c r="H42724" s="8" t="s">
        <v>364</v>
      </c>
    </row>
    <row r="42725">
      <c r="H42725" s="8" t="s">
        <v>364</v>
      </c>
    </row>
    <row r="42726">
      <c r="H42726" s="8" t="s">
        <v>364</v>
      </c>
    </row>
    <row r="42727">
      <c r="H42727" s="8" t="s">
        <v>364</v>
      </c>
    </row>
    <row r="42728">
      <c r="H42728" s="8" t="s">
        <v>364</v>
      </c>
    </row>
    <row r="42729">
      <c r="H42729" s="8" t="s">
        <v>364</v>
      </c>
    </row>
    <row r="42730">
      <c r="H42730" s="8" t="s">
        <v>364</v>
      </c>
    </row>
    <row r="42731">
      <c r="H42731" s="8" t="s">
        <v>364</v>
      </c>
    </row>
    <row r="42732">
      <c r="H42732" s="8" t="s">
        <v>364</v>
      </c>
    </row>
    <row r="42733">
      <c r="H42733" s="8" t="s">
        <v>364</v>
      </c>
    </row>
    <row r="42734">
      <c r="H42734" s="8" t="s">
        <v>364</v>
      </c>
    </row>
    <row r="42735">
      <c r="H42735" s="8" t="s">
        <v>364</v>
      </c>
    </row>
    <row r="42736">
      <c r="H42736" s="8" t="s">
        <v>364</v>
      </c>
    </row>
    <row r="42737">
      <c r="H42737" s="8" t="s">
        <v>364</v>
      </c>
    </row>
    <row r="42738">
      <c r="H42738" s="8" t="s">
        <v>364</v>
      </c>
    </row>
    <row r="42739">
      <c r="H42739" s="8" t="s">
        <v>364</v>
      </c>
    </row>
    <row r="42740">
      <c r="H42740" s="8" t="s">
        <v>364</v>
      </c>
    </row>
    <row r="42741">
      <c r="H42741" s="8" t="s">
        <v>364</v>
      </c>
    </row>
    <row r="42742">
      <c r="H42742" s="8" t="s">
        <v>364</v>
      </c>
    </row>
    <row r="42743">
      <c r="H42743" s="8" t="s">
        <v>364</v>
      </c>
    </row>
    <row r="42744">
      <c r="H42744" s="8" t="s">
        <v>364</v>
      </c>
    </row>
    <row r="42745">
      <c r="H42745" s="8" t="s">
        <v>364</v>
      </c>
    </row>
    <row r="42746">
      <c r="H42746" s="8" t="s">
        <v>364</v>
      </c>
    </row>
    <row r="42747">
      <c r="H42747" s="8" t="s">
        <v>364</v>
      </c>
    </row>
    <row r="42748">
      <c r="H42748" s="8" t="s">
        <v>364</v>
      </c>
    </row>
    <row r="42749">
      <c r="H42749" s="8" t="s">
        <v>364</v>
      </c>
    </row>
    <row r="42750">
      <c r="H42750" s="8" t="s">
        <v>364</v>
      </c>
    </row>
    <row r="42751">
      <c r="H42751" s="8" t="s">
        <v>364</v>
      </c>
    </row>
    <row r="42752">
      <c r="H42752" s="8" t="s">
        <v>364</v>
      </c>
    </row>
    <row r="42753">
      <c r="H42753" s="8" t="s">
        <v>364</v>
      </c>
    </row>
    <row r="42754">
      <c r="H42754" s="8" t="s">
        <v>364</v>
      </c>
    </row>
    <row r="42755">
      <c r="H42755" s="8" t="s">
        <v>364</v>
      </c>
    </row>
    <row r="42756">
      <c r="H42756" s="8" t="s">
        <v>364</v>
      </c>
    </row>
    <row r="42757">
      <c r="H42757" s="8" t="s">
        <v>364</v>
      </c>
    </row>
    <row r="42758">
      <c r="H42758" s="8" t="s">
        <v>364</v>
      </c>
    </row>
    <row r="42759">
      <c r="H42759" s="8" t="s">
        <v>364</v>
      </c>
    </row>
    <row r="42760">
      <c r="H42760" s="8" t="s">
        <v>364</v>
      </c>
    </row>
    <row r="42761">
      <c r="H42761" s="8" t="s">
        <v>364</v>
      </c>
    </row>
    <row r="42762">
      <c r="H42762" s="8" t="s">
        <v>364</v>
      </c>
    </row>
    <row r="42763">
      <c r="H42763" s="8" t="s">
        <v>364</v>
      </c>
    </row>
    <row r="42764">
      <c r="H42764" s="8" t="s">
        <v>364</v>
      </c>
    </row>
    <row r="42765">
      <c r="H42765" s="8" t="s">
        <v>364</v>
      </c>
    </row>
    <row r="42766">
      <c r="H42766" s="8" t="s">
        <v>364</v>
      </c>
    </row>
    <row r="42767">
      <c r="H42767" s="8" t="s">
        <v>364</v>
      </c>
    </row>
    <row r="42768">
      <c r="H42768" s="8" t="s">
        <v>364</v>
      </c>
    </row>
    <row r="42769">
      <c r="H42769" s="8" t="s">
        <v>364</v>
      </c>
    </row>
    <row r="42770">
      <c r="H42770" s="8" t="s">
        <v>364</v>
      </c>
    </row>
    <row r="42771">
      <c r="H42771" s="8" t="s">
        <v>364</v>
      </c>
    </row>
    <row r="42772">
      <c r="H42772" s="8" t="s">
        <v>364</v>
      </c>
    </row>
    <row r="42773">
      <c r="H42773" s="8" t="s">
        <v>364</v>
      </c>
    </row>
    <row r="42774">
      <c r="H42774" s="8" t="s">
        <v>364</v>
      </c>
    </row>
    <row r="42775">
      <c r="H42775" s="8" t="s">
        <v>364</v>
      </c>
    </row>
    <row r="42776">
      <c r="H42776" s="8" t="s">
        <v>364</v>
      </c>
    </row>
    <row r="42777">
      <c r="H42777" s="8" t="s">
        <v>364</v>
      </c>
    </row>
    <row r="42778">
      <c r="H42778" s="8" t="s">
        <v>364</v>
      </c>
    </row>
    <row r="42779">
      <c r="H42779" s="8" t="s">
        <v>364</v>
      </c>
    </row>
    <row r="42780">
      <c r="H42780" s="8" t="s">
        <v>364</v>
      </c>
    </row>
    <row r="42781">
      <c r="H42781" s="8" t="s">
        <v>364</v>
      </c>
    </row>
    <row r="42782">
      <c r="H42782" s="8" t="s">
        <v>364</v>
      </c>
    </row>
    <row r="42783">
      <c r="H42783" s="8" t="s">
        <v>364</v>
      </c>
    </row>
    <row r="42784">
      <c r="H42784" s="8" t="s">
        <v>364</v>
      </c>
    </row>
    <row r="42785">
      <c r="H42785" s="8" t="s">
        <v>364</v>
      </c>
    </row>
    <row r="42786">
      <c r="H42786" s="8" t="s">
        <v>364</v>
      </c>
    </row>
    <row r="42787">
      <c r="H42787" s="8" t="s">
        <v>364</v>
      </c>
    </row>
    <row r="42788">
      <c r="H42788" s="8" t="s">
        <v>364</v>
      </c>
    </row>
    <row r="42789">
      <c r="H42789" s="8" t="s">
        <v>364</v>
      </c>
    </row>
    <row r="42790">
      <c r="H42790" s="8" t="s">
        <v>364</v>
      </c>
    </row>
    <row r="42791">
      <c r="H42791" s="8" t="s">
        <v>364</v>
      </c>
    </row>
    <row r="42792">
      <c r="H42792" s="8" t="s">
        <v>364</v>
      </c>
    </row>
    <row r="42793">
      <c r="H42793" s="8" t="s">
        <v>364</v>
      </c>
    </row>
    <row r="42794">
      <c r="H42794" s="8" t="s">
        <v>364</v>
      </c>
    </row>
    <row r="42795">
      <c r="H42795" s="8" t="s">
        <v>364</v>
      </c>
    </row>
    <row r="42796">
      <c r="H42796" s="8" t="s">
        <v>364</v>
      </c>
    </row>
    <row r="42797">
      <c r="H42797" s="8" t="s">
        <v>364</v>
      </c>
    </row>
    <row r="42798">
      <c r="H42798" s="8" t="s">
        <v>364</v>
      </c>
    </row>
    <row r="42799">
      <c r="H42799" s="8" t="s">
        <v>364</v>
      </c>
    </row>
    <row r="42800">
      <c r="H42800" s="8" t="s">
        <v>364</v>
      </c>
    </row>
    <row r="42801">
      <c r="H42801" s="8" t="s">
        <v>364</v>
      </c>
    </row>
    <row r="42802">
      <c r="H42802" s="8" t="s">
        <v>364</v>
      </c>
    </row>
    <row r="42803">
      <c r="H42803" s="8" t="s">
        <v>364</v>
      </c>
    </row>
    <row r="42804">
      <c r="H42804" s="8" t="s">
        <v>364</v>
      </c>
    </row>
    <row r="42805">
      <c r="H42805" s="8" t="s">
        <v>364</v>
      </c>
    </row>
    <row r="42806">
      <c r="H42806" s="8" t="s">
        <v>364</v>
      </c>
    </row>
    <row r="42807">
      <c r="H42807" s="8" t="s">
        <v>364</v>
      </c>
    </row>
    <row r="42808">
      <c r="H42808" s="8" t="s">
        <v>364</v>
      </c>
    </row>
    <row r="42809">
      <c r="H42809" s="8" t="s">
        <v>364</v>
      </c>
    </row>
    <row r="42810">
      <c r="H42810" s="8" t="s">
        <v>364</v>
      </c>
    </row>
    <row r="42811">
      <c r="H42811" s="8" t="s">
        <v>364</v>
      </c>
    </row>
    <row r="42812">
      <c r="H42812" s="8" t="s">
        <v>364</v>
      </c>
    </row>
    <row r="42813">
      <c r="H42813" s="8" t="s">
        <v>364</v>
      </c>
    </row>
    <row r="42814">
      <c r="H42814" s="8" t="s">
        <v>364</v>
      </c>
    </row>
    <row r="42815">
      <c r="H42815" s="8" t="s">
        <v>364</v>
      </c>
    </row>
    <row r="42816">
      <c r="H42816" s="8" t="s">
        <v>364</v>
      </c>
    </row>
    <row r="42817">
      <c r="H42817" s="8" t="s">
        <v>364</v>
      </c>
    </row>
    <row r="42818">
      <c r="H42818" s="8" t="s">
        <v>364</v>
      </c>
    </row>
    <row r="42819">
      <c r="H42819" s="8" t="s">
        <v>364</v>
      </c>
    </row>
    <row r="42820">
      <c r="H42820" s="8" t="s">
        <v>364</v>
      </c>
    </row>
    <row r="42821">
      <c r="H42821" s="8" t="s">
        <v>364</v>
      </c>
    </row>
    <row r="42822">
      <c r="H42822" s="8" t="s">
        <v>364</v>
      </c>
    </row>
    <row r="42823">
      <c r="H42823" s="8" t="s">
        <v>364</v>
      </c>
    </row>
    <row r="42824">
      <c r="H42824" s="8" t="s">
        <v>364</v>
      </c>
    </row>
    <row r="42825">
      <c r="H42825" s="8" t="s">
        <v>364</v>
      </c>
    </row>
    <row r="42826">
      <c r="H42826" s="8" t="s">
        <v>364</v>
      </c>
    </row>
    <row r="42827">
      <c r="H42827" s="8" t="s">
        <v>364</v>
      </c>
    </row>
    <row r="42828">
      <c r="H42828" s="8" t="s">
        <v>364</v>
      </c>
    </row>
    <row r="42829">
      <c r="H42829" s="8" t="s">
        <v>364</v>
      </c>
    </row>
    <row r="42830">
      <c r="H42830" s="8" t="s">
        <v>364</v>
      </c>
    </row>
    <row r="42831">
      <c r="H42831" s="8" t="s">
        <v>364</v>
      </c>
    </row>
    <row r="42832">
      <c r="H42832" s="8" t="s">
        <v>364</v>
      </c>
    </row>
    <row r="42833">
      <c r="H42833" s="8" t="s">
        <v>364</v>
      </c>
    </row>
    <row r="42834">
      <c r="H42834" s="8" t="s">
        <v>364</v>
      </c>
    </row>
    <row r="42835">
      <c r="H42835" s="8" t="s">
        <v>364</v>
      </c>
    </row>
    <row r="42836">
      <c r="H42836" s="8" t="s">
        <v>364</v>
      </c>
    </row>
    <row r="42837">
      <c r="H42837" s="8" t="s">
        <v>364</v>
      </c>
    </row>
    <row r="42838">
      <c r="H42838" s="8" t="s">
        <v>364</v>
      </c>
    </row>
    <row r="42839">
      <c r="H42839" s="8" t="s">
        <v>364</v>
      </c>
    </row>
    <row r="42840">
      <c r="H42840" s="8" t="s">
        <v>364</v>
      </c>
    </row>
    <row r="42841">
      <c r="H42841" s="8" t="s">
        <v>364</v>
      </c>
    </row>
    <row r="42842">
      <c r="H42842" s="8" t="s">
        <v>364</v>
      </c>
    </row>
    <row r="42843">
      <c r="H42843" s="8" t="s">
        <v>364</v>
      </c>
    </row>
    <row r="42844">
      <c r="H42844" s="8" t="s">
        <v>364</v>
      </c>
    </row>
    <row r="42845">
      <c r="H42845" s="8" t="s">
        <v>364</v>
      </c>
    </row>
    <row r="42846">
      <c r="H42846" s="8" t="s">
        <v>364</v>
      </c>
    </row>
    <row r="42847">
      <c r="H42847" s="8" t="s">
        <v>364</v>
      </c>
    </row>
    <row r="42848">
      <c r="H42848" s="8" t="s">
        <v>364</v>
      </c>
    </row>
    <row r="42849">
      <c r="H42849" s="8" t="s">
        <v>364</v>
      </c>
    </row>
    <row r="42850">
      <c r="H42850" s="8" t="s">
        <v>364</v>
      </c>
    </row>
    <row r="42851">
      <c r="H42851" s="8" t="s">
        <v>364</v>
      </c>
    </row>
    <row r="42852">
      <c r="H42852" s="8" t="s">
        <v>364</v>
      </c>
    </row>
    <row r="42853">
      <c r="H42853" s="8" t="s">
        <v>364</v>
      </c>
    </row>
    <row r="42854">
      <c r="H42854" s="8" t="s">
        <v>364</v>
      </c>
    </row>
    <row r="42855">
      <c r="H42855" s="8" t="s">
        <v>364</v>
      </c>
    </row>
    <row r="42856">
      <c r="H42856" s="8" t="s">
        <v>364</v>
      </c>
    </row>
    <row r="42857">
      <c r="H42857" s="8" t="s">
        <v>364</v>
      </c>
    </row>
    <row r="42858">
      <c r="H42858" s="8" t="s">
        <v>364</v>
      </c>
    </row>
    <row r="42859">
      <c r="H42859" s="8" t="s">
        <v>364</v>
      </c>
    </row>
    <row r="42860">
      <c r="H42860" s="8" t="s">
        <v>364</v>
      </c>
    </row>
    <row r="42861">
      <c r="H42861" s="8" t="s">
        <v>364</v>
      </c>
    </row>
    <row r="42862">
      <c r="H42862" s="8" t="s">
        <v>364</v>
      </c>
    </row>
    <row r="42863">
      <c r="H42863" s="8" t="s">
        <v>364</v>
      </c>
    </row>
    <row r="42864">
      <c r="H42864" s="8" t="s">
        <v>364</v>
      </c>
    </row>
    <row r="42865">
      <c r="H42865" s="8" t="s">
        <v>364</v>
      </c>
    </row>
    <row r="42866">
      <c r="H42866" s="8" t="s">
        <v>364</v>
      </c>
    </row>
    <row r="42867">
      <c r="H42867" s="8" t="s">
        <v>364</v>
      </c>
    </row>
    <row r="42868">
      <c r="H42868" s="8" t="s">
        <v>364</v>
      </c>
    </row>
    <row r="42869">
      <c r="H42869" s="8" t="s">
        <v>364</v>
      </c>
    </row>
    <row r="42870">
      <c r="H42870" s="8" t="s">
        <v>364</v>
      </c>
    </row>
    <row r="42871">
      <c r="H42871" s="8" t="s">
        <v>364</v>
      </c>
    </row>
    <row r="42872">
      <c r="H42872" s="8" t="s">
        <v>364</v>
      </c>
    </row>
    <row r="42873">
      <c r="H42873" s="8" t="s">
        <v>364</v>
      </c>
    </row>
    <row r="42874">
      <c r="H42874" s="8" t="s">
        <v>364</v>
      </c>
    </row>
    <row r="42875">
      <c r="H42875" s="8" t="s">
        <v>364</v>
      </c>
    </row>
    <row r="42876">
      <c r="H42876" s="8" t="s">
        <v>364</v>
      </c>
    </row>
    <row r="42877">
      <c r="H42877" s="8" t="s">
        <v>364</v>
      </c>
    </row>
    <row r="42878">
      <c r="H42878" s="8" t="s">
        <v>364</v>
      </c>
    </row>
    <row r="42879">
      <c r="H42879" s="8" t="s">
        <v>364</v>
      </c>
    </row>
    <row r="42880">
      <c r="H42880" s="8" t="s">
        <v>364</v>
      </c>
    </row>
    <row r="42881">
      <c r="H42881" s="8" t="s">
        <v>364</v>
      </c>
    </row>
    <row r="42882">
      <c r="H42882" s="8" t="s">
        <v>364</v>
      </c>
    </row>
    <row r="42883">
      <c r="H42883" s="8" t="s">
        <v>364</v>
      </c>
    </row>
    <row r="42884">
      <c r="H42884" s="8" t="s">
        <v>364</v>
      </c>
    </row>
    <row r="42885">
      <c r="H42885" s="8" t="s">
        <v>364</v>
      </c>
    </row>
    <row r="42886">
      <c r="H42886" s="8" t="s">
        <v>364</v>
      </c>
    </row>
    <row r="42887">
      <c r="H42887" s="8" t="s">
        <v>364</v>
      </c>
    </row>
    <row r="42888">
      <c r="H42888" s="8" t="s">
        <v>364</v>
      </c>
    </row>
    <row r="42889">
      <c r="H42889" s="8" t="s">
        <v>364</v>
      </c>
    </row>
    <row r="42890">
      <c r="H42890" s="8" t="s">
        <v>364</v>
      </c>
    </row>
    <row r="42891">
      <c r="H42891" s="8" t="s">
        <v>364</v>
      </c>
    </row>
    <row r="42892">
      <c r="H42892" s="8" t="s">
        <v>364</v>
      </c>
    </row>
    <row r="42893">
      <c r="H42893" s="8" t="s">
        <v>364</v>
      </c>
    </row>
    <row r="42894">
      <c r="H42894" s="8" t="s">
        <v>364</v>
      </c>
    </row>
    <row r="42895">
      <c r="H42895" s="8" t="s">
        <v>364</v>
      </c>
    </row>
    <row r="42896">
      <c r="H42896" s="8" t="s">
        <v>364</v>
      </c>
    </row>
    <row r="42897">
      <c r="H42897" s="8" t="s">
        <v>364</v>
      </c>
    </row>
    <row r="42898">
      <c r="H42898" s="8" t="s">
        <v>364</v>
      </c>
    </row>
    <row r="42899">
      <c r="H42899" s="8" t="s">
        <v>364</v>
      </c>
    </row>
    <row r="42900">
      <c r="H42900" s="8" t="s">
        <v>364</v>
      </c>
    </row>
    <row r="42901">
      <c r="H42901" s="8" t="s">
        <v>364</v>
      </c>
    </row>
    <row r="42902">
      <c r="H42902" s="8" t="s">
        <v>364</v>
      </c>
    </row>
    <row r="42903">
      <c r="H42903" s="8" t="s">
        <v>364</v>
      </c>
    </row>
    <row r="42904">
      <c r="H42904" s="8" t="s">
        <v>364</v>
      </c>
    </row>
    <row r="42905">
      <c r="H42905" s="8" t="s">
        <v>364</v>
      </c>
    </row>
    <row r="42906">
      <c r="H42906" s="8" t="s">
        <v>364</v>
      </c>
    </row>
    <row r="42907">
      <c r="H42907" s="8" t="s">
        <v>364</v>
      </c>
    </row>
    <row r="42908">
      <c r="H42908" s="8" t="s">
        <v>364</v>
      </c>
    </row>
    <row r="42909">
      <c r="H42909" s="8" t="s">
        <v>364</v>
      </c>
    </row>
    <row r="42910">
      <c r="H42910" s="8" t="s">
        <v>364</v>
      </c>
    </row>
    <row r="42911">
      <c r="H42911" s="8" t="s">
        <v>364</v>
      </c>
    </row>
    <row r="42912">
      <c r="H42912" s="8" t="s">
        <v>364</v>
      </c>
    </row>
    <row r="42913">
      <c r="H42913" s="8" t="s">
        <v>364</v>
      </c>
    </row>
    <row r="42914">
      <c r="H42914" s="8" t="s">
        <v>364</v>
      </c>
    </row>
    <row r="42915">
      <c r="H42915" s="8" t="s">
        <v>364</v>
      </c>
    </row>
    <row r="42916">
      <c r="H42916" s="8" t="s">
        <v>364</v>
      </c>
    </row>
    <row r="42917">
      <c r="H42917" s="8" t="s">
        <v>364</v>
      </c>
    </row>
    <row r="42918">
      <c r="H42918" s="8" t="s">
        <v>364</v>
      </c>
    </row>
    <row r="42919">
      <c r="H42919" s="8" t="s">
        <v>364</v>
      </c>
    </row>
    <row r="42920">
      <c r="H42920" s="8" t="s">
        <v>364</v>
      </c>
    </row>
    <row r="42921">
      <c r="H42921" s="8" t="s">
        <v>364</v>
      </c>
    </row>
    <row r="42922">
      <c r="H42922" s="8" t="s">
        <v>364</v>
      </c>
    </row>
    <row r="42923">
      <c r="H42923" s="8" t="s">
        <v>364</v>
      </c>
    </row>
    <row r="42924">
      <c r="H42924" s="8" t="s">
        <v>364</v>
      </c>
    </row>
    <row r="42925">
      <c r="H42925" s="8" t="s">
        <v>364</v>
      </c>
    </row>
    <row r="42926">
      <c r="H42926" s="8" t="s">
        <v>364</v>
      </c>
    </row>
    <row r="42927">
      <c r="H42927" s="8" t="s">
        <v>364</v>
      </c>
    </row>
    <row r="42928">
      <c r="H42928" s="8" t="s">
        <v>364</v>
      </c>
    </row>
    <row r="42929">
      <c r="H42929" s="8" t="s">
        <v>364</v>
      </c>
    </row>
    <row r="42930">
      <c r="H42930" s="8" t="s">
        <v>364</v>
      </c>
    </row>
    <row r="42931">
      <c r="H42931" s="8" t="s">
        <v>364</v>
      </c>
    </row>
    <row r="42932">
      <c r="H42932" s="8" t="s">
        <v>364</v>
      </c>
    </row>
    <row r="42933">
      <c r="H42933" s="8" t="s">
        <v>364</v>
      </c>
    </row>
    <row r="42934">
      <c r="H42934" s="8" t="s">
        <v>364</v>
      </c>
    </row>
    <row r="42935">
      <c r="H42935" s="8" t="s">
        <v>364</v>
      </c>
    </row>
    <row r="42936">
      <c r="H42936" s="8" t="s">
        <v>364</v>
      </c>
    </row>
    <row r="42937">
      <c r="H42937" s="8" t="s">
        <v>364</v>
      </c>
    </row>
    <row r="42938">
      <c r="H42938" s="8" t="s">
        <v>364</v>
      </c>
    </row>
    <row r="42939">
      <c r="H42939" s="8" t="s">
        <v>364</v>
      </c>
    </row>
    <row r="42940">
      <c r="H42940" s="8" t="s">
        <v>364</v>
      </c>
    </row>
    <row r="42941">
      <c r="H42941" s="8" t="s">
        <v>364</v>
      </c>
    </row>
    <row r="42942">
      <c r="H42942" s="8" t="s">
        <v>364</v>
      </c>
    </row>
    <row r="42943">
      <c r="H42943" s="8" t="s">
        <v>364</v>
      </c>
    </row>
    <row r="42944">
      <c r="H42944" s="8" t="s">
        <v>364</v>
      </c>
    </row>
    <row r="42945">
      <c r="H42945" s="8" t="s">
        <v>364</v>
      </c>
    </row>
    <row r="42946">
      <c r="H42946" s="8" t="s">
        <v>364</v>
      </c>
    </row>
    <row r="42947">
      <c r="H42947" s="8" t="s">
        <v>364</v>
      </c>
    </row>
    <row r="42948">
      <c r="H42948" s="8" t="s">
        <v>364</v>
      </c>
    </row>
    <row r="42949">
      <c r="H42949" s="8" t="s">
        <v>364</v>
      </c>
    </row>
    <row r="42950">
      <c r="H42950" s="8" t="s">
        <v>364</v>
      </c>
    </row>
    <row r="42951">
      <c r="H42951" s="8" t="s">
        <v>364</v>
      </c>
    </row>
    <row r="42952">
      <c r="H42952" s="8" t="s">
        <v>364</v>
      </c>
    </row>
    <row r="42953">
      <c r="H42953" s="8" t="s">
        <v>364</v>
      </c>
    </row>
    <row r="42954">
      <c r="H42954" s="8" t="s">
        <v>364</v>
      </c>
    </row>
    <row r="42955">
      <c r="H42955" s="8" t="s">
        <v>364</v>
      </c>
    </row>
    <row r="42956">
      <c r="H42956" s="8" t="s">
        <v>364</v>
      </c>
    </row>
    <row r="42957">
      <c r="H42957" s="8" t="s">
        <v>364</v>
      </c>
    </row>
    <row r="42958">
      <c r="H42958" s="8" t="s">
        <v>364</v>
      </c>
    </row>
    <row r="42959">
      <c r="H42959" s="8" t="s">
        <v>364</v>
      </c>
    </row>
    <row r="42960">
      <c r="H42960" s="8" t="s">
        <v>364</v>
      </c>
    </row>
    <row r="42961">
      <c r="H42961" s="8" t="s">
        <v>364</v>
      </c>
    </row>
    <row r="42962">
      <c r="H42962" s="8" t="s">
        <v>364</v>
      </c>
    </row>
    <row r="42963">
      <c r="H42963" s="8" t="s">
        <v>364</v>
      </c>
    </row>
    <row r="42964">
      <c r="H42964" s="8" t="s">
        <v>364</v>
      </c>
    </row>
    <row r="42965">
      <c r="H42965" s="8" t="s">
        <v>364</v>
      </c>
    </row>
    <row r="42966">
      <c r="H42966" s="8" t="s">
        <v>364</v>
      </c>
    </row>
    <row r="42967">
      <c r="H42967" s="8" t="s">
        <v>364</v>
      </c>
    </row>
    <row r="42968">
      <c r="H42968" s="8" t="s">
        <v>364</v>
      </c>
    </row>
    <row r="42969">
      <c r="H42969" s="8" t="s">
        <v>364</v>
      </c>
    </row>
    <row r="42970">
      <c r="H42970" s="8" t="s">
        <v>364</v>
      </c>
    </row>
    <row r="42971">
      <c r="H42971" s="8" t="s">
        <v>364</v>
      </c>
    </row>
    <row r="42972">
      <c r="H42972" s="8" t="s">
        <v>364</v>
      </c>
    </row>
    <row r="42973">
      <c r="H42973" s="8" t="s">
        <v>364</v>
      </c>
    </row>
    <row r="42974">
      <c r="H42974" s="8" t="s">
        <v>364</v>
      </c>
    </row>
    <row r="42975">
      <c r="H42975" s="8" t="s">
        <v>364</v>
      </c>
    </row>
    <row r="42976">
      <c r="H42976" s="8" t="s">
        <v>364</v>
      </c>
    </row>
    <row r="42977">
      <c r="H42977" s="8" t="s">
        <v>364</v>
      </c>
    </row>
    <row r="42978">
      <c r="H42978" s="8" t="s">
        <v>364</v>
      </c>
    </row>
    <row r="42979">
      <c r="H42979" s="8" t="s">
        <v>364</v>
      </c>
    </row>
    <row r="42980">
      <c r="H42980" s="8" t="s">
        <v>364</v>
      </c>
    </row>
    <row r="42981">
      <c r="H42981" s="8" t="s">
        <v>364</v>
      </c>
    </row>
    <row r="42982">
      <c r="H42982" s="8" t="s">
        <v>364</v>
      </c>
    </row>
    <row r="42983">
      <c r="H42983" s="8" t="s">
        <v>364</v>
      </c>
    </row>
    <row r="42984">
      <c r="H42984" s="8" t="s">
        <v>364</v>
      </c>
    </row>
    <row r="42985">
      <c r="H42985" s="8" t="s">
        <v>364</v>
      </c>
    </row>
    <row r="42986">
      <c r="H42986" s="8" t="s">
        <v>364</v>
      </c>
    </row>
    <row r="42987">
      <c r="H42987" s="8" t="s">
        <v>364</v>
      </c>
    </row>
    <row r="42988">
      <c r="H42988" s="8" t="s">
        <v>364</v>
      </c>
    </row>
    <row r="42989">
      <c r="H42989" s="8" t="s">
        <v>364</v>
      </c>
    </row>
    <row r="42990">
      <c r="H42990" s="8" t="s">
        <v>364</v>
      </c>
    </row>
    <row r="42991">
      <c r="H42991" s="8" t="s">
        <v>364</v>
      </c>
    </row>
    <row r="42992">
      <c r="H42992" s="8" t="s">
        <v>364</v>
      </c>
    </row>
    <row r="42993">
      <c r="H42993" s="8" t="s">
        <v>364</v>
      </c>
    </row>
    <row r="42994">
      <c r="H42994" s="8" t="s">
        <v>364</v>
      </c>
    </row>
    <row r="42995">
      <c r="H42995" s="8" t="s">
        <v>364</v>
      </c>
    </row>
    <row r="42996">
      <c r="H42996" s="8" t="s">
        <v>364</v>
      </c>
    </row>
    <row r="42997">
      <c r="H42997" s="8" t="s">
        <v>364</v>
      </c>
    </row>
    <row r="42998">
      <c r="H42998" s="8" t="s">
        <v>364</v>
      </c>
    </row>
    <row r="42999">
      <c r="H42999" s="8" t="s">
        <v>364</v>
      </c>
    </row>
    <row r="43000">
      <c r="H43000" s="8" t="s">
        <v>364</v>
      </c>
    </row>
    <row r="43001">
      <c r="H43001" s="8" t="s">
        <v>364</v>
      </c>
    </row>
    <row r="43002">
      <c r="H43002" s="8" t="s">
        <v>364</v>
      </c>
    </row>
    <row r="43003">
      <c r="H43003" s="8" t="s">
        <v>364</v>
      </c>
    </row>
    <row r="43004">
      <c r="H43004" s="8" t="s">
        <v>364</v>
      </c>
    </row>
    <row r="43005">
      <c r="H43005" s="8" t="s">
        <v>364</v>
      </c>
    </row>
    <row r="43006">
      <c r="H43006" s="8" t="s">
        <v>364</v>
      </c>
    </row>
    <row r="43007">
      <c r="H43007" s="8" t="s">
        <v>364</v>
      </c>
    </row>
    <row r="43008">
      <c r="H43008" s="8" t="s">
        <v>364</v>
      </c>
    </row>
    <row r="43009">
      <c r="H43009" s="8" t="s">
        <v>364</v>
      </c>
    </row>
    <row r="43010">
      <c r="H43010" s="8" t="s">
        <v>364</v>
      </c>
    </row>
    <row r="43011">
      <c r="H43011" s="8" t="s">
        <v>364</v>
      </c>
    </row>
    <row r="43012">
      <c r="H43012" s="8" t="s">
        <v>364</v>
      </c>
    </row>
    <row r="43013">
      <c r="H43013" s="8" t="s">
        <v>364</v>
      </c>
    </row>
    <row r="43014">
      <c r="H43014" s="8" t="s">
        <v>364</v>
      </c>
    </row>
    <row r="43015">
      <c r="H43015" s="8" t="s">
        <v>364</v>
      </c>
    </row>
    <row r="43016">
      <c r="H43016" s="8" t="s">
        <v>364</v>
      </c>
    </row>
    <row r="43017">
      <c r="H43017" s="8" t="s">
        <v>364</v>
      </c>
    </row>
    <row r="43018">
      <c r="H43018" s="8" t="s">
        <v>364</v>
      </c>
    </row>
    <row r="43019">
      <c r="H43019" s="8" t="s">
        <v>364</v>
      </c>
    </row>
    <row r="43020">
      <c r="H43020" s="8" t="s">
        <v>364</v>
      </c>
    </row>
    <row r="43021">
      <c r="H43021" s="8" t="s">
        <v>364</v>
      </c>
    </row>
    <row r="43022">
      <c r="H43022" s="8" t="s">
        <v>364</v>
      </c>
    </row>
    <row r="43023">
      <c r="H43023" s="8" t="s">
        <v>364</v>
      </c>
    </row>
    <row r="43024">
      <c r="H43024" s="8" t="s">
        <v>364</v>
      </c>
    </row>
    <row r="43025">
      <c r="H43025" s="8" t="s">
        <v>364</v>
      </c>
    </row>
    <row r="43026">
      <c r="H43026" s="8" t="s">
        <v>364</v>
      </c>
    </row>
    <row r="43027">
      <c r="H43027" s="8" t="s">
        <v>364</v>
      </c>
    </row>
    <row r="43028">
      <c r="H43028" s="8" t="s">
        <v>364</v>
      </c>
    </row>
    <row r="43029">
      <c r="H43029" s="8" t="s">
        <v>364</v>
      </c>
    </row>
    <row r="43030">
      <c r="H43030" s="8" t="s">
        <v>364</v>
      </c>
    </row>
    <row r="43031">
      <c r="H43031" s="8" t="s">
        <v>364</v>
      </c>
    </row>
    <row r="43032">
      <c r="H43032" s="8" t="s">
        <v>364</v>
      </c>
    </row>
    <row r="43033">
      <c r="H43033" s="8" t="s">
        <v>364</v>
      </c>
    </row>
    <row r="43034">
      <c r="H43034" s="8" t="s">
        <v>364</v>
      </c>
    </row>
    <row r="43035">
      <c r="H43035" s="8" t="s">
        <v>364</v>
      </c>
    </row>
    <row r="43036">
      <c r="H43036" s="8" t="s">
        <v>364</v>
      </c>
    </row>
    <row r="43037">
      <c r="H43037" s="8" t="s">
        <v>364</v>
      </c>
    </row>
    <row r="43038">
      <c r="H43038" s="8" t="s">
        <v>364</v>
      </c>
    </row>
    <row r="43039">
      <c r="H43039" s="8" t="s">
        <v>364</v>
      </c>
    </row>
    <row r="43040">
      <c r="H43040" s="8" t="s">
        <v>364</v>
      </c>
    </row>
    <row r="43041">
      <c r="H43041" s="8" t="s">
        <v>364</v>
      </c>
    </row>
    <row r="43042">
      <c r="H43042" s="8" t="s">
        <v>364</v>
      </c>
    </row>
    <row r="43043">
      <c r="H43043" s="8" t="s">
        <v>364</v>
      </c>
    </row>
    <row r="43044">
      <c r="H43044" s="8" t="s">
        <v>364</v>
      </c>
    </row>
    <row r="43045">
      <c r="H43045" s="8" t="s">
        <v>364</v>
      </c>
    </row>
    <row r="43046">
      <c r="H43046" s="8" t="s">
        <v>364</v>
      </c>
    </row>
    <row r="43047">
      <c r="H43047" s="8" t="s">
        <v>364</v>
      </c>
    </row>
    <row r="43048">
      <c r="H43048" s="8" t="s">
        <v>364</v>
      </c>
    </row>
    <row r="43049">
      <c r="H43049" s="8" t="s">
        <v>364</v>
      </c>
    </row>
    <row r="43050">
      <c r="H43050" s="8" t="s">
        <v>364</v>
      </c>
    </row>
    <row r="43051">
      <c r="H43051" s="8" t="s">
        <v>364</v>
      </c>
    </row>
    <row r="43052">
      <c r="H43052" s="8" t="s">
        <v>364</v>
      </c>
    </row>
    <row r="43053">
      <c r="H43053" s="8" t="s">
        <v>364</v>
      </c>
    </row>
    <row r="43054">
      <c r="H43054" s="8" t="s">
        <v>364</v>
      </c>
    </row>
    <row r="43055">
      <c r="H43055" s="8" t="s">
        <v>364</v>
      </c>
    </row>
    <row r="43056">
      <c r="H43056" s="8" t="s">
        <v>364</v>
      </c>
    </row>
    <row r="43057">
      <c r="H43057" s="8" t="s">
        <v>364</v>
      </c>
    </row>
    <row r="43058">
      <c r="H43058" s="8" t="s">
        <v>364</v>
      </c>
    </row>
    <row r="43059">
      <c r="H43059" s="8" t="s">
        <v>364</v>
      </c>
    </row>
    <row r="43060">
      <c r="H43060" s="8" t="s">
        <v>364</v>
      </c>
    </row>
    <row r="43061">
      <c r="H43061" s="8" t="s">
        <v>364</v>
      </c>
    </row>
    <row r="43062">
      <c r="H43062" s="8" t="s">
        <v>364</v>
      </c>
    </row>
    <row r="43063">
      <c r="H43063" s="8" t="s">
        <v>364</v>
      </c>
    </row>
    <row r="43064">
      <c r="H43064" s="8" t="s">
        <v>364</v>
      </c>
    </row>
    <row r="43065">
      <c r="H43065" s="8" t="s">
        <v>364</v>
      </c>
    </row>
    <row r="43066">
      <c r="H43066" s="8" t="s">
        <v>364</v>
      </c>
    </row>
    <row r="43067">
      <c r="H43067" s="8" t="s">
        <v>364</v>
      </c>
    </row>
    <row r="43068">
      <c r="H43068" s="8" t="s">
        <v>364</v>
      </c>
    </row>
    <row r="43069">
      <c r="H43069" s="8" t="s">
        <v>364</v>
      </c>
    </row>
    <row r="43070">
      <c r="H43070" s="8" t="s">
        <v>364</v>
      </c>
    </row>
    <row r="43071">
      <c r="H43071" s="8" t="s">
        <v>364</v>
      </c>
    </row>
    <row r="43072">
      <c r="H43072" s="8" t="s">
        <v>364</v>
      </c>
    </row>
    <row r="43073">
      <c r="H43073" s="8" t="s">
        <v>364</v>
      </c>
    </row>
    <row r="43074">
      <c r="H43074" s="8" t="s">
        <v>364</v>
      </c>
    </row>
    <row r="43075">
      <c r="H43075" s="8" t="s">
        <v>364</v>
      </c>
    </row>
    <row r="43076">
      <c r="H43076" s="8" t="s">
        <v>364</v>
      </c>
    </row>
    <row r="43077">
      <c r="H43077" s="8" t="s">
        <v>364</v>
      </c>
    </row>
    <row r="43078">
      <c r="H43078" s="8" t="s">
        <v>364</v>
      </c>
    </row>
    <row r="43079">
      <c r="H43079" s="8" t="s">
        <v>364</v>
      </c>
    </row>
    <row r="43080">
      <c r="H43080" s="8" t="s">
        <v>364</v>
      </c>
    </row>
    <row r="43081">
      <c r="H43081" s="8" t="s">
        <v>364</v>
      </c>
    </row>
    <row r="43082">
      <c r="H43082" s="8" t="s">
        <v>364</v>
      </c>
    </row>
    <row r="43083">
      <c r="H43083" s="8" t="s">
        <v>364</v>
      </c>
    </row>
    <row r="43084">
      <c r="H43084" s="8" t="s">
        <v>364</v>
      </c>
    </row>
    <row r="43085">
      <c r="H43085" s="8" t="s">
        <v>364</v>
      </c>
    </row>
    <row r="43086">
      <c r="H43086" s="8" t="s">
        <v>364</v>
      </c>
    </row>
    <row r="43087">
      <c r="H43087" s="8" t="s">
        <v>364</v>
      </c>
    </row>
    <row r="43088">
      <c r="H43088" s="8" t="s">
        <v>364</v>
      </c>
    </row>
    <row r="43089">
      <c r="H43089" s="8" t="s">
        <v>364</v>
      </c>
    </row>
    <row r="43090">
      <c r="H43090" s="8" t="s">
        <v>364</v>
      </c>
    </row>
    <row r="43091">
      <c r="H43091" s="8" t="s">
        <v>364</v>
      </c>
    </row>
    <row r="43092">
      <c r="H43092" s="8" t="s">
        <v>364</v>
      </c>
    </row>
    <row r="43093">
      <c r="H43093" s="8" t="s">
        <v>364</v>
      </c>
    </row>
    <row r="43094">
      <c r="H43094" s="8" t="s">
        <v>364</v>
      </c>
    </row>
    <row r="43095">
      <c r="H43095" s="8" t="s">
        <v>364</v>
      </c>
    </row>
    <row r="43096">
      <c r="H43096" s="8" t="s">
        <v>364</v>
      </c>
    </row>
    <row r="43097">
      <c r="H43097" s="8" t="s">
        <v>364</v>
      </c>
    </row>
    <row r="43098">
      <c r="H43098" s="8" t="s">
        <v>364</v>
      </c>
    </row>
    <row r="43099">
      <c r="H43099" s="8" t="s">
        <v>364</v>
      </c>
    </row>
    <row r="43100">
      <c r="H43100" s="8" t="s">
        <v>364</v>
      </c>
    </row>
    <row r="43101">
      <c r="H43101" s="8" t="s">
        <v>364</v>
      </c>
    </row>
    <row r="43102">
      <c r="H43102" s="8" t="s">
        <v>364</v>
      </c>
    </row>
    <row r="43103">
      <c r="H43103" s="8" t="s">
        <v>364</v>
      </c>
    </row>
    <row r="43104">
      <c r="H43104" s="8" t="s">
        <v>364</v>
      </c>
    </row>
    <row r="43105">
      <c r="H43105" s="8" t="s">
        <v>364</v>
      </c>
    </row>
    <row r="43106">
      <c r="H43106" s="8" t="s">
        <v>364</v>
      </c>
    </row>
    <row r="43107">
      <c r="H43107" s="8" t="s">
        <v>364</v>
      </c>
    </row>
    <row r="43108">
      <c r="H43108" s="8" t="s">
        <v>364</v>
      </c>
    </row>
    <row r="43109">
      <c r="H43109" s="8" t="s">
        <v>364</v>
      </c>
    </row>
    <row r="43110">
      <c r="H43110" s="8" t="s">
        <v>364</v>
      </c>
    </row>
    <row r="43111">
      <c r="H43111" s="8" t="s">
        <v>364</v>
      </c>
    </row>
    <row r="43112">
      <c r="H43112" s="8" t="s">
        <v>364</v>
      </c>
    </row>
    <row r="43113">
      <c r="H43113" s="8" t="s">
        <v>364</v>
      </c>
    </row>
    <row r="43114">
      <c r="H43114" s="8" t="s">
        <v>364</v>
      </c>
    </row>
    <row r="43115">
      <c r="H43115" s="8" t="s">
        <v>364</v>
      </c>
    </row>
    <row r="43116">
      <c r="H43116" s="8" t="s">
        <v>364</v>
      </c>
    </row>
    <row r="43117">
      <c r="H43117" s="8" t="s">
        <v>364</v>
      </c>
    </row>
    <row r="43118">
      <c r="H43118" s="8" t="s">
        <v>364</v>
      </c>
    </row>
    <row r="43119">
      <c r="H43119" s="8" t="s">
        <v>364</v>
      </c>
    </row>
    <row r="43120">
      <c r="H43120" s="8" t="s">
        <v>364</v>
      </c>
    </row>
    <row r="43121">
      <c r="H43121" s="8" t="s">
        <v>364</v>
      </c>
    </row>
    <row r="43122">
      <c r="H43122" s="8" t="s">
        <v>364</v>
      </c>
    </row>
    <row r="43123">
      <c r="H43123" s="8" t="s">
        <v>364</v>
      </c>
    </row>
    <row r="43124">
      <c r="H43124" s="8" t="s">
        <v>364</v>
      </c>
    </row>
    <row r="43125">
      <c r="H43125" s="8" t="s">
        <v>364</v>
      </c>
    </row>
    <row r="43126">
      <c r="H43126" s="8" t="s">
        <v>364</v>
      </c>
    </row>
    <row r="43127">
      <c r="H43127" s="8" t="s">
        <v>364</v>
      </c>
    </row>
    <row r="43128">
      <c r="H43128" s="8" t="s">
        <v>364</v>
      </c>
    </row>
    <row r="43129">
      <c r="H43129" s="8" t="s">
        <v>364</v>
      </c>
    </row>
    <row r="43130">
      <c r="H43130" s="8" t="s">
        <v>364</v>
      </c>
    </row>
    <row r="43131">
      <c r="H43131" s="8" t="s">
        <v>364</v>
      </c>
    </row>
    <row r="43132">
      <c r="H43132" s="8" t="s">
        <v>364</v>
      </c>
    </row>
    <row r="43133">
      <c r="H43133" s="8" t="s">
        <v>364</v>
      </c>
    </row>
    <row r="43134">
      <c r="H43134" s="8" t="s">
        <v>364</v>
      </c>
    </row>
    <row r="43135">
      <c r="H43135" s="8" t="s">
        <v>364</v>
      </c>
    </row>
    <row r="43136">
      <c r="H43136" s="8" t="s">
        <v>364</v>
      </c>
    </row>
    <row r="43137">
      <c r="H43137" s="8" t="s">
        <v>364</v>
      </c>
    </row>
    <row r="43138">
      <c r="H43138" s="8" t="s">
        <v>364</v>
      </c>
    </row>
    <row r="43139">
      <c r="H43139" s="8" t="s">
        <v>364</v>
      </c>
    </row>
    <row r="43140">
      <c r="H43140" s="8" t="s">
        <v>364</v>
      </c>
    </row>
    <row r="43141">
      <c r="H43141" s="8" t="s">
        <v>364</v>
      </c>
    </row>
    <row r="43142">
      <c r="H43142" s="8" t="s">
        <v>364</v>
      </c>
    </row>
    <row r="43143">
      <c r="H43143" s="8" t="s">
        <v>364</v>
      </c>
    </row>
    <row r="43144">
      <c r="H43144" s="8" t="s">
        <v>364</v>
      </c>
    </row>
    <row r="43145">
      <c r="H43145" s="8" t="s">
        <v>364</v>
      </c>
    </row>
    <row r="43146">
      <c r="H43146" s="8" t="s">
        <v>364</v>
      </c>
    </row>
    <row r="43147">
      <c r="H43147" s="8" t="s">
        <v>364</v>
      </c>
    </row>
    <row r="43148">
      <c r="H43148" s="8" t="s">
        <v>364</v>
      </c>
    </row>
    <row r="43149">
      <c r="H43149" s="8" t="s">
        <v>364</v>
      </c>
    </row>
    <row r="43150">
      <c r="H43150" s="8" t="s">
        <v>364</v>
      </c>
    </row>
    <row r="43151">
      <c r="H43151" s="8" t="s">
        <v>364</v>
      </c>
    </row>
    <row r="43152">
      <c r="H43152" s="8" t="s">
        <v>364</v>
      </c>
    </row>
    <row r="43153">
      <c r="H43153" s="8" t="s">
        <v>364</v>
      </c>
    </row>
    <row r="43154">
      <c r="H43154" s="8" t="s">
        <v>364</v>
      </c>
    </row>
    <row r="43155">
      <c r="H43155" s="8" t="s">
        <v>364</v>
      </c>
    </row>
    <row r="43156">
      <c r="H43156" s="8" t="s">
        <v>364</v>
      </c>
    </row>
    <row r="43157">
      <c r="H43157" s="8" t="s">
        <v>364</v>
      </c>
    </row>
    <row r="43158">
      <c r="H43158" s="8" t="s">
        <v>364</v>
      </c>
    </row>
    <row r="43159">
      <c r="H43159" s="8" t="s">
        <v>364</v>
      </c>
    </row>
    <row r="43160">
      <c r="H43160" s="8" t="s">
        <v>364</v>
      </c>
    </row>
    <row r="43161">
      <c r="H43161" s="8" t="s">
        <v>364</v>
      </c>
    </row>
    <row r="43162">
      <c r="H43162" s="8" t="s">
        <v>364</v>
      </c>
    </row>
    <row r="43163">
      <c r="H43163" s="8" t="s">
        <v>364</v>
      </c>
    </row>
    <row r="43164">
      <c r="H43164" s="8" t="s">
        <v>364</v>
      </c>
    </row>
    <row r="43165">
      <c r="H43165" s="8" t="s">
        <v>364</v>
      </c>
    </row>
    <row r="43166">
      <c r="H43166" s="8" t="s">
        <v>364</v>
      </c>
    </row>
    <row r="43167">
      <c r="H43167" s="8" t="s">
        <v>364</v>
      </c>
    </row>
    <row r="43168">
      <c r="H43168" s="8" t="s">
        <v>364</v>
      </c>
    </row>
    <row r="43169">
      <c r="H43169" s="8" t="s">
        <v>364</v>
      </c>
    </row>
    <row r="43170">
      <c r="H43170" s="8" t="s">
        <v>364</v>
      </c>
    </row>
    <row r="43171">
      <c r="H43171" s="8" t="s">
        <v>364</v>
      </c>
    </row>
    <row r="43172">
      <c r="H43172" s="8" t="s">
        <v>364</v>
      </c>
    </row>
    <row r="43173">
      <c r="H43173" s="8" t="s">
        <v>364</v>
      </c>
    </row>
    <row r="43174">
      <c r="H43174" s="8" t="s">
        <v>364</v>
      </c>
    </row>
    <row r="43175">
      <c r="H43175" s="8" t="s">
        <v>364</v>
      </c>
    </row>
    <row r="43176">
      <c r="H43176" s="8" t="s">
        <v>364</v>
      </c>
    </row>
    <row r="43177">
      <c r="H43177" s="8" t="s">
        <v>364</v>
      </c>
    </row>
    <row r="43178">
      <c r="H43178" s="8" t="s">
        <v>364</v>
      </c>
    </row>
    <row r="43179">
      <c r="H43179" s="8" t="s">
        <v>364</v>
      </c>
    </row>
    <row r="43180">
      <c r="H43180" s="8" t="s">
        <v>364</v>
      </c>
    </row>
    <row r="43181">
      <c r="H43181" s="8" t="s">
        <v>364</v>
      </c>
    </row>
    <row r="43182">
      <c r="H43182" s="8" t="s">
        <v>364</v>
      </c>
    </row>
    <row r="43183">
      <c r="H43183" s="8" t="s">
        <v>364</v>
      </c>
    </row>
    <row r="43184">
      <c r="H43184" s="8" t="s">
        <v>364</v>
      </c>
    </row>
    <row r="43185">
      <c r="H43185" s="8" t="s">
        <v>364</v>
      </c>
    </row>
    <row r="43186">
      <c r="H43186" s="8" t="s">
        <v>364</v>
      </c>
    </row>
    <row r="43187">
      <c r="H43187" s="8" t="s">
        <v>364</v>
      </c>
    </row>
    <row r="43188">
      <c r="H43188" s="8" t="s">
        <v>364</v>
      </c>
    </row>
    <row r="43189">
      <c r="H43189" s="8" t="s">
        <v>364</v>
      </c>
    </row>
    <row r="43190">
      <c r="H43190" s="8" t="s">
        <v>364</v>
      </c>
    </row>
    <row r="43191">
      <c r="H43191" s="8" t="s">
        <v>364</v>
      </c>
    </row>
    <row r="43192">
      <c r="H43192" s="8" t="s">
        <v>364</v>
      </c>
    </row>
    <row r="43193">
      <c r="H43193" s="8" t="s">
        <v>364</v>
      </c>
    </row>
    <row r="43194">
      <c r="H43194" s="8" t="s">
        <v>364</v>
      </c>
    </row>
    <row r="43195">
      <c r="H43195" s="8" t="s">
        <v>364</v>
      </c>
    </row>
    <row r="43196">
      <c r="H43196" s="8" t="s">
        <v>364</v>
      </c>
    </row>
    <row r="43197">
      <c r="H43197" s="8" t="s">
        <v>364</v>
      </c>
    </row>
    <row r="43198">
      <c r="H43198" s="8" t="s">
        <v>364</v>
      </c>
    </row>
    <row r="43199">
      <c r="H43199" s="8" t="s">
        <v>364</v>
      </c>
    </row>
    <row r="43200">
      <c r="H43200" s="8" t="s">
        <v>364</v>
      </c>
    </row>
    <row r="43201">
      <c r="H43201" s="8" t="s">
        <v>364</v>
      </c>
    </row>
    <row r="43202">
      <c r="H43202" s="8" t="s">
        <v>364</v>
      </c>
    </row>
    <row r="43203">
      <c r="H43203" s="8" t="s">
        <v>364</v>
      </c>
    </row>
    <row r="43204">
      <c r="H43204" s="8" t="s">
        <v>364</v>
      </c>
    </row>
    <row r="43205">
      <c r="H43205" s="8" t="s">
        <v>364</v>
      </c>
    </row>
    <row r="43206">
      <c r="H43206" s="8" t="s">
        <v>364</v>
      </c>
    </row>
    <row r="43207">
      <c r="H43207" s="8" t="s">
        <v>364</v>
      </c>
    </row>
    <row r="43208">
      <c r="H43208" s="8" t="s">
        <v>364</v>
      </c>
    </row>
    <row r="43209">
      <c r="H43209" s="8" t="s">
        <v>364</v>
      </c>
    </row>
    <row r="43210">
      <c r="H43210" s="8" t="s">
        <v>364</v>
      </c>
    </row>
    <row r="43211">
      <c r="H43211" s="8" t="s">
        <v>364</v>
      </c>
    </row>
    <row r="43212">
      <c r="H43212" s="8" t="s">
        <v>364</v>
      </c>
    </row>
    <row r="43213">
      <c r="H43213" s="8" t="s">
        <v>364</v>
      </c>
    </row>
    <row r="43214">
      <c r="H43214" s="8" t="s">
        <v>364</v>
      </c>
    </row>
    <row r="43215">
      <c r="H43215" s="8" t="s">
        <v>364</v>
      </c>
    </row>
    <row r="43216">
      <c r="H43216" s="8" t="s">
        <v>364</v>
      </c>
    </row>
    <row r="43217">
      <c r="H43217" s="8" t="s">
        <v>364</v>
      </c>
    </row>
    <row r="43218">
      <c r="H43218" s="8" t="s">
        <v>364</v>
      </c>
    </row>
    <row r="43219">
      <c r="H43219" s="8" t="s">
        <v>364</v>
      </c>
    </row>
    <row r="43220">
      <c r="H43220" s="8" t="s">
        <v>364</v>
      </c>
    </row>
    <row r="43221">
      <c r="H43221" s="8" t="s">
        <v>364</v>
      </c>
    </row>
    <row r="43222">
      <c r="H43222" s="8" t="s">
        <v>364</v>
      </c>
    </row>
    <row r="43223">
      <c r="H43223" s="8" t="s">
        <v>364</v>
      </c>
    </row>
    <row r="43224">
      <c r="H43224" s="8" t="s">
        <v>364</v>
      </c>
    </row>
    <row r="43225">
      <c r="H43225" s="8" t="s">
        <v>364</v>
      </c>
    </row>
    <row r="43226">
      <c r="H43226" s="8" t="s">
        <v>364</v>
      </c>
    </row>
    <row r="43227">
      <c r="H43227" s="8" t="s">
        <v>364</v>
      </c>
    </row>
    <row r="43228">
      <c r="H43228" s="8" t="s">
        <v>364</v>
      </c>
    </row>
    <row r="43229">
      <c r="H43229" s="8" t="s">
        <v>364</v>
      </c>
    </row>
    <row r="43230">
      <c r="H43230" s="8" t="s">
        <v>364</v>
      </c>
    </row>
    <row r="43231">
      <c r="H43231" s="8" t="s">
        <v>364</v>
      </c>
    </row>
    <row r="43232">
      <c r="H43232" s="8" t="s">
        <v>364</v>
      </c>
    </row>
    <row r="43233">
      <c r="H43233" s="8" t="s">
        <v>364</v>
      </c>
    </row>
    <row r="43234">
      <c r="H43234" s="8" t="s">
        <v>364</v>
      </c>
    </row>
    <row r="43235">
      <c r="H43235" s="8" t="s">
        <v>364</v>
      </c>
    </row>
    <row r="43236">
      <c r="H43236" s="8" t="s">
        <v>364</v>
      </c>
    </row>
    <row r="43237">
      <c r="H43237" s="8" t="s">
        <v>364</v>
      </c>
    </row>
    <row r="43238">
      <c r="H43238" s="8" t="s">
        <v>364</v>
      </c>
    </row>
    <row r="43239">
      <c r="H43239" s="8" t="s">
        <v>364</v>
      </c>
    </row>
    <row r="43240">
      <c r="H43240" s="8" t="s">
        <v>364</v>
      </c>
    </row>
    <row r="43241">
      <c r="H43241" s="8" t="s">
        <v>364</v>
      </c>
    </row>
    <row r="43242">
      <c r="H43242" s="8" t="s">
        <v>364</v>
      </c>
    </row>
    <row r="43243">
      <c r="H43243" s="8" t="s">
        <v>364</v>
      </c>
    </row>
    <row r="43244">
      <c r="H43244" s="8" t="s">
        <v>364</v>
      </c>
    </row>
    <row r="43245">
      <c r="H43245" s="8" t="s">
        <v>364</v>
      </c>
    </row>
    <row r="43246">
      <c r="H43246" s="8" t="s">
        <v>364</v>
      </c>
    </row>
    <row r="43247">
      <c r="H43247" s="8" t="s">
        <v>364</v>
      </c>
    </row>
    <row r="43248">
      <c r="H43248" s="8" t="s">
        <v>364</v>
      </c>
    </row>
    <row r="43249">
      <c r="H43249" s="8" t="s">
        <v>364</v>
      </c>
    </row>
    <row r="43250">
      <c r="H43250" s="8" t="s">
        <v>364</v>
      </c>
    </row>
    <row r="43251">
      <c r="H43251" s="8" t="s">
        <v>364</v>
      </c>
    </row>
    <row r="43252">
      <c r="H43252" s="8" t="s">
        <v>364</v>
      </c>
    </row>
    <row r="43253">
      <c r="H43253" s="8" t="s">
        <v>364</v>
      </c>
    </row>
    <row r="43254">
      <c r="H43254" s="8" t="s">
        <v>364</v>
      </c>
    </row>
    <row r="43255">
      <c r="H43255" s="8" t="s">
        <v>364</v>
      </c>
    </row>
    <row r="43256">
      <c r="H43256" s="8" t="s">
        <v>364</v>
      </c>
    </row>
    <row r="43257">
      <c r="H43257" s="8" t="s">
        <v>364</v>
      </c>
    </row>
    <row r="43258">
      <c r="H43258" s="8" t="s">
        <v>364</v>
      </c>
    </row>
    <row r="43259">
      <c r="H43259" s="8" t="s">
        <v>364</v>
      </c>
    </row>
    <row r="43260">
      <c r="H43260" s="8" t="s">
        <v>364</v>
      </c>
    </row>
    <row r="43261">
      <c r="H43261" s="8" t="s">
        <v>364</v>
      </c>
    </row>
    <row r="43262">
      <c r="H43262" s="8" t="s">
        <v>364</v>
      </c>
    </row>
    <row r="43263">
      <c r="H43263" s="8" t="s">
        <v>364</v>
      </c>
    </row>
    <row r="43264">
      <c r="H43264" s="8" t="s">
        <v>364</v>
      </c>
    </row>
    <row r="43265">
      <c r="H43265" s="8" t="s">
        <v>364</v>
      </c>
    </row>
    <row r="43266">
      <c r="H43266" s="8" t="s">
        <v>364</v>
      </c>
    </row>
    <row r="43267">
      <c r="H43267" s="8" t="s">
        <v>364</v>
      </c>
    </row>
    <row r="43268">
      <c r="H43268" s="8" t="s">
        <v>364</v>
      </c>
    </row>
    <row r="43269">
      <c r="H43269" s="8" t="s">
        <v>364</v>
      </c>
    </row>
    <row r="43270">
      <c r="H43270" s="8" t="s">
        <v>364</v>
      </c>
    </row>
    <row r="43271">
      <c r="H43271" s="8" t="s">
        <v>364</v>
      </c>
    </row>
    <row r="43272">
      <c r="H43272" s="8" t="s">
        <v>364</v>
      </c>
    </row>
    <row r="43273">
      <c r="H43273" s="8" t="s">
        <v>364</v>
      </c>
    </row>
    <row r="43274">
      <c r="H43274" s="8" t="s">
        <v>364</v>
      </c>
    </row>
    <row r="43275">
      <c r="H43275" s="8" t="s">
        <v>364</v>
      </c>
    </row>
    <row r="43276">
      <c r="H43276" s="8" t="s">
        <v>364</v>
      </c>
    </row>
    <row r="43277">
      <c r="H43277" s="8" t="s">
        <v>364</v>
      </c>
    </row>
    <row r="43278">
      <c r="H43278" s="8" t="s">
        <v>364</v>
      </c>
    </row>
    <row r="43279">
      <c r="H43279" s="8" t="s">
        <v>364</v>
      </c>
    </row>
    <row r="43280">
      <c r="H43280" s="8" t="s">
        <v>364</v>
      </c>
    </row>
    <row r="43281">
      <c r="H43281" s="8" t="s">
        <v>364</v>
      </c>
    </row>
    <row r="43282">
      <c r="H43282" s="8" t="s">
        <v>364</v>
      </c>
    </row>
    <row r="43283">
      <c r="H43283" s="8" t="s">
        <v>364</v>
      </c>
    </row>
    <row r="43284">
      <c r="H43284" s="8" t="s">
        <v>364</v>
      </c>
    </row>
    <row r="43285">
      <c r="H43285" s="8" t="s">
        <v>364</v>
      </c>
    </row>
    <row r="43286">
      <c r="H43286" s="8" t="s">
        <v>364</v>
      </c>
    </row>
    <row r="43287">
      <c r="H43287" s="8" t="s">
        <v>364</v>
      </c>
    </row>
    <row r="43288">
      <c r="H43288" s="8" t="s">
        <v>364</v>
      </c>
    </row>
    <row r="43289">
      <c r="H43289" s="8" t="s">
        <v>364</v>
      </c>
    </row>
    <row r="43290">
      <c r="H43290" s="8" t="s">
        <v>364</v>
      </c>
    </row>
    <row r="43291">
      <c r="H43291" s="8" t="s">
        <v>364</v>
      </c>
    </row>
    <row r="43292">
      <c r="H43292" s="8" t="s">
        <v>364</v>
      </c>
    </row>
    <row r="43293">
      <c r="H43293" s="8" t="s">
        <v>364</v>
      </c>
    </row>
    <row r="43294">
      <c r="H43294" s="8" t="s">
        <v>364</v>
      </c>
    </row>
    <row r="43295">
      <c r="H43295" s="8" t="s">
        <v>364</v>
      </c>
    </row>
    <row r="43296">
      <c r="H43296" s="8" t="s">
        <v>364</v>
      </c>
    </row>
    <row r="43297">
      <c r="H43297" s="8" t="s">
        <v>364</v>
      </c>
    </row>
    <row r="43298">
      <c r="H43298" s="8" t="s">
        <v>364</v>
      </c>
    </row>
    <row r="43299">
      <c r="H43299" s="8" t="s">
        <v>364</v>
      </c>
    </row>
    <row r="43300">
      <c r="H43300" s="8" t="s">
        <v>364</v>
      </c>
    </row>
    <row r="43301">
      <c r="H43301" s="8" t="s">
        <v>364</v>
      </c>
    </row>
    <row r="43302">
      <c r="H43302" s="8" t="s">
        <v>364</v>
      </c>
    </row>
    <row r="43303">
      <c r="H43303" s="8" t="s">
        <v>364</v>
      </c>
    </row>
    <row r="43304">
      <c r="H43304" s="8" t="s">
        <v>364</v>
      </c>
    </row>
    <row r="43305">
      <c r="H43305" s="8" t="s">
        <v>364</v>
      </c>
    </row>
    <row r="43306">
      <c r="H43306" s="8" t="s">
        <v>364</v>
      </c>
    </row>
    <row r="43307">
      <c r="H43307" s="8" t="s">
        <v>364</v>
      </c>
    </row>
    <row r="43308">
      <c r="H43308" s="8" t="s">
        <v>364</v>
      </c>
    </row>
    <row r="43309">
      <c r="H43309" s="8" t="s">
        <v>364</v>
      </c>
    </row>
    <row r="43310">
      <c r="H43310" s="8" t="s">
        <v>364</v>
      </c>
    </row>
    <row r="43311">
      <c r="H43311" s="8" t="s">
        <v>364</v>
      </c>
    </row>
    <row r="43312">
      <c r="H43312" s="8" t="s">
        <v>364</v>
      </c>
    </row>
    <row r="43313">
      <c r="H43313" s="8" t="s">
        <v>364</v>
      </c>
    </row>
    <row r="43314">
      <c r="H43314" s="8" t="s">
        <v>364</v>
      </c>
    </row>
    <row r="43315">
      <c r="H43315" s="8" t="s">
        <v>364</v>
      </c>
    </row>
    <row r="43316">
      <c r="H43316" s="8" t="s">
        <v>364</v>
      </c>
    </row>
    <row r="43317">
      <c r="H43317" s="8" t="s">
        <v>364</v>
      </c>
    </row>
    <row r="43318">
      <c r="H43318" s="8" t="s">
        <v>364</v>
      </c>
    </row>
    <row r="43319">
      <c r="H43319" s="8" t="s">
        <v>364</v>
      </c>
    </row>
    <row r="43320">
      <c r="H43320" s="8" t="s">
        <v>364</v>
      </c>
    </row>
    <row r="43321">
      <c r="H43321" s="8" t="s">
        <v>364</v>
      </c>
    </row>
    <row r="43322">
      <c r="H43322" s="8" t="s">
        <v>364</v>
      </c>
    </row>
    <row r="43323">
      <c r="H43323" s="8" t="s">
        <v>364</v>
      </c>
    </row>
    <row r="43324">
      <c r="H43324" s="8" t="s">
        <v>364</v>
      </c>
    </row>
    <row r="43325">
      <c r="H43325" s="8" t="s">
        <v>364</v>
      </c>
    </row>
    <row r="43326">
      <c r="H43326" s="8" t="s">
        <v>364</v>
      </c>
    </row>
    <row r="43327">
      <c r="H43327" s="8" t="s">
        <v>364</v>
      </c>
    </row>
    <row r="43328">
      <c r="H43328" s="8" t="s">
        <v>364</v>
      </c>
    </row>
    <row r="43329">
      <c r="H43329" s="8" t="s">
        <v>364</v>
      </c>
    </row>
    <row r="43330">
      <c r="H43330" s="8" t="s">
        <v>364</v>
      </c>
    </row>
    <row r="43331">
      <c r="H43331" s="8" t="s">
        <v>364</v>
      </c>
    </row>
    <row r="43332">
      <c r="H43332" s="8" t="s">
        <v>364</v>
      </c>
    </row>
    <row r="43333">
      <c r="H43333" s="8" t="s">
        <v>364</v>
      </c>
    </row>
    <row r="43334">
      <c r="H43334" s="8" t="s">
        <v>364</v>
      </c>
    </row>
    <row r="43335">
      <c r="H43335" s="8" t="s">
        <v>364</v>
      </c>
    </row>
    <row r="43336">
      <c r="H43336" s="8" t="s">
        <v>364</v>
      </c>
    </row>
    <row r="43337">
      <c r="H43337" s="8" t="s">
        <v>364</v>
      </c>
    </row>
    <row r="43338">
      <c r="H43338" s="8" t="s">
        <v>364</v>
      </c>
    </row>
    <row r="43339">
      <c r="H43339" s="8" t="s">
        <v>364</v>
      </c>
    </row>
    <row r="43340">
      <c r="H43340" s="8" t="s">
        <v>364</v>
      </c>
    </row>
    <row r="43341">
      <c r="H43341" s="8" t="s">
        <v>364</v>
      </c>
    </row>
    <row r="43342">
      <c r="H43342" s="8" t="s">
        <v>364</v>
      </c>
    </row>
    <row r="43343">
      <c r="H43343" s="8" t="s">
        <v>364</v>
      </c>
    </row>
    <row r="43344">
      <c r="H43344" s="8" t="s">
        <v>364</v>
      </c>
    </row>
    <row r="43345">
      <c r="H43345" s="8" t="s">
        <v>364</v>
      </c>
    </row>
    <row r="43346">
      <c r="H43346" s="8" t="s">
        <v>364</v>
      </c>
    </row>
    <row r="43347">
      <c r="H43347" s="8" t="s">
        <v>364</v>
      </c>
    </row>
    <row r="43348">
      <c r="H43348" s="8" t="s">
        <v>364</v>
      </c>
    </row>
    <row r="43349">
      <c r="H43349" s="8" t="s">
        <v>364</v>
      </c>
    </row>
    <row r="43350">
      <c r="H43350" s="8" t="s">
        <v>364</v>
      </c>
    </row>
    <row r="43351">
      <c r="H43351" s="8" t="s">
        <v>364</v>
      </c>
    </row>
    <row r="43352">
      <c r="H43352" s="8" t="s">
        <v>364</v>
      </c>
    </row>
    <row r="43353">
      <c r="H43353" s="8" t="s">
        <v>364</v>
      </c>
    </row>
    <row r="43354">
      <c r="H43354" s="8" t="s">
        <v>364</v>
      </c>
    </row>
    <row r="43355">
      <c r="H43355" s="8" t="s">
        <v>364</v>
      </c>
    </row>
    <row r="43356">
      <c r="H43356" s="8" t="s">
        <v>364</v>
      </c>
    </row>
    <row r="43357">
      <c r="H43357" s="8" t="s">
        <v>364</v>
      </c>
    </row>
    <row r="43358">
      <c r="H43358" s="8" t="s">
        <v>364</v>
      </c>
    </row>
    <row r="43359">
      <c r="H43359" s="8" t="s">
        <v>364</v>
      </c>
    </row>
    <row r="43360">
      <c r="H43360" s="8" t="s">
        <v>364</v>
      </c>
    </row>
    <row r="43361">
      <c r="H43361" s="8" t="s">
        <v>364</v>
      </c>
    </row>
    <row r="43362">
      <c r="H43362" s="8" t="s">
        <v>364</v>
      </c>
    </row>
    <row r="43363">
      <c r="H43363" s="8" t="s">
        <v>364</v>
      </c>
    </row>
    <row r="43364">
      <c r="H43364" s="8" t="s">
        <v>364</v>
      </c>
    </row>
    <row r="43365">
      <c r="H43365" s="8" t="s">
        <v>364</v>
      </c>
    </row>
    <row r="43366">
      <c r="H43366" s="8" t="s">
        <v>364</v>
      </c>
    </row>
    <row r="43367">
      <c r="H43367" s="8" t="s">
        <v>364</v>
      </c>
    </row>
    <row r="43368">
      <c r="H43368" s="8" t="s">
        <v>364</v>
      </c>
    </row>
    <row r="43369">
      <c r="H43369" s="8" t="s">
        <v>364</v>
      </c>
    </row>
    <row r="43370">
      <c r="H43370" s="8" t="s">
        <v>364</v>
      </c>
    </row>
    <row r="43371">
      <c r="H43371" s="8" t="s">
        <v>364</v>
      </c>
    </row>
    <row r="43372">
      <c r="H43372" s="8" t="s">
        <v>364</v>
      </c>
    </row>
    <row r="43373">
      <c r="H43373" s="8" t="s">
        <v>364</v>
      </c>
    </row>
    <row r="43374">
      <c r="H43374" s="8" t="s">
        <v>364</v>
      </c>
    </row>
    <row r="43375">
      <c r="H43375" s="8" t="s">
        <v>364</v>
      </c>
    </row>
    <row r="43376">
      <c r="H43376" s="8" t="s">
        <v>364</v>
      </c>
    </row>
    <row r="43377">
      <c r="H43377" s="8" t="s">
        <v>364</v>
      </c>
    </row>
    <row r="43378">
      <c r="H43378" s="8" t="s">
        <v>364</v>
      </c>
    </row>
    <row r="43379">
      <c r="H43379" s="8" t="s">
        <v>364</v>
      </c>
    </row>
    <row r="43380">
      <c r="H43380" s="8" t="s">
        <v>364</v>
      </c>
    </row>
    <row r="43381">
      <c r="H43381" s="8" t="s">
        <v>364</v>
      </c>
    </row>
    <row r="43382">
      <c r="H43382" s="8" t="s">
        <v>364</v>
      </c>
    </row>
    <row r="43383">
      <c r="H43383" s="8" t="s">
        <v>364</v>
      </c>
    </row>
    <row r="43384">
      <c r="H43384" s="8" t="s">
        <v>364</v>
      </c>
    </row>
    <row r="43385">
      <c r="H43385" s="8" t="s">
        <v>364</v>
      </c>
    </row>
    <row r="43386">
      <c r="H43386" s="8" t="s">
        <v>364</v>
      </c>
    </row>
    <row r="43387">
      <c r="H43387" s="8" t="s">
        <v>364</v>
      </c>
    </row>
    <row r="43388">
      <c r="H43388" s="8" t="s">
        <v>364</v>
      </c>
    </row>
    <row r="43389">
      <c r="H43389" s="8" t="s">
        <v>364</v>
      </c>
    </row>
    <row r="43390">
      <c r="H43390" s="8" t="s">
        <v>364</v>
      </c>
    </row>
    <row r="43391">
      <c r="H43391" s="8" t="s">
        <v>364</v>
      </c>
    </row>
    <row r="43392">
      <c r="H43392" s="8" t="s">
        <v>364</v>
      </c>
    </row>
    <row r="43393">
      <c r="H43393" s="8" t="s">
        <v>364</v>
      </c>
    </row>
    <row r="43394">
      <c r="H43394" s="8" t="s">
        <v>364</v>
      </c>
    </row>
    <row r="43395">
      <c r="H43395" s="8" t="s">
        <v>364</v>
      </c>
    </row>
    <row r="43396">
      <c r="H43396" s="8" t="s">
        <v>364</v>
      </c>
    </row>
    <row r="43397">
      <c r="H43397" s="8" t="s">
        <v>364</v>
      </c>
    </row>
    <row r="43398">
      <c r="H43398" s="8" t="s">
        <v>364</v>
      </c>
    </row>
    <row r="43399">
      <c r="H43399" s="8" t="s">
        <v>364</v>
      </c>
    </row>
    <row r="43400">
      <c r="H43400" s="8" t="s">
        <v>364</v>
      </c>
    </row>
    <row r="43401">
      <c r="H43401" s="8" t="s">
        <v>364</v>
      </c>
    </row>
    <row r="43402">
      <c r="H43402" s="8" t="s">
        <v>364</v>
      </c>
    </row>
    <row r="43403">
      <c r="H43403" s="8" t="s">
        <v>364</v>
      </c>
    </row>
    <row r="43404">
      <c r="H43404" s="8" t="s">
        <v>364</v>
      </c>
    </row>
    <row r="43405">
      <c r="H43405" s="8" t="s">
        <v>364</v>
      </c>
    </row>
    <row r="43406">
      <c r="H43406" s="8" t="s">
        <v>364</v>
      </c>
    </row>
    <row r="43407">
      <c r="H43407" s="8" t="s">
        <v>364</v>
      </c>
    </row>
    <row r="43408">
      <c r="H43408" s="8" t="s">
        <v>364</v>
      </c>
    </row>
    <row r="43409">
      <c r="H43409" s="8" t="s">
        <v>364</v>
      </c>
    </row>
    <row r="43410">
      <c r="H43410" s="8" t="s">
        <v>364</v>
      </c>
    </row>
    <row r="43411">
      <c r="H43411" s="8" t="s">
        <v>364</v>
      </c>
    </row>
    <row r="43412">
      <c r="H43412" s="8" t="s">
        <v>364</v>
      </c>
    </row>
    <row r="43413">
      <c r="H43413" s="8" t="s">
        <v>364</v>
      </c>
    </row>
    <row r="43414">
      <c r="H43414" s="8" t="s">
        <v>364</v>
      </c>
    </row>
    <row r="43415">
      <c r="H43415" s="8" t="s">
        <v>364</v>
      </c>
    </row>
    <row r="43416">
      <c r="H43416" s="8" t="s">
        <v>364</v>
      </c>
    </row>
    <row r="43417">
      <c r="H43417" s="8" t="s">
        <v>364</v>
      </c>
    </row>
    <row r="43418">
      <c r="H43418" s="8" t="s">
        <v>364</v>
      </c>
    </row>
    <row r="43419">
      <c r="H43419" s="8" t="s">
        <v>364</v>
      </c>
    </row>
    <row r="43420">
      <c r="H43420" s="8" t="s">
        <v>364</v>
      </c>
    </row>
    <row r="43421">
      <c r="H43421" s="8" t="s">
        <v>364</v>
      </c>
    </row>
    <row r="43422">
      <c r="H43422" s="8" t="s">
        <v>364</v>
      </c>
    </row>
    <row r="43423">
      <c r="H43423" s="8" t="s">
        <v>364</v>
      </c>
    </row>
    <row r="43424">
      <c r="H43424" s="8" t="s">
        <v>364</v>
      </c>
    </row>
    <row r="43425">
      <c r="H43425" s="8" t="s">
        <v>364</v>
      </c>
    </row>
    <row r="43426">
      <c r="H43426" s="8" t="s">
        <v>364</v>
      </c>
    </row>
    <row r="43427">
      <c r="H43427" s="8" t="s">
        <v>364</v>
      </c>
    </row>
    <row r="43428">
      <c r="H43428" s="8" t="s">
        <v>364</v>
      </c>
    </row>
    <row r="43429">
      <c r="H43429" s="8" t="s">
        <v>364</v>
      </c>
    </row>
    <row r="43430">
      <c r="H43430" s="8" t="s">
        <v>364</v>
      </c>
    </row>
    <row r="43431">
      <c r="H43431" s="8" t="s">
        <v>364</v>
      </c>
    </row>
    <row r="43432">
      <c r="H43432" s="8" t="s">
        <v>364</v>
      </c>
    </row>
    <row r="43433">
      <c r="H43433" s="8" t="s">
        <v>364</v>
      </c>
    </row>
    <row r="43434">
      <c r="H43434" s="8" t="s">
        <v>364</v>
      </c>
    </row>
    <row r="43435">
      <c r="H43435" s="8" t="s">
        <v>364</v>
      </c>
    </row>
    <row r="43436">
      <c r="H43436" s="8" t="s">
        <v>364</v>
      </c>
    </row>
    <row r="43437">
      <c r="H43437" s="8" t="s">
        <v>364</v>
      </c>
    </row>
    <row r="43438">
      <c r="H43438" s="8" t="s">
        <v>364</v>
      </c>
    </row>
    <row r="43439">
      <c r="H43439" s="8" t="s">
        <v>364</v>
      </c>
    </row>
    <row r="43440">
      <c r="H43440" s="8" t="s">
        <v>364</v>
      </c>
    </row>
    <row r="43441">
      <c r="H43441" s="8" t="s">
        <v>364</v>
      </c>
    </row>
    <row r="43442">
      <c r="H43442" s="8" t="s">
        <v>364</v>
      </c>
    </row>
    <row r="43443">
      <c r="H43443" s="8" t="s">
        <v>364</v>
      </c>
    </row>
    <row r="43444">
      <c r="H43444" s="8" t="s">
        <v>364</v>
      </c>
    </row>
    <row r="43445">
      <c r="H43445" s="8" t="s">
        <v>364</v>
      </c>
    </row>
    <row r="43446">
      <c r="H43446" s="8" t="s">
        <v>364</v>
      </c>
    </row>
    <row r="43447">
      <c r="H43447" s="8" t="s">
        <v>364</v>
      </c>
    </row>
    <row r="43448">
      <c r="H43448" s="8" t="s">
        <v>364</v>
      </c>
    </row>
    <row r="43449">
      <c r="H43449" s="8" t="s">
        <v>364</v>
      </c>
    </row>
    <row r="43450">
      <c r="H43450" s="8" t="s">
        <v>364</v>
      </c>
    </row>
    <row r="43451">
      <c r="H43451" s="8" t="s">
        <v>364</v>
      </c>
    </row>
    <row r="43452">
      <c r="H43452" s="8" t="s">
        <v>364</v>
      </c>
    </row>
    <row r="43453">
      <c r="H43453" s="8" t="s">
        <v>364</v>
      </c>
    </row>
    <row r="43454">
      <c r="H43454" s="8" t="s">
        <v>364</v>
      </c>
    </row>
    <row r="43455">
      <c r="H43455" s="8" t="s">
        <v>364</v>
      </c>
    </row>
    <row r="43456">
      <c r="H43456" s="8" t="s">
        <v>364</v>
      </c>
    </row>
    <row r="43457">
      <c r="H43457" s="8" t="s">
        <v>364</v>
      </c>
    </row>
    <row r="43458">
      <c r="H43458" s="8" t="s">
        <v>364</v>
      </c>
    </row>
    <row r="43459">
      <c r="H43459" s="8" t="s">
        <v>364</v>
      </c>
    </row>
    <row r="43460">
      <c r="H43460" s="8" t="s">
        <v>364</v>
      </c>
    </row>
    <row r="43461">
      <c r="H43461" s="8" t="s">
        <v>364</v>
      </c>
    </row>
    <row r="43462">
      <c r="H43462" s="8" t="s">
        <v>364</v>
      </c>
    </row>
    <row r="43463">
      <c r="H43463" s="8" t="s">
        <v>364</v>
      </c>
    </row>
    <row r="43464">
      <c r="H43464" s="8" t="s">
        <v>364</v>
      </c>
    </row>
    <row r="43465">
      <c r="H43465" s="8" t="s">
        <v>364</v>
      </c>
    </row>
    <row r="43466">
      <c r="H43466" s="8" t="s">
        <v>364</v>
      </c>
    </row>
    <row r="43467">
      <c r="H43467" s="8" t="s">
        <v>364</v>
      </c>
    </row>
    <row r="43468">
      <c r="H43468" s="8" t="s">
        <v>364</v>
      </c>
    </row>
    <row r="43469">
      <c r="H43469" s="8" t="s">
        <v>364</v>
      </c>
    </row>
    <row r="43470">
      <c r="H43470" s="8" t="s">
        <v>364</v>
      </c>
    </row>
    <row r="43471">
      <c r="H43471" s="8" t="s">
        <v>364</v>
      </c>
    </row>
    <row r="43472">
      <c r="H43472" s="8" t="s">
        <v>364</v>
      </c>
    </row>
    <row r="43473">
      <c r="H43473" s="8" t="s">
        <v>364</v>
      </c>
    </row>
    <row r="43474">
      <c r="H43474" s="8" t="s">
        <v>364</v>
      </c>
    </row>
    <row r="43475">
      <c r="H43475" s="8" t="s">
        <v>364</v>
      </c>
    </row>
    <row r="43476">
      <c r="H43476" s="8" t="s">
        <v>364</v>
      </c>
    </row>
    <row r="43477">
      <c r="H43477" s="8" t="s">
        <v>364</v>
      </c>
    </row>
    <row r="43478">
      <c r="H43478" s="8" t="s">
        <v>364</v>
      </c>
    </row>
    <row r="43479">
      <c r="H43479" s="8" t="s">
        <v>364</v>
      </c>
    </row>
    <row r="43480">
      <c r="H43480" s="8" t="s">
        <v>364</v>
      </c>
    </row>
    <row r="43481">
      <c r="H43481" s="8" t="s">
        <v>364</v>
      </c>
    </row>
    <row r="43482">
      <c r="H43482" s="8" t="s">
        <v>364</v>
      </c>
    </row>
    <row r="43483">
      <c r="H43483" s="8" t="s">
        <v>364</v>
      </c>
    </row>
    <row r="43484">
      <c r="H43484" s="8" t="s">
        <v>364</v>
      </c>
    </row>
    <row r="43485">
      <c r="H43485" s="8" t="s">
        <v>364</v>
      </c>
    </row>
    <row r="43486">
      <c r="H43486" s="8" t="s">
        <v>364</v>
      </c>
    </row>
    <row r="43487">
      <c r="H43487" s="8" t="s">
        <v>364</v>
      </c>
    </row>
    <row r="43488">
      <c r="H43488" s="8" t="s">
        <v>364</v>
      </c>
    </row>
    <row r="43489">
      <c r="H43489" s="8" t="s">
        <v>364</v>
      </c>
    </row>
    <row r="43490">
      <c r="H43490" s="8" t="s">
        <v>364</v>
      </c>
    </row>
    <row r="43491">
      <c r="H43491" s="8" t="s">
        <v>364</v>
      </c>
    </row>
    <row r="43492">
      <c r="H43492" s="8" t="s">
        <v>364</v>
      </c>
    </row>
    <row r="43493">
      <c r="H43493" s="8" t="s">
        <v>364</v>
      </c>
    </row>
    <row r="43494">
      <c r="H43494" s="8" t="s">
        <v>364</v>
      </c>
    </row>
    <row r="43495">
      <c r="H43495" s="8" t="s">
        <v>364</v>
      </c>
    </row>
    <row r="43496">
      <c r="H43496" s="8" t="s">
        <v>364</v>
      </c>
    </row>
    <row r="43497">
      <c r="H43497" s="8" t="s">
        <v>364</v>
      </c>
    </row>
    <row r="43498">
      <c r="H43498" s="8" t="s">
        <v>364</v>
      </c>
    </row>
    <row r="43499">
      <c r="H43499" s="8" t="s">
        <v>364</v>
      </c>
    </row>
    <row r="43500">
      <c r="H43500" s="8" t="s">
        <v>364</v>
      </c>
    </row>
    <row r="43501">
      <c r="H43501" s="8" t="s">
        <v>364</v>
      </c>
    </row>
    <row r="43502">
      <c r="H43502" s="8" t="s">
        <v>364</v>
      </c>
    </row>
    <row r="43503">
      <c r="H43503" s="8" t="s">
        <v>364</v>
      </c>
    </row>
    <row r="43504">
      <c r="H43504" s="8" t="s">
        <v>364</v>
      </c>
    </row>
    <row r="43505">
      <c r="H43505" s="8" t="s">
        <v>364</v>
      </c>
    </row>
    <row r="43506">
      <c r="H43506" s="8" t="s">
        <v>364</v>
      </c>
    </row>
    <row r="43507">
      <c r="H43507" s="8" t="s">
        <v>364</v>
      </c>
    </row>
    <row r="43508">
      <c r="H43508" s="8" t="s">
        <v>364</v>
      </c>
    </row>
    <row r="43509">
      <c r="H43509" s="8" t="s">
        <v>364</v>
      </c>
    </row>
    <row r="43510">
      <c r="H43510" s="8" t="s">
        <v>364</v>
      </c>
    </row>
    <row r="43511">
      <c r="H43511" s="8" t="s">
        <v>364</v>
      </c>
    </row>
    <row r="43512">
      <c r="H43512" s="8" t="s">
        <v>364</v>
      </c>
    </row>
    <row r="43513">
      <c r="H43513" s="8" t="s">
        <v>364</v>
      </c>
    </row>
    <row r="43514">
      <c r="H43514" s="8" t="s">
        <v>364</v>
      </c>
    </row>
    <row r="43515">
      <c r="H43515" s="8" t="s">
        <v>364</v>
      </c>
    </row>
    <row r="43516">
      <c r="H43516" s="8" t="s">
        <v>364</v>
      </c>
    </row>
    <row r="43517">
      <c r="H43517" s="8" t="s">
        <v>364</v>
      </c>
    </row>
    <row r="43518">
      <c r="H43518" s="8" t="s">
        <v>364</v>
      </c>
    </row>
    <row r="43519">
      <c r="H43519" s="8" t="s">
        <v>364</v>
      </c>
    </row>
    <row r="43520">
      <c r="H43520" s="8" t="s">
        <v>364</v>
      </c>
    </row>
    <row r="43521">
      <c r="H43521" s="8" t="s">
        <v>364</v>
      </c>
    </row>
    <row r="43522">
      <c r="H43522" s="8" t="s">
        <v>364</v>
      </c>
    </row>
    <row r="43523">
      <c r="H43523" s="8" t="s">
        <v>364</v>
      </c>
    </row>
    <row r="43524">
      <c r="H43524" s="8" t="s">
        <v>364</v>
      </c>
    </row>
    <row r="43525">
      <c r="H43525" s="8" t="s">
        <v>364</v>
      </c>
    </row>
    <row r="43526">
      <c r="H43526" s="8" t="s">
        <v>364</v>
      </c>
    </row>
    <row r="43527">
      <c r="H43527" s="8" t="s">
        <v>364</v>
      </c>
    </row>
    <row r="43528">
      <c r="H43528" s="8" t="s">
        <v>364</v>
      </c>
    </row>
    <row r="43529">
      <c r="H43529" s="8" t="s">
        <v>364</v>
      </c>
    </row>
    <row r="43530">
      <c r="H43530" s="8" t="s">
        <v>364</v>
      </c>
    </row>
    <row r="43531">
      <c r="H43531" s="8" t="s">
        <v>364</v>
      </c>
    </row>
    <row r="43532">
      <c r="H43532" s="8" t="s">
        <v>364</v>
      </c>
    </row>
    <row r="43533">
      <c r="H43533" s="8" t="s">
        <v>364</v>
      </c>
    </row>
    <row r="43534">
      <c r="H43534" s="8" t="s">
        <v>364</v>
      </c>
    </row>
    <row r="43535">
      <c r="H43535" s="8" t="s">
        <v>364</v>
      </c>
    </row>
    <row r="43536">
      <c r="H43536" s="8" t="s">
        <v>364</v>
      </c>
    </row>
    <row r="43537">
      <c r="H43537" s="8" t="s">
        <v>364</v>
      </c>
    </row>
    <row r="43538">
      <c r="H43538" s="8" t="s">
        <v>364</v>
      </c>
    </row>
    <row r="43539">
      <c r="H43539" s="8" t="s">
        <v>364</v>
      </c>
    </row>
    <row r="43540">
      <c r="H43540" s="8" t="s">
        <v>364</v>
      </c>
    </row>
    <row r="43541">
      <c r="H43541" s="8" t="s">
        <v>364</v>
      </c>
    </row>
    <row r="43542">
      <c r="H43542" s="8" t="s">
        <v>364</v>
      </c>
    </row>
    <row r="43543">
      <c r="H43543" s="8" t="s">
        <v>364</v>
      </c>
    </row>
    <row r="43544">
      <c r="H43544" s="8" t="s">
        <v>364</v>
      </c>
    </row>
    <row r="43545">
      <c r="H43545" s="8" t="s">
        <v>364</v>
      </c>
    </row>
    <row r="43546">
      <c r="H43546" s="8" t="s">
        <v>364</v>
      </c>
    </row>
    <row r="43547">
      <c r="H43547" s="8" t="s">
        <v>364</v>
      </c>
    </row>
    <row r="43548">
      <c r="H43548" s="8" t="s">
        <v>364</v>
      </c>
    </row>
    <row r="43549">
      <c r="H43549" s="8" t="s">
        <v>364</v>
      </c>
    </row>
    <row r="43550">
      <c r="H43550" s="8" t="s">
        <v>364</v>
      </c>
    </row>
    <row r="43551">
      <c r="H43551" s="8" t="s">
        <v>364</v>
      </c>
    </row>
    <row r="43552">
      <c r="H43552" s="8" t="s">
        <v>364</v>
      </c>
    </row>
    <row r="43553">
      <c r="H43553" s="8" t="s">
        <v>364</v>
      </c>
    </row>
    <row r="43554">
      <c r="H43554" s="8" t="s">
        <v>364</v>
      </c>
    </row>
    <row r="43555">
      <c r="H43555" s="8" t="s">
        <v>364</v>
      </c>
    </row>
    <row r="43556">
      <c r="H43556" s="8" t="s">
        <v>364</v>
      </c>
    </row>
    <row r="43557">
      <c r="H43557" s="8" t="s">
        <v>364</v>
      </c>
    </row>
    <row r="43558">
      <c r="H43558" s="8" t="s">
        <v>364</v>
      </c>
    </row>
    <row r="43559">
      <c r="H43559" s="8" t="s">
        <v>364</v>
      </c>
    </row>
    <row r="43560">
      <c r="H43560" s="8" t="s">
        <v>364</v>
      </c>
    </row>
    <row r="43561">
      <c r="H43561" s="8" t="s">
        <v>364</v>
      </c>
    </row>
    <row r="43562">
      <c r="H43562" s="8" t="s">
        <v>364</v>
      </c>
    </row>
    <row r="43563">
      <c r="H43563" s="8" t="s">
        <v>364</v>
      </c>
    </row>
    <row r="43564">
      <c r="H43564" s="8" t="s">
        <v>364</v>
      </c>
    </row>
    <row r="43565">
      <c r="H43565" s="8" t="s">
        <v>364</v>
      </c>
    </row>
    <row r="43566">
      <c r="H43566" s="8" t="s">
        <v>364</v>
      </c>
    </row>
    <row r="43567">
      <c r="H43567" s="8" t="s">
        <v>364</v>
      </c>
    </row>
    <row r="43568">
      <c r="H43568" s="8" t="s">
        <v>364</v>
      </c>
    </row>
    <row r="43569">
      <c r="H43569" s="8" t="s">
        <v>364</v>
      </c>
    </row>
    <row r="43570">
      <c r="H43570" s="8" t="s">
        <v>364</v>
      </c>
    </row>
    <row r="43571">
      <c r="H43571" s="8" t="s">
        <v>364</v>
      </c>
    </row>
    <row r="43572">
      <c r="H43572" s="8" t="s">
        <v>364</v>
      </c>
    </row>
    <row r="43573">
      <c r="H43573" s="8" t="s">
        <v>364</v>
      </c>
    </row>
    <row r="43574">
      <c r="H43574" s="8" t="s">
        <v>364</v>
      </c>
    </row>
    <row r="43575">
      <c r="H43575" s="8" t="s">
        <v>364</v>
      </c>
    </row>
    <row r="43576">
      <c r="H43576" s="8" t="s">
        <v>364</v>
      </c>
    </row>
    <row r="43577">
      <c r="H43577" s="8" t="s">
        <v>364</v>
      </c>
    </row>
    <row r="43578">
      <c r="H43578" s="8" t="s">
        <v>364</v>
      </c>
    </row>
    <row r="43579">
      <c r="H43579" s="8" t="s">
        <v>364</v>
      </c>
    </row>
    <row r="43580">
      <c r="H43580" s="8" t="s">
        <v>364</v>
      </c>
    </row>
    <row r="43581">
      <c r="H43581" s="8" t="s">
        <v>364</v>
      </c>
    </row>
    <row r="43582">
      <c r="H43582" s="8" t="s">
        <v>364</v>
      </c>
    </row>
    <row r="43583">
      <c r="H43583" s="8" t="s">
        <v>364</v>
      </c>
    </row>
    <row r="43584">
      <c r="H43584" s="8" t="s">
        <v>364</v>
      </c>
    </row>
    <row r="43585">
      <c r="H43585" s="8" t="s">
        <v>364</v>
      </c>
    </row>
    <row r="43586">
      <c r="H43586" s="8" t="s">
        <v>364</v>
      </c>
    </row>
    <row r="43587">
      <c r="H43587" s="8" t="s">
        <v>364</v>
      </c>
    </row>
    <row r="43588">
      <c r="H43588" s="8" t="s">
        <v>364</v>
      </c>
    </row>
    <row r="43589">
      <c r="H43589" s="8" t="s">
        <v>364</v>
      </c>
    </row>
    <row r="43590">
      <c r="H43590" s="8" t="s">
        <v>364</v>
      </c>
    </row>
    <row r="43591">
      <c r="H43591" s="8" t="s">
        <v>364</v>
      </c>
    </row>
    <row r="43592">
      <c r="H43592" s="8" t="s">
        <v>364</v>
      </c>
    </row>
    <row r="43593">
      <c r="H43593" s="8" t="s">
        <v>364</v>
      </c>
    </row>
    <row r="43594">
      <c r="H43594" s="8" t="s">
        <v>364</v>
      </c>
    </row>
    <row r="43595">
      <c r="H43595" s="8" t="s">
        <v>364</v>
      </c>
    </row>
    <row r="43596">
      <c r="H43596" s="8" t="s">
        <v>364</v>
      </c>
    </row>
    <row r="43597">
      <c r="H43597" s="8" t="s">
        <v>364</v>
      </c>
    </row>
    <row r="43598">
      <c r="H43598" s="8" t="s">
        <v>364</v>
      </c>
    </row>
    <row r="43599">
      <c r="H43599" s="8" t="s">
        <v>364</v>
      </c>
    </row>
    <row r="43600">
      <c r="H43600" s="8" t="s">
        <v>364</v>
      </c>
    </row>
    <row r="43601">
      <c r="H43601" s="8" t="s">
        <v>364</v>
      </c>
    </row>
    <row r="43602">
      <c r="H43602" s="8" t="s">
        <v>364</v>
      </c>
    </row>
    <row r="43603">
      <c r="H43603" s="8" t="s">
        <v>364</v>
      </c>
    </row>
    <row r="43604">
      <c r="H43604" s="8" t="s">
        <v>364</v>
      </c>
    </row>
    <row r="43605">
      <c r="H43605" s="8" t="s">
        <v>364</v>
      </c>
    </row>
    <row r="43606">
      <c r="H43606" s="8" t="s">
        <v>364</v>
      </c>
    </row>
    <row r="43607">
      <c r="H43607" s="8" t="s">
        <v>364</v>
      </c>
    </row>
    <row r="43608">
      <c r="H43608" s="8" t="s">
        <v>364</v>
      </c>
    </row>
    <row r="43609">
      <c r="H43609" s="8" t="s">
        <v>364</v>
      </c>
    </row>
    <row r="43610">
      <c r="H43610" s="8" t="s">
        <v>364</v>
      </c>
    </row>
    <row r="43611">
      <c r="H43611" s="8" t="s">
        <v>364</v>
      </c>
    </row>
    <row r="43612">
      <c r="H43612" s="8" t="s">
        <v>364</v>
      </c>
    </row>
    <row r="43613">
      <c r="H43613" s="8" t="s">
        <v>364</v>
      </c>
    </row>
    <row r="43614">
      <c r="H43614" s="8" t="s">
        <v>364</v>
      </c>
    </row>
    <row r="43615">
      <c r="H43615" s="8" t="s">
        <v>364</v>
      </c>
    </row>
    <row r="43616">
      <c r="H43616" s="8" t="s">
        <v>364</v>
      </c>
    </row>
    <row r="43617">
      <c r="H43617" s="8" t="s">
        <v>364</v>
      </c>
    </row>
    <row r="43618">
      <c r="H43618" s="8" t="s">
        <v>364</v>
      </c>
    </row>
    <row r="43619">
      <c r="H43619" s="8" t="s">
        <v>364</v>
      </c>
    </row>
    <row r="43620">
      <c r="H43620" s="8" t="s">
        <v>364</v>
      </c>
    </row>
    <row r="43621">
      <c r="H43621" s="8" t="s">
        <v>364</v>
      </c>
    </row>
    <row r="43622">
      <c r="H43622" s="8" t="s">
        <v>364</v>
      </c>
    </row>
    <row r="43623">
      <c r="H43623" s="8" t="s">
        <v>364</v>
      </c>
    </row>
    <row r="43624">
      <c r="H43624" s="8" t="s">
        <v>364</v>
      </c>
    </row>
    <row r="43625">
      <c r="H43625" s="8" t="s">
        <v>364</v>
      </c>
    </row>
    <row r="43626">
      <c r="H43626" s="8" t="s">
        <v>364</v>
      </c>
    </row>
    <row r="43627">
      <c r="H43627" s="8" t="s">
        <v>364</v>
      </c>
    </row>
    <row r="43628">
      <c r="H43628" s="8" t="s">
        <v>364</v>
      </c>
    </row>
    <row r="43629">
      <c r="H43629" s="8" t="s">
        <v>364</v>
      </c>
    </row>
    <row r="43630">
      <c r="H43630" s="8" t="s">
        <v>364</v>
      </c>
    </row>
    <row r="43631">
      <c r="H43631" s="8" t="s">
        <v>364</v>
      </c>
    </row>
    <row r="43632">
      <c r="H43632" s="8" t="s">
        <v>364</v>
      </c>
    </row>
    <row r="43633">
      <c r="H43633" s="8" t="s">
        <v>364</v>
      </c>
    </row>
    <row r="43634">
      <c r="H43634" s="8" t="s">
        <v>364</v>
      </c>
    </row>
    <row r="43635">
      <c r="H43635" s="8" t="s">
        <v>364</v>
      </c>
    </row>
    <row r="43636">
      <c r="H43636" s="8" t="s">
        <v>364</v>
      </c>
    </row>
    <row r="43637">
      <c r="H43637" s="8" t="s">
        <v>364</v>
      </c>
    </row>
    <row r="43638">
      <c r="H43638" s="8" t="s">
        <v>364</v>
      </c>
    </row>
    <row r="43639">
      <c r="H43639" s="8" t="s">
        <v>364</v>
      </c>
    </row>
    <row r="43640">
      <c r="H43640" s="8" t="s">
        <v>364</v>
      </c>
    </row>
    <row r="43641">
      <c r="H43641" s="8" t="s">
        <v>364</v>
      </c>
    </row>
    <row r="43642">
      <c r="H43642" s="8" t="s">
        <v>364</v>
      </c>
    </row>
    <row r="43643">
      <c r="H43643" s="8" t="s">
        <v>364</v>
      </c>
    </row>
    <row r="43644">
      <c r="H43644" s="8" t="s">
        <v>364</v>
      </c>
    </row>
    <row r="43645">
      <c r="H43645" s="8" t="s">
        <v>364</v>
      </c>
    </row>
    <row r="43646">
      <c r="H43646" s="8" t="s">
        <v>364</v>
      </c>
    </row>
    <row r="43647">
      <c r="H43647" s="8" t="s">
        <v>364</v>
      </c>
    </row>
    <row r="43648">
      <c r="H43648" s="8" t="s">
        <v>364</v>
      </c>
    </row>
    <row r="43649">
      <c r="H43649" s="8" t="s">
        <v>364</v>
      </c>
    </row>
    <row r="43650">
      <c r="H43650" s="8" t="s">
        <v>364</v>
      </c>
    </row>
    <row r="43651">
      <c r="H43651" s="8" t="s">
        <v>364</v>
      </c>
    </row>
    <row r="43652">
      <c r="H43652" s="8" t="s">
        <v>364</v>
      </c>
    </row>
    <row r="43653">
      <c r="H43653" s="8" t="s">
        <v>364</v>
      </c>
    </row>
    <row r="43654">
      <c r="H43654" s="8" t="s">
        <v>364</v>
      </c>
    </row>
    <row r="43655">
      <c r="H43655" s="8" t="s">
        <v>364</v>
      </c>
    </row>
    <row r="43656">
      <c r="H43656" s="8" t="s">
        <v>364</v>
      </c>
    </row>
    <row r="43657">
      <c r="H43657" s="8" t="s">
        <v>364</v>
      </c>
    </row>
    <row r="43658">
      <c r="H43658" s="8" t="s">
        <v>364</v>
      </c>
    </row>
    <row r="43659">
      <c r="H43659" s="8" t="s">
        <v>364</v>
      </c>
    </row>
    <row r="43660">
      <c r="H43660" s="8" t="s">
        <v>364</v>
      </c>
    </row>
    <row r="43661">
      <c r="H43661" s="8" t="s">
        <v>364</v>
      </c>
    </row>
    <row r="43662">
      <c r="H43662" s="8" t="s">
        <v>364</v>
      </c>
    </row>
    <row r="43663">
      <c r="H43663" s="8" t="s">
        <v>364</v>
      </c>
    </row>
    <row r="43664">
      <c r="H43664" s="8" t="s">
        <v>364</v>
      </c>
    </row>
    <row r="43665">
      <c r="H43665" s="8" t="s">
        <v>364</v>
      </c>
    </row>
    <row r="43666">
      <c r="H43666" s="8" t="s">
        <v>364</v>
      </c>
    </row>
    <row r="43667">
      <c r="H43667" s="8" t="s">
        <v>364</v>
      </c>
    </row>
    <row r="43668">
      <c r="H43668" s="8" t="s">
        <v>364</v>
      </c>
    </row>
    <row r="43669">
      <c r="H43669" s="8" t="s">
        <v>364</v>
      </c>
    </row>
    <row r="43670">
      <c r="H43670" s="8" t="s">
        <v>364</v>
      </c>
    </row>
    <row r="43671">
      <c r="H43671" s="8" t="s">
        <v>364</v>
      </c>
    </row>
    <row r="43672">
      <c r="H43672" s="8" t="s">
        <v>364</v>
      </c>
    </row>
    <row r="43673">
      <c r="H43673" s="8" t="s">
        <v>364</v>
      </c>
    </row>
    <row r="43674">
      <c r="H43674" s="8" t="s">
        <v>364</v>
      </c>
    </row>
    <row r="43675">
      <c r="H43675" s="8" t="s">
        <v>364</v>
      </c>
    </row>
    <row r="43676">
      <c r="H43676" s="8" t="s">
        <v>364</v>
      </c>
    </row>
    <row r="43677">
      <c r="H43677" s="8" t="s">
        <v>364</v>
      </c>
    </row>
    <row r="43678">
      <c r="H43678" s="8" t="s">
        <v>364</v>
      </c>
    </row>
    <row r="43679">
      <c r="H43679" s="8" t="s">
        <v>364</v>
      </c>
    </row>
    <row r="43680">
      <c r="H43680" s="8" t="s">
        <v>364</v>
      </c>
    </row>
    <row r="43681">
      <c r="H43681" s="8" t="s">
        <v>364</v>
      </c>
    </row>
    <row r="43682">
      <c r="H43682" s="8" t="s">
        <v>364</v>
      </c>
    </row>
    <row r="43683">
      <c r="H43683" s="8" t="s">
        <v>364</v>
      </c>
    </row>
    <row r="43684">
      <c r="H43684" s="8" t="s">
        <v>364</v>
      </c>
    </row>
    <row r="43685">
      <c r="H43685" s="8" t="s">
        <v>364</v>
      </c>
    </row>
    <row r="43686">
      <c r="H43686" s="8" t="s">
        <v>364</v>
      </c>
    </row>
    <row r="43687">
      <c r="H43687" s="8" t="s">
        <v>364</v>
      </c>
    </row>
    <row r="43688">
      <c r="H43688" s="8" t="s">
        <v>364</v>
      </c>
    </row>
    <row r="43689">
      <c r="H43689" s="8" t="s">
        <v>364</v>
      </c>
    </row>
    <row r="43690">
      <c r="H43690" s="8" t="s">
        <v>364</v>
      </c>
    </row>
    <row r="43691">
      <c r="H43691" s="8" t="s">
        <v>364</v>
      </c>
    </row>
    <row r="43692">
      <c r="H43692" s="8" t="s">
        <v>364</v>
      </c>
    </row>
    <row r="43693">
      <c r="H43693" s="8" t="s">
        <v>364</v>
      </c>
    </row>
    <row r="43694">
      <c r="H43694" s="8" t="s">
        <v>364</v>
      </c>
    </row>
    <row r="43695">
      <c r="H43695" s="8" t="s">
        <v>364</v>
      </c>
    </row>
    <row r="43696">
      <c r="H43696" s="8" t="s">
        <v>364</v>
      </c>
    </row>
    <row r="43697">
      <c r="H43697" s="8" t="s">
        <v>364</v>
      </c>
    </row>
    <row r="43698">
      <c r="H43698" s="8" t="s">
        <v>364</v>
      </c>
    </row>
    <row r="43699">
      <c r="H43699" s="8" t="s">
        <v>364</v>
      </c>
    </row>
    <row r="43700">
      <c r="H43700" s="8" t="s">
        <v>364</v>
      </c>
    </row>
    <row r="43701">
      <c r="H43701" s="8" t="s">
        <v>364</v>
      </c>
    </row>
    <row r="43702">
      <c r="H43702" s="8" t="s">
        <v>364</v>
      </c>
    </row>
    <row r="43703">
      <c r="H43703" s="8" t="s">
        <v>364</v>
      </c>
    </row>
    <row r="43704">
      <c r="H43704" s="8" t="s">
        <v>364</v>
      </c>
    </row>
    <row r="43705">
      <c r="H43705" s="8" t="s">
        <v>364</v>
      </c>
    </row>
    <row r="43706">
      <c r="H43706" s="8" t="s">
        <v>364</v>
      </c>
    </row>
    <row r="43707">
      <c r="H43707" s="8" t="s">
        <v>364</v>
      </c>
    </row>
    <row r="43708">
      <c r="H43708" s="8" t="s">
        <v>364</v>
      </c>
    </row>
    <row r="43709">
      <c r="H43709" s="8" t="s">
        <v>364</v>
      </c>
    </row>
    <row r="43710">
      <c r="H43710" s="8" t="s">
        <v>364</v>
      </c>
    </row>
    <row r="43711">
      <c r="H43711" s="8" t="s">
        <v>364</v>
      </c>
    </row>
    <row r="43712">
      <c r="H43712" s="8" t="s">
        <v>364</v>
      </c>
    </row>
    <row r="43713">
      <c r="H43713" s="8" t="s">
        <v>364</v>
      </c>
    </row>
    <row r="43714">
      <c r="H43714" s="8" t="s">
        <v>364</v>
      </c>
    </row>
    <row r="43715">
      <c r="H43715" s="8" t="s">
        <v>364</v>
      </c>
    </row>
    <row r="43716">
      <c r="H43716" s="8" t="s">
        <v>364</v>
      </c>
    </row>
    <row r="43717">
      <c r="H43717" s="8" t="s">
        <v>364</v>
      </c>
    </row>
    <row r="43718">
      <c r="H43718" s="8" t="s">
        <v>364</v>
      </c>
    </row>
    <row r="43719">
      <c r="H43719" s="8" t="s">
        <v>364</v>
      </c>
    </row>
    <row r="43720">
      <c r="H43720" s="8" t="s">
        <v>364</v>
      </c>
    </row>
    <row r="43721">
      <c r="H43721" s="8" t="s">
        <v>364</v>
      </c>
    </row>
    <row r="43722">
      <c r="H43722" s="8" t="s">
        <v>364</v>
      </c>
    </row>
    <row r="43723">
      <c r="H43723" s="8" t="s">
        <v>364</v>
      </c>
    </row>
    <row r="43724">
      <c r="H43724" s="8" t="s">
        <v>364</v>
      </c>
    </row>
    <row r="43725">
      <c r="H43725" s="8" t="s">
        <v>364</v>
      </c>
    </row>
    <row r="43726">
      <c r="H43726" s="8" t="s">
        <v>364</v>
      </c>
    </row>
    <row r="43727">
      <c r="H43727" s="8" t="s">
        <v>364</v>
      </c>
    </row>
    <row r="43728">
      <c r="H43728" s="8" t="s">
        <v>364</v>
      </c>
    </row>
    <row r="43729">
      <c r="H43729" s="8" t="s">
        <v>364</v>
      </c>
    </row>
    <row r="43730">
      <c r="H43730" s="8" t="s">
        <v>364</v>
      </c>
    </row>
    <row r="43731">
      <c r="H43731" s="8" t="s">
        <v>364</v>
      </c>
    </row>
    <row r="43732">
      <c r="H43732" s="8" t="s">
        <v>364</v>
      </c>
    </row>
    <row r="43733">
      <c r="H43733" s="8" t="s">
        <v>364</v>
      </c>
    </row>
    <row r="43734">
      <c r="H43734" s="8" t="s">
        <v>364</v>
      </c>
    </row>
    <row r="43735">
      <c r="H43735" s="8" t="s">
        <v>364</v>
      </c>
    </row>
    <row r="43736">
      <c r="H43736" s="8" t="s">
        <v>364</v>
      </c>
    </row>
    <row r="43737">
      <c r="H43737" s="8" t="s">
        <v>364</v>
      </c>
    </row>
    <row r="43738">
      <c r="H43738" s="8" t="s">
        <v>364</v>
      </c>
    </row>
    <row r="43739">
      <c r="H43739" s="8" t="s">
        <v>364</v>
      </c>
    </row>
    <row r="43740">
      <c r="H43740" s="8" t="s">
        <v>364</v>
      </c>
    </row>
    <row r="43741">
      <c r="H43741" s="8" t="s">
        <v>364</v>
      </c>
    </row>
    <row r="43742">
      <c r="H43742" s="8" t="s">
        <v>364</v>
      </c>
    </row>
    <row r="43743">
      <c r="H43743" s="8" t="s">
        <v>364</v>
      </c>
    </row>
    <row r="43744">
      <c r="H43744" s="8" t="s">
        <v>364</v>
      </c>
    </row>
    <row r="43745">
      <c r="H43745" s="8" t="s">
        <v>364</v>
      </c>
    </row>
    <row r="43746">
      <c r="H43746" s="8" t="s">
        <v>364</v>
      </c>
    </row>
    <row r="43747">
      <c r="H43747" s="8" t="s">
        <v>364</v>
      </c>
    </row>
    <row r="43748">
      <c r="H43748" s="8" t="s">
        <v>364</v>
      </c>
    </row>
    <row r="43749">
      <c r="H43749" s="8" t="s">
        <v>364</v>
      </c>
    </row>
    <row r="43750">
      <c r="H43750" s="8" t="s">
        <v>364</v>
      </c>
    </row>
    <row r="43751">
      <c r="H43751" s="8" t="s">
        <v>364</v>
      </c>
    </row>
    <row r="43752">
      <c r="H43752" s="8" t="s">
        <v>364</v>
      </c>
    </row>
    <row r="43753">
      <c r="H43753" s="8" t="s">
        <v>364</v>
      </c>
    </row>
    <row r="43754">
      <c r="H43754" s="8" t="s">
        <v>364</v>
      </c>
    </row>
    <row r="43755">
      <c r="H43755" s="8" t="s">
        <v>364</v>
      </c>
    </row>
    <row r="43756">
      <c r="H43756" s="8" t="s">
        <v>364</v>
      </c>
    </row>
    <row r="43757">
      <c r="H43757" s="8" t="s">
        <v>364</v>
      </c>
    </row>
    <row r="43758">
      <c r="H43758" s="8" t="s">
        <v>364</v>
      </c>
    </row>
    <row r="43759">
      <c r="H43759" s="8" t="s">
        <v>364</v>
      </c>
    </row>
    <row r="43760">
      <c r="H43760" s="8" t="s">
        <v>364</v>
      </c>
    </row>
    <row r="43761">
      <c r="H43761" s="8" t="s">
        <v>364</v>
      </c>
    </row>
    <row r="43762">
      <c r="H43762" s="8" t="s">
        <v>364</v>
      </c>
    </row>
    <row r="43763">
      <c r="H43763" s="8" t="s">
        <v>364</v>
      </c>
    </row>
    <row r="43764">
      <c r="H43764" s="8" t="s">
        <v>364</v>
      </c>
    </row>
    <row r="43765">
      <c r="H43765" s="8" t="s">
        <v>364</v>
      </c>
    </row>
    <row r="43766">
      <c r="H43766" s="8" t="s">
        <v>364</v>
      </c>
    </row>
    <row r="43767">
      <c r="H43767" s="8" t="s">
        <v>364</v>
      </c>
    </row>
    <row r="43768">
      <c r="H43768" s="8" t="s">
        <v>364</v>
      </c>
    </row>
    <row r="43769">
      <c r="H43769" s="8" t="s">
        <v>364</v>
      </c>
    </row>
    <row r="43770">
      <c r="H43770" s="8" t="s">
        <v>364</v>
      </c>
    </row>
    <row r="43771">
      <c r="H43771" s="8" t="s">
        <v>364</v>
      </c>
    </row>
    <row r="43772">
      <c r="H43772" s="8" t="s">
        <v>364</v>
      </c>
    </row>
    <row r="43773">
      <c r="H43773" s="8" t="s">
        <v>364</v>
      </c>
    </row>
    <row r="43774">
      <c r="H43774" s="8" t="s">
        <v>364</v>
      </c>
    </row>
    <row r="43775">
      <c r="H43775" s="8" t="s">
        <v>364</v>
      </c>
    </row>
    <row r="43776">
      <c r="H43776" s="8" t="s">
        <v>364</v>
      </c>
    </row>
    <row r="43777">
      <c r="H43777" s="8" t="s">
        <v>364</v>
      </c>
    </row>
    <row r="43778">
      <c r="H43778" s="8" t="s">
        <v>364</v>
      </c>
    </row>
    <row r="43779">
      <c r="H43779" s="8" t="s">
        <v>364</v>
      </c>
    </row>
    <row r="43780">
      <c r="H43780" s="8" t="s">
        <v>364</v>
      </c>
    </row>
    <row r="43781">
      <c r="H43781" s="8" t="s">
        <v>364</v>
      </c>
    </row>
    <row r="43782">
      <c r="H43782" s="8" t="s">
        <v>364</v>
      </c>
    </row>
    <row r="43783">
      <c r="H43783" s="8" t="s">
        <v>364</v>
      </c>
    </row>
    <row r="43784">
      <c r="H43784" s="8" t="s">
        <v>364</v>
      </c>
    </row>
    <row r="43785">
      <c r="H43785" s="8" t="s">
        <v>364</v>
      </c>
    </row>
    <row r="43786">
      <c r="H43786" s="8" t="s">
        <v>364</v>
      </c>
    </row>
    <row r="43787">
      <c r="H43787" s="8" t="s">
        <v>364</v>
      </c>
    </row>
    <row r="43788">
      <c r="H43788" s="8" t="s">
        <v>364</v>
      </c>
    </row>
    <row r="43789">
      <c r="H43789" s="8" t="s">
        <v>364</v>
      </c>
    </row>
    <row r="43790">
      <c r="H43790" s="8" t="s">
        <v>364</v>
      </c>
    </row>
    <row r="43791">
      <c r="H43791" s="8" t="s">
        <v>364</v>
      </c>
    </row>
    <row r="43792">
      <c r="H43792" s="8" t="s">
        <v>364</v>
      </c>
    </row>
    <row r="43793">
      <c r="H43793" s="8" t="s">
        <v>364</v>
      </c>
    </row>
    <row r="43794">
      <c r="H43794" s="8" t="s">
        <v>364</v>
      </c>
    </row>
    <row r="43795">
      <c r="H43795" s="8" t="s">
        <v>364</v>
      </c>
    </row>
    <row r="43796">
      <c r="H43796" s="8" t="s">
        <v>364</v>
      </c>
    </row>
    <row r="43797">
      <c r="H43797" s="8" t="s">
        <v>364</v>
      </c>
    </row>
    <row r="43798">
      <c r="H43798" s="8" t="s">
        <v>364</v>
      </c>
    </row>
    <row r="43799">
      <c r="H43799" s="8" t="s">
        <v>364</v>
      </c>
    </row>
    <row r="43800">
      <c r="H43800" s="8" t="s">
        <v>364</v>
      </c>
    </row>
    <row r="43801">
      <c r="H43801" s="8" t="s">
        <v>364</v>
      </c>
    </row>
    <row r="43802">
      <c r="H43802" s="8" t="s">
        <v>364</v>
      </c>
    </row>
    <row r="43803">
      <c r="H43803" s="8" t="s">
        <v>364</v>
      </c>
    </row>
    <row r="43804">
      <c r="H43804" s="8" t="s">
        <v>364</v>
      </c>
    </row>
    <row r="43805">
      <c r="H43805" s="8" t="s">
        <v>364</v>
      </c>
    </row>
    <row r="43806">
      <c r="H43806" s="8" t="s">
        <v>364</v>
      </c>
    </row>
    <row r="43807">
      <c r="H43807" s="8" t="s">
        <v>364</v>
      </c>
    </row>
    <row r="43808">
      <c r="H43808" s="8" t="s">
        <v>364</v>
      </c>
    </row>
    <row r="43809">
      <c r="H43809" s="8" t="s">
        <v>364</v>
      </c>
    </row>
    <row r="43810">
      <c r="H43810" s="8" t="s">
        <v>364</v>
      </c>
    </row>
    <row r="43811">
      <c r="H43811" s="8" t="s">
        <v>364</v>
      </c>
    </row>
    <row r="43812">
      <c r="H43812" s="8" t="s">
        <v>364</v>
      </c>
    </row>
    <row r="43813">
      <c r="H43813" s="8" t="s">
        <v>364</v>
      </c>
    </row>
    <row r="43814">
      <c r="H43814" s="8" t="s">
        <v>364</v>
      </c>
    </row>
    <row r="43815">
      <c r="H43815" s="8" t="s">
        <v>364</v>
      </c>
    </row>
    <row r="43816">
      <c r="H43816" s="8" t="s">
        <v>364</v>
      </c>
    </row>
    <row r="43817">
      <c r="H43817" s="8" t="s">
        <v>364</v>
      </c>
    </row>
    <row r="43818">
      <c r="H43818" s="8" t="s">
        <v>364</v>
      </c>
    </row>
    <row r="43819">
      <c r="H43819" s="8" t="s">
        <v>364</v>
      </c>
    </row>
    <row r="43820">
      <c r="H43820" s="8" t="s">
        <v>364</v>
      </c>
    </row>
    <row r="43821">
      <c r="H43821" s="8" t="s">
        <v>364</v>
      </c>
    </row>
    <row r="43822">
      <c r="H43822" s="8" t="s">
        <v>364</v>
      </c>
    </row>
    <row r="43823">
      <c r="H43823" s="8" t="s">
        <v>364</v>
      </c>
    </row>
    <row r="43824">
      <c r="H43824" s="8" t="s">
        <v>364</v>
      </c>
    </row>
    <row r="43825">
      <c r="H43825" s="8" t="s">
        <v>364</v>
      </c>
    </row>
    <row r="43826">
      <c r="H43826" s="8" t="s">
        <v>364</v>
      </c>
    </row>
    <row r="43827">
      <c r="H43827" s="8" t="s">
        <v>364</v>
      </c>
    </row>
    <row r="43828">
      <c r="H43828" s="8" t="s">
        <v>364</v>
      </c>
    </row>
    <row r="43829">
      <c r="H43829" s="8" t="s">
        <v>364</v>
      </c>
    </row>
    <row r="43830">
      <c r="H43830" s="8" t="s">
        <v>364</v>
      </c>
    </row>
    <row r="43831">
      <c r="H43831" s="8" t="s">
        <v>364</v>
      </c>
    </row>
    <row r="43832">
      <c r="H43832" s="8" t="s">
        <v>364</v>
      </c>
    </row>
    <row r="43833">
      <c r="H43833" s="8" t="s">
        <v>364</v>
      </c>
    </row>
    <row r="43834">
      <c r="H43834" s="8" t="s">
        <v>364</v>
      </c>
    </row>
    <row r="43835">
      <c r="H43835" s="8" t="s">
        <v>364</v>
      </c>
    </row>
    <row r="43836">
      <c r="H43836" s="8" t="s">
        <v>364</v>
      </c>
    </row>
    <row r="43837">
      <c r="H43837" s="8" t="s">
        <v>364</v>
      </c>
    </row>
    <row r="43838">
      <c r="H43838" s="8" t="s">
        <v>364</v>
      </c>
    </row>
    <row r="43839">
      <c r="H43839" s="8" t="s">
        <v>364</v>
      </c>
    </row>
    <row r="43840">
      <c r="H43840" s="8" t="s">
        <v>364</v>
      </c>
    </row>
    <row r="43841">
      <c r="H43841" s="8" t="s">
        <v>364</v>
      </c>
    </row>
    <row r="43842">
      <c r="H43842" s="8" t="s">
        <v>364</v>
      </c>
    </row>
    <row r="43843">
      <c r="H43843" s="8" t="s">
        <v>364</v>
      </c>
    </row>
    <row r="43844">
      <c r="H43844" s="8" t="s">
        <v>364</v>
      </c>
    </row>
    <row r="43845">
      <c r="H43845" s="8" t="s">
        <v>364</v>
      </c>
    </row>
    <row r="43846">
      <c r="H43846" s="8" t="s">
        <v>364</v>
      </c>
    </row>
    <row r="43847">
      <c r="H43847" s="8" t="s">
        <v>364</v>
      </c>
    </row>
    <row r="43848">
      <c r="H43848" s="8" t="s">
        <v>364</v>
      </c>
    </row>
    <row r="43849">
      <c r="H43849" s="8" t="s">
        <v>364</v>
      </c>
    </row>
    <row r="43850">
      <c r="H43850" s="8" t="s">
        <v>364</v>
      </c>
    </row>
    <row r="43851">
      <c r="H43851" s="8" t="s">
        <v>364</v>
      </c>
    </row>
    <row r="43852">
      <c r="H43852" s="8" t="s">
        <v>364</v>
      </c>
    </row>
    <row r="43853">
      <c r="H43853" s="8" t="s">
        <v>364</v>
      </c>
    </row>
    <row r="43854">
      <c r="H43854" s="8" t="s">
        <v>364</v>
      </c>
    </row>
    <row r="43855">
      <c r="H43855" s="8" t="s">
        <v>364</v>
      </c>
    </row>
    <row r="43856">
      <c r="H43856" s="8" t="s">
        <v>364</v>
      </c>
    </row>
    <row r="43857">
      <c r="H43857" s="8" t="s">
        <v>364</v>
      </c>
    </row>
    <row r="43858">
      <c r="H43858" s="8" t="s">
        <v>364</v>
      </c>
    </row>
    <row r="43859">
      <c r="H43859" s="8" t="s">
        <v>364</v>
      </c>
    </row>
    <row r="43860">
      <c r="H43860" s="8" t="s">
        <v>364</v>
      </c>
    </row>
    <row r="43861">
      <c r="H43861" s="8" t="s">
        <v>364</v>
      </c>
    </row>
    <row r="43862">
      <c r="H43862" s="8" t="s">
        <v>364</v>
      </c>
    </row>
    <row r="43863">
      <c r="H43863" s="8" t="s">
        <v>364</v>
      </c>
    </row>
    <row r="43864">
      <c r="H43864" s="8" t="s">
        <v>364</v>
      </c>
    </row>
    <row r="43865">
      <c r="H43865" s="8" t="s">
        <v>364</v>
      </c>
    </row>
    <row r="43866">
      <c r="H43866" s="8" t="s">
        <v>364</v>
      </c>
    </row>
    <row r="43867">
      <c r="H43867" s="8" t="s">
        <v>364</v>
      </c>
    </row>
    <row r="43868">
      <c r="H43868" s="8" t="s">
        <v>364</v>
      </c>
    </row>
    <row r="43869">
      <c r="H43869" s="8" t="s">
        <v>364</v>
      </c>
    </row>
    <row r="43870">
      <c r="H43870" s="8" t="s">
        <v>364</v>
      </c>
    </row>
    <row r="43871">
      <c r="H43871" s="8" t="s">
        <v>364</v>
      </c>
    </row>
    <row r="43872">
      <c r="H43872" s="8" t="s">
        <v>364</v>
      </c>
    </row>
    <row r="43873">
      <c r="H43873" s="8" t="s">
        <v>364</v>
      </c>
    </row>
    <row r="43874">
      <c r="H43874" s="8" t="s">
        <v>364</v>
      </c>
    </row>
    <row r="43875">
      <c r="H43875" s="8" t="s">
        <v>364</v>
      </c>
    </row>
    <row r="43876">
      <c r="H43876" s="8" t="s">
        <v>364</v>
      </c>
    </row>
    <row r="43877">
      <c r="H43877" s="8" t="s">
        <v>364</v>
      </c>
    </row>
    <row r="43878">
      <c r="H43878" s="8" t="s">
        <v>364</v>
      </c>
    </row>
    <row r="43879">
      <c r="H43879" s="8" t="s">
        <v>364</v>
      </c>
    </row>
    <row r="43880">
      <c r="H43880" s="8" t="s">
        <v>364</v>
      </c>
    </row>
    <row r="43881">
      <c r="H43881" s="8" t="s">
        <v>364</v>
      </c>
    </row>
    <row r="43882">
      <c r="H43882" s="8" t="s">
        <v>364</v>
      </c>
    </row>
    <row r="43883">
      <c r="H43883" s="8" t="s">
        <v>364</v>
      </c>
    </row>
    <row r="43884">
      <c r="H43884" s="8" t="s">
        <v>364</v>
      </c>
    </row>
    <row r="43885">
      <c r="H43885" s="8" t="s">
        <v>364</v>
      </c>
    </row>
    <row r="43886">
      <c r="H43886" s="8" t="s">
        <v>364</v>
      </c>
    </row>
    <row r="43887">
      <c r="H43887" s="8" t="s">
        <v>364</v>
      </c>
    </row>
    <row r="43888">
      <c r="H43888" s="8" t="s">
        <v>364</v>
      </c>
    </row>
    <row r="43889">
      <c r="H43889" s="8" t="s">
        <v>364</v>
      </c>
    </row>
    <row r="43890">
      <c r="H43890" s="8" t="s">
        <v>364</v>
      </c>
    </row>
    <row r="43891">
      <c r="H43891" s="8" t="s">
        <v>364</v>
      </c>
    </row>
    <row r="43892">
      <c r="H43892" s="8" t="s">
        <v>364</v>
      </c>
    </row>
    <row r="43893">
      <c r="H43893" s="8" t="s">
        <v>364</v>
      </c>
    </row>
    <row r="43894">
      <c r="H43894" s="8" t="s">
        <v>364</v>
      </c>
    </row>
    <row r="43895">
      <c r="H43895" s="8" t="s">
        <v>364</v>
      </c>
    </row>
    <row r="43896">
      <c r="H43896" s="8" t="s">
        <v>364</v>
      </c>
    </row>
    <row r="43897">
      <c r="H43897" s="8" t="s">
        <v>364</v>
      </c>
    </row>
    <row r="43898">
      <c r="H43898" s="8" t="s">
        <v>364</v>
      </c>
    </row>
    <row r="43899">
      <c r="H43899" s="8" t="s">
        <v>364</v>
      </c>
    </row>
    <row r="43900">
      <c r="H43900" s="8" t="s">
        <v>364</v>
      </c>
    </row>
    <row r="43901">
      <c r="H43901" s="8" t="s">
        <v>364</v>
      </c>
    </row>
    <row r="43902">
      <c r="H43902" s="8" t="s">
        <v>364</v>
      </c>
    </row>
    <row r="43903">
      <c r="H43903" s="8" t="s">
        <v>364</v>
      </c>
    </row>
    <row r="43904">
      <c r="H43904" s="8" t="s">
        <v>364</v>
      </c>
    </row>
    <row r="43905">
      <c r="H43905" s="8" t="s">
        <v>364</v>
      </c>
    </row>
    <row r="43906">
      <c r="H43906" s="8" t="s">
        <v>364</v>
      </c>
    </row>
    <row r="43907">
      <c r="H43907" s="8" t="s">
        <v>364</v>
      </c>
    </row>
    <row r="43908">
      <c r="H43908" s="8" t="s">
        <v>364</v>
      </c>
    </row>
    <row r="43909">
      <c r="H43909" s="8" t="s">
        <v>364</v>
      </c>
    </row>
    <row r="43910">
      <c r="H43910" s="8" t="s">
        <v>364</v>
      </c>
    </row>
    <row r="43911">
      <c r="H43911" s="8" t="s">
        <v>364</v>
      </c>
    </row>
    <row r="43912">
      <c r="H43912" s="8" t="s">
        <v>364</v>
      </c>
    </row>
    <row r="43913">
      <c r="H43913" s="8" t="s">
        <v>364</v>
      </c>
    </row>
    <row r="43914">
      <c r="H43914" s="8" t="s">
        <v>364</v>
      </c>
    </row>
    <row r="43915">
      <c r="H43915" s="8" t="s">
        <v>364</v>
      </c>
    </row>
    <row r="43916">
      <c r="H43916" s="8" t="s">
        <v>364</v>
      </c>
    </row>
    <row r="43917">
      <c r="H43917" s="8" t="s">
        <v>364</v>
      </c>
    </row>
    <row r="43918">
      <c r="H43918" s="8" t="s">
        <v>364</v>
      </c>
    </row>
    <row r="43919">
      <c r="H43919" s="8" t="s">
        <v>364</v>
      </c>
    </row>
    <row r="43920">
      <c r="H43920" s="8" t="s">
        <v>364</v>
      </c>
    </row>
    <row r="43921">
      <c r="H43921" s="8" t="s">
        <v>364</v>
      </c>
    </row>
    <row r="43922">
      <c r="H43922" s="8" t="s">
        <v>364</v>
      </c>
    </row>
    <row r="43923">
      <c r="H43923" s="8" t="s">
        <v>364</v>
      </c>
    </row>
    <row r="43924">
      <c r="H43924" s="8" t="s">
        <v>364</v>
      </c>
    </row>
    <row r="43925">
      <c r="H43925" s="8" t="s">
        <v>364</v>
      </c>
    </row>
    <row r="43926">
      <c r="H43926" s="8" t="s">
        <v>364</v>
      </c>
    </row>
    <row r="43927">
      <c r="H43927" s="8" t="s">
        <v>364</v>
      </c>
    </row>
    <row r="43928">
      <c r="H43928" s="8" t="s">
        <v>364</v>
      </c>
    </row>
    <row r="43929">
      <c r="H43929" s="8" t="s">
        <v>364</v>
      </c>
    </row>
    <row r="43930">
      <c r="H43930" s="8" t="s">
        <v>364</v>
      </c>
    </row>
    <row r="43931">
      <c r="H43931" s="8" t="s">
        <v>364</v>
      </c>
    </row>
    <row r="43932">
      <c r="H43932" s="8" t="s">
        <v>364</v>
      </c>
    </row>
    <row r="43933">
      <c r="H43933" s="8" t="s">
        <v>364</v>
      </c>
    </row>
    <row r="43934">
      <c r="H43934" s="8" t="s">
        <v>364</v>
      </c>
    </row>
    <row r="43935">
      <c r="H43935" s="8" t="s">
        <v>364</v>
      </c>
    </row>
    <row r="43936">
      <c r="H43936" s="8" t="s">
        <v>364</v>
      </c>
    </row>
    <row r="43937">
      <c r="H43937" s="8" t="s">
        <v>364</v>
      </c>
    </row>
    <row r="43938">
      <c r="H43938" s="8" t="s">
        <v>364</v>
      </c>
    </row>
    <row r="43939">
      <c r="H43939" s="8" t="s">
        <v>364</v>
      </c>
    </row>
    <row r="43940">
      <c r="H43940" s="8" t="s">
        <v>364</v>
      </c>
    </row>
    <row r="43941">
      <c r="H43941" s="8" t="s">
        <v>364</v>
      </c>
    </row>
    <row r="43942">
      <c r="H43942" s="8" t="s">
        <v>364</v>
      </c>
    </row>
    <row r="43943">
      <c r="H43943" s="8" t="s">
        <v>364</v>
      </c>
    </row>
    <row r="43944">
      <c r="H43944" s="8" t="s">
        <v>364</v>
      </c>
    </row>
    <row r="43945">
      <c r="H43945" s="8" t="s">
        <v>364</v>
      </c>
    </row>
    <row r="43946">
      <c r="H43946" s="8" t="s">
        <v>364</v>
      </c>
    </row>
    <row r="43947">
      <c r="H43947" s="8" t="s">
        <v>364</v>
      </c>
    </row>
    <row r="43948">
      <c r="H43948" s="8" t="s">
        <v>364</v>
      </c>
    </row>
    <row r="43949">
      <c r="H43949" s="8" t="s">
        <v>364</v>
      </c>
    </row>
    <row r="43950">
      <c r="H43950" s="8" t="s">
        <v>364</v>
      </c>
    </row>
    <row r="43951">
      <c r="H43951" s="8" t="s">
        <v>364</v>
      </c>
    </row>
    <row r="43952">
      <c r="H43952" s="8" t="s">
        <v>364</v>
      </c>
    </row>
    <row r="43953">
      <c r="H43953" s="8" t="s">
        <v>364</v>
      </c>
    </row>
    <row r="43954">
      <c r="H43954" s="8" t="s">
        <v>364</v>
      </c>
    </row>
    <row r="43955">
      <c r="H43955" s="8" t="s">
        <v>364</v>
      </c>
    </row>
    <row r="43956">
      <c r="H43956" s="8" t="s">
        <v>364</v>
      </c>
    </row>
    <row r="43957">
      <c r="H43957" s="8" t="s">
        <v>364</v>
      </c>
    </row>
    <row r="43958">
      <c r="H43958" s="8" t="s">
        <v>364</v>
      </c>
    </row>
    <row r="43959">
      <c r="H43959" s="8" t="s">
        <v>364</v>
      </c>
    </row>
    <row r="43960">
      <c r="H43960" s="8" t="s">
        <v>364</v>
      </c>
    </row>
    <row r="43961">
      <c r="H43961" s="8" t="s">
        <v>364</v>
      </c>
    </row>
    <row r="43962">
      <c r="H43962" s="8" t="s">
        <v>364</v>
      </c>
    </row>
    <row r="43963">
      <c r="H43963" s="8" t="s">
        <v>364</v>
      </c>
    </row>
    <row r="43964">
      <c r="H43964" s="8" t="s">
        <v>364</v>
      </c>
    </row>
    <row r="43965">
      <c r="H43965" s="8" t="s">
        <v>364</v>
      </c>
    </row>
    <row r="43966">
      <c r="H43966" s="8" t="s">
        <v>364</v>
      </c>
    </row>
    <row r="43967">
      <c r="H43967" s="8" t="s">
        <v>364</v>
      </c>
    </row>
    <row r="43968">
      <c r="H43968" s="8" t="s">
        <v>364</v>
      </c>
    </row>
    <row r="43969">
      <c r="H43969" s="8" t="s">
        <v>364</v>
      </c>
    </row>
    <row r="43970">
      <c r="H43970" s="8" t="s">
        <v>364</v>
      </c>
    </row>
    <row r="43971">
      <c r="H43971" s="8" t="s">
        <v>364</v>
      </c>
    </row>
    <row r="43972">
      <c r="H43972" s="8" t="s">
        <v>364</v>
      </c>
    </row>
    <row r="43973">
      <c r="H43973" s="8" t="s">
        <v>364</v>
      </c>
    </row>
    <row r="43974">
      <c r="H43974" s="8" t="s">
        <v>364</v>
      </c>
    </row>
    <row r="43975">
      <c r="H43975" s="8" t="s">
        <v>364</v>
      </c>
    </row>
    <row r="43976">
      <c r="H43976" s="8" t="s">
        <v>364</v>
      </c>
    </row>
    <row r="43977">
      <c r="H43977" s="8" t="s">
        <v>364</v>
      </c>
    </row>
    <row r="43978">
      <c r="H43978" s="8" t="s">
        <v>364</v>
      </c>
    </row>
    <row r="43979">
      <c r="H43979" s="8" t="s">
        <v>364</v>
      </c>
    </row>
    <row r="43980">
      <c r="H43980" s="8" t="s">
        <v>364</v>
      </c>
    </row>
    <row r="43981">
      <c r="H43981" s="8" t="s">
        <v>364</v>
      </c>
    </row>
    <row r="43982">
      <c r="H43982" s="8" t="s">
        <v>364</v>
      </c>
    </row>
    <row r="43983">
      <c r="H43983" s="8" t="s">
        <v>364</v>
      </c>
    </row>
    <row r="43984">
      <c r="H43984" s="8" t="s">
        <v>364</v>
      </c>
    </row>
    <row r="43985">
      <c r="H43985" s="8" t="s">
        <v>364</v>
      </c>
    </row>
    <row r="43986">
      <c r="H43986" s="8" t="s">
        <v>364</v>
      </c>
    </row>
    <row r="43987">
      <c r="H43987" s="8" t="s">
        <v>364</v>
      </c>
    </row>
    <row r="43988">
      <c r="H43988" s="8" t="s">
        <v>364</v>
      </c>
    </row>
    <row r="43989">
      <c r="H43989" s="8" t="s">
        <v>364</v>
      </c>
    </row>
    <row r="43990">
      <c r="H43990" s="8" t="s">
        <v>364</v>
      </c>
    </row>
    <row r="43991">
      <c r="H43991" s="8" t="s">
        <v>364</v>
      </c>
    </row>
    <row r="43992">
      <c r="H43992" s="8" t="s">
        <v>364</v>
      </c>
    </row>
    <row r="43993">
      <c r="H43993" s="8" t="s">
        <v>364</v>
      </c>
    </row>
    <row r="43994">
      <c r="H43994" s="8" t="s">
        <v>364</v>
      </c>
    </row>
    <row r="43995">
      <c r="H43995" s="8" t="s">
        <v>364</v>
      </c>
    </row>
    <row r="43996">
      <c r="H43996" s="8" t="s">
        <v>364</v>
      </c>
    </row>
    <row r="43997">
      <c r="H43997" s="8" t="s">
        <v>364</v>
      </c>
    </row>
    <row r="43998">
      <c r="H43998" s="8" t="s">
        <v>364</v>
      </c>
    </row>
    <row r="43999">
      <c r="H43999" s="8" t="s">
        <v>364</v>
      </c>
    </row>
    <row r="44000">
      <c r="H44000" s="8" t="s">
        <v>364</v>
      </c>
    </row>
    <row r="44001">
      <c r="H44001" s="8" t="s">
        <v>364</v>
      </c>
    </row>
    <row r="44002">
      <c r="H44002" s="8" t="s">
        <v>364</v>
      </c>
    </row>
    <row r="44003">
      <c r="H44003" s="8" t="s">
        <v>364</v>
      </c>
    </row>
    <row r="44004">
      <c r="H44004" s="8" t="s">
        <v>364</v>
      </c>
    </row>
    <row r="44005">
      <c r="H44005" s="8" t="s">
        <v>364</v>
      </c>
    </row>
    <row r="44006">
      <c r="H44006" s="8" t="s">
        <v>364</v>
      </c>
    </row>
    <row r="44007">
      <c r="H44007" s="8" t="s">
        <v>364</v>
      </c>
    </row>
    <row r="44008">
      <c r="H44008" s="8" t="s">
        <v>364</v>
      </c>
    </row>
    <row r="44009">
      <c r="H44009" s="8" t="s">
        <v>364</v>
      </c>
    </row>
    <row r="44010">
      <c r="H44010" s="8" t="s">
        <v>364</v>
      </c>
    </row>
    <row r="44011">
      <c r="H44011" s="8" t="s">
        <v>364</v>
      </c>
    </row>
    <row r="44012">
      <c r="H44012" s="8" t="s">
        <v>364</v>
      </c>
    </row>
    <row r="44013">
      <c r="H44013" s="8" t="s">
        <v>364</v>
      </c>
    </row>
    <row r="44014">
      <c r="H44014" s="8" t="s">
        <v>364</v>
      </c>
    </row>
    <row r="44015">
      <c r="H44015" s="8" t="s">
        <v>364</v>
      </c>
    </row>
    <row r="44016">
      <c r="H44016" s="8" t="s">
        <v>364</v>
      </c>
    </row>
    <row r="44017">
      <c r="H44017" s="8" t="s">
        <v>364</v>
      </c>
    </row>
    <row r="44018">
      <c r="H44018" s="8" t="s">
        <v>364</v>
      </c>
    </row>
    <row r="44019">
      <c r="H44019" s="8" t="s">
        <v>364</v>
      </c>
    </row>
    <row r="44020">
      <c r="H44020" s="8" t="s">
        <v>364</v>
      </c>
    </row>
    <row r="44021">
      <c r="H44021" s="8" t="s">
        <v>364</v>
      </c>
    </row>
    <row r="44022">
      <c r="H44022" s="8" t="s">
        <v>364</v>
      </c>
    </row>
    <row r="44023">
      <c r="H44023" s="8" t="s">
        <v>364</v>
      </c>
    </row>
    <row r="44024">
      <c r="H44024" s="8" t="s">
        <v>364</v>
      </c>
    </row>
    <row r="44025">
      <c r="H44025" s="8" t="s">
        <v>364</v>
      </c>
    </row>
    <row r="44026">
      <c r="H44026" s="8" t="s">
        <v>364</v>
      </c>
    </row>
    <row r="44027">
      <c r="H44027" s="8" t="s">
        <v>364</v>
      </c>
    </row>
    <row r="44028">
      <c r="H44028" s="8" t="s">
        <v>364</v>
      </c>
    </row>
    <row r="44029">
      <c r="H44029" s="8" t="s">
        <v>364</v>
      </c>
    </row>
    <row r="44030">
      <c r="H44030" s="8" t="s">
        <v>364</v>
      </c>
    </row>
    <row r="44031">
      <c r="H44031" s="8" t="s">
        <v>364</v>
      </c>
    </row>
    <row r="44032">
      <c r="H44032" s="8" t="s">
        <v>364</v>
      </c>
    </row>
    <row r="44033">
      <c r="H44033" s="8" t="s">
        <v>364</v>
      </c>
    </row>
    <row r="44034">
      <c r="H44034" s="8" t="s">
        <v>364</v>
      </c>
    </row>
    <row r="44035">
      <c r="H44035" s="8" t="s">
        <v>364</v>
      </c>
    </row>
    <row r="44036">
      <c r="H44036" s="8" t="s">
        <v>364</v>
      </c>
    </row>
    <row r="44037">
      <c r="H44037" s="8" t="s">
        <v>364</v>
      </c>
    </row>
    <row r="44038">
      <c r="H44038" s="8" t="s">
        <v>364</v>
      </c>
    </row>
    <row r="44039">
      <c r="H44039" s="8" t="s">
        <v>364</v>
      </c>
    </row>
    <row r="44040">
      <c r="H44040" s="8" t="s">
        <v>364</v>
      </c>
    </row>
    <row r="44041">
      <c r="H44041" s="8" t="s">
        <v>364</v>
      </c>
    </row>
    <row r="44042">
      <c r="H44042" s="8" t="s">
        <v>364</v>
      </c>
    </row>
    <row r="44043">
      <c r="H44043" s="8" t="s">
        <v>364</v>
      </c>
    </row>
    <row r="44044">
      <c r="H44044" s="8" t="s">
        <v>364</v>
      </c>
    </row>
    <row r="44045">
      <c r="H44045" s="8" t="s">
        <v>364</v>
      </c>
    </row>
    <row r="44046">
      <c r="H44046" s="8" t="s">
        <v>364</v>
      </c>
    </row>
    <row r="44047">
      <c r="H44047" s="8" t="s">
        <v>364</v>
      </c>
    </row>
    <row r="44048">
      <c r="H44048" s="8" t="s">
        <v>364</v>
      </c>
    </row>
    <row r="44049">
      <c r="H44049" s="8" t="s">
        <v>364</v>
      </c>
    </row>
    <row r="44050">
      <c r="H44050" s="8" t="s">
        <v>364</v>
      </c>
    </row>
    <row r="44051">
      <c r="H44051" s="8" t="s">
        <v>364</v>
      </c>
    </row>
    <row r="44052">
      <c r="H44052" s="8" t="s">
        <v>364</v>
      </c>
    </row>
    <row r="44053">
      <c r="H44053" s="8" t="s">
        <v>364</v>
      </c>
    </row>
    <row r="44054">
      <c r="H44054" s="8" t="s">
        <v>364</v>
      </c>
    </row>
    <row r="44055">
      <c r="H44055" s="8" t="s">
        <v>364</v>
      </c>
    </row>
    <row r="44056">
      <c r="H44056" s="8" t="s">
        <v>364</v>
      </c>
    </row>
    <row r="44057">
      <c r="H44057" s="8" t="s">
        <v>364</v>
      </c>
    </row>
    <row r="44058">
      <c r="H44058" s="8" t="s">
        <v>364</v>
      </c>
    </row>
    <row r="44059">
      <c r="H44059" s="8" t="s">
        <v>364</v>
      </c>
    </row>
    <row r="44060">
      <c r="H44060" s="8" t="s">
        <v>364</v>
      </c>
    </row>
    <row r="44061">
      <c r="H44061" s="8" t="s">
        <v>364</v>
      </c>
    </row>
    <row r="44062">
      <c r="H44062" s="8" t="s">
        <v>364</v>
      </c>
    </row>
    <row r="44063">
      <c r="H44063" s="8" t="s">
        <v>364</v>
      </c>
    </row>
    <row r="44064">
      <c r="H44064" s="8" t="s">
        <v>364</v>
      </c>
    </row>
    <row r="44065">
      <c r="H44065" s="8" t="s">
        <v>364</v>
      </c>
    </row>
    <row r="44066">
      <c r="H44066" s="8" t="s">
        <v>364</v>
      </c>
    </row>
    <row r="44067">
      <c r="H44067" s="8" t="s">
        <v>364</v>
      </c>
    </row>
    <row r="44068">
      <c r="H44068" s="8" t="s">
        <v>364</v>
      </c>
    </row>
    <row r="44069">
      <c r="H44069" s="8" t="s">
        <v>364</v>
      </c>
    </row>
    <row r="44070">
      <c r="H44070" s="8" t="s">
        <v>364</v>
      </c>
    </row>
    <row r="44071">
      <c r="H44071" s="8" t="s">
        <v>364</v>
      </c>
    </row>
    <row r="44072">
      <c r="H44072" s="8" t="s">
        <v>364</v>
      </c>
    </row>
    <row r="44073">
      <c r="H44073" s="8" t="s">
        <v>364</v>
      </c>
    </row>
    <row r="44074">
      <c r="H44074" s="8" t="s">
        <v>364</v>
      </c>
    </row>
    <row r="44075">
      <c r="H44075" s="8" t="s">
        <v>364</v>
      </c>
    </row>
    <row r="44076">
      <c r="H44076" s="8" t="s">
        <v>364</v>
      </c>
    </row>
    <row r="44077">
      <c r="H44077" s="8" t="s">
        <v>364</v>
      </c>
    </row>
    <row r="44078">
      <c r="H44078" s="8" t="s">
        <v>364</v>
      </c>
    </row>
    <row r="44079">
      <c r="H44079" s="8" t="s">
        <v>364</v>
      </c>
    </row>
    <row r="44080">
      <c r="H44080" s="8" t="s">
        <v>364</v>
      </c>
    </row>
    <row r="44081">
      <c r="H44081" s="8" t="s">
        <v>364</v>
      </c>
    </row>
    <row r="44082">
      <c r="H44082" s="8" t="s">
        <v>364</v>
      </c>
    </row>
    <row r="44083">
      <c r="H44083" s="8" t="s">
        <v>364</v>
      </c>
    </row>
    <row r="44084">
      <c r="H44084" s="8" t="s">
        <v>364</v>
      </c>
    </row>
    <row r="44085">
      <c r="H44085" s="8" t="s">
        <v>364</v>
      </c>
    </row>
    <row r="44086">
      <c r="H44086" s="8" t="s">
        <v>364</v>
      </c>
    </row>
    <row r="44087">
      <c r="H44087" s="8" t="s">
        <v>364</v>
      </c>
    </row>
    <row r="44088">
      <c r="H44088" s="8" t="s">
        <v>364</v>
      </c>
    </row>
    <row r="44089">
      <c r="H44089" s="8" t="s">
        <v>364</v>
      </c>
    </row>
    <row r="44090">
      <c r="H44090" s="8" t="s">
        <v>364</v>
      </c>
    </row>
    <row r="44091">
      <c r="H44091" s="8" t="s">
        <v>364</v>
      </c>
    </row>
    <row r="44092">
      <c r="H44092" s="8" t="s">
        <v>364</v>
      </c>
    </row>
    <row r="44093">
      <c r="H44093" s="8" t="s">
        <v>364</v>
      </c>
    </row>
    <row r="44094">
      <c r="H44094" s="8" t="s">
        <v>364</v>
      </c>
    </row>
    <row r="44095">
      <c r="H44095" s="8" t="s">
        <v>364</v>
      </c>
    </row>
    <row r="44096">
      <c r="H44096" s="8" t="s">
        <v>364</v>
      </c>
    </row>
    <row r="44097">
      <c r="H44097" s="8" t="s">
        <v>364</v>
      </c>
    </row>
    <row r="44098">
      <c r="H44098" s="8" t="s">
        <v>364</v>
      </c>
    </row>
    <row r="44099">
      <c r="H44099" s="8" t="s">
        <v>364</v>
      </c>
    </row>
    <row r="44100">
      <c r="H44100" s="8" t="s">
        <v>364</v>
      </c>
    </row>
    <row r="44101">
      <c r="H44101" s="8" t="s">
        <v>364</v>
      </c>
    </row>
    <row r="44102">
      <c r="H44102" s="8" t="s">
        <v>364</v>
      </c>
    </row>
    <row r="44103">
      <c r="H44103" s="8" t="s">
        <v>364</v>
      </c>
    </row>
    <row r="44104">
      <c r="H44104" s="8" t="s">
        <v>364</v>
      </c>
    </row>
    <row r="44105">
      <c r="H44105" s="8" t="s">
        <v>364</v>
      </c>
    </row>
    <row r="44106">
      <c r="H44106" s="8" t="s">
        <v>364</v>
      </c>
    </row>
    <row r="44107">
      <c r="H44107" s="8" t="s">
        <v>364</v>
      </c>
    </row>
    <row r="44108">
      <c r="H44108" s="8" t="s">
        <v>364</v>
      </c>
    </row>
    <row r="44109">
      <c r="H44109" s="8" t="s">
        <v>364</v>
      </c>
    </row>
    <row r="44110">
      <c r="H44110" s="8" t="s">
        <v>364</v>
      </c>
    </row>
    <row r="44111">
      <c r="H44111" s="8" t="s">
        <v>364</v>
      </c>
    </row>
    <row r="44112">
      <c r="H44112" s="8" t="s">
        <v>364</v>
      </c>
    </row>
    <row r="44113">
      <c r="H44113" s="8" t="s">
        <v>364</v>
      </c>
    </row>
    <row r="44114">
      <c r="H44114" s="8" t="s">
        <v>364</v>
      </c>
    </row>
    <row r="44115">
      <c r="H44115" s="8" t="s">
        <v>364</v>
      </c>
    </row>
    <row r="44116">
      <c r="H44116" s="8" t="s">
        <v>364</v>
      </c>
    </row>
    <row r="44117">
      <c r="H44117" s="8" t="s">
        <v>364</v>
      </c>
    </row>
    <row r="44118">
      <c r="H44118" s="8" t="s">
        <v>364</v>
      </c>
    </row>
    <row r="44119">
      <c r="H44119" s="8" t="s">
        <v>364</v>
      </c>
    </row>
    <row r="44120">
      <c r="H44120" s="8" t="s">
        <v>364</v>
      </c>
    </row>
    <row r="44121">
      <c r="H44121" s="8" t="s">
        <v>364</v>
      </c>
    </row>
    <row r="44122">
      <c r="H44122" s="8" t="s">
        <v>364</v>
      </c>
    </row>
    <row r="44123">
      <c r="H44123" s="8" t="s">
        <v>364</v>
      </c>
    </row>
    <row r="44124">
      <c r="H44124" s="8" t="s">
        <v>364</v>
      </c>
    </row>
    <row r="44125">
      <c r="H44125" s="8" t="s">
        <v>364</v>
      </c>
    </row>
    <row r="44126">
      <c r="H44126" s="8" t="s">
        <v>364</v>
      </c>
    </row>
    <row r="44127">
      <c r="H44127" s="8" t="s">
        <v>364</v>
      </c>
    </row>
    <row r="44128">
      <c r="H44128" s="8" t="s">
        <v>364</v>
      </c>
    </row>
    <row r="44129">
      <c r="H44129" s="8" t="s">
        <v>364</v>
      </c>
    </row>
    <row r="44130">
      <c r="H44130" s="8" t="s">
        <v>364</v>
      </c>
    </row>
    <row r="44131">
      <c r="H44131" s="8" t="s">
        <v>364</v>
      </c>
    </row>
    <row r="44132">
      <c r="H44132" s="8" t="s">
        <v>364</v>
      </c>
    </row>
    <row r="44133">
      <c r="H44133" s="8" t="s">
        <v>364</v>
      </c>
    </row>
    <row r="44134">
      <c r="H44134" s="8" t="s">
        <v>364</v>
      </c>
    </row>
    <row r="44135">
      <c r="H44135" s="8" t="s">
        <v>364</v>
      </c>
    </row>
    <row r="44136">
      <c r="H44136" s="8" t="s">
        <v>364</v>
      </c>
    </row>
    <row r="44137">
      <c r="H44137" s="8" t="s">
        <v>364</v>
      </c>
    </row>
    <row r="44138">
      <c r="H44138" s="8" t="s">
        <v>364</v>
      </c>
    </row>
    <row r="44139">
      <c r="H44139" s="8" t="s">
        <v>364</v>
      </c>
    </row>
    <row r="44140">
      <c r="H44140" s="8" t="s">
        <v>364</v>
      </c>
    </row>
    <row r="44141">
      <c r="H44141" s="8" t="s">
        <v>364</v>
      </c>
    </row>
    <row r="44142">
      <c r="H44142" s="8" t="s">
        <v>364</v>
      </c>
    </row>
    <row r="44143">
      <c r="H44143" s="8" t="s">
        <v>364</v>
      </c>
    </row>
    <row r="44144">
      <c r="H44144" s="8" t="s">
        <v>364</v>
      </c>
    </row>
    <row r="44145">
      <c r="H44145" s="8" t="s">
        <v>364</v>
      </c>
    </row>
    <row r="44146">
      <c r="H44146" s="8" t="s">
        <v>364</v>
      </c>
    </row>
    <row r="44147">
      <c r="H44147" s="8" t="s">
        <v>364</v>
      </c>
    </row>
    <row r="44148">
      <c r="H44148" s="8" t="s">
        <v>364</v>
      </c>
    </row>
    <row r="44149">
      <c r="H44149" s="8" t="s">
        <v>364</v>
      </c>
    </row>
    <row r="44150">
      <c r="H44150" s="8" t="s">
        <v>364</v>
      </c>
    </row>
    <row r="44151">
      <c r="H44151" s="8" t="s">
        <v>364</v>
      </c>
    </row>
    <row r="44152">
      <c r="H44152" s="8" t="s">
        <v>364</v>
      </c>
    </row>
    <row r="44153">
      <c r="H44153" s="8" t="s">
        <v>364</v>
      </c>
    </row>
    <row r="44154">
      <c r="H44154" s="8" t="s">
        <v>364</v>
      </c>
    </row>
    <row r="44155">
      <c r="H44155" s="8" t="s">
        <v>364</v>
      </c>
    </row>
    <row r="44156">
      <c r="H44156" s="8" t="s">
        <v>364</v>
      </c>
    </row>
    <row r="44157">
      <c r="H44157" s="8" t="s">
        <v>364</v>
      </c>
    </row>
    <row r="44158">
      <c r="H44158" s="8" t="s">
        <v>364</v>
      </c>
    </row>
    <row r="44159">
      <c r="H44159" s="8" t="s">
        <v>364</v>
      </c>
    </row>
    <row r="44160">
      <c r="H44160" s="8" t="s">
        <v>364</v>
      </c>
    </row>
    <row r="44161">
      <c r="H44161" s="8" t="s">
        <v>364</v>
      </c>
    </row>
    <row r="44162">
      <c r="H44162" s="8" t="s">
        <v>364</v>
      </c>
    </row>
    <row r="44163">
      <c r="H44163" s="8" t="s">
        <v>364</v>
      </c>
    </row>
    <row r="44164">
      <c r="H44164" s="8" t="s">
        <v>364</v>
      </c>
    </row>
    <row r="44165">
      <c r="H44165" s="8" t="s">
        <v>364</v>
      </c>
    </row>
    <row r="44166">
      <c r="H44166" s="8" t="s">
        <v>364</v>
      </c>
    </row>
    <row r="44167">
      <c r="H44167" s="8" t="s">
        <v>364</v>
      </c>
    </row>
    <row r="44168">
      <c r="H44168" s="8" t="s">
        <v>364</v>
      </c>
    </row>
    <row r="44169">
      <c r="H44169" s="8" t="s">
        <v>364</v>
      </c>
    </row>
    <row r="44170">
      <c r="H44170" s="8" t="s">
        <v>364</v>
      </c>
    </row>
    <row r="44171">
      <c r="H44171" s="8" t="s">
        <v>364</v>
      </c>
    </row>
    <row r="44172">
      <c r="H44172" s="8" t="s">
        <v>364</v>
      </c>
    </row>
    <row r="44173">
      <c r="H44173" s="8" t="s">
        <v>364</v>
      </c>
    </row>
    <row r="44174">
      <c r="H44174" s="8" t="s">
        <v>364</v>
      </c>
    </row>
    <row r="44175">
      <c r="H44175" s="8" t="s">
        <v>364</v>
      </c>
    </row>
    <row r="44176">
      <c r="H44176" s="8" t="s">
        <v>364</v>
      </c>
    </row>
    <row r="44177">
      <c r="H44177" s="8" t="s">
        <v>364</v>
      </c>
    </row>
    <row r="44178">
      <c r="H44178" s="8" t="s">
        <v>364</v>
      </c>
    </row>
    <row r="44179">
      <c r="H44179" s="8" t="s">
        <v>364</v>
      </c>
    </row>
    <row r="44180">
      <c r="H44180" s="8" t="s">
        <v>364</v>
      </c>
    </row>
    <row r="44181">
      <c r="H44181" s="8" t="s">
        <v>364</v>
      </c>
    </row>
    <row r="44182">
      <c r="H44182" s="8" t="s">
        <v>364</v>
      </c>
    </row>
    <row r="44183">
      <c r="H44183" s="8" t="s">
        <v>364</v>
      </c>
    </row>
    <row r="44184">
      <c r="H44184" s="8" t="s">
        <v>364</v>
      </c>
    </row>
    <row r="44185">
      <c r="H44185" s="8" t="s">
        <v>364</v>
      </c>
    </row>
    <row r="44186">
      <c r="H44186" s="8" t="s">
        <v>364</v>
      </c>
    </row>
    <row r="44187">
      <c r="H44187" s="8" t="s">
        <v>364</v>
      </c>
    </row>
    <row r="44188">
      <c r="H44188" s="8" t="s">
        <v>364</v>
      </c>
    </row>
    <row r="44189">
      <c r="H44189" s="8" t="s">
        <v>364</v>
      </c>
    </row>
    <row r="44190">
      <c r="H44190" s="8" t="s">
        <v>364</v>
      </c>
    </row>
    <row r="44191">
      <c r="H44191" s="8" t="s">
        <v>364</v>
      </c>
    </row>
    <row r="44192">
      <c r="H44192" s="8" t="s">
        <v>364</v>
      </c>
    </row>
    <row r="44193">
      <c r="H44193" s="8" t="s">
        <v>364</v>
      </c>
    </row>
    <row r="44194">
      <c r="H44194" s="8" t="s">
        <v>364</v>
      </c>
    </row>
    <row r="44195">
      <c r="H44195" s="8" t="s">
        <v>364</v>
      </c>
    </row>
    <row r="44196">
      <c r="H44196" s="8" t="s">
        <v>364</v>
      </c>
    </row>
    <row r="44197">
      <c r="H44197" s="8" t="s">
        <v>364</v>
      </c>
    </row>
    <row r="44198">
      <c r="H44198" s="8" t="s">
        <v>364</v>
      </c>
    </row>
    <row r="44199">
      <c r="H44199" s="8" t="s">
        <v>364</v>
      </c>
    </row>
    <row r="44200">
      <c r="H44200" s="8" t="s">
        <v>364</v>
      </c>
    </row>
    <row r="44201">
      <c r="H44201" s="8" t="s">
        <v>364</v>
      </c>
    </row>
    <row r="44202">
      <c r="H44202" s="8" t="s">
        <v>364</v>
      </c>
    </row>
    <row r="44203">
      <c r="H44203" s="8" t="s">
        <v>364</v>
      </c>
    </row>
    <row r="44204">
      <c r="H44204" s="8" t="s">
        <v>364</v>
      </c>
    </row>
    <row r="44205">
      <c r="H44205" s="8" t="s">
        <v>364</v>
      </c>
    </row>
    <row r="44206">
      <c r="H44206" s="8" t="s">
        <v>364</v>
      </c>
    </row>
    <row r="44207">
      <c r="H44207" s="8" t="s">
        <v>364</v>
      </c>
    </row>
    <row r="44208">
      <c r="H44208" s="8" t="s">
        <v>364</v>
      </c>
    </row>
    <row r="44209">
      <c r="H44209" s="8" t="s">
        <v>364</v>
      </c>
    </row>
    <row r="44210">
      <c r="H44210" s="8" t="s">
        <v>364</v>
      </c>
    </row>
    <row r="44211">
      <c r="H44211" s="8" t="s">
        <v>364</v>
      </c>
    </row>
    <row r="44212">
      <c r="H44212" s="8" t="s">
        <v>364</v>
      </c>
    </row>
    <row r="44213">
      <c r="H44213" s="8" t="s">
        <v>364</v>
      </c>
    </row>
    <row r="44214">
      <c r="H44214" s="8" t="s">
        <v>364</v>
      </c>
    </row>
    <row r="44215">
      <c r="H44215" s="8" t="s">
        <v>364</v>
      </c>
    </row>
    <row r="44216">
      <c r="H44216" s="8" t="s">
        <v>364</v>
      </c>
    </row>
    <row r="44217">
      <c r="H44217" s="8" t="s">
        <v>364</v>
      </c>
    </row>
    <row r="44218">
      <c r="H44218" s="8" t="s">
        <v>364</v>
      </c>
    </row>
    <row r="44219">
      <c r="H44219" s="8" t="s">
        <v>364</v>
      </c>
    </row>
    <row r="44220">
      <c r="H44220" s="8" t="s">
        <v>364</v>
      </c>
    </row>
    <row r="44221">
      <c r="H44221" s="8" t="s">
        <v>364</v>
      </c>
    </row>
    <row r="44222">
      <c r="H44222" s="8" t="s">
        <v>364</v>
      </c>
    </row>
    <row r="44223">
      <c r="H44223" s="8" t="s">
        <v>364</v>
      </c>
    </row>
    <row r="44224">
      <c r="H44224" s="8" t="s">
        <v>364</v>
      </c>
    </row>
    <row r="44225">
      <c r="H44225" s="8" t="s">
        <v>364</v>
      </c>
    </row>
    <row r="44226">
      <c r="H44226" s="8" t="s">
        <v>364</v>
      </c>
    </row>
    <row r="44227">
      <c r="H44227" s="8" t="s">
        <v>364</v>
      </c>
    </row>
    <row r="44228">
      <c r="H44228" s="8" t="s">
        <v>364</v>
      </c>
    </row>
    <row r="44229">
      <c r="H44229" s="8" t="s">
        <v>364</v>
      </c>
    </row>
    <row r="44230">
      <c r="H44230" s="8" t="s">
        <v>364</v>
      </c>
    </row>
    <row r="44231">
      <c r="H44231" s="8" t="s">
        <v>364</v>
      </c>
    </row>
    <row r="44232">
      <c r="H44232" s="8" t="s">
        <v>364</v>
      </c>
    </row>
    <row r="44233">
      <c r="H44233" s="8" t="s">
        <v>364</v>
      </c>
    </row>
    <row r="44234">
      <c r="H44234" s="8" t="s">
        <v>364</v>
      </c>
    </row>
    <row r="44235">
      <c r="H44235" s="8" t="s">
        <v>364</v>
      </c>
    </row>
    <row r="44236">
      <c r="H44236" s="8" t="s">
        <v>364</v>
      </c>
    </row>
    <row r="44237">
      <c r="H44237" s="8" t="s">
        <v>364</v>
      </c>
    </row>
    <row r="44238">
      <c r="H44238" s="8" t="s">
        <v>364</v>
      </c>
    </row>
    <row r="44239">
      <c r="H44239" s="8" t="s">
        <v>364</v>
      </c>
    </row>
    <row r="44240">
      <c r="H44240" s="8" t="s">
        <v>364</v>
      </c>
    </row>
    <row r="44241">
      <c r="H44241" s="8" t="s">
        <v>364</v>
      </c>
    </row>
    <row r="44242">
      <c r="H44242" s="8" t="s">
        <v>364</v>
      </c>
    </row>
    <row r="44243">
      <c r="H44243" s="8" t="s">
        <v>364</v>
      </c>
    </row>
    <row r="44244">
      <c r="H44244" s="8" t="s">
        <v>364</v>
      </c>
    </row>
    <row r="44245">
      <c r="H44245" s="8" t="s">
        <v>364</v>
      </c>
    </row>
    <row r="44246">
      <c r="H44246" s="8" t="s">
        <v>364</v>
      </c>
    </row>
    <row r="44247">
      <c r="H44247" s="8" t="s">
        <v>364</v>
      </c>
    </row>
    <row r="44248">
      <c r="H44248" s="8" t="s">
        <v>364</v>
      </c>
    </row>
    <row r="44249">
      <c r="H44249" s="8" t="s">
        <v>364</v>
      </c>
    </row>
    <row r="44250">
      <c r="H44250" s="8" t="s">
        <v>364</v>
      </c>
    </row>
    <row r="44251">
      <c r="H44251" s="8" t="s">
        <v>364</v>
      </c>
    </row>
    <row r="44252">
      <c r="H44252" s="8" t="s">
        <v>364</v>
      </c>
    </row>
    <row r="44253">
      <c r="H44253" s="8" t="s">
        <v>364</v>
      </c>
    </row>
    <row r="44254">
      <c r="H44254" s="8" t="s">
        <v>364</v>
      </c>
    </row>
    <row r="44255">
      <c r="H44255" s="8" t="s">
        <v>364</v>
      </c>
    </row>
    <row r="44256">
      <c r="H44256" s="8" t="s">
        <v>364</v>
      </c>
    </row>
    <row r="44257">
      <c r="H44257" s="8" t="s">
        <v>364</v>
      </c>
    </row>
    <row r="44258">
      <c r="H44258" s="8" t="s">
        <v>364</v>
      </c>
    </row>
    <row r="44259">
      <c r="H44259" s="8" t="s">
        <v>364</v>
      </c>
    </row>
    <row r="44260">
      <c r="H44260" s="8" t="s">
        <v>364</v>
      </c>
    </row>
    <row r="44261">
      <c r="H44261" s="8" t="s">
        <v>364</v>
      </c>
    </row>
    <row r="44262">
      <c r="H44262" s="8" t="s">
        <v>364</v>
      </c>
    </row>
    <row r="44263">
      <c r="H44263" s="8" t="s">
        <v>364</v>
      </c>
    </row>
    <row r="44264">
      <c r="H44264" s="8" t="s">
        <v>364</v>
      </c>
    </row>
    <row r="44265">
      <c r="H44265" s="8" t="s">
        <v>364</v>
      </c>
    </row>
    <row r="44266">
      <c r="H44266" s="8" t="s">
        <v>364</v>
      </c>
    </row>
    <row r="44267">
      <c r="H44267" s="8" t="s">
        <v>364</v>
      </c>
    </row>
    <row r="44268">
      <c r="H44268" s="8" t="s">
        <v>364</v>
      </c>
    </row>
    <row r="44269">
      <c r="H44269" s="8" t="s">
        <v>364</v>
      </c>
    </row>
    <row r="44270">
      <c r="H44270" s="8" t="s">
        <v>364</v>
      </c>
    </row>
    <row r="44271">
      <c r="H44271" s="8" t="s">
        <v>364</v>
      </c>
    </row>
    <row r="44272">
      <c r="H44272" s="8" t="s">
        <v>364</v>
      </c>
    </row>
    <row r="44273">
      <c r="H44273" s="8" t="s">
        <v>364</v>
      </c>
    </row>
    <row r="44274">
      <c r="H44274" s="8" t="s">
        <v>364</v>
      </c>
    </row>
    <row r="44275">
      <c r="H44275" s="8" t="s">
        <v>364</v>
      </c>
    </row>
    <row r="44276">
      <c r="H44276" s="8" t="s">
        <v>364</v>
      </c>
    </row>
    <row r="44277">
      <c r="H44277" s="8" t="s">
        <v>364</v>
      </c>
    </row>
    <row r="44278">
      <c r="H44278" s="8" t="s">
        <v>364</v>
      </c>
    </row>
    <row r="44279">
      <c r="H44279" s="8" t="s">
        <v>364</v>
      </c>
    </row>
    <row r="44280">
      <c r="H44280" s="8" t="s">
        <v>364</v>
      </c>
    </row>
    <row r="44281">
      <c r="H44281" s="8" t="s">
        <v>364</v>
      </c>
    </row>
    <row r="44282">
      <c r="H44282" s="8" t="s">
        <v>364</v>
      </c>
    </row>
    <row r="44283">
      <c r="H44283" s="8" t="s">
        <v>364</v>
      </c>
    </row>
    <row r="44284">
      <c r="H44284" s="8" t="s">
        <v>364</v>
      </c>
    </row>
    <row r="44285">
      <c r="H44285" s="8" t="s">
        <v>364</v>
      </c>
    </row>
    <row r="44286">
      <c r="H44286" s="8" t="s">
        <v>364</v>
      </c>
    </row>
    <row r="44287">
      <c r="H44287" s="8" t="s">
        <v>364</v>
      </c>
    </row>
    <row r="44288">
      <c r="H44288" s="8" t="s">
        <v>364</v>
      </c>
    </row>
    <row r="44289">
      <c r="H44289" s="8" t="s">
        <v>364</v>
      </c>
    </row>
    <row r="44290">
      <c r="H44290" s="8" t="s">
        <v>364</v>
      </c>
    </row>
    <row r="44291">
      <c r="H44291" s="8" t="s">
        <v>364</v>
      </c>
    </row>
    <row r="44292">
      <c r="H44292" s="8" t="s">
        <v>364</v>
      </c>
    </row>
    <row r="44293">
      <c r="H44293" s="8" t="s">
        <v>364</v>
      </c>
    </row>
    <row r="44294">
      <c r="H44294" s="8" t="s">
        <v>364</v>
      </c>
    </row>
    <row r="44295">
      <c r="H44295" s="8" t="s">
        <v>364</v>
      </c>
    </row>
    <row r="44296">
      <c r="H44296" s="8" t="s">
        <v>364</v>
      </c>
    </row>
    <row r="44297">
      <c r="H44297" s="8" t="s">
        <v>364</v>
      </c>
    </row>
    <row r="44298">
      <c r="H44298" s="8" t="s">
        <v>364</v>
      </c>
    </row>
    <row r="44299">
      <c r="H44299" s="8" t="s">
        <v>364</v>
      </c>
    </row>
    <row r="44300">
      <c r="H44300" s="8" t="s">
        <v>364</v>
      </c>
    </row>
    <row r="44301">
      <c r="H44301" s="8" t="s">
        <v>364</v>
      </c>
    </row>
    <row r="44302">
      <c r="H44302" s="8" t="s">
        <v>364</v>
      </c>
    </row>
    <row r="44303">
      <c r="H44303" s="8" t="s">
        <v>364</v>
      </c>
    </row>
    <row r="44304">
      <c r="H44304" s="8" t="s">
        <v>364</v>
      </c>
    </row>
    <row r="44305">
      <c r="H44305" s="8" t="s">
        <v>364</v>
      </c>
    </row>
    <row r="44306">
      <c r="H44306" s="8" t="s">
        <v>364</v>
      </c>
    </row>
    <row r="44307">
      <c r="H44307" s="8" t="s">
        <v>364</v>
      </c>
    </row>
    <row r="44308">
      <c r="H44308" s="8" t="s">
        <v>364</v>
      </c>
    </row>
    <row r="44309">
      <c r="H44309" s="8" t="s">
        <v>364</v>
      </c>
    </row>
    <row r="44310">
      <c r="H44310" s="8" t="s">
        <v>364</v>
      </c>
    </row>
    <row r="44311">
      <c r="H44311" s="8" t="s">
        <v>364</v>
      </c>
    </row>
    <row r="44312">
      <c r="H44312" s="8" t="s">
        <v>364</v>
      </c>
    </row>
    <row r="44313">
      <c r="H44313" s="8" t="s">
        <v>364</v>
      </c>
    </row>
    <row r="44314">
      <c r="H44314" s="8" t="s">
        <v>364</v>
      </c>
    </row>
    <row r="44315">
      <c r="H44315" s="8" t="s">
        <v>364</v>
      </c>
    </row>
    <row r="44316">
      <c r="H44316" s="8" t="s">
        <v>364</v>
      </c>
    </row>
    <row r="44317">
      <c r="H44317" s="8" t="s">
        <v>364</v>
      </c>
    </row>
    <row r="44318">
      <c r="H44318" s="8" t="s">
        <v>364</v>
      </c>
    </row>
    <row r="44319">
      <c r="H44319" s="8" t="s">
        <v>364</v>
      </c>
    </row>
    <row r="44320">
      <c r="H44320" s="8" t="s">
        <v>364</v>
      </c>
    </row>
    <row r="44321">
      <c r="H44321" s="8" t="s">
        <v>364</v>
      </c>
    </row>
    <row r="44322">
      <c r="H44322" s="8" t="s">
        <v>364</v>
      </c>
    </row>
    <row r="44323">
      <c r="H44323" s="8" t="s">
        <v>364</v>
      </c>
    </row>
    <row r="44324">
      <c r="H44324" s="8" t="s">
        <v>364</v>
      </c>
    </row>
    <row r="44325">
      <c r="H44325" s="8" t="s">
        <v>364</v>
      </c>
    </row>
    <row r="44326">
      <c r="H44326" s="8" t="s">
        <v>364</v>
      </c>
    </row>
    <row r="44327">
      <c r="H44327" s="8" t="s">
        <v>364</v>
      </c>
    </row>
    <row r="44328">
      <c r="H44328" s="8" t="s">
        <v>364</v>
      </c>
    </row>
    <row r="44329">
      <c r="H44329" s="8" t="s">
        <v>364</v>
      </c>
    </row>
    <row r="44330">
      <c r="H44330" s="8" t="s">
        <v>364</v>
      </c>
    </row>
    <row r="44331">
      <c r="H44331" s="8" t="s">
        <v>364</v>
      </c>
    </row>
    <row r="44332">
      <c r="H44332" s="8" t="s">
        <v>364</v>
      </c>
    </row>
    <row r="44333">
      <c r="H44333" s="8" t="s">
        <v>364</v>
      </c>
    </row>
    <row r="44334">
      <c r="H44334" s="8" t="s">
        <v>364</v>
      </c>
    </row>
    <row r="44335">
      <c r="H44335" s="8" t="s">
        <v>364</v>
      </c>
    </row>
    <row r="44336">
      <c r="H44336" s="8" t="s">
        <v>364</v>
      </c>
    </row>
    <row r="44337">
      <c r="H44337" s="8" t="s">
        <v>364</v>
      </c>
    </row>
    <row r="44338">
      <c r="H44338" s="8" t="s">
        <v>364</v>
      </c>
    </row>
    <row r="44339">
      <c r="H44339" s="8" t="s">
        <v>364</v>
      </c>
    </row>
    <row r="44340">
      <c r="H44340" s="8" t="s">
        <v>364</v>
      </c>
    </row>
    <row r="44341">
      <c r="H44341" s="8" t="s">
        <v>364</v>
      </c>
    </row>
    <row r="44342">
      <c r="H44342" s="8" t="s">
        <v>364</v>
      </c>
    </row>
    <row r="44343">
      <c r="H44343" s="8" t="s">
        <v>364</v>
      </c>
    </row>
    <row r="44344">
      <c r="H44344" s="8" t="s">
        <v>364</v>
      </c>
    </row>
    <row r="44345">
      <c r="H44345" s="8" t="s">
        <v>364</v>
      </c>
    </row>
    <row r="44346">
      <c r="H44346" s="8" t="s">
        <v>364</v>
      </c>
    </row>
    <row r="44347">
      <c r="H44347" s="8" t="s">
        <v>364</v>
      </c>
    </row>
    <row r="44348">
      <c r="H44348" s="8" t="s">
        <v>364</v>
      </c>
    </row>
    <row r="44349">
      <c r="H44349" s="8" t="s">
        <v>364</v>
      </c>
    </row>
    <row r="44350">
      <c r="H44350" s="8" t="s">
        <v>364</v>
      </c>
    </row>
    <row r="44351">
      <c r="H44351" s="8" t="s">
        <v>364</v>
      </c>
    </row>
    <row r="44352">
      <c r="H44352" s="8" t="s">
        <v>364</v>
      </c>
    </row>
    <row r="44353">
      <c r="H44353" s="8" t="s">
        <v>364</v>
      </c>
    </row>
    <row r="44354">
      <c r="H44354" s="8" t="s">
        <v>364</v>
      </c>
    </row>
    <row r="44355">
      <c r="H44355" s="8" t="s">
        <v>364</v>
      </c>
    </row>
    <row r="44356">
      <c r="H44356" s="8" t="s">
        <v>364</v>
      </c>
    </row>
    <row r="44357">
      <c r="H44357" s="8" t="s">
        <v>364</v>
      </c>
    </row>
    <row r="44358">
      <c r="H44358" s="8" t="s">
        <v>364</v>
      </c>
    </row>
    <row r="44359">
      <c r="H44359" s="8" t="s">
        <v>364</v>
      </c>
    </row>
    <row r="44360">
      <c r="H44360" s="8" t="s">
        <v>364</v>
      </c>
    </row>
    <row r="44361">
      <c r="H44361" s="8" t="s">
        <v>364</v>
      </c>
    </row>
    <row r="44362">
      <c r="H44362" s="8" t="s">
        <v>364</v>
      </c>
    </row>
    <row r="44363">
      <c r="H44363" s="8" t="s">
        <v>364</v>
      </c>
    </row>
    <row r="44364">
      <c r="H44364" s="8" t="s">
        <v>364</v>
      </c>
    </row>
    <row r="44365">
      <c r="H44365" s="8" t="s">
        <v>364</v>
      </c>
    </row>
    <row r="44366">
      <c r="H44366" s="8" t="s">
        <v>364</v>
      </c>
    </row>
    <row r="44367">
      <c r="H44367" s="8" t="s">
        <v>364</v>
      </c>
    </row>
    <row r="44368">
      <c r="H44368" s="8" t="s">
        <v>364</v>
      </c>
    </row>
    <row r="44369">
      <c r="H44369" s="8" t="s">
        <v>364</v>
      </c>
    </row>
    <row r="44370">
      <c r="H44370" s="8" t="s">
        <v>364</v>
      </c>
    </row>
    <row r="44371">
      <c r="H44371" s="8" t="s">
        <v>364</v>
      </c>
    </row>
    <row r="44372">
      <c r="H44372" s="8" t="s">
        <v>364</v>
      </c>
    </row>
    <row r="44373">
      <c r="H44373" s="8" t="s">
        <v>364</v>
      </c>
    </row>
    <row r="44374">
      <c r="H44374" s="8" t="s">
        <v>364</v>
      </c>
    </row>
    <row r="44375">
      <c r="H44375" s="8" t="s">
        <v>364</v>
      </c>
    </row>
    <row r="44376">
      <c r="H44376" s="8" t="s">
        <v>364</v>
      </c>
    </row>
    <row r="44377">
      <c r="H44377" s="8" t="s">
        <v>364</v>
      </c>
    </row>
    <row r="44378">
      <c r="H44378" s="8" t="s">
        <v>364</v>
      </c>
    </row>
    <row r="44379">
      <c r="H44379" s="8" t="s">
        <v>364</v>
      </c>
    </row>
    <row r="44380">
      <c r="H44380" s="8" t="s">
        <v>364</v>
      </c>
    </row>
    <row r="44381">
      <c r="H44381" s="8" t="s">
        <v>364</v>
      </c>
    </row>
    <row r="44382">
      <c r="H44382" s="8" t="s">
        <v>364</v>
      </c>
    </row>
    <row r="44383">
      <c r="H44383" s="8" t="s">
        <v>364</v>
      </c>
    </row>
    <row r="44384">
      <c r="H44384" s="8" t="s">
        <v>364</v>
      </c>
    </row>
    <row r="44385">
      <c r="H44385" s="8" t="s">
        <v>364</v>
      </c>
    </row>
    <row r="44386">
      <c r="H44386" s="8" t="s">
        <v>364</v>
      </c>
    </row>
    <row r="44387">
      <c r="H44387" s="8" t="s">
        <v>364</v>
      </c>
    </row>
    <row r="44388">
      <c r="H44388" s="8" t="s">
        <v>364</v>
      </c>
    </row>
    <row r="44389">
      <c r="H44389" s="8" t="s">
        <v>364</v>
      </c>
    </row>
    <row r="44390">
      <c r="H44390" s="8" t="s">
        <v>364</v>
      </c>
    </row>
    <row r="44391">
      <c r="H44391" s="8" t="s">
        <v>364</v>
      </c>
    </row>
    <row r="44392">
      <c r="H44392" s="8" t="s">
        <v>364</v>
      </c>
    </row>
    <row r="44393">
      <c r="H44393" s="8" t="s">
        <v>364</v>
      </c>
    </row>
    <row r="44394">
      <c r="H44394" s="8" t="s">
        <v>364</v>
      </c>
    </row>
    <row r="44395">
      <c r="H44395" s="8" t="s">
        <v>364</v>
      </c>
    </row>
    <row r="44396">
      <c r="H44396" s="8" t="s">
        <v>364</v>
      </c>
    </row>
    <row r="44397">
      <c r="H44397" s="8" t="s">
        <v>364</v>
      </c>
    </row>
    <row r="44398">
      <c r="H44398" s="8" t="s">
        <v>364</v>
      </c>
    </row>
    <row r="44399">
      <c r="H44399" s="8" t="s">
        <v>364</v>
      </c>
    </row>
    <row r="44400">
      <c r="H44400" s="8" t="s">
        <v>364</v>
      </c>
    </row>
    <row r="44401">
      <c r="H44401" s="8" t="s">
        <v>364</v>
      </c>
    </row>
    <row r="44402">
      <c r="H44402" s="8" t="s">
        <v>364</v>
      </c>
    </row>
    <row r="44403">
      <c r="H44403" s="8" t="s">
        <v>364</v>
      </c>
    </row>
    <row r="44404">
      <c r="H44404" s="8" t="s">
        <v>364</v>
      </c>
    </row>
    <row r="44405">
      <c r="H44405" s="8" t="s">
        <v>364</v>
      </c>
    </row>
    <row r="44406">
      <c r="H44406" s="8" t="s">
        <v>364</v>
      </c>
    </row>
    <row r="44407">
      <c r="H44407" s="8" t="s">
        <v>364</v>
      </c>
    </row>
    <row r="44408">
      <c r="H44408" s="8" t="s">
        <v>364</v>
      </c>
    </row>
    <row r="44409">
      <c r="H44409" s="8" t="s">
        <v>364</v>
      </c>
    </row>
    <row r="44410">
      <c r="H44410" s="8" t="s">
        <v>364</v>
      </c>
    </row>
    <row r="44411">
      <c r="H44411" s="8" t="s">
        <v>364</v>
      </c>
    </row>
    <row r="44412">
      <c r="H44412" s="8" t="s">
        <v>364</v>
      </c>
    </row>
    <row r="44413">
      <c r="H44413" s="8" t="s">
        <v>364</v>
      </c>
    </row>
    <row r="44414">
      <c r="H44414" s="8" t="s">
        <v>364</v>
      </c>
    </row>
    <row r="44415">
      <c r="H44415" s="8" t="s">
        <v>364</v>
      </c>
    </row>
    <row r="44416">
      <c r="H44416" s="8" t="s">
        <v>364</v>
      </c>
    </row>
    <row r="44417">
      <c r="H44417" s="8" t="s">
        <v>364</v>
      </c>
    </row>
    <row r="44418">
      <c r="H44418" s="8" t="s">
        <v>364</v>
      </c>
    </row>
    <row r="44419">
      <c r="H44419" s="8" t="s">
        <v>364</v>
      </c>
    </row>
    <row r="44420">
      <c r="H44420" s="8" t="s">
        <v>364</v>
      </c>
    </row>
    <row r="44421">
      <c r="H44421" s="8" t="s">
        <v>364</v>
      </c>
    </row>
    <row r="44422">
      <c r="H44422" s="8" t="s">
        <v>364</v>
      </c>
    </row>
    <row r="44423">
      <c r="H44423" s="8" t="s">
        <v>364</v>
      </c>
    </row>
    <row r="44424">
      <c r="H44424" s="8" t="s">
        <v>364</v>
      </c>
    </row>
    <row r="44425">
      <c r="H44425" s="8" t="s">
        <v>364</v>
      </c>
    </row>
    <row r="44426">
      <c r="H44426" s="8" t="s">
        <v>364</v>
      </c>
    </row>
    <row r="44427">
      <c r="H44427" s="8" t="s">
        <v>364</v>
      </c>
    </row>
    <row r="44428">
      <c r="H44428" s="8" t="s">
        <v>364</v>
      </c>
    </row>
    <row r="44429">
      <c r="H44429" s="8" t="s">
        <v>364</v>
      </c>
    </row>
    <row r="44430">
      <c r="H44430" s="8" t="s">
        <v>364</v>
      </c>
    </row>
    <row r="44431">
      <c r="H44431" s="8" t="s">
        <v>364</v>
      </c>
    </row>
    <row r="44432">
      <c r="H44432" s="8" t="s">
        <v>364</v>
      </c>
    </row>
    <row r="44433">
      <c r="H44433" s="8" t="s">
        <v>364</v>
      </c>
    </row>
    <row r="44434">
      <c r="H44434" s="8" t="s">
        <v>364</v>
      </c>
    </row>
    <row r="44435">
      <c r="H44435" s="8" t="s">
        <v>364</v>
      </c>
    </row>
    <row r="44436">
      <c r="H44436" s="8" t="s">
        <v>364</v>
      </c>
    </row>
    <row r="44437">
      <c r="H44437" s="8" t="s">
        <v>364</v>
      </c>
    </row>
    <row r="44438">
      <c r="H44438" s="8" t="s">
        <v>364</v>
      </c>
    </row>
    <row r="44439">
      <c r="H44439" s="8" t="s">
        <v>364</v>
      </c>
    </row>
    <row r="44440">
      <c r="H44440" s="8" t="s">
        <v>364</v>
      </c>
    </row>
    <row r="44441">
      <c r="H44441" s="8" t="s">
        <v>364</v>
      </c>
    </row>
    <row r="44442">
      <c r="H44442" s="8" t="s">
        <v>364</v>
      </c>
    </row>
    <row r="44443">
      <c r="H44443" s="8" t="s">
        <v>364</v>
      </c>
    </row>
    <row r="44444">
      <c r="H44444" s="8" t="s">
        <v>364</v>
      </c>
    </row>
    <row r="44445">
      <c r="H44445" s="8" t="s">
        <v>364</v>
      </c>
    </row>
    <row r="44446">
      <c r="H44446" s="8" t="s">
        <v>364</v>
      </c>
    </row>
    <row r="44447">
      <c r="H44447" s="8" t="s">
        <v>364</v>
      </c>
    </row>
    <row r="44448">
      <c r="H44448" s="8" t="s">
        <v>364</v>
      </c>
    </row>
    <row r="44449">
      <c r="H44449" s="8" t="s">
        <v>364</v>
      </c>
    </row>
    <row r="44450">
      <c r="H44450" s="8" t="s">
        <v>364</v>
      </c>
    </row>
    <row r="44451">
      <c r="H44451" s="8" t="s">
        <v>364</v>
      </c>
    </row>
    <row r="44452">
      <c r="H44452" s="8" t="s">
        <v>364</v>
      </c>
    </row>
    <row r="44453">
      <c r="H44453" s="8" t="s">
        <v>364</v>
      </c>
    </row>
    <row r="44454">
      <c r="H44454" s="8" t="s">
        <v>364</v>
      </c>
    </row>
    <row r="44455">
      <c r="H44455" s="8" t="s">
        <v>364</v>
      </c>
    </row>
    <row r="44456">
      <c r="H44456" s="8" t="s">
        <v>364</v>
      </c>
    </row>
    <row r="44457">
      <c r="H44457" s="8" t="s">
        <v>364</v>
      </c>
    </row>
    <row r="44458">
      <c r="H44458" s="8" t="s">
        <v>364</v>
      </c>
    </row>
    <row r="44459">
      <c r="H44459" s="8" t="s">
        <v>364</v>
      </c>
    </row>
    <row r="44460">
      <c r="H44460" s="8" t="s">
        <v>364</v>
      </c>
    </row>
    <row r="44461">
      <c r="H44461" s="8" t="s">
        <v>364</v>
      </c>
    </row>
    <row r="44462">
      <c r="H44462" s="8" t="s">
        <v>364</v>
      </c>
    </row>
    <row r="44463">
      <c r="H44463" s="8" t="s">
        <v>364</v>
      </c>
    </row>
    <row r="44464">
      <c r="H44464" s="8" t="s">
        <v>364</v>
      </c>
    </row>
    <row r="44465">
      <c r="H44465" s="8" t="s">
        <v>364</v>
      </c>
    </row>
    <row r="44466">
      <c r="H44466" s="8" t="s">
        <v>364</v>
      </c>
    </row>
    <row r="44467">
      <c r="H44467" s="8" t="s">
        <v>364</v>
      </c>
    </row>
    <row r="44468">
      <c r="H44468" s="8" t="s">
        <v>364</v>
      </c>
    </row>
    <row r="44469">
      <c r="H44469" s="8" t="s">
        <v>364</v>
      </c>
    </row>
    <row r="44470">
      <c r="H44470" s="8" t="s">
        <v>364</v>
      </c>
    </row>
    <row r="44471">
      <c r="H44471" s="8" t="s">
        <v>364</v>
      </c>
    </row>
    <row r="44472">
      <c r="H44472" s="8" t="s">
        <v>364</v>
      </c>
    </row>
    <row r="44473">
      <c r="H44473" s="8" t="s">
        <v>364</v>
      </c>
    </row>
    <row r="44474">
      <c r="H44474" s="8" t="s">
        <v>364</v>
      </c>
    </row>
    <row r="44475">
      <c r="H44475" s="8" t="s">
        <v>364</v>
      </c>
    </row>
    <row r="44476">
      <c r="H44476" s="8" t="s">
        <v>364</v>
      </c>
    </row>
    <row r="44477">
      <c r="H44477" s="8" t="s">
        <v>364</v>
      </c>
    </row>
    <row r="44478">
      <c r="H44478" s="8" t="s">
        <v>364</v>
      </c>
    </row>
    <row r="44479">
      <c r="H44479" s="8" t="s">
        <v>364</v>
      </c>
    </row>
    <row r="44480">
      <c r="H44480" s="8" t="s">
        <v>364</v>
      </c>
    </row>
    <row r="44481">
      <c r="H44481" s="8" t="s">
        <v>364</v>
      </c>
    </row>
    <row r="44482">
      <c r="H44482" s="8" t="s">
        <v>364</v>
      </c>
    </row>
    <row r="44483">
      <c r="H44483" s="8" t="s">
        <v>364</v>
      </c>
    </row>
    <row r="44484">
      <c r="H44484" s="8" t="s">
        <v>364</v>
      </c>
    </row>
    <row r="44485">
      <c r="H44485" s="8" t="s">
        <v>364</v>
      </c>
    </row>
    <row r="44486">
      <c r="H44486" s="8" t="s">
        <v>364</v>
      </c>
    </row>
    <row r="44487">
      <c r="H44487" s="8" t="s">
        <v>364</v>
      </c>
    </row>
    <row r="44488">
      <c r="H44488" s="8" t="s">
        <v>364</v>
      </c>
    </row>
    <row r="44489">
      <c r="H44489" s="8" t="s">
        <v>364</v>
      </c>
    </row>
    <row r="44490">
      <c r="H44490" s="8" t="s">
        <v>364</v>
      </c>
    </row>
    <row r="44491">
      <c r="H44491" s="8" t="s">
        <v>364</v>
      </c>
    </row>
    <row r="44492">
      <c r="H44492" s="8" t="s">
        <v>364</v>
      </c>
    </row>
    <row r="44493">
      <c r="H44493" s="8" t="s">
        <v>364</v>
      </c>
    </row>
    <row r="44494">
      <c r="H44494" s="8" t="s">
        <v>364</v>
      </c>
    </row>
    <row r="44495">
      <c r="H44495" s="8" t="s">
        <v>364</v>
      </c>
    </row>
    <row r="44496">
      <c r="H44496" s="8" t="s">
        <v>364</v>
      </c>
    </row>
    <row r="44497">
      <c r="H44497" s="8" t="s">
        <v>364</v>
      </c>
    </row>
    <row r="44498">
      <c r="H44498" s="8" t="s">
        <v>364</v>
      </c>
    </row>
    <row r="44499">
      <c r="H44499" s="8" t="s">
        <v>364</v>
      </c>
    </row>
    <row r="44500">
      <c r="H44500" s="8" t="s">
        <v>364</v>
      </c>
    </row>
    <row r="44501">
      <c r="H44501" s="8" t="s">
        <v>364</v>
      </c>
    </row>
    <row r="44502">
      <c r="H44502" s="8" t="s">
        <v>364</v>
      </c>
    </row>
    <row r="44503">
      <c r="H44503" s="8" t="s">
        <v>364</v>
      </c>
    </row>
    <row r="44504">
      <c r="H44504" s="8" t="s">
        <v>364</v>
      </c>
    </row>
    <row r="44505">
      <c r="H44505" s="8" t="s">
        <v>364</v>
      </c>
    </row>
    <row r="44506">
      <c r="H44506" s="8" t="s">
        <v>364</v>
      </c>
    </row>
    <row r="44507">
      <c r="H44507" s="8" t="s">
        <v>364</v>
      </c>
    </row>
    <row r="44508">
      <c r="H44508" s="8" t="s">
        <v>364</v>
      </c>
    </row>
    <row r="44509">
      <c r="H44509" s="8" t="s">
        <v>364</v>
      </c>
    </row>
    <row r="44510">
      <c r="H44510" s="8" t="s">
        <v>364</v>
      </c>
    </row>
    <row r="44511">
      <c r="H44511" s="8" t="s">
        <v>364</v>
      </c>
    </row>
    <row r="44512">
      <c r="H44512" s="8" t="s">
        <v>364</v>
      </c>
    </row>
    <row r="44513">
      <c r="H44513" s="8" t="s">
        <v>364</v>
      </c>
    </row>
    <row r="44514">
      <c r="H44514" s="8" t="s">
        <v>364</v>
      </c>
    </row>
    <row r="44515">
      <c r="H44515" s="8" t="s">
        <v>364</v>
      </c>
    </row>
    <row r="44516">
      <c r="H44516" s="8" t="s">
        <v>364</v>
      </c>
    </row>
    <row r="44517">
      <c r="H44517" s="8" t="s">
        <v>364</v>
      </c>
    </row>
    <row r="44518">
      <c r="H44518" s="8" t="s">
        <v>364</v>
      </c>
    </row>
    <row r="44519">
      <c r="H44519" s="8" t="s">
        <v>364</v>
      </c>
    </row>
    <row r="44520">
      <c r="H44520" s="8" t="s">
        <v>364</v>
      </c>
    </row>
    <row r="44521">
      <c r="H44521" s="8" t="s">
        <v>364</v>
      </c>
    </row>
    <row r="44522">
      <c r="H44522" s="8" t="s">
        <v>364</v>
      </c>
    </row>
    <row r="44523">
      <c r="H44523" s="8" t="s">
        <v>364</v>
      </c>
    </row>
    <row r="44524">
      <c r="H44524" s="8" t="s">
        <v>364</v>
      </c>
    </row>
    <row r="44525">
      <c r="H44525" s="8" t="s">
        <v>364</v>
      </c>
    </row>
    <row r="44526">
      <c r="H44526" s="8" t="s">
        <v>364</v>
      </c>
    </row>
    <row r="44527">
      <c r="H44527" s="8" t="s">
        <v>364</v>
      </c>
    </row>
    <row r="44528">
      <c r="H44528" s="8" t="s">
        <v>364</v>
      </c>
    </row>
    <row r="44529">
      <c r="H44529" s="8" t="s">
        <v>364</v>
      </c>
    </row>
    <row r="44530">
      <c r="H44530" s="8" t="s">
        <v>364</v>
      </c>
    </row>
    <row r="44531">
      <c r="H44531" s="8" t="s">
        <v>364</v>
      </c>
    </row>
    <row r="44532">
      <c r="H44532" s="8" t="s">
        <v>364</v>
      </c>
    </row>
    <row r="44533">
      <c r="H44533" s="8" t="s">
        <v>364</v>
      </c>
    </row>
    <row r="44534">
      <c r="H44534" s="8" t="s">
        <v>364</v>
      </c>
    </row>
    <row r="44535">
      <c r="H44535" s="8" t="s">
        <v>364</v>
      </c>
    </row>
    <row r="44536">
      <c r="H44536" s="8" t="s">
        <v>364</v>
      </c>
    </row>
    <row r="44537">
      <c r="H44537" s="8" t="s">
        <v>364</v>
      </c>
    </row>
    <row r="44538">
      <c r="H44538" s="8" t="s">
        <v>364</v>
      </c>
    </row>
    <row r="44539">
      <c r="H44539" s="8" t="s">
        <v>364</v>
      </c>
    </row>
    <row r="44540">
      <c r="H44540" s="8" t="s">
        <v>364</v>
      </c>
    </row>
    <row r="44541">
      <c r="H44541" s="8" t="s">
        <v>364</v>
      </c>
    </row>
    <row r="44542">
      <c r="H44542" s="8" t="s">
        <v>364</v>
      </c>
    </row>
    <row r="44543">
      <c r="H44543" s="8" t="s">
        <v>364</v>
      </c>
    </row>
    <row r="44544">
      <c r="H44544" s="8" t="s">
        <v>364</v>
      </c>
    </row>
    <row r="44545">
      <c r="H44545" s="8" t="s">
        <v>364</v>
      </c>
    </row>
    <row r="44546">
      <c r="H44546" s="8" t="s">
        <v>364</v>
      </c>
    </row>
    <row r="44547">
      <c r="H44547" s="8" t="s">
        <v>364</v>
      </c>
    </row>
    <row r="44548">
      <c r="H44548" s="8" t="s">
        <v>364</v>
      </c>
    </row>
    <row r="44549">
      <c r="H44549" s="8" t="s">
        <v>364</v>
      </c>
    </row>
    <row r="44550">
      <c r="H44550" s="8" t="s">
        <v>364</v>
      </c>
    </row>
    <row r="44551">
      <c r="H44551" s="8" t="s">
        <v>364</v>
      </c>
    </row>
    <row r="44552">
      <c r="H44552" s="8" t="s">
        <v>364</v>
      </c>
    </row>
    <row r="44553">
      <c r="H44553" s="8" t="s">
        <v>364</v>
      </c>
    </row>
    <row r="44554">
      <c r="H44554" s="8" t="s">
        <v>364</v>
      </c>
    </row>
    <row r="44555">
      <c r="H44555" s="8" t="s">
        <v>364</v>
      </c>
    </row>
    <row r="44556">
      <c r="H44556" s="8" t="s">
        <v>364</v>
      </c>
    </row>
    <row r="44557">
      <c r="H44557" s="8" t="s">
        <v>364</v>
      </c>
    </row>
    <row r="44558">
      <c r="H44558" s="8" t="s">
        <v>364</v>
      </c>
    </row>
    <row r="44559">
      <c r="H44559" s="8" t="s">
        <v>364</v>
      </c>
    </row>
    <row r="44560">
      <c r="H44560" s="8" t="s">
        <v>364</v>
      </c>
    </row>
    <row r="44561">
      <c r="H44561" s="8" t="s">
        <v>364</v>
      </c>
    </row>
    <row r="44562">
      <c r="H44562" s="8" t="s">
        <v>364</v>
      </c>
    </row>
    <row r="44563">
      <c r="H44563" s="8" t="s">
        <v>364</v>
      </c>
    </row>
    <row r="44564">
      <c r="H44564" s="8" t="s">
        <v>364</v>
      </c>
    </row>
    <row r="44565">
      <c r="H44565" s="8" t="s">
        <v>364</v>
      </c>
    </row>
    <row r="44566">
      <c r="H44566" s="8" t="s">
        <v>364</v>
      </c>
    </row>
    <row r="44567">
      <c r="H44567" s="8" t="s">
        <v>364</v>
      </c>
    </row>
    <row r="44568">
      <c r="H44568" s="8" t="s">
        <v>364</v>
      </c>
    </row>
    <row r="44569">
      <c r="H44569" s="8" t="s">
        <v>364</v>
      </c>
    </row>
    <row r="44570">
      <c r="H44570" s="8" t="s">
        <v>364</v>
      </c>
    </row>
    <row r="44571">
      <c r="H44571" s="8" t="s">
        <v>364</v>
      </c>
    </row>
    <row r="44572">
      <c r="H44572" s="8" t="s">
        <v>364</v>
      </c>
    </row>
    <row r="44573">
      <c r="H44573" s="8" t="s">
        <v>364</v>
      </c>
    </row>
    <row r="44574">
      <c r="H44574" s="8" t="s">
        <v>364</v>
      </c>
    </row>
    <row r="44575">
      <c r="H44575" s="8" t="s">
        <v>364</v>
      </c>
    </row>
    <row r="44576">
      <c r="H44576" s="8" t="s">
        <v>364</v>
      </c>
    </row>
    <row r="44577">
      <c r="H44577" s="8" t="s">
        <v>364</v>
      </c>
    </row>
    <row r="44578">
      <c r="H44578" s="8" t="s">
        <v>364</v>
      </c>
    </row>
    <row r="44579">
      <c r="H44579" s="8" t="s">
        <v>364</v>
      </c>
    </row>
    <row r="44580">
      <c r="H44580" s="8" t="s">
        <v>364</v>
      </c>
    </row>
    <row r="44581">
      <c r="H44581" s="8" t="s">
        <v>364</v>
      </c>
    </row>
    <row r="44582">
      <c r="H44582" s="8" t="s">
        <v>364</v>
      </c>
    </row>
    <row r="44583">
      <c r="H44583" s="8" t="s">
        <v>364</v>
      </c>
    </row>
    <row r="44584">
      <c r="H44584" s="8" t="s">
        <v>364</v>
      </c>
    </row>
    <row r="44585">
      <c r="H44585" s="8" t="s">
        <v>364</v>
      </c>
    </row>
    <row r="44586">
      <c r="H44586" s="8" t="s">
        <v>364</v>
      </c>
    </row>
    <row r="44587">
      <c r="H44587" s="8" t="s">
        <v>364</v>
      </c>
    </row>
    <row r="44588">
      <c r="H44588" s="8" t="s">
        <v>364</v>
      </c>
    </row>
    <row r="44589">
      <c r="H44589" s="8" t="s">
        <v>364</v>
      </c>
    </row>
    <row r="44590">
      <c r="H44590" s="8" t="s">
        <v>364</v>
      </c>
    </row>
    <row r="44591">
      <c r="H44591" s="8" t="s">
        <v>364</v>
      </c>
    </row>
    <row r="44592">
      <c r="H44592" s="8" t="s">
        <v>364</v>
      </c>
    </row>
    <row r="44593">
      <c r="H44593" s="8" t="s">
        <v>364</v>
      </c>
    </row>
    <row r="44594">
      <c r="H44594" s="8" t="s">
        <v>364</v>
      </c>
    </row>
    <row r="44595">
      <c r="H44595" s="8" t="s">
        <v>364</v>
      </c>
    </row>
    <row r="44596">
      <c r="H44596" s="8" t="s">
        <v>364</v>
      </c>
    </row>
    <row r="44597">
      <c r="H44597" s="8" t="s">
        <v>364</v>
      </c>
    </row>
    <row r="44598">
      <c r="H44598" s="8" t="s">
        <v>364</v>
      </c>
    </row>
    <row r="44599">
      <c r="H44599" s="8" t="s">
        <v>364</v>
      </c>
    </row>
    <row r="44600">
      <c r="H44600" s="8" t="s">
        <v>364</v>
      </c>
    </row>
    <row r="44601">
      <c r="H44601" s="8" t="s">
        <v>364</v>
      </c>
    </row>
    <row r="44602">
      <c r="H44602" s="8" t="s">
        <v>364</v>
      </c>
    </row>
    <row r="44603">
      <c r="H44603" s="8" t="s">
        <v>364</v>
      </c>
    </row>
    <row r="44604">
      <c r="H44604" s="8" t="s">
        <v>364</v>
      </c>
    </row>
    <row r="44605">
      <c r="H44605" s="8" t="s">
        <v>364</v>
      </c>
    </row>
    <row r="44606">
      <c r="H44606" s="8" t="s">
        <v>364</v>
      </c>
    </row>
    <row r="44607">
      <c r="H44607" s="8" t="s">
        <v>364</v>
      </c>
    </row>
    <row r="44608">
      <c r="H44608" s="8" t="s">
        <v>364</v>
      </c>
    </row>
    <row r="44609">
      <c r="H44609" s="8" t="s">
        <v>364</v>
      </c>
    </row>
    <row r="44610">
      <c r="H44610" s="8" t="s">
        <v>364</v>
      </c>
    </row>
    <row r="44611">
      <c r="H44611" s="8" t="s">
        <v>364</v>
      </c>
    </row>
    <row r="44612">
      <c r="H44612" s="8" t="s">
        <v>364</v>
      </c>
    </row>
    <row r="44613">
      <c r="H44613" s="8" t="s">
        <v>364</v>
      </c>
    </row>
    <row r="44614">
      <c r="H44614" s="8" t="s">
        <v>364</v>
      </c>
    </row>
    <row r="44615">
      <c r="H44615" s="8" t="s">
        <v>364</v>
      </c>
    </row>
    <row r="44616">
      <c r="H44616" s="8" t="s">
        <v>364</v>
      </c>
    </row>
    <row r="44617">
      <c r="H44617" s="8" t="s">
        <v>364</v>
      </c>
    </row>
    <row r="44618">
      <c r="H44618" s="8" t="s">
        <v>364</v>
      </c>
    </row>
    <row r="44619">
      <c r="H44619" s="8" t="s">
        <v>364</v>
      </c>
    </row>
    <row r="44620">
      <c r="H44620" s="8" t="s">
        <v>364</v>
      </c>
    </row>
    <row r="44621">
      <c r="H44621" s="8" t="s">
        <v>364</v>
      </c>
    </row>
    <row r="44622">
      <c r="H44622" s="8" t="s">
        <v>364</v>
      </c>
    </row>
    <row r="44623">
      <c r="H44623" s="8" t="s">
        <v>364</v>
      </c>
    </row>
    <row r="44624">
      <c r="H44624" s="8" t="s">
        <v>364</v>
      </c>
    </row>
    <row r="44625">
      <c r="H44625" s="8" t="s">
        <v>364</v>
      </c>
    </row>
    <row r="44626">
      <c r="H44626" s="8" t="s">
        <v>364</v>
      </c>
    </row>
    <row r="44627">
      <c r="H44627" s="8" t="s">
        <v>364</v>
      </c>
    </row>
    <row r="44628">
      <c r="H44628" s="8" t="s">
        <v>364</v>
      </c>
    </row>
    <row r="44629">
      <c r="H44629" s="8" t="s">
        <v>364</v>
      </c>
    </row>
    <row r="44630">
      <c r="H44630" s="8" t="s">
        <v>364</v>
      </c>
    </row>
    <row r="44631">
      <c r="H44631" s="8" t="s">
        <v>364</v>
      </c>
    </row>
    <row r="44632">
      <c r="H44632" s="8" t="s">
        <v>364</v>
      </c>
    </row>
    <row r="44633">
      <c r="H44633" s="8" t="s">
        <v>364</v>
      </c>
    </row>
    <row r="44634">
      <c r="H44634" s="8" t="s">
        <v>364</v>
      </c>
    </row>
    <row r="44635">
      <c r="H44635" s="8" t="s">
        <v>364</v>
      </c>
    </row>
    <row r="44636">
      <c r="H44636" s="8" t="s">
        <v>364</v>
      </c>
    </row>
    <row r="44637">
      <c r="H44637" s="8" t="s">
        <v>364</v>
      </c>
    </row>
    <row r="44638">
      <c r="H44638" s="8" t="s">
        <v>364</v>
      </c>
    </row>
    <row r="44639">
      <c r="H44639" s="8" t="s">
        <v>364</v>
      </c>
    </row>
    <row r="44640">
      <c r="H44640" s="8" t="s">
        <v>364</v>
      </c>
    </row>
    <row r="44641">
      <c r="H44641" s="8" t="s">
        <v>364</v>
      </c>
    </row>
    <row r="44642">
      <c r="H44642" s="8" t="s">
        <v>364</v>
      </c>
    </row>
    <row r="44643">
      <c r="H44643" s="8" t="s">
        <v>364</v>
      </c>
    </row>
    <row r="44644">
      <c r="H44644" s="8" t="s">
        <v>364</v>
      </c>
    </row>
    <row r="44645">
      <c r="H44645" s="8" t="s">
        <v>364</v>
      </c>
    </row>
    <row r="44646">
      <c r="H44646" s="8" t="s">
        <v>364</v>
      </c>
    </row>
    <row r="44647">
      <c r="H44647" s="8" t="s">
        <v>364</v>
      </c>
    </row>
    <row r="44648">
      <c r="H44648" s="8" t="s">
        <v>364</v>
      </c>
    </row>
    <row r="44649">
      <c r="H44649" s="8" t="s">
        <v>364</v>
      </c>
    </row>
    <row r="44650">
      <c r="H44650" s="8" t="s">
        <v>364</v>
      </c>
    </row>
    <row r="44651">
      <c r="H44651" s="8" t="s">
        <v>364</v>
      </c>
    </row>
    <row r="44652">
      <c r="H44652" s="8" t="s">
        <v>364</v>
      </c>
    </row>
    <row r="44653">
      <c r="H44653" s="8" t="s">
        <v>364</v>
      </c>
    </row>
    <row r="44654">
      <c r="H44654" s="8" t="s">
        <v>364</v>
      </c>
    </row>
    <row r="44655">
      <c r="H44655" s="8" t="s">
        <v>364</v>
      </c>
    </row>
    <row r="44656">
      <c r="H44656" s="8" t="s">
        <v>364</v>
      </c>
    </row>
    <row r="44657">
      <c r="H44657" s="8" t="s">
        <v>364</v>
      </c>
    </row>
    <row r="44658">
      <c r="H44658" s="8" t="s">
        <v>364</v>
      </c>
    </row>
    <row r="44659">
      <c r="H44659" s="8" t="s">
        <v>364</v>
      </c>
    </row>
    <row r="44660">
      <c r="H44660" s="8" t="s">
        <v>364</v>
      </c>
    </row>
    <row r="44661">
      <c r="H44661" s="8" t="s">
        <v>364</v>
      </c>
    </row>
    <row r="44662">
      <c r="H44662" s="8" t="s">
        <v>364</v>
      </c>
    </row>
    <row r="44663">
      <c r="H44663" s="8" t="s">
        <v>364</v>
      </c>
    </row>
    <row r="44664">
      <c r="H44664" s="8" t="s">
        <v>364</v>
      </c>
    </row>
    <row r="44665">
      <c r="H44665" s="8" t="s">
        <v>364</v>
      </c>
    </row>
    <row r="44666">
      <c r="H44666" s="8" t="s">
        <v>364</v>
      </c>
    </row>
    <row r="44667">
      <c r="H44667" s="8" t="s">
        <v>364</v>
      </c>
    </row>
    <row r="44668">
      <c r="H44668" s="8" t="s">
        <v>364</v>
      </c>
    </row>
    <row r="44669">
      <c r="H44669" s="8" t="s">
        <v>364</v>
      </c>
    </row>
    <row r="44670">
      <c r="H44670" s="8" t="s">
        <v>364</v>
      </c>
    </row>
    <row r="44671">
      <c r="H44671" s="8" t="s">
        <v>364</v>
      </c>
    </row>
    <row r="44672">
      <c r="H44672" s="8" t="s">
        <v>364</v>
      </c>
    </row>
    <row r="44673">
      <c r="H44673" s="8" t="s">
        <v>364</v>
      </c>
    </row>
    <row r="44674">
      <c r="H44674" s="8" t="s">
        <v>364</v>
      </c>
    </row>
    <row r="44675">
      <c r="H44675" s="8" t="s">
        <v>364</v>
      </c>
    </row>
    <row r="44676">
      <c r="H44676" s="8" t="s">
        <v>364</v>
      </c>
    </row>
    <row r="44677">
      <c r="H44677" s="8" t="s">
        <v>364</v>
      </c>
    </row>
    <row r="44678">
      <c r="H44678" s="8" t="s">
        <v>364</v>
      </c>
    </row>
    <row r="44679">
      <c r="H44679" s="8" t="s">
        <v>364</v>
      </c>
    </row>
    <row r="44680">
      <c r="H44680" s="8" t="s">
        <v>364</v>
      </c>
    </row>
    <row r="44681">
      <c r="H44681" s="8" t="s">
        <v>364</v>
      </c>
    </row>
    <row r="44682">
      <c r="H44682" s="8" t="s">
        <v>364</v>
      </c>
    </row>
    <row r="44683">
      <c r="H44683" s="8" t="s">
        <v>364</v>
      </c>
    </row>
    <row r="44684">
      <c r="H44684" s="8" t="s">
        <v>364</v>
      </c>
    </row>
    <row r="44685">
      <c r="H44685" s="8" t="s">
        <v>364</v>
      </c>
    </row>
    <row r="44686">
      <c r="H44686" s="8" t="s">
        <v>364</v>
      </c>
    </row>
    <row r="44687">
      <c r="H44687" s="8" t="s">
        <v>364</v>
      </c>
    </row>
    <row r="44688">
      <c r="H44688" s="8" t="s">
        <v>364</v>
      </c>
    </row>
    <row r="44689">
      <c r="H44689" s="8" t="s">
        <v>364</v>
      </c>
    </row>
    <row r="44690">
      <c r="H44690" s="8" t="s">
        <v>364</v>
      </c>
    </row>
    <row r="44691">
      <c r="H44691" s="8" t="s">
        <v>364</v>
      </c>
    </row>
    <row r="44692">
      <c r="H44692" s="8" t="s">
        <v>364</v>
      </c>
    </row>
    <row r="44693">
      <c r="H44693" s="8" t="s">
        <v>364</v>
      </c>
    </row>
    <row r="44694">
      <c r="H44694" s="8" t="s">
        <v>364</v>
      </c>
    </row>
    <row r="44695">
      <c r="H44695" s="8" t="s">
        <v>364</v>
      </c>
    </row>
    <row r="44696">
      <c r="H44696" s="8" t="s">
        <v>364</v>
      </c>
    </row>
    <row r="44697">
      <c r="H44697" s="8" t="s">
        <v>364</v>
      </c>
    </row>
    <row r="44698">
      <c r="H44698" s="8" t="s">
        <v>364</v>
      </c>
    </row>
    <row r="44699">
      <c r="H44699" s="8" t="s">
        <v>364</v>
      </c>
    </row>
    <row r="44700">
      <c r="H44700" s="8" t="s">
        <v>364</v>
      </c>
    </row>
    <row r="44701">
      <c r="H44701" s="8" t="s">
        <v>364</v>
      </c>
    </row>
    <row r="44702">
      <c r="H44702" s="8" t="s">
        <v>364</v>
      </c>
    </row>
    <row r="44703">
      <c r="H44703" s="8" t="s">
        <v>364</v>
      </c>
    </row>
    <row r="44704">
      <c r="H44704" s="8" t="s">
        <v>364</v>
      </c>
    </row>
    <row r="44705">
      <c r="H44705" s="8" t="s">
        <v>364</v>
      </c>
    </row>
    <row r="44706">
      <c r="H44706" s="8" t="s">
        <v>364</v>
      </c>
    </row>
    <row r="44707">
      <c r="H44707" s="8" t="s">
        <v>364</v>
      </c>
    </row>
    <row r="44708">
      <c r="H44708" s="8" t="s">
        <v>364</v>
      </c>
    </row>
    <row r="44709">
      <c r="H44709" s="8" t="s">
        <v>364</v>
      </c>
    </row>
    <row r="44710">
      <c r="H44710" s="8" t="s">
        <v>364</v>
      </c>
    </row>
    <row r="44711">
      <c r="H44711" s="8" t="s">
        <v>364</v>
      </c>
    </row>
    <row r="44712">
      <c r="H44712" s="8" t="s">
        <v>364</v>
      </c>
    </row>
    <row r="44713">
      <c r="H44713" s="8" t="s">
        <v>364</v>
      </c>
    </row>
    <row r="44714">
      <c r="H44714" s="8" t="s">
        <v>364</v>
      </c>
    </row>
    <row r="44715">
      <c r="H44715" s="8" t="s">
        <v>364</v>
      </c>
    </row>
    <row r="44716">
      <c r="H44716" s="8" t="s">
        <v>364</v>
      </c>
    </row>
    <row r="44717">
      <c r="H44717" s="8" t="s">
        <v>364</v>
      </c>
    </row>
    <row r="44718">
      <c r="H44718" s="8" t="s">
        <v>364</v>
      </c>
    </row>
    <row r="44719">
      <c r="H44719" s="8" t="s">
        <v>364</v>
      </c>
    </row>
    <row r="44720">
      <c r="H44720" s="8" t="s">
        <v>364</v>
      </c>
    </row>
    <row r="44721">
      <c r="H44721" s="8" t="s">
        <v>364</v>
      </c>
    </row>
    <row r="44722">
      <c r="H44722" s="8" t="s">
        <v>364</v>
      </c>
    </row>
    <row r="44723">
      <c r="H44723" s="8" t="s">
        <v>364</v>
      </c>
    </row>
    <row r="44724">
      <c r="H44724" s="8" t="s">
        <v>364</v>
      </c>
    </row>
    <row r="44725">
      <c r="H44725" s="8" t="s">
        <v>364</v>
      </c>
    </row>
    <row r="44726">
      <c r="H44726" s="8" t="s">
        <v>364</v>
      </c>
    </row>
    <row r="44727">
      <c r="H44727" s="8" t="s">
        <v>364</v>
      </c>
    </row>
    <row r="44728">
      <c r="H44728" s="8" t="s">
        <v>364</v>
      </c>
    </row>
    <row r="44729">
      <c r="H44729" s="8" t="s">
        <v>364</v>
      </c>
    </row>
    <row r="44730">
      <c r="H44730" s="8" t="s">
        <v>364</v>
      </c>
    </row>
    <row r="44731">
      <c r="H44731" s="8" t="s">
        <v>364</v>
      </c>
    </row>
    <row r="44732">
      <c r="H44732" s="8" t="s">
        <v>364</v>
      </c>
    </row>
    <row r="44733">
      <c r="H44733" s="8" t="s">
        <v>364</v>
      </c>
    </row>
    <row r="44734">
      <c r="H44734" s="8" t="s">
        <v>364</v>
      </c>
    </row>
    <row r="44735">
      <c r="H44735" s="8" t="s">
        <v>364</v>
      </c>
    </row>
    <row r="44736">
      <c r="H44736" s="8" t="s">
        <v>364</v>
      </c>
    </row>
    <row r="44737">
      <c r="H44737" s="8" t="s">
        <v>364</v>
      </c>
    </row>
    <row r="44738">
      <c r="H44738" s="8" t="s">
        <v>364</v>
      </c>
    </row>
    <row r="44739">
      <c r="H44739" s="8" t="s">
        <v>364</v>
      </c>
    </row>
    <row r="44740">
      <c r="H44740" s="8" t="s">
        <v>364</v>
      </c>
    </row>
    <row r="44741">
      <c r="H44741" s="8" t="s">
        <v>364</v>
      </c>
    </row>
    <row r="44742">
      <c r="H44742" s="8" t="s">
        <v>364</v>
      </c>
    </row>
    <row r="44743">
      <c r="H44743" s="8" t="s">
        <v>364</v>
      </c>
    </row>
    <row r="44744">
      <c r="H44744" s="8" t="s">
        <v>364</v>
      </c>
    </row>
    <row r="44745">
      <c r="H44745" s="8" t="s">
        <v>364</v>
      </c>
    </row>
    <row r="44746">
      <c r="H44746" s="8" t="s">
        <v>364</v>
      </c>
    </row>
    <row r="44747">
      <c r="H44747" s="8" t="s">
        <v>364</v>
      </c>
    </row>
    <row r="44748">
      <c r="H44748" s="8" t="s">
        <v>364</v>
      </c>
    </row>
    <row r="44749">
      <c r="H44749" s="8" t="s">
        <v>364</v>
      </c>
    </row>
    <row r="44750">
      <c r="H44750" s="8" t="s">
        <v>364</v>
      </c>
    </row>
    <row r="44751">
      <c r="H44751" s="8" t="s">
        <v>364</v>
      </c>
    </row>
    <row r="44752">
      <c r="H44752" s="8" t="s">
        <v>364</v>
      </c>
    </row>
    <row r="44753">
      <c r="H44753" s="8" t="s">
        <v>364</v>
      </c>
    </row>
    <row r="44754">
      <c r="H44754" s="8" t="s">
        <v>364</v>
      </c>
    </row>
    <row r="44755">
      <c r="H44755" s="8" t="s">
        <v>364</v>
      </c>
    </row>
    <row r="44756">
      <c r="H44756" s="8" t="s">
        <v>364</v>
      </c>
    </row>
    <row r="44757">
      <c r="H44757" s="8" t="s">
        <v>364</v>
      </c>
    </row>
    <row r="44758">
      <c r="H44758" s="8" t="s">
        <v>364</v>
      </c>
    </row>
    <row r="44759">
      <c r="H44759" s="8" t="s">
        <v>364</v>
      </c>
    </row>
    <row r="44760">
      <c r="H44760" s="8" t="s">
        <v>364</v>
      </c>
    </row>
    <row r="44761">
      <c r="H44761" s="8" t="s">
        <v>364</v>
      </c>
    </row>
    <row r="44762">
      <c r="H44762" s="8" t="s">
        <v>364</v>
      </c>
    </row>
    <row r="44763">
      <c r="H44763" s="8" t="s">
        <v>364</v>
      </c>
    </row>
    <row r="44764">
      <c r="H44764" s="8" t="s">
        <v>364</v>
      </c>
    </row>
    <row r="44765">
      <c r="H44765" s="8" t="s">
        <v>364</v>
      </c>
    </row>
    <row r="44766">
      <c r="H44766" s="8" t="s">
        <v>364</v>
      </c>
    </row>
    <row r="44767">
      <c r="H44767" s="8" t="s">
        <v>364</v>
      </c>
    </row>
    <row r="44768">
      <c r="H44768" s="8" t="s">
        <v>364</v>
      </c>
    </row>
    <row r="44769">
      <c r="H44769" s="8" t="s">
        <v>364</v>
      </c>
    </row>
    <row r="44770">
      <c r="H44770" s="8" t="s">
        <v>364</v>
      </c>
    </row>
    <row r="44771">
      <c r="H44771" s="8" t="s">
        <v>364</v>
      </c>
    </row>
    <row r="44772">
      <c r="H44772" s="8" t="s">
        <v>364</v>
      </c>
    </row>
    <row r="44773">
      <c r="H44773" s="8" t="s">
        <v>364</v>
      </c>
    </row>
    <row r="44774">
      <c r="H44774" s="8" t="s">
        <v>364</v>
      </c>
    </row>
    <row r="44775">
      <c r="H44775" s="8" t="s">
        <v>364</v>
      </c>
    </row>
    <row r="44776">
      <c r="H44776" s="8" t="s">
        <v>364</v>
      </c>
    </row>
    <row r="44777">
      <c r="H44777" s="8" t="s">
        <v>364</v>
      </c>
    </row>
    <row r="44778">
      <c r="H44778" s="8" t="s">
        <v>364</v>
      </c>
    </row>
    <row r="44779">
      <c r="H44779" s="8" t="s">
        <v>364</v>
      </c>
    </row>
    <row r="44780">
      <c r="H44780" s="8" t="s">
        <v>364</v>
      </c>
    </row>
    <row r="44781">
      <c r="H44781" s="8" t="s">
        <v>364</v>
      </c>
    </row>
    <row r="44782">
      <c r="H44782" s="8" t="s">
        <v>364</v>
      </c>
    </row>
    <row r="44783">
      <c r="H44783" s="8" t="s">
        <v>364</v>
      </c>
    </row>
    <row r="44784">
      <c r="H44784" s="8" t="s">
        <v>364</v>
      </c>
    </row>
    <row r="44785">
      <c r="H44785" s="8" t="s">
        <v>364</v>
      </c>
    </row>
    <row r="44786">
      <c r="H44786" s="8" t="s">
        <v>364</v>
      </c>
    </row>
    <row r="44787">
      <c r="H44787" s="8" t="s">
        <v>364</v>
      </c>
    </row>
    <row r="44788">
      <c r="H44788" s="8" t="s">
        <v>364</v>
      </c>
    </row>
    <row r="44789">
      <c r="H44789" s="8" t="s">
        <v>364</v>
      </c>
    </row>
    <row r="44790">
      <c r="H44790" s="8" t="s">
        <v>364</v>
      </c>
    </row>
    <row r="44791">
      <c r="H44791" s="8" t="s">
        <v>364</v>
      </c>
    </row>
    <row r="44792">
      <c r="H44792" s="8" t="s">
        <v>364</v>
      </c>
    </row>
    <row r="44793">
      <c r="H44793" s="8" t="s">
        <v>364</v>
      </c>
    </row>
    <row r="44794">
      <c r="H44794" s="8" t="s">
        <v>364</v>
      </c>
    </row>
    <row r="44795">
      <c r="H44795" s="8" t="s">
        <v>364</v>
      </c>
    </row>
    <row r="44796">
      <c r="H44796" s="8" t="s">
        <v>364</v>
      </c>
    </row>
    <row r="44797">
      <c r="H44797" s="8" t="s">
        <v>364</v>
      </c>
    </row>
    <row r="44798">
      <c r="H44798" s="8" t="s">
        <v>364</v>
      </c>
    </row>
    <row r="44799">
      <c r="H44799" s="8" t="s">
        <v>364</v>
      </c>
    </row>
    <row r="44800">
      <c r="H44800" s="8" t="s">
        <v>364</v>
      </c>
    </row>
    <row r="44801">
      <c r="H44801" s="8" t="s">
        <v>364</v>
      </c>
    </row>
    <row r="44802">
      <c r="H44802" s="8" t="s">
        <v>364</v>
      </c>
    </row>
    <row r="44803">
      <c r="H44803" s="8" t="s">
        <v>364</v>
      </c>
    </row>
    <row r="44804">
      <c r="H44804" s="8" t="s">
        <v>364</v>
      </c>
    </row>
    <row r="44805">
      <c r="H44805" s="8" t="s">
        <v>364</v>
      </c>
    </row>
    <row r="44806">
      <c r="H44806" s="8" t="s">
        <v>364</v>
      </c>
    </row>
    <row r="44807">
      <c r="H44807" s="8" t="s">
        <v>364</v>
      </c>
    </row>
    <row r="44808">
      <c r="H44808" s="8" t="s">
        <v>364</v>
      </c>
    </row>
    <row r="44809">
      <c r="H44809" s="8" t="s">
        <v>364</v>
      </c>
    </row>
    <row r="44810">
      <c r="H44810" s="8" t="s">
        <v>364</v>
      </c>
    </row>
    <row r="44811">
      <c r="H44811" s="8" t="s">
        <v>364</v>
      </c>
    </row>
    <row r="44812">
      <c r="H44812" s="8" t="s">
        <v>364</v>
      </c>
    </row>
    <row r="44813">
      <c r="H44813" s="8" t="s">
        <v>364</v>
      </c>
    </row>
    <row r="44814">
      <c r="H44814" s="8" t="s">
        <v>364</v>
      </c>
    </row>
    <row r="44815">
      <c r="H44815" s="8" t="s">
        <v>364</v>
      </c>
    </row>
    <row r="44816">
      <c r="H44816" s="8" t="s">
        <v>364</v>
      </c>
    </row>
    <row r="44817">
      <c r="H44817" s="8" t="s">
        <v>364</v>
      </c>
    </row>
    <row r="44818">
      <c r="H44818" s="8" t="s">
        <v>364</v>
      </c>
    </row>
    <row r="44819">
      <c r="H44819" s="8" t="s">
        <v>364</v>
      </c>
    </row>
    <row r="44820">
      <c r="H44820" s="8" t="s">
        <v>364</v>
      </c>
    </row>
    <row r="44821">
      <c r="H44821" s="8" t="s">
        <v>364</v>
      </c>
    </row>
    <row r="44822">
      <c r="H44822" s="8" t="s">
        <v>364</v>
      </c>
    </row>
    <row r="44823">
      <c r="H44823" s="8" t="s">
        <v>364</v>
      </c>
    </row>
    <row r="44824">
      <c r="H44824" s="8" t="s">
        <v>364</v>
      </c>
    </row>
    <row r="44825">
      <c r="H44825" s="8" t="s">
        <v>364</v>
      </c>
    </row>
    <row r="44826">
      <c r="H44826" s="8" t="s">
        <v>364</v>
      </c>
    </row>
    <row r="44827">
      <c r="H44827" s="8" t="s">
        <v>364</v>
      </c>
    </row>
    <row r="44828">
      <c r="H44828" s="8" t="s">
        <v>364</v>
      </c>
    </row>
    <row r="44829">
      <c r="H44829" s="8" t="s">
        <v>364</v>
      </c>
    </row>
    <row r="44830">
      <c r="H44830" s="8" t="s">
        <v>364</v>
      </c>
    </row>
    <row r="44831">
      <c r="H44831" s="8" t="s">
        <v>364</v>
      </c>
    </row>
    <row r="44832">
      <c r="H44832" s="8" t="s">
        <v>364</v>
      </c>
    </row>
    <row r="44833">
      <c r="H44833" s="8" t="s">
        <v>364</v>
      </c>
    </row>
    <row r="44834">
      <c r="H44834" s="8" t="s">
        <v>364</v>
      </c>
    </row>
    <row r="44835">
      <c r="H44835" s="8" t="s">
        <v>364</v>
      </c>
    </row>
    <row r="44836">
      <c r="H44836" s="8" t="s">
        <v>364</v>
      </c>
    </row>
    <row r="44837">
      <c r="H44837" s="8" t="s">
        <v>364</v>
      </c>
    </row>
    <row r="44838">
      <c r="H44838" s="8" t="s">
        <v>364</v>
      </c>
    </row>
    <row r="44839">
      <c r="H44839" s="8" t="s">
        <v>364</v>
      </c>
    </row>
    <row r="44840">
      <c r="H44840" s="8" t="s">
        <v>364</v>
      </c>
    </row>
    <row r="44841">
      <c r="H44841" s="8" t="s">
        <v>364</v>
      </c>
    </row>
    <row r="44842">
      <c r="H44842" s="8" t="s">
        <v>364</v>
      </c>
    </row>
    <row r="44843">
      <c r="H44843" s="8" t="s">
        <v>364</v>
      </c>
    </row>
    <row r="44844">
      <c r="H44844" s="8" t="s">
        <v>364</v>
      </c>
    </row>
    <row r="44845">
      <c r="H44845" s="8" t="s">
        <v>364</v>
      </c>
    </row>
    <row r="44846">
      <c r="H44846" s="8" t="s">
        <v>364</v>
      </c>
    </row>
    <row r="44847">
      <c r="H44847" s="8" t="s">
        <v>364</v>
      </c>
    </row>
    <row r="44848">
      <c r="H44848" s="8" t="s">
        <v>364</v>
      </c>
    </row>
    <row r="44849">
      <c r="H44849" s="8" t="s">
        <v>364</v>
      </c>
    </row>
    <row r="44850">
      <c r="H44850" s="8" t="s">
        <v>364</v>
      </c>
    </row>
    <row r="44851">
      <c r="H44851" s="8" t="s">
        <v>364</v>
      </c>
    </row>
    <row r="44852">
      <c r="H44852" s="8" t="s">
        <v>364</v>
      </c>
    </row>
    <row r="44853">
      <c r="H44853" s="8" t="s">
        <v>364</v>
      </c>
    </row>
    <row r="44854">
      <c r="H44854" s="8" t="s">
        <v>364</v>
      </c>
    </row>
    <row r="44855">
      <c r="H44855" s="8" t="s">
        <v>364</v>
      </c>
    </row>
    <row r="44856">
      <c r="H44856" s="8" t="s">
        <v>364</v>
      </c>
    </row>
    <row r="44857">
      <c r="H44857" s="8" t="s">
        <v>364</v>
      </c>
    </row>
    <row r="44858">
      <c r="H44858" s="8" t="s">
        <v>364</v>
      </c>
    </row>
    <row r="44859">
      <c r="H44859" s="8" t="s">
        <v>364</v>
      </c>
    </row>
    <row r="44860">
      <c r="H44860" s="8" t="s">
        <v>364</v>
      </c>
    </row>
    <row r="44861">
      <c r="H44861" s="8" t="s">
        <v>364</v>
      </c>
    </row>
    <row r="44862">
      <c r="H44862" s="8" t="s">
        <v>364</v>
      </c>
    </row>
    <row r="44863">
      <c r="H44863" s="8" t="s">
        <v>364</v>
      </c>
    </row>
    <row r="44864">
      <c r="H44864" s="8" t="s">
        <v>364</v>
      </c>
    </row>
    <row r="44865">
      <c r="H44865" s="8" t="s">
        <v>364</v>
      </c>
    </row>
    <row r="44866">
      <c r="H44866" s="8" t="s">
        <v>364</v>
      </c>
    </row>
    <row r="44867">
      <c r="H44867" s="8" t="s">
        <v>364</v>
      </c>
    </row>
    <row r="44868">
      <c r="H44868" s="8" t="s">
        <v>364</v>
      </c>
    </row>
    <row r="44869">
      <c r="H44869" s="8" t="s">
        <v>364</v>
      </c>
    </row>
    <row r="44870">
      <c r="H44870" s="8" t="s">
        <v>364</v>
      </c>
    </row>
    <row r="44871">
      <c r="H44871" s="8" t="s">
        <v>364</v>
      </c>
    </row>
    <row r="44872">
      <c r="H44872" s="8" t="s">
        <v>364</v>
      </c>
    </row>
    <row r="44873">
      <c r="H44873" s="8" t="s">
        <v>364</v>
      </c>
    </row>
    <row r="44874">
      <c r="H44874" s="8" t="s">
        <v>364</v>
      </c>
    </row>
    <row r="44875">
      <c r="H44875" s="8" t="s">
        <v>364</v>
      </c>
    </row>
    <row r="44876">
      <c r="H44876" s="8" t="s">
        <v>364</v>
      </c>
    </row>
    <row r="44877">
      <c r="H44877" s="8" t="s">
        <v>364</v>
      </c>
    </row>
    <row r="44878">
      <c r="H44878" s="8" t="s">
        <v>364</v>
      </c>
    </row>
    <row r="44879">
      <c r="H44879" s="8" t="s">
        <v>364</v>
      </c>
    </row>
    <row r="44880">
      <c r="H44880" s="8" t="s">
        <v>364</v>
      </c>
    </row>
    <row r="44881">
      <c r="H44881" s="8" t="s">
        <v>364</v>
      </c>
    </row>
    <row r="44882">
      <c r="H44882" s="8" t="s">
        <v>364</v>
      </c>
    </row>
    <row r="44883">
      <c r="H44883" s="8" t="s">
        <v>364</v>
      </c>
    </row>
    <row r="44884">
      <c r="H44884" s="8" t="s">
        <v>364</v>
      </c>
    </row>
    <row r="44885">
      <c r="H44885" s="8" t="s">
        <v>364</v>
      </c>
    </row>
    <row r="44886">
      <c r="H44886" s="8" t="s">
        <v>364</v>
      </c>
    </row>
    <row r="44887">
      <c r="H44887" s="8" t="s">
        <v>364</v>
      </c>
    </row>
    <row r="44888">
      <c r="H44888" s="8" t="s">
        <v>364</v>
      </c>
    </row>
    <row r="44889">
      <c r="H44889" s="8" t="s">
        <v>364</v>
      </c>
    </row>
    <row r="44890">
      <c r="H44890" s="8" t="s">
        <v>364</v>
      </c>
    </row>
    <row r="44891">
      <c r="H44891" s="8" t="s">
        <v>364</v>
      </c>
    </row>
    <row r="44892">
      <c r="H44892" s="8" t="s">
        <v>364</v>
      </c>
    </row>
    <row r="44893">
      <c r="H44893" s="8" t="s">
        <v>364</v>
      </c>
    </row>
    <row r="44894">
      <c r="H44894" s="8" t="s">
        <v>364</v>
      </c>
    </row>
    <row r="44895">
      <c r="H44895" s="8" t="s">
        <v>364</v>
      </c>
    </row>
    <row r="44896">
      <c r="H44896" s="8" t="s">
        <v>364</v>
      </c>
    </row>
    <row r="44897">
      <c r="H44897" s="8" t="s">
        <v>364</v>
      </c>
    </row>
    <row r="44898">
      <c r="H44898" s="8" t="s">
        <v>364</v>
      </c>
    </row>
    <row r="44899">
      <c r="H44899" s="8" t="s">
        <v>364</v>
      </c>
    </row>
    <row r="44900">
      <c r="H44900" s="8" t="s">
        <v>364</v>
      </c>
    </row>
    <row r="44901">
      <c r="H44901" s="8" t="s">
        <v>364</v>
      </c>
    </row>
    <row r="44902">
      <c r="H44902" s="8" t="s">
        <v>364</v>
      </c>
    </row>
    <row r="44903">
      <c r="H44903" s="8" t="s">
        <v>364</v>
      </c>
    </row>
    <row r="44904">
      <c r="H44904" s="8" t="s">
        <v>364</v>
      </c>
    </row>
    <row r="44905">
      <c r="H44905" s="8" t="s">
        <v>364</v>
      </c>
    </row>
    <row r="44906">
      <c r="H44906" s="8" t="s">
        <v>364</v>
      </c>
    </row>
    <row r="44907">
      <c r="H44907" s="8" t="s">
        <v>364</v>
      </c>
    </row>
    <row r="44908">
      <c r="H44908" s="8" t="s">
        <v>364</v>
      </c>
    </row>
    <row r="44909">
      <c r="H44909" s="8" t="s">
        <v>364</v>
      </c>
    </row>
    <row r="44910">
      <c r="H44910" s="8" t="s">
        <v>364</v>
      </c>
    </row>
    <row r="44911">
      <c r="H44911" s="8" t="s">
        <v>364</v>
      </c>
    </row>
    <row r="44912">
      <c r="H44912" s="8" t="s">
        <v>364</v>
      </c>
    </row>
    <row r="44913">
      <c r="H44913" s="8" t="s">
        <v>364</v>
      </c>
    </row>
    <row r="44914">
      <c r="H44914" s="8" t="s">
        <v>364</v>
      </c>
    </row>
    <row r="44915">
      <c r="H44915" s="8" t="s">
        <v>364</v>
      </c>
    </row>
    <row r="44916">
      <c r="H44916" s="8" t="s">
        <v>364</v>
      </c>
    </row>
    <row r="44917">
      <c r="H44917" s="8" t="s">
        <v>364</v>
      </c>
    </row>
    <row r="44918">
      <c r="H44918" s="8" t="s">
        <v>364</v>
      </c>
    </row>
    <row r="44919">
      <c r="H44919" s="8" t="s">
        <v>364</v>
      </c>
    </row>
    <row r="44920">
      <c r="H44920" s="8" t="s">
        <v>364</v>
      </c>
    </row>
    <row r="44921">
      <c r="H44921" s="8" t="s">
        <v>364</v>
      </c>
    </row>
    <row r="44922">
      <c r="H44922" s="8" t="s">
        <v>364</v>
      </c>
    </row>
    <row r="44923">
      <c r="H44923" s="8" t="s">
        <v>364</v>
      </c>
    </row>
    <row r="44924">
      <c r="H44924" s="8" t="s">
        <v>364</v>
      </c>
    </row>
    <row r="44925">
      <c r="H44925" s="8" t="s">
        <v>364</v>
      </c>
    </row>
    <row r="44926">
      <c r="H44926" s="8" t="s">
        <v>364</v>
      </c>
    </row>
    <row r="44927">
      <c r="H44927" s="8" t="s">
        <v>364</v>
      </c>
    </row>
    <row r="44928">
      <c r="H44928" s="8" t="s">
        <v>364</v>
      </c>
    </row>
    <row r="44929">
      <c r="H44929" s="8" t="s">
        <v>364</v>
      </c>
    </row>
    <row r="44930">
      <c r="H44930" s="8" t="s">
        <v>364</v>
      </c>
    </row>
    <row r="44931">
      <c r="H44931" s="8" t="s">
        <v>364</v>
      </c>
    </row>
    <row r="44932">
      <c r="H44932" s="8" t="s">
        <v>364</v>
      </c>
    </row>
    <row r="44933">
      <c r="H44933" s="8" t="s">
        <v>364</v>
      </c>
    </row>
    <row r="44934">
      <c r="H44934" s="8" t="s">
        <v>364</v>
      </c>
    </row>
    <row r="44935">
      <c r="H44935" s="8" t="s">
        <v>364</v>
      </c>
    </row>
    <row r="44936">
      <c r="H44936" s="8" t="s">
        <v>364</v>
      </c>
    </row>
    <row r="44937">
      <c r="H44937" s="8" t="s">
        <v>364</v>
      </c>
    </row>
    <row r="44938">
      <c r="H44938" s="8" t="s">
        <v>364</v>
      </c>
    </row>
    <row r="44939">
      <c r="H44939" s="8" t="s">
        <v>364</v>
      </c>
    </row>
    <row r="44940">
      <c r="H44940" s="8" t="s">
        <v>364</v>
      </c>
    </row>
    <row r="44941">
      <c r="H44941" s="8" t="s">
        <v>364</v>
      </c>
    </row>
    <row r="44942">
      <c r="H44942" s="8" t="s">
        <v>364</v>
      </c>
    </row>
    <row r="44943">
      <c r="H44943" s="8" t="s">
        <v>364</v>
      </c>
    </row>
    <row r="44944">
      <c r="H44944" s="8" t="s">
        <v>364</v>
      </c>
    </row>
    <row r="44945">
      <c r="H44945" s="8" t="s">
        <v>364</v>
      </c>
    </row>
    <row r="44946">
      <c r="H44946" s="8" t="s">
        <v>364</v>
      </c>
    </row>
    <row r="44947">
      <c r="H44947" s="8" t="s">
        <v>364</v>
      </c>
    </row>
    <row r="44948">
      <c r="H44948" s="8" t="s">
        <v>364</v>
      </c>
    </row>
    <row r="44949">
      <c r="H44949" s="8" t="s">
        <v>364</v>
      </c>
    </row>
    <row r="44950">
      <c r="H44950" s="8" t="s">
        <v>364</v>
      </c>
    </row>
    <row r="44951">
      <c r="H44951" s="8" t="s">
        <v>364</v>
      </c>
    </row>
    <row r="44952">
      <c r="H44952" s="8" t="s">
        <v>364</v>
      </c>
    </row>
    <row r="44953">
      <c r="H44953" s="8" t="s">
        <v>364</v>
      </c>
    </row>
    <row r="44954">
      <c r="H44954" s="8" t="s">
        <v>364</v>
      </c>
    </row>
    <row r="44955">
      <c r="H44955" s="8" t="s">
        <v>364</v>
      </c>
    </row>
    <row r="44956">
      <c r="H44956" s="8" t="s">
        <v>364</v>
      </c>
    </row>
    <row r="44957">
      <c r="H44957" s="8" t="s">
        <v>364</v>
      </c>
    </row>
    <row r="44958">
      <c r="H44958" s="8" t="s">
        <v>364</v>
      </c>
    </row>
    <row r="44959">
      <c r="H44959" s="8" t="s">
        <v>364</v>
      </c>
    </row>
    <row r="44960">
      <c r="H44960" s="8" t="s">
        <v>364</v>
      </c>
    </row>
    <row r="44961">
      <c r="H44961" s="8" t="s">
        <v>364</v>
      </c>
    </row>
    <row r="44962">
      <c r="H44962" s="8" t="s">
        <v>364</v>
      </c>
    </row>
    <row r="44963">
      <c r="H44963" s="8" t="s">
        <v>364</v>
      </c>
    </row>
    <row r="44964">
      <c r="H44964" s="8" t="s">
        <v>364</v>
      </c>
    </row>
    <row r="44965">
      <c r="H44965" s="8" t="s">
        <v>364</v>
      </c>
    </row>
    <row r="44966">
      <c r="H44966" s="8" t="s">
        <v>364</v>
      </c>
    </row>
    <row r="44967">
      <c r="H44967" s="8" t="s">
        <v>364</v>
      </c>
    </row>
    <row r="44968">
      <c r="H44968" s="8" t="s">
        <v>364</v>
      </c>
    </row>
    <row r="44969">
      <c r="H44969" s="8" t="s">
        <v>364</v>
      </c>
    </row>
    <row r="44970">
      <c r="H44970" s="8" t="s">
        <v>364</v>
      </c>
    </row>
    <row r="44971">
      <c r="H44971" s="8" t="s">
        <v>364</v>
      </c>
    </row>
    <row r="44972">
      <c r="H44972" s="8" t="s">
        <v>364</v>
      </c>
    </row>
    <row r="44973">
      <c r="H44973" s="8" t="s">
        <v>364</v>
      </c>
    </row>
    <row r="44974">
      <c r="H44974" s="8" t="s">
        <v>364</v>
      </c>
    </row>
    <row r="44975">
      <c r="H44975" s="8" t="s">
        <v>364</v>
      </c>
    </row>
    <row r="44976">
      <c r="H44976" s="8" t="s">
        <v>364</v>
      </c>
    </row>
    <row r="44977">
      <c r="H44977" s="8" t="s">
        <v>364</v>
      </c>
    </row>
    <row r="44978">
      <c r="H44978" s="8" t="s">
        <v>364</v>
      </c>
    </row>
    <row r="44979">
      <c r="H44979" s="8" t="s">
        <v>364</v>
      </c>
    </row>
    <row r="44980">
      <c r="H44980" s="8" t="s">
        <v>364</v>
      </c>
    </row>
    <row r="44981">
      <c r="H44981" s="8" t="s">
        <v>364</v>
      </c>
    </row>
    <row r="44982">
      <c r="H44982" s="8" t="s">
        <v>364</v>
      </c>
    </row>
    <row r="44983">
      <c r="H44983" s="8" t="s">
        <v>364</v>
      </c>
    </row>
    <row r="44984">
      <c r="H44984" s="8" t="s">
        <v>364</v>
      </c>
    </row>
    <row r="44985">
      <c r="H44985" s="8" t="s">
        <v>364</v>
      </c>
    </row>
    <row r="44986">
      <c r="H44986" s="8" t="s">
        <v>364</v>
      </c>
    </row>
    <row r="44987">
      <c r="H44987" s="8" t="s">
        <v>364</v>
      </c>
    </row>
    <row r="44988">
      <c r="H44988" s="8" t="s">
        <v>364</v>
      </c>
    </row>
    <row r="44989">
      <c r="H44989" s="8" t="s">
        <v>364</v>
      </c>
    </row>
    <row r="44990">
      <c r="H44990" s="8" t="s">
        <v>364</v>
      </c>
    </row>
    <row r="44991">
      <c r="H44991" s="8" t="s">
        <v>364</v>
      </c>
    </row>
    <row r="44992">
      <c r="H44992" s="8" t="s">
        <v>364</v>
      </c>
    </row>
    <row r="44993">
      <c r="H44993" s="8" t="s">
        <v>364</v>
      </c>
    </row>
    <row r="44994">
      <c r="H44994" s="8" t="s">
        <v>364</v>
      </c>
    </row>
    <row r="44995">
      <c r="H44995" s="8" t="s">
        <v>364</v>
      </c>
    </row>
    <row r="44996">
      <c r="H44996" s="8" t="s">
        <v>364</v>
      </c>
    </row>
    <row r="44997">
      <c r="H44997" s="8" t="s">
        <v>364</v>
      </c>
    </row>
    <row r="44998">
      <c r="H44998" s="8" t="s">
        <v>364</v>
      </c>
    </row>
    <row r="44999">
      <c r="H44999" s="8" t="s">
        <v>364</v>
      </c>
    </row>
    <row r="45000">
      <c r="H45000" s="8" t="s">
        <v>364</v>
      </c>
    </row>
    <row r="45001">
      <c r="H45001" s="8" t="s">
        <v>364</v>
      </c>
    </row>
    <row r="45002">
      <c r="H45002" s="8" t="s">
        <v>364</v>
      </c>
    </row>
    <row r="45003">
      <c r="H45003" s="8" t="s">
        <v>364</v>
      </c>
    </row>
    <row r="45004">
      <c r="H45004" s="8" t="s">
        <v>364</v>
      </c>
    </row>
    <row r="45005">
      <c r="H45005" s="8" t="s">
        <v>364</v>
      </c>
    </row>
    <row r="45006">
      <c r="H45006" s="8" t="s">
        <v>364</v>
      </c>
    </row>
    <row r="45007">
      <c r="H45007" s="8" t="s">
        <v>364</v>
      </c>
    </row>
    <row r="45008">
      <c r="H45008" s="8" t="s">
        <v>364</v>
      </c>
    </row>
    <row r="45009">
      <c r="H45009" s="8" t="s">
        <v>364</v>
      </c>
    </row>
    <row r="45010">
      <c r="H45010" s="8" t="s">
        <v>364</v>
      </c>
    </row>
    <row r="45011">
      <c r="H45011" s="8" t="s">
        <v>364</v>
      </c>
    </row>
    <row r="45012">
      <c r="H45012" s="8" t="s">
        <v>364</v>
      </c>
    </row>
    <row r="45013">
      <c r="H45013" s="8" t="s">
        <v>364</v>
      </c>
    </row>
    <row r="45014">
      <c r="H45014" s="8" t="s">
        <v>364</v>
      </c>
    </row>
    <row r="45015">
      <c r="H45015" s="8" t="s">
        <v>364</v>
      </c>
    </row>
    <row r="45016">
      <c r="H45016" s="8" t="s">
        <v>364</v>
      </c>
    </row>
    <row r="45017">
      <c r="H45017" s="8" t="s">
        <v>364</v>
      </c>
    </row>
    <row r="45018">
      <c r="H45018" s="8" t="s">
        <v>364</v>
      </c>
    </row>
    <row r="45019">
      <c r="H45019" s="8" t="s">
        <v>364</v>
      </c>
    </row>
    <row r="45020">
      <c r="H45020" s="8" t="s">
        <v>364</v>
      </c>
    </row>
    <row r="45021">
      <c r="H45021" s="8" t="s">
        <v>364</v>
      </c>
    </row>
    <row r="45022">
      <c r="H45022" s="8" t="s">
        <v>364</v>
      </c>
    </row>
    <row r="45023">
      <c r="H45023" s="8" t="s">
        <v>364</v>
      </c>
    </row>
    <row r="45024">
      <c r="H45024" s="8" t="s">
        <v>364</v>
      </c>
    </row>
    <row r="45025">
      <c r="H45025" s="8" t="s">
        <v>364</v>
      </c>
    </row>
    <row r="45026">
      <c r="H45026" s="8" t="s">
        <v>364</v>
      </c>
    </row>
    <row r="45027">
      <c r="H45027" s="8" t="s">
        <v>364</v>
      </c>
    </row>
    <row r="45028">
      <c r="H45028" s="8" t="s">
        <v>364</v>
      </c>
    </row>
    <row r="45029">
      <c r="H45029" s="8" t="s">
        <v>364</v>
      </c>
    </row>
    <row r="45030">
      <c r="H45030" s="8" t="s">
        <v>364</v>
      </c>
    </row>
    <row r="45031">
      <c r="H45031" s="8" t="s">
        <v>364</v>
      </c>
    </row>
    <row r="45032">
      <c r="H45032" s="8" t="s">
        <v>364</v>
      </c>
    </row>
    <row r="45033">
      <c r="H45033" s="8" t="s">
        <v>364</v>
      </c>
    </row>
    <row r="45034">
      <c r="H45034" s="8" t="s">
        <v>364</v>
      </c>
    </row>
    <row r="45035">
      <c r="H45035" s="8" t="s">
        <v>364</v>
      </c>
    </row>
    <row r="45036">
      <c r="H45036" s="8" t="s">
        <v>364</v>
      </c>
    </row>
    <row r="45037">
      <c r="H45037" s="8" t="s">
        <v>364</v>
      </c>
    </row>
    <row r="45038">
      <c r="H45038" s="8" t="s">
        <v>364</v>
      </c>
    </row>
    <row r="45039">
      <c r="H45039" s="8" t="s">
        <v>364</v>
      </c>
    </row>
    <row r="45040">
      <c r="H45040" s="8" t="s">
        <v>364</v>
      </c>
    </row>
    <row r="45041">
      <c r="H45041" s="8" t="s">
        <v>364</v>
      </c>
    </row>
    <row r="45042">
      <c r="H45042" s="8" t="s">
        <v>364</v>
      </c>
    </row>
    <row r="45043">
      <c r="H45043" s="8" t="s">
        <v>364</v>
      </c>
    </row>
    <row r="45044">
      <c r="H45044" s="8" t="s">
        <v>364</v>
      </c>
    </row>
    <row r="45045">
      <c r="H45045" s="8" t="s">
        <v>364</v>
      </c>
    </row>
    <row r="45046">
      <c r="H45046" s="8" t="s">
        <v>364</v>
      </c>
    </row>
    <row r="45047">
      <c r="H45047" s="8" t="s">
        <v>364</v>
      </c>
    </row>
    <row r="45048">
      <c r="H45048" s="8" t="s">
        <v>364</v>
      </c>
    </row>
    <row r="45049">
      <c r="H45049" s="8" t="s">
        <v>364</v>
      </c>
    </row>
    <row r="45050">
      <c r="H45050" s="8" t="s">
        <v>364</v>
      </c>
    </row>
    <row r="45051">
      <c r="H45051" s="8" t="s">
        <v>364</v>
      </c>
    </row>
    <row r="45052">
      <c r="H45052" s="8" t="s">
        <v>364</v>
      </c>
    </row>
    <row r="45053">
      <c r="H45053" s="8" t="s">
        <v>364</v>
      </c>
    </row>
    <row r="45054">
      <c r="H45054" s="8" t="s">
        <v>364</v>
      </c>
    </row>
    <row r="45055">
      <c r="H45055" s="8" t="s">
        <v>364</v>
      </c>
    </row>
    <row r="45056">
      <c r="H45056" s="8" t="s">
        <v>364</v>
      </c>
    </row>
    <row r="45057">
      <c r="H45057" s="8" t="s">
        <v>364</v>
      </c>
    </row>
    <row r="45058">
      <c r="H45058" s="8" t="s">
        <v>364</v>
      </c>
    </row>
    <row r="45059">
      <c r="H45059" s="8" t="s">
        <v>364</v>
      </c>
    </row>
    <row r="45060">
      <c r="H45060" s="8" t="s">
        <v>364</v>
      </c>
    </row>
    <row r="45061">
      <c r="H45061" s="8" t="s">
        <v>364</v>
      </c>
    </row>
    <row r="45062">
      <c r="H45062" s="8" t="s">
        <v>364</v>
      </c>
    </row>
    <row r="45063">
      <c r="H45063" s="8" t="s">
        <v>364</v>
      </c>
    </row>
    <row r="45064">
      <c r="H45064" s="8" t="s">
        <v>364</v>
      </c>
    </row>
    <row r="45065">
      <c r="H45065" s="8" t="s">
        <v>364</v>
      </c>
    </row>
    <row r="45066">
      <c r="H45066" s="8" t="s">
        <v>364</v>
      </c>
    </row>
    <row r="45067">
      <c r="H45067" s="8" t="s">
        <v>364</v>
      </c>
    </row>
    <row r="45068">
      <c r="H45068" s="8" t="s">
        <v>364</v>
      </c>
    </row>
    <row r="45069">
      <c r="H45069" s="8" t="s">
        <v>364</v>
      </c>
    </row>
    <row r="45070">
      <c r="H45070" s="8" t="s">
        <v>364</v>
      </c>
    </row>
    <row r="45071">
      <c r="H45071" s="8" t="s">
        <v>364</v>
      </c>
    </row>
    <row r="45072">
      <c r="H45072" s="8" t="s">
        <v>364</v>
      </c>
    </row>
    <row r="45073">
      <c r="H45073" s="8" t="s">
        <v>364</v>
      </c>
    </row>
    <row r="45074">
      <c r="H45074" s="8" t="s">
        <v>364</v>
      </c>
    </row>
    <row r="45075">
      <c r="H45075" s="8" t="s">
        <v>364</v>
      </c>
    </row>
    <row r="45076">
      <c r="H45076" s="8" t="s">
        <v>364</v>
      </c>
    </row>
    <row r="45077">
      <c r="H45077" s="8" t="s">
        <v>364</v>
      </c>
    </row>
    <row r="45078">
      <c r="H45078" s="8" t="s">
        <v>364</v>
      </c>
    </row>
    <row r="45079">
      <c r="H45079" s="8" t="s">
        <v>364</v>
      </c>
    </row>
    <row r="45080">
      <c r="H45080" s="8" t="s">
        <v>364</v>
      </c>
    </row>
    <row r="45081">
      <c r="H45081" s="8" t="s">
        <v>364</v>
      </c>
    </row>
    <row r="45082">
      <c r="H45082" s="8" t="s">
        <v>364</v>
      </c>
    </row>
    <row r="45083">
      <c r="H45083" s="8" t="s">
        <v>364</v>
      </c>
    </row>
    <row r="45084">
      <c r="H45084" s="8" t="s">
        <v>364</v>
      </c>
    </row>
    <row r="45085">
      <c r="H45085" s="8" t="s">
        <v>364</v>
      </c>
    </row>
    <row r="45086">
      <c r="H45086" s="8" t="s">
        <v>364</v>
      </c>
    </row>
    <row r="45087">
      <c r="H45087" s="8" t="s">
        <v>364</v>
      </c>
    </row>
    <row r="45088">
      <c r="H45088" s="8" t="s">
        <v>364</v>
      </c>
    </row>
    <row r="45089">
      <c r="H45089" s="8" t="s">
        <v>364</v>
      </c>
    </row>
    <row r="45090">
      <c r="H45090" s="8" t="s">
        <v>364</v>
      </c>
    </row>
    <row r="45091">
      <c r="H45091" s="8" t="s">
        <v>364</v>
      </c>
    </row>
    <row r="45092">
      <c r="H45092" s="8" t="s">
        <v>364</v>
      </c>
    </row>
    <row r="45093">
      <c r="H45093" s="8" t="s">
        <v>364</v>
      </c>
    </row>
    <row r="45094">
      <c r="H45094" s="8" t="s">
        <v>364</v>
      </c>
    </row>
    <row r="45095">
      <c r="H45095" s="8" t="s">
        <v>364</v>
      </c>
    </row>
    <row r="45096">
      <c r="H45096" s="8" t="s">
        <v>364</v>
      </c>
    </row>
    <row r="45097">
      <c r="H45097" s="8" t="s">
        <v>364</v>
      </c>
    </row>
    <row r="45098">
      <c r="H45098" s="8" t="s">
        <v>364</v>
      </c>
    </row>
    <row r="45099">
      <c r="H45099" s="8" t="s">
        <v>364</v>
      </c>
    </row>
    <row r="45100">
      <c r="H45100" s="8" t="s">
        <v>364</v>
      </c>
    </row>
    <row r="45101">
      <c r="H45101" s="8" t="s">
        <v>364</v>
      </c>
    </row>
    <row r="45102">
      <c r="H45102" s="8" t="s">
        <v>364</v>
      </c>
    </row>
    <row r="45103">
      <c r="H45103" s="8" t="s">
        <v>364</v>
      </c>
    </row>
    <row r="45104">
      <c r="H45104" s="8" t="s">
        <v>364</v>
      </c>
    </row>
    <row r="45105">
      <c r="H45105" s="8" t="s">
        <v>364</v>
      </c>
    </row>
    <row r="45106">
      <c r="H45106" s="8" t="s">
        <v>364</v>
      </c>
    </row>
    <row r="45107">
      <c r="H45107" s="8" t="s">
        <v>364</v>
      </c>
    </row>
    <row r="45108">
      <c r="H45108" s="8" t="s">
        <v>364</v>
      </c>
    </row>
    <row r="45109">
      <c r="H45109" s="8" t="s">
        <v>364</v>
      </c>
    </row>
    <row r="45110">
      <c r="H45110" s="8" t="s">
        <v>364</v>
      </c>
    </row>
    <row r="45111">
      <c r="H45111" s="8" t="s">
        <v>364</v>
      </c>
    </row>
    <row r="45112">
      <c r="H45112" s="8" t="s">
        <v>364</v>
      </c>
    </row>
    <row r="45113">
      <c r="H45113" s="8" t="s">
        <v>364</v>
      </c>
    </row>
    <row r="45114">
      <c r="H45114" s="8" t="s">
        <v>364</v>
      </c>
    </row>
    <row r="45115">
      <c r="H45115" s="8" t="s">
        <v>364</v>
      </c>
    </row>
    <row r="45116">
      <c r="H45116" s="8" t="s">
        <v>364</v>
      </c>
    </row>
    <row r="45117">
      <c r="H45117" s="8" t="s">
        <v>364</v>
      </c>
    </row>
    <row r="45118">
      <c r="H45118" s="8" t="s">
        <v>364</v>
      </c>
    </row>
    <row r="45119">
      <c r="H45119" s="8" t="s">
        <v>364</v>
      </c>
    </row>
    <row r="45120">
      <c r="H45120" s="8" t="s">
        <v>364</v>
      </c>
    </row>
    <row r="45121">
      <c r="H45121" s="8" t="s">
        <v>364</v>
      </c>
    </row>
    <row r="45122">
      <c r="H45122" s="8" t="s">
        <v>364</v>
      </c>
    </row>
    <row r="45123">
      <c r="H45123" s="8" t="s">
        <v>364</v>
      </c>
    </row>
    <row r="45124">
      <c r="H45124" s="8" t="s">
        <v>364</v>
      </c>
    </row>
    <row r="45125">
      <c r="H45125" s="8" t="s">
        <v>364</v>
      </c>
    </row>
    <row r="45126">
      <c r="H45126" s="8" t="s">
        <v>364</v>
      </c>
    </row>
    <row r="45127">
      <c r="H45127" s="8" t="s">
        <v>364</v>
      </c>
    </row>
    <row r="45128">
      <c r="H45128" s="8" t="s">
        <v>364</v>
      </c>
    </row>
    <row r="45129">
      <c r="H45129" s="8" t="s">
        <v>364</v>
      </c>
    </row>
    <row r="45130">
      <c r="H45130" s="8" t="s">
        <v>364</v>
      </c>
    </row>
    <row r="45131">
      <c r="H45131" s="8" t="s">
        <v>364</v>
      </c>
    </row>
    <row r="45132">
      <c r="H45132" s="8" t="s">
        <v>364</v>
      </c>
    </row>
    <row r="45133">
      <c r="H45133" s="8" t="s">
        <v>364</v>
      </c>
    </row>
    <row r="45134">
      <c r="H45134" s="8" t="s">
        <v>364</v>
      </c>
    </row>
    <row r="45135">
      <c r="H45135" s="8" t="s">
        <v>364</v>
      </c>
    </row>
    <row r="45136">
      <c r="H45136" s="8" t="s">
        <v>364</v>
      </c>
    </row>
    <row r="45137">
      <c r="H45137" s="8" t="s">
        <v>364</v>
      </c>
    </row>
    <row r="45138">
      <c r="H45138" s="8" t="s">
        <v>364</v>
      </c>
    </row>
    <row r="45139">
      <c r="H45139" s="8" t="s">
        <v>364</v>
      </c>
    </row>
    <row r="45140">
      <c r="H45140" s="8" t="s">
        <v>364</v>
      </c>
    </row>
    <row r="45141">
      <c r="H45141" s="8" t="s">
        <v>364</v>
      </c>
    </row>
    <row r="45142">
      <c r="H45142" s="8" t="s">
        <v>364</v>
      </c>
    </row>
    <row r="45143">
      <c r="H45143" s="8" t="s">
        <v>364</v>
      </c>
    </row>
    <row r="45144">
      <c r="H45144" s="8" t="s">
        <v>364</v>
      </c>
    </row>
    <row r="45145">
      <c r="H45145" s="8" t="s">
        <v>364</v>
      </c>
    </row>
    <row r="45146">
      <c r="H45146" s="8" t="s">
        <v>364</v>
      </c>
    </row>
    <row r="45147">
      <c r="H45147" s="8" t="s">
        <v>364</v>
      </c>
    </row>
    <row r="45148">
      <c r="H45148" s="8" t="s">
        <v>364</v>
      </c>
    </row>
    <row r="45149">
      <c r="H45149" s="8" t="s">
        <v>364</v>
      </c>
    </row>
    <row r="45150">
      <c r="H45150" s="8" t="s">
        <v>364</v>
      </c>
    </row>
    <row r="45151">
      <c r="H45151" s="8" t="s">
        <v>364</v>
      </c>
    </row>
    <row r="45152">
      <c r="H45152" s="8" t="s">
        <v>364</v>
      </c>
    </row>
    <row r="45153">
      <c r="H45153" s="8" t="s">
        <v>364</v>
      </c>
    </row>
    <row r="45154">
      <c r="H45154" s="8" t="s">
        <v>364</v>
      </c>
    </row>
    <row r="45155">
      <c r="H45155" s="8" t="s">
        <v>364</v>
      </c>
    </row>
    <row r="45156">
      <c r="H45156" s="8" t="s">
        <v>364</v>
      </c>
    </row>
    <row r="45157">
      <c r="H45157" s="8" t="s">
        <v>364</v>
      </c>
    </row>
    <row r="45158">
      <c r="H45158" s="8" t="s">
        <v>364</v>
      </c>
    </row>
    <row r="45159">
      <c r="H45159" s="8" t="s">
        <v>364</v>
      </c>
    </row>
    <row r="45160">
      <c r="H45160" s="8" t="s">
        <v>364</v>
      </c>
    </row>
    <row r="45161">
      <c r="H45161" s="8" t="s">
        <v>364</v>
      </c>
    </row>
    <row r="45162">
      <c r="H45162" s="8" t="s">
        <v>364</v>
      </c>
    </row>
    <row r="45163">
      <c r="H45163" s="8" t="s">
        <v>364</v>
      </c>
    </row>
    <row r="45164">
      <c r="H45164" s="8" t="s">
        <v>364</v>
      </c>
    </row>
    <row r="45165">
      <c r="H45165" s="8" t="s">
        <v>364</v>
      </c>
    </row>
    <row r="45166">
      <c r="H45166" s="8" t="s">
        <v>364</v>
      </c>
    </row>
    <row r="45167">
      <c r="H45167" s="8" t="s">
        <v>364</v>
      </c>
    </row>
    <row r="45168">
      <c r="H45168" s="8" t="s">
        <v>364</v>
      </c>
    </row>
    <row r="45169">
      <c r="H45169" s="8" t="s">
        <v>364</v>
      </c>
    </row>
    <row r="45170">
      <c r="H45170" s="8" t="s">
        <v>364</v>
      </c>
    </row>
    <row r="45171">
      <c r="H45171" s="8" t="s">
        <v>364</v>
      </c>
    </row>
    <row r="45172">
      <c r="H45172" s="8" t="s">
        <v>364</v>
      </c>
    </row>
    <row r="45173">
      <c r="H45173" s="8" t="s">
        <v>364</v>
      </c>
    </row>
    <row r="45174">
      <c r="H45174" s="8" t="s">
        <v>364</v>
      </c>
    </row>
    <row r="45175">
      <c r="H45175" s="8" t="s">
        <v>364</v>
      </c>
    </row>
    <row r="45176">
      <c r="H45176" s="8" t="s">
        <v>364</v>
      </c>
    </row>
    <row r="45177">
      <c r="H45177" s="8" t="s">
        <v>364</v>
      </c>
    </row>
    <row r="45178">
      <c r="H45178" s="8" t="s">
        <v>364</v>
      </c>
    </row>
    <row r="45179">
      <c r="H45179" s="8" t="s">
        <v>364</v>
      </c>
    </row>
    <row r="45180">
      <c r="H45180" s="8" t="s">
        <v>364</v>
      </c>
    </row>
    <row r="45181">
      <c r="H45181" s="8" t="s">
        <v>364</v>
      </c>
    </row>
    <row r="45182">
      <c r="H45182" s="8" t="s">
        <v>364</v>
      </c>
    </row>
    <row r="45183">
      <c r="H45183" s="8" t="s">
        <v>364</v>
      </c>
    </row>
    <row r="45184">
      <c r="H45184" s="8" t="s">
        <v>364</v>
      </c>
    </row>
    <row r="45185">
      <c r="H45185" s="8" t="s">
        <v>364</v>
      </c>
    </row>
    <row r="45186">
      <c r="H45186" s="8" t="s">
        <v>364</v>
      </c>
    </row>
    <row r="45187">
      <c r="H45187" s="8" t="s">
        <v>364</v>
      </c>
    </row>
    <row r="45188">
      <c r="H45188" s="8" t="s">
        <v>364</v>
      </c>
    </row>
    <row r="45189">
      <c r="H45189" s="8" t="s">
        <v>364</v>
      </c>
    </row>
    <row r="45190">
      <c r="H45190" s="8" t="s">
        <v>364</v>
      </c>
    </row>
    <row r="45191">
      <c r="H45191" s="8" t="s">
        <v>364</v>
      </c>
    </row>
    <row r="45192">
      <c r="H45192" s="8" t="s">
        <v>364</v>
      </c>
    </row>
    <row r="45193">
      <c r="H45193" s="8" t="s">
        <v>364</v>
      </c>
    </row>
    <row r="45194">
      <c r="H45194" s="8" t="s">
        <v>364</v>
      </c>
    </row>
    <row r="45195">
      <c r="H45195" s="8" t="s">
        <v>364</v>
      </c>
    </row>
    <row r="45196">
      <c r="H45196" s="8" t="s">
        <v>364</v>
      </c>
    </row>
    <row r="45197">
      <c r="H45197" s="8" t="s">
        <v>364</v>
      </c>
    </row>
    <row r="45198">
      <c r="H45198" s="8" t="s">
        <v>364</v>
      </c>
    </row>
    <row r="45199">
      <c r="H45199" s="8" t="s">
        <v>364</v>
      </c>
    </row>
    <row r="45200">
      <c r="H45200" s="8" t="s">
        <v>364</v>
      </c>
    </row>
    <row r="45201">
      <c r="H45201" s="8" t="s">
        <v>364</v>
      </c>
    </row>
    <row r="45202">
      <c r="H45202" s="8" t="s">
        <v>364</v>
      </c>
    </row>
    <row r="45203">
      <c r="H45203" s="8" t="s">
        <v>364</v>
      </c>
    </row>
    <row r="45204">
      <c r="H45204" s="8" t="s">
        <v>364</v>
      </c>
    </row>
    <row r="45205">
      <c r="H45205" s="8" t="s">
        <v>364</v>
      </c>
    </row>
    <row r="45206">
      <c r="H45206" s="8" t="s">
        <v>364</v>
      </c>
    </row>
    <row r="45207">
      <c r="H45207" s="8" t="s">
        <v>364</v>
      </c>
    </row>
    <row r="45208">
      <c r="H45208" s="8" t="s">
        <v>364</v>
      </c>
    </row>
    <row r="45209">
      <c r="H45209" s="8" t="s">
        <v>364</v>
      </c>
    </row>
    <row r="45210">
      <c r="H45210" s="8" t="s">
        <v>364</v>
      </c>
    </row>
    <row r="45211">
      <c r="H45211" s="8" t="s">
        <v>364</v>
      </c>
    </row>
    <row r="45212">
      <c r="H45212" s="8" t="s">
        <v>364</v>
      </c>
    </row>
    <row r="45213">
      <c r="H45213" s="8" t="s">
        <v>364</v>
      </c>
    </row>
    <row r="45214">
      <c r="H45214" s="8" t="s">
        <v>364</v>
      </c>
    </row>
    <row r="45215">
      <c r="H45215" s="8" t="s">
        <v>364</v>
      </c>
    </row>
    <row r="45216">
      <c r="H45216" s="8" t="s">
        <v>364</v>
      </c>
    </row>
    <row r="45217">
      <c r="H45217" s="8" t="s">
        <v>364</v>
      </c>
    </row>
    <row r="45218">
      <c r="H45218" s="8" t="s">
        <v>364</v>
      </c>
    </row>
    <row r="45219">
      <c r="H45219" s="8" t="s">
        <v>364</v>
      </c>
    </row>
    <row r="45220">
      <c r="H45220" s="8" t="s">
        <v>364</v>
      </c>
    </row>
    <row r="45221">
      <c r="H45221" s="8" t="s">
        <v>364</v>
      </c>
    </row>
    <row r="45222">
      <c r="H45222" s="8" t="s">
        <v>364</v>
      </c>
    </row>
    <row r="45223">
      <c r="H45223" s="8" t="s">
        <v>364</v>
      </c>
    </row>
    <row r="45224">
      <c r="H45224" s="8" t="s">
        <v>364</v>
      </c>
    </row>
    <row r="45225">
      <c r="H45225" s="8" t="s">
        <v>364</v>
      </c>
    </row>
    <row r="45226">
      <c r="H45226" s="8" t="s">
        <v>364</v>
      </c>
    </row>
    <row r="45227">
      <c r="H45227" s="8" t="s">
        <v>364</v>
      </c>
    </row>
    <row r="45228">
      <c r="H45228" s="8" t="s">
        <v>364</v>
      </c>
    </row>
    <row r="45229">
      <c r="H45229" s="8" t="s">
        <v>364</v>
      </c>
    </row>
    <row r="45230">
      <c r="H45230" s="8" t="s">
        <v>364</v>
      </c>
    </row>
    <row r="45231">
      <c r="H45231" s="8" t="s">
        <v>364</v>
      </c>
    </row>
    <row r="45232">
      <c r="H45232" s="8" t="s">
        <v>364</v>
      </c>
    </row>
    <row r="45233">
      <c r="H45233" s="8" t="s">
        <v>364</v>
      </c>
    </row>
    <row r="45234">
      <c r="H45234" s="8" t="s">
        <v>364</v>
      </c>
    </row>
    <row r="45235">
      <c r="H45235" s="8" t="s">
        <v>364</v>
      </c>
    </row>
    <row r="45236">
      <c r="H45236" s="8" t="s">
        <v>364</v>
      </c>
    </row>
    <row r="45237">
      <c r="H45237" s="8" t="s">
        <v>364</v>
      </c>
    </row>
    <row r="45238">
      <c r="H45238" s="8" t="s">
        <v>364</v>
      </c>
    </row>
    <row r="45239">
      <c r="H45239" s="8" t="s">
        <v>364</v>
      </c>
    </row>
    <row r="45240">
      <c r="H45240" s="8" t="s">
        <v>364</v>
      </c>
    </row>
    <row r="45241">
      <c r="H45241" s="8" t="s">
        <v>364</v>
      </c>
    </row>
    <row r="45242">
      <c r="H45242" s="8" t="s">
        <v>364</v>
      </c>
    </row>
    <row r="45243">
      <c r="H45243" s="8" t="s">
        <v>364</v>
      </c>
    </row>
    <row r="45244">
      <c r="H45244" s="8" t="s">
        <v>364</v>
      </c>
    </row>
    <row r="45245">
      <c r="H45245" s="8" t="s">
        <v>364</v>
      </c>
    </row>
    <row r="45246">
      <c r="H45246" s="8" t="s">
        <v>364</v>
      </c>
    </row>
    <row r="45247">
      <c r="H45247" s="8" t="s">
        <v>364</v>
      </c>
    </row>
    <row r="45248">
      <c r="H45248" s="8" t="s">
        <v>364</v>
      </c>
    </row>
    <row r="45249">
      <c r="H45249" s="8" t="s">
        <v>364</v>
      </c>
    </row>
    <row r="45250">
      <c r="H45250" s="8" t="s">
        <v>364</v>
      </c>
    </row>
    <row r="45251">
      <c r="H45251" s="8" t="s">
        <v>364</v>
      </c>
    </row>
    <row r="45252">
      <c r="H45252" s="8" t="s">
        <v>364</v>
      </c>
    </row>
    <row r="45253">
      <c r="H45253" s="8" t="s">
        <v>364</v>
      </c>
    </row>
    <row r="45254">
      <c r="H45254" s="8" t="s">
        <v>364</v>
      </c>
    </row>
    <row r="45255">
      <c r="H45255" s="8" t="s">
        <v>364</v>
      </c>
    </row>
    <row r="45256">
      <c r="H45256" s="8" t="s">
        <v>364</v>
      </c>
    </row>
    <row r="45257">
      <c r="H45257" s="8" t="s">
        <v>364</v>
      </c>
    </row>
    <row r="45258">
      <c r="H45258" s="8" t="s">
        <v>364</v>
      </c>
    </row>
    <row r="45259">
      <c r="H45259" s="8" t="s">
        <v>364</v>
      </c>
    </row>
    <row r="45260">
      <c r="H45260" s="8" t="s">
        <v>364</v>
      </c>
    </row>
    <row r="45261">
      <c r="H45261" s="8" t="s">
        <v>364</v>
      </c>
    </row>
    <row r="45262">
      <c r="H45262" s="8" t="s">
        <v>364</v>
      </c>
    </row>
    <row r="45263">
      <c r="H45263" s="8" t="s">
        <v>364</v>
      </c>
    </row>
    <row r="45264">
      <c r="H45264" s="8" t="s">
        <v>364</v>
      </c>
    </row>
    <row r="45265">
      <c r="H45265" s="8" t="s">
        <v>364</v>
      </c>
    </row>
    <row r="45266">
      <c r="H45266" s="8" t="s">
        <v>364</v>
      </c>
    </row>
    <row r="45267">
      <c r="H45267" s="8" t="s">
        <v>364</v>
      </c>
    </row>
    <row r="45268">
      <c r="H45268" s="8" t="s">
        <v>364</v>
      </c>
    </row>
    <row r="45269">
      <c r="H45269" s="8" t="s">
        <v>364</v>
      </c>
    </row>
    <row r="45270">
      <c r="H45270" s="8" t="s">
        <v>364</v>
      </c>
    </row>
    <row r="45271">
      <c r="H45271" s="8" t="s">
        <v>364</v>
      </c>
    </row>
    <row r="45272">
      <c r="H45272" s="8" t="s">
        <v>364</v>
      </c>
    </row>
    <row r="45273">
      <c r="H45273" s="8" t="s">
        <v>364</v>
      </c>
    </row>
    <row r="45274">
      <c r="H45274" s="8" t="s">
        <v>364</v>
      </c>
    </row>
    <row r="45275">
      <c r="H45275" s="8" t="s">
        <v>364</v>
      </c>
    </row>
    <row r="45276">
      <c r="H45276" s="8" t="s">
        <v>364</v>
      </c>
    </row>
    <row r="45277">
      <c r="H45277" s="8" t="s">
        <v>364</v>
      </c>
    </row>
    <row r="45278">
      <c r="H45278" s="8" t="s">
        <v>364</v>
      </c>
    </row>
    <row r="45279">
      <c r="H45279" s="8" t="s">
        <v>364</v>
      </c>
    </row>
    <row r="45280">
      <c r="H45280" s="8" t="s">
        <v>364</v>
      </c>
    </row>
    <row r="45281">
      <c r="H45281" s="8" t="s">
        <v>364</v>
      </c>
    </row>
    <row r="45282">
      <c r="H45282" s="8" t="s">
        <v>364</v>
      </c>
    </row>
    <row r="45283">
      <c r="H45283" s="8" t="s">
        <v>364</v>
      </c>
    </row>
    <row r="45284">
      <c r="H45284" s="8" t="s">
        <v>364</v>
      </c>
    </row>
    <row r="45285">
      <c r="H45285" s="8" t="s">
        <v>364</v>
      </c>
    </row>
    <row r="45286">
      <c r="H45286" s="8" t="s">
        <v>364</v>
      </c>
    </row>
    <row r="45287">
      <c r="H45287" s="8" t="s">
        <v>364</v>
      </c>
    </row>
    <row r="45288">
      <c r="H45288" s="8" t="s">
        <v>364</v>
      </c>
    </row>
    <row r="45289">
      <c r="H45289" s="8" t="s">
        <v>364</v>
      </c>
    </row>
    <row r="45290">
      <c r="H45290" s="8" t="s">
        <v>364</v>
      </c>
    </row>
    <row r="45291">
      <c r="H45291" s="8" t="s">
        <v>364</v>
      </c>
    </row>
    <row r="45292">
      <c r="H45292" s="8" t="s">
        <v>364</v>
      </c>
    </row>
    <row r="45293">
      <c r="H45293" s="8" t="s">
        <v>364</v>
      </c>
    </row>
    <row r="45294">
      <c r="H45294" s="8" t="s">
        <v>364</v>
      </c>
    </row>
    <row r="45295">
      <c r="H45295" s="8" t="s">
        <v>364</v>
      </c>
    </row>
    <row r="45296">
      <c r="H45296" s="8" t="s">
        <v>364</v>
      </c>
    </row>
    <row r="45297">
      <c r="H45297" s="8" t="s">
        <v>364</v>
      </c>
    </row>
    <row r="45298">
      <c r="H45298" s="8" t="s">
        <v>364</v>
      </c>
    </row>
    <row r="45299">
      <c r="H45299" s="8" t="s">
        <v>364</v>
      </c>
    </row>
    <row r="45300">
      <c r="H45300" s="8" t="s">
        <v>364</v>
      </c>
    </row>
    <row r="45301">
      <c r="H45301" s="8" t="s">
        <v>364</v>
      </c>
    </row>
    <row r="45302">
      <c r="H45302" s="8" t="s">
        <v>364</v>
      </c>
    </row>
    <row r="45303">
      <c r="H45303" s="8" t="s">
        <v>364</v>
      </c>
    </row>
    <row r="45304">
      <c r="H45304" s="8" t="s">
        <v>364</v>
      </c>
    </row>
    <row r="45305">
      <c r="H45305" s="8" t="s">
        <v>364</v>
      </c>
    </row>
    <row r="45306">
      <c r="H45306" s="8" t="s">
        <v>364</v>
      </c>
    </row>
    <row r="45307">
      <c r="H45307" s="8" t="s">
        <v>364</v>
      </c>
    </row>
    <row r="45308">
      <c r="H45308" s="8" t="s">
        <v>364</v>
      </c>
    </row>
    <row r="45309">
      <c r="H45309" s="8" t="s">
        <v>364</v>
      </c>
    </row>
    <row r="45310">
      <c r="H45310" s="8" t="s">
        <v>364</v>
      </c>
    </row>
    <row r="45311">
      <c r="H45311" s="8" t="s">
        <v>364</v>
      </c>
    </row>
    <row r="45312">
      <c r="H45312" s="8" t="s">
        <v>364</v>
      </c>
    </row>
    <row r="45313">
      <c r="H45313" s="8" t="s">
        <v>364</v>
      </c>
    </row>
    <row r="45314">
      <c r="H45314" s="8" t="s">
        <v>364</v>
      </c>
    </row>
    <row r="45315">
      <c r="H45315" s="8" t="s">
        <v>364</v>
      </c>
    </row>
    <row r="45316">
      <c r="H45316" s="8" t="s">
        <v>364</v>
      </c>
    </row>
    <row r="45317">
      <c r="H45317" s="8" t="s">
        <v>364</v>
      </c>
    </row>
    <row r="45318">
      <c r="H45318" s="8" t="s">
        <v>364</v>
      </c>
    </row>
    <row r="45319">
      <c r="H45319" s="8" t="s">
        <v>364</v>
      </c>
    </row>
    <row r="45320">
      <c r="H45320" s="8" t="s">
        <v>364</v>
      </c>
    </row>
    <row r="45321">
      <c r="H45321" s="8" t="s">
        <v>364</v>
      </c>
    </row>
    <row r="45322">
      <c r="H45322" s="8" t="s">
        <v>364</v>
      </c>
    </row>
    <row r="45323">
      <c r="H45323" s="8" t="s">
        <v>364</v>
      </c>
    </row>
    <row r="45324">
      <c r="H45324" s="8" t="s">
        <v>364</v>
      </c>
    </row>
    <row r="45325">
      <c r="H45325" s="8" t="s">
        <v>364</v>
      </c>
    </row>
    <row r="45326">
      <c r="H45326" s="8" t="s">
        <v>364</v>
      </c>
    </row>
    <row r="45327">
      <c r="H45327" s="8" t="s">
        <v>364</v>
      </c>
    </row>
    <row r="45328">
      <c r="H45328" s="8" t="s">
        <v>364</v>
      </c>
    </row>
    <row r="45329">
      <c r="H45329" s="8" t="s">
        <v>364</v>
      </c>
    </row>
    <row r="45330">
      <c r="H45330" s="8" t="s">
        <v>364</v>
      </c>
    </row>
    <row r="45331">
      <c r="H45331" s="8" t="s">
        <v>364</v>
      </c>
    </row>
    <row r="45332">
      <c r="H45332" s="8" t="s">
        <v>364</v>
      </c>
    </row>
    <row r="45333">
      <c r="H45333" s="8" t="s">
        <v>364</v>
      </c>
    </row>
    <row r="45334">
      <c r="H45334" s="8" t="s">
        <v>364</v>
      </c>
    </row>
    <row r="45335">
      <c r="H45335" s="8" t="s">
        <v>364</v>
      </c>
    </row>
    <row r="45336">
      <c r="H45336" s="8" t="s">
        <v>364</v>
      </c>
    </row>
    <row r="45337">
      <c r="H45337" s="8" t="s">
        <v>364</v>
      </c>
    </row>
    <row r="45338">
      <c r="H45338" s="8" t="s">
        <v>364</v>
      </c>
    </row>
    <row r="45339">
      <c r="H45339" s="8" t="s">
        <v>364</v>
      </c>
    </row>
    <row r="45340">
      <c r="H45340" s="8" t="s">
        <v>364</v>
      </c>
    </row>
    <row r="45341">
      <c r="H45341" s="8" t="s">
        <v>364</v>
      </c>
    </row>
    <row r="45342">
      <c r="H45342" s="8" t="s">
        <v>364</v>
      </c>
    </row>
    <row r="45343">
      <c r="H45343" s="8" t="s">
        <v>364</v>
      </c>
    </row>
    <row r="45344">
      <c r="H45344" s="8" t="s">
        <v>364</v>
      </c>
    </row>
    <row r="45345">
      <c r="H45345" s="8" t="s">
        <v>364</v>
      </c>
    </row>
    <row r="45346">
      <c r="H45346" s="8" t="s">
        <v>364</v>
      </c>
    </row>
    <row r="45347">
      <c r="H45347" s="8" t="s">
        <v>364</v>
      </c>
    </row>
    <row r="45348">
      <c r="H45348" s="8" t="s">
        <v>364</v>
      </c>
    </row>
    <row r="45349">
      <c r="H45349" s="8" t="s">
        <v>364</v>
      </c>
    </row>
    <row r="45350">
      <c r="H45350" s="8" t="s">
        <v>364</v>
      </c>
    </row>
    <row r="45351">
      <c r="H45351" s="8" t="s">
        <v>364</v>
      </c>
    </row>
    <row r="45352">
      <c r="H45352" s="8" t="s">
        <v>364</v>
      </c>
    </row>
    <row r="45353">
      <c r="H45353" s="8" t="s">
        <v>364</v>
      </c>
    </row>
    <row r="45354">
      <c r="H45354" s="8" t="s">
        <v>364</v>
      </c>
    </row>
    <row r="45355">
      <c r="H45355" s="8" t="s">
        <v>364</v>
      </c>
    </row>
    <row r="45356">
      <c r="H45356" s="8" t="s">
        <v>364</v>
      </c>
    </row>
    <row r="45357">
      <c r="H45357" s="8" t="s">
        <v>364</v>
      </c>
    </row>
    <row r="45358">
      <c r="H45358" s="8" t="s">
        <v>364</v>
      </c>
    </row>
    <row r="45359">
      <c r="H45359" s="8" t="s">
        <v>364</v>
      </c>
    </row>
    <row r="45360">
      <c r="H45360" s="8" t="s">
        <v>364</v>
      </c>
    </row>
    <row r="45361">
      <c r="H45361" s="8" t="s">
        <v>364</v>
      </c>
    </row>
    <row r="45362">
      <c r="H45362" s="8" t="s">
        <v>364</v>
      </c>
    </row>
    <row r="45363">
      <c r="H45363" s="8" t="s">
        <v>364</v>
      </c>
    </row>
    <row r="45364">
      <c r="H45364" s="8" t="s">
        <v>364</v>
      </c>
    </row>
    <row r="45365">
      <c r="H45365" s="8" t="s">
        <v>364</v>
      </c>
    </row>
    <row r="45366">
      <c r="H45366" s="8" t="s">
        <v>364</v>
      </c>
    </row>
    <row r="45367">
      <c r="H45367" s="8" t="s">
        <v>364</v>
      </c>
    </row>
    <row r="45368">
      <c r="H45368" s="8" t="s">
        <v>364</v>
      </c>
    </row>
    <row r="45369">
      <c r="H45369" s="8" t="s">
        <v>364</v>
      </c>
    </row>
    <row r="45370">
      <c r="H45370" s="8" t="s">
        <v>364</v>
      </c>
    </row>
    <row r="45371">
      <c r="H45371" s="8" t="s">
        <v>364</v>
      </c>
    </row>
    <row r="45372">
      <c r="H45372" s="8" t="s">
        <v>364</v>
      </c>
    </row>
    <row r="45373">
      <c r="H45373" s="8" t="s">
        <v>364</v>
      </c>
    </row>
    <row r="45374">
      <c r="H45374" s="8" t="s">
        <v>364</v>
      </c>
    </row>
    <row r="45375">
      <c r="H45375" s="8" t="s">
        <v>364</v>
      </c>
    </row>
    <row r="45376">
      <c r="H45376" s="8" t="s">
        <v>364</v>
      </c>
    </row>
    <row r="45377">
      <c r="H45377" s="8" t="s">
        <v>364</v>
      </c>
    </row>
    <row r="45378">
      <c r="H45378" s="8" t="s">
        <v>364</v>
      </c>
    </row>
    <row r="45379">
      <c r="H45379" s="8" t="s">
        <v>364</v>
      </c>
    </row>
    <row r="45380">
      <c r="H45380" s="8" t="s">
        <v>364</v>
      </c>
    </row>
    <row r="45381">
      <c r="H45381" s="8" t="s">
        <v>364</v>
      </c>
    </row>
    <row r="45382">
      <c r="H45382" s="8" t="s">
        <v>364</v>
      </c>
    </row>
    <row r="45383">
      <c r="H45383" s="8" t="s">
        <v>364</v>
      </c>
    </row>
    <row r="45384">
      <c r="H45384" s="8" t="s">
        <v>364</v>
      </c>
    </row>
    <row r="45385">
      <c r="H45385" s="8" t="s">
        <v>364</v>
      </c>
    </row>
    <row r="45386">
      <c r="H45386" s="8" t="s">
        <v>364</v>
      </c>
    </row>
    <row r="45387">
      <c r="H45387" s="8" t="s">
        <v>364</v>
      </c>
    </row>
    <row r="45388">
      <c r="H45388" s="8" t="s">
        <v>364</v>
      </c>
    </row>
    <row r="45389">
      <c r="H45389" s="8" t="s">
        <v>364</v>
      </c>
    </row>
    <row r="45390">
      <c r="H45390" s="8" t="s">
        <v>364</v>
      </c>
    </row>
    <row r="45391">
      <c r="H45391" s="8" t="s">
        <v>364</v>
      </c>
    </row>
    <row r="45392">
      <c r="H45392" s="8" t="s">
        <v>364</v>
      </c>
    </row>
    <row r="45393">
      <c r="H45393" s="8" t="s">
        <v>364</v>
      </c>
    </row>
    <row r="45394">
      <c r="H45394" s="8" t="s">
        <v>364</v>
      </c>
    </row>
    <row r="45395">
      <c r="H45395" s="8" t="s">
        <v>364</v>
      </c>
    </row>
    <row r="45396">
      <c r="H45396" s="8" t="s">
        <v>364</v>
      </c>
    </row>
    <row r="45397">
      <c r="H45397" s="8" t="s">
        <v>364</v>
      </c>
    </row>
    <row r="45398">
      <c r="H45398" s="8" t="s">
        <v>364</v>
      </c>
    </row>
    <row r="45399">
      <c r="H45399" s="8" t="s">
        <v>364</v>
      </c>
    </row>
    <row r="45400">
      <c r="H45400" s="8" t="s">
        <v>364</v>
      </c>
    </row>
    <row r="45401">
      <c r="H45401" s="8" t="s">
        <v>364</v>
      </c>
    </row>
    <row r="45402">
      <c r="H45402" s="8" t="s">
        <v>364</v>
      </c>
    </row>
    <row r="45403">
      <c r="H45403" s="8" t="s">
        <v>364</v>
      </c>
    </row>
    <row r="45404">
      <c r="H45404" s="8" t="s">
        <v>364</v>
      </c>
    </row>
    <row r="45405">
      <c r="H45405" s="8" t="s">
        <v>364</v>
      </c>
    </row>
    <row r="45406">
      <c r="H45406" s="8" t="s">
        <v>364</v>
      </c>
    </row>
    <row r="45407">
      <c r="H45407" s="8" t="s">
        <v>364</v>
      </c>
    </row>
    <row r="45408">
      <c r="H45408" s="8" t="s">
        <v>364</v>
      </c>
    </row>
    <row r="45409">
      <c r="H45409" s="8" t="s">
        <v>364</v>
      </c>
    </row>
    <row r="45410">
      <c r="H45410" s="8" t="s">
        <v>364</v>
      </c>
    </row>
    <row r="45411">
      <c r="H45411" s="8" t="s">
        <v>364</v>
      </c>
    </row>
    <row r="45412">
      <c r="H45412" s="8" t="s">
        <v>364</v>
      </c>
    </row>
    <row r="45413">
      <c r="H45413" s="8" t="s">
        <v>364</v>
      </c>
    </row>
    <row r="45414">
      <c r="H45414" s="8" t="s">
        <v>364</v>
      </c>
    </row>
    <row r="45415">
      <c r="H45415" s="8" t="s">
        <v>364</v>
      </c>
    </row>
    <row r="45416">
      <c r="H45416" s="8" t="s">
        <v>364</v>
      </c>
    </row>
    <row r="45417">
      <c r="H45417" s="8" t="s">
        <v>364</v>
      </c>
    </row>
    <row r="45418">
      <c r="H45418" s="8" t="s">
        <v>364</v>
      </c>
    </row>
    <row r="45419">
      <c r="H45419" s="8" t="s">
        <v>364</v>
      </c>
    </row>
    <row r="45420">
      <c r="H45420" s="8" t="s">
        <v>364</v>
      </c>
    </row>
    <row r="45421">
      <c r="H45421" s="8" t="s">
        <v>364</v>
      </c>
    </row>
    <row r="45422">
      <c r="H45422" s="8" t="s">
        <v>364</v>
      </c>
    </row>
    <row r="45423">
      <c r="H45423" s="8" t="s">
        <v>364</v>
      </c>
    </row>
    <row r="45424">
      <c r="H45424" s="8" t="s">
        <v>364</v>
      </c>
    </row>
    <row r="45425">
      <c r="H45425" s="8" t="s">
        <v>364</v>
      </c>
    </row>
    <row r="45426">
      <c r="H45426" s="8" t="s">
        <v>364</v>
      </c>
    </row>
    <row r="45427">
      <c r="H45427" s="8" t="s">
        <v>364</v>
      </c>
    </row>
    <row r="45428">
      <c r="H45428" s="8" t="s">
        <v>364</v>
      </c>
    </row>
    <row r="45429">
      <c r="H45429" s="8" t="s">
        <v>364</v>
      </c>
    </row>
    <row r="45430">
      <c r="H45430" s="8" t="s">
        <v>364</v>
      </c>
    </row>
    <row r="45431">
      <c r="H45431" s="8" t="s">
        <v>364</v>
      </c>
    </row>
    <row r="45432">
      <c r="H45432" s="8" t="s">
        <v>364</v>
      </c>
    </row>
    <row r="45433">
      <c r="H45433" s="8" t="s">
        <v>364</v>
      </c>
    </row>
    <row r="45434">
      <c r="H45434" s="8" t="s">
        <v>364</v>
      </c>
    </row>
    <row r="45435">
      <c r="H45435" s="8" t="s">
        <v>364</v>
      </c>
    </row>
    <row r="45436">
      <c r="H45436" s="8" t="s">
        <v>364</v>
      </c>
    </row>
    <row r="45437">
      <c r="H45437" s="8" t="s">
        <v>364</v>
      </c>
    </row>
    <row r="45438">
      <c r="H45438" s="8" t="s">
        <v>364</v>
      </c>
    </row>
    <row r="45439">
      <c r="H45439" s="8" t="s">
        <v>364</v>
      </c>
    </row>
    <row r="45440">
      <c r="H45440" s="8" t="s">
        <v>364</v>
      </c>
    </row>
    <row r="45441">
      <c r="H45441" s="8" t="s">
        <v>364</v>
      </c>
    </row>
    <row r="45442">
      <c r="H45442" s="8" t="s">
        <v>364</v>
      </c>
    </row>
    <row r="45443">
      <c r="H45443" s="8" t="s">
        <v>364</v>
      </c>
    </row>
    <row r="45444">
      <c r="H45444" s="8" t="s">
        <v>364</v>
      </c>
    </row>
    <row r="45445">
      <c r="H45445" s="8" t="s">
        <v>364</v>
      </c>
    </row>
    <row r="45446">
      <c r="H45446" s="8" t="s">
        <v>364</v>
      </c>
    </row>
    <row r="45447">
      <c r="H45447" s="8" t="s">
        <v>364</v>
      </c>
    </row>
    <row r="45448">
      <c r="H45448" s="8" t="s">
        <v>364</v>
      </c>
    </row>
    <row r="45449">
      <c r="H45449" s="8" t="s">
        <v>364</v>
      </c>
    </row>
    <row r="45450">
      <c r="H45450" s="8" t="s">
        <v>364</v>
      </c>
    </row>
    <row r="45451">
      <c r="H45451" s="8" t="s">
        <v>364</v>
      </c>
    </row>
    <row r="45452">
      <c r="H45452" s="8" t="s">
        <v>364</v>
      </c>
    </row>
    <row r="45453">
      <c r="H45453" s="8" t="s">
        <v>364</v>
      </c>
    </row>
    <row r="45454">
      <c r="H45454" s="8" t="s">
        <v>364</v>
      </c>
    </row>
    <row r="45455">
      <c r="H45455" s="8" t="s">
        <v>364</v>
      </c>
    </row>
    <row r="45456">
      <c r="H45456" s="8" t="s">
        <v>364</v>
      </c>
    </row>
    <row r="45457">
      <c r="H45457" s="8" t="s">
        <v>364</v>
      </c>
    </row>
    <row r="45458">
      <c r="H45458" s="8" t="s">
        <v>364</v>
      </c>
    </row>
    <row r="45459">
      <c r="H45459" s="8" t="s">
        <v>364</v>
      </c>
    </row>
    <row r="45460">
      <c r="H45460" s="8" t="s">
        <v>364</v>
      </c>
    </row>
    <row r="45461">
      <c r="H45461" s="8" t="s">
        <v>364</v>
      </c>
    </row>
    <row r="45462">
      <c r="H45462" s="8" t="s">
        <v>364</v>
      </c>
    </row>
    <row r="45463">
      <c r="H45463" s="8" t="s">
        <v>364</v>
      </c>
    </row>
    <row r="45464">
      <c r="H45464" s="8" t="s">
        <v>364</v>
      </c>
    </row>
    <row r="45465">
      <c r="H45465" s="8" t="s">
        <v>364</v>
      </c>
    </row>
    <row r="45466">
      <c r="H45466" s="8" t="s">
        <v>364</v>
      </c>
    </row>
    <row r="45467">
      <c r="H45467" s="8" t="s">
        <v>364</v>
      </c>
    </row>
    <row r="45468">
      <c r="H45468" s="8" t="s">
        <v>364</v>
      </c>
    </row>
    <row r="45469">
      <c r="H45469" s="8" t="s">
        <v>364</v>
      </c>
    </row>
    <row r="45470">
      <c r="H45470" s="8" t="s">
        <v>364</v>
      </c>
    </row>
    <row r="45471">
      <c r="H45471" s="8" t="s">
        <v>364</v>
      </c>
    </row>
    <row r="45472">
      <c r="H45472" s="8" t="s">
        <v>364</v>
      </c>
    </row>
    <row r="45473">
      <c r="H45473" s="8" t="s">
        <v>364</v>
      </c>
    </row>
    <row r="45474">
      <c r="H45474" s="8" t="s">
        <v>364</v>
      </c>
    </row>
    <row r="45475">
      <c r="H45475" s="8" t="s">
        <v>364</v>
      </c>
    </row>
    <row r="45476">
      <c r="H45476" s="8" t="s">
        <v>364</v>
      </c>
    </row>
    <row r="45477">
      <c r="H45477" s="8" t="s">
        <v>364</v>
      </c>
    </row>
    <row r="45478">
      <c r="H45478" s="8" t="s">
        <v>364</v>
      </c>
    </row>
    <row r="45479">
      <c r="H45479" s="8" t="s">
        <v>364</v>
      </c>
    </row>
    <row r="45480">
      <c r="H45480" s="8" t="s">
        <v>364</v>
      </c>
    </row>
    <row r="45481">
      <c r="H45481" s="8" t="s">
        <v>364</v>
      </c>
    </row>
    <row r="45482">
      <c r="H45482" s="8" t="s">
        <v>364</v>
      </c>
    </row>
    <row r="45483">
      <c r="H45483" s="8" t="s">
        <v>364</v>
      </c>
    </row>
    <row r="45484">
      <c r="H45484" s="8" t="s">
        <v>364</v>
      </c>
    </row>
    <row r="45485">
      <c r="H45485" s="8" t="s">
        <v>364</v>
      </c>
    </row>
    <row r="45486">
      <c r="H45486" s="8" t="s">
        <v>364</v>
      </c>
    </row>
    <row r="45487">
      <c r="H45487" s="8" t="s">
        <v>364</v>
      </c>
    </row>
    <row r="45488">
      <c r="H45488" s="8" t="s">
        <v>364</v>
      </c>
    </row>
    <row r="45489">
      <c r="H45489" s="8" t="s">
        <v>364</v>
      </c>
    </row>
    <row r="45490">
      <c r="H45490" s="8" t="s">
        <v>364</v>
      </c>
    </row>
    <row r="45491">
      <c r="H45491" s="8" t="s">
        <v>364</v>
      </c>
    </row>
    <row r="45492">
      <c r="H45492" s="8" t="s">
        <v>364</v>
      </c>
    </row>
    <row r="45493">
      <c r="H45493" s="8" t="s">
        <v>364</v>
      </c>
    </row>
    <row r="45494">
      <c r="H45494" s="8" t="s">
        <v>364</v>
      </c>
    </row>
    <row r="45495">
      <c r="H45495" s="8" t="s">
        <v>364</v>
      </c>
    </row>
    <row r="45496">
      <c r="H45496" s="8" t="s">
        <v>364</v>
      </c>
    </row>
    <row r="45497">
      <c r="H45497" s="8" t="s">
        <v>364</v>
      </c>
    </row>
    <row r="45498">
      <c r="H45498" s="8" t="s">
        <v>364</v>
      </c>
    </row>
    <row r="45499">
      <c r="H45499" s="8" t="s">
        <v>364</v>
      </c>
    </row>
    <row r="45500">
      <c r="H45500" s="8" t="s">
        <v>364</v>
      </c>
    </row>
    <row r="45501">
      <c r="H45501" s="8" t="s">
        <v>364</v>
      </c>
    </row>
    <row r="45502">
      <c r="H45502" s="8" t="s">
        <v>364</v>
      </c>
    </row>
    <row r="45503">
      <c r="H45503" s="8" t="s">
        <v>364</v>
      </c>
    </row>
    <row r="45504">
      <c r="H45504" s="8" t="s">
        <v>364</v>
      </c>
    </row>
    <row r="45505">
      <c r="H45505" s="8" t="s">
        <v>364</v>
      </c>
    </row>
    <row r="45506">
      <c r="H45506" s="8" t="s">
        <v>364</v>
      </c>
    </row>
    <row r="45507">
      <c r="H45507" s="8" t="s">
        <v>364</v>
      </c>
    </row>
    <row r="45508">
      <c r="H45508" s="8" t="s">
        <v>364</v>
      </c>
    </row>
    <row r="45509">
      <c r="H45509" s="8" t="s">
        <v>364</v>
      </c>
    </row>
    <row r="45510">
      <c r="H45510" s="8" t="s">
        <v>364</v>
      </c>
    </row>
    <row r="45511">
      <c r="H45511" s="8" t="s">
        <v>364</v>
      </c>
    </row>
    <row r="45512">
      <c r="H45512" s="8" t="s">
        <v>364</v>
      </c>
    </row>
    <row r="45513">
      <c r="H45513" s="8" t="s">
        <v>364</v>
      </c>
    </row>
    <row r="45514">
      <c r="H45514" s="8" t="s">
        <v>364</v>
      </c>
    </row>
    <row r="45515">
      <c r="H45515" s="8" t="s">
        <v>364</v>
      </c>
    </row>
    <row r="45516">
      <c r="H45516" s="8" t="s">
        <v>364</v>
      </c>
    </row>
    <row r="45517">
      <c r="H45517" s="8" t="s">
        <v>364</v>
      </c>
    </row>
    <row r="45518">
      <c r="H45518" s="8" t="s">
        <v>364</v>
      </c>
    </row>
    <row r="45519">
      <c r="H45519" s="8" t="s">
        <v>364</v>
      </c>
    </row>
    <row r="45520">
      <c r="H45520" s="8" t="s">
        <v>364</v>
      </c>
    </row>
    <row r="45521">
      <c r="H45521" s="8" t="s">
        <v>364</v>
      </c>
    </row>
    <row r="45522">
      <c r="H45522" s="8" t="s">
        <v>364</v>
      </c>
    </row>
    <row r="45523">
      <c r="H45523" s="8" t="s">
        <v>364</v>
      </c>
    </row>
    <row r="45524">
      <c r="H45524" s="8" t="s">
        <v>364</v>
      </c>
    </row>
    <row r="45525">
      <c r="H45525" s="8" t="s">
        <v>364</v>
      </c>
    </row>
    <row r="45526">
      <c r="H45526" s="8" t="s">
        <v>364</v>
      </c>
    </row>
    <row r="45527">
      <c r="H45527" s="8" t="s">
        <v>364</v>
      </c>
    </row>
    <row r="45528">
      <c r="H45528" s="8" t="s">
        <v>364</v>
      </c>
    </row>
    <row r="45529">
      <c r="H45529" s="8" t="s">
        <v>364</v>
      </c>
    </row>
    <row r="45530">
      <c r="H45530" s="8" t="s">
        <v>364</v>
      </c>
    </row>
    <row r="45531">
      <c r="H45531" s="8" t="s">
        <v>364</v>
      </c>
    </row>
    <row r="45532">
      <c r="H45532" s="8" t="s">
        <v>364</v>
      </c>
    </row>
    <row r="45533">
      <c r="H45533" s="8" t="s">
        <v>364</v>
      </c>
    </row>
    <row r="45534">
      <c r="H45534" s="8" t="s">
        <v>364</v>
      </c>
    </row>
    <row r="45535">
      <c r="H45535" s="8" t="s">
        <v>364</v>
      </c>
    </row>
    <row r="45536">
      <c r="H45536" s="8" t="s">
        <v>364</v>
      </c>
    </row>
    <row r="45537">
      <c r="H45537" s="8" t="s">
        <v>364</v>
      </c>
    </row>
    <row r="45538">
      <c r="H45538" s="8" t="s">
        <v>364</v>
      </c>
    </row>
    <row r="45539">
      <c r="H45539" s="8" t="s">
        <v>364</v>
      </c>
    </row>
    <row r="45540">
      <c r="H45540" s="8" t="s">
        <v>364</v>
      </c>
    </row>
    <row r="45541">
      <c r="H45541" s="8" t="s">
        <v>364</v>
      </c>
    </row>
    <row r="45542">
      <c r="H45542" s="8" t="s">
        <v>364</v>
      </c>
    </row>
    <row r="45543">
      <c r="H45543" s="8" t="s">
        <v>364</v>
      </c>
    </row>
    <row r="45544">
      <c r="H45544" s="8" t="s">
        <v>364</v>
      </c>
    </row>
    <row r="45545">
      <c r="H45545" s="8" t="s">
        <v>364</v>
      </c>
    </row>
    <row r="45546">
      <c r="H45546" s="8" t="s">
        <v>364</v>
      </c>
    </row>
    <row r="45547">
      <c r="H45547" s="8" t="s">
        <v>364</v>
      </c>
    </row>
    <row r="45548">
      <c r="H45548" s="8" t="s">
        <v>364</v>
      </c>
    </row>
    <row r="45549">
      <c r="H45549" s="8" t="s">
        <v>364</v>
      </c>
    </row>
    <row r="45550">
      <c r="H45550" s="8" t="s">
        <v>364</v>
      </c>
    </row>
    <row r="45551">
      <c r="H45551" s="8" t="s">
        <v>364</v>
      </c>
    </row>
    <row r="45552">
      <c r="H45552" s="8" t="s">
        <v>364</v>
      </c>
    </row>
    <row r="45553">
      <c r="H45553" s="8" t="s">
        <v>364</v>
      </c>
    </row>
    <row r="45554">
      <c r="H45554" s="8" t="s">
        <v>364</v>
      </c>
    </row>
    <row r="45555">
      <c r="H45555" s="8" t="s">
        <v>364</v>
      </c>
    </row>
    <row r="45556">
      <c r="H45556" s="8" t="s">
        <v>364</v>
      </c>
    </row>
    <row r="45557">
      <c r="H45557" s="8" t="s">
        <v>364</v>
      </c>
    </row>
    <row r="45558">
      <c r="H45558" s="8" t="s">
        <v>364</v>
      </c>
    </row>
    <row r="45559">
      <c r="H45559" s="8" t="s">
        <v>364</v>
      </c>
    </row>
    <row r="45560">
      <c r="H45560" s="8" t="s">
        <v>364</v>
      </c>
    </row>
    <row r="45561">
      <c r="H45561" s="8" t="s">
        <v>364</v>
      </c>
    </row>
    <row r="45562">
      <c r="H45562" s="8" t="s">
        <v>364</v>
      </c>
    </row>
    <row r="45563">
      <c r="H45563" s="8" t="s">
        <v>364</v>
      </c>
    </row>
    <row r="45564">
      <c r="H45564" s="8" t="s">
        <v>364</v>
      </c>
    </row>
    <row r="45565">
      <c r="H45565" s="8" t="s">
        <v>364</v>
      </c>
    </row>
    <row r="45566">
      <c r="H45566" s="8" t="s">
        <v>364</v>
      </c>
    </row>
    <row r="45567">
      <c r="H45567" s="8" t="s">
        <v>364</v>
      </c>
    </row>
    <row r="45568">
      <c r="H45568" s="8" t="s">
        <v>364</v>
      </c>
    </row>
    <row r="45569">
      <c r="H45569" s="8" t="s">
        <v>364</v>
      </c>
    </row>
    <row r="45570">
      <c r="H45570" s="8" t="s">
        <v>364</v>
      </c>
    </row>
    <row r="45571">
      <c r="H45571" s="8" t="s">
        <v>364</v>
      </c>
    </row>
    <row r="45572">
      <c r="H45572" s="8" t="s">
        <v>364</v>
      </c>
    </row>
    <row r="45573">
      <c r="H45573" s="8" t="s">
        <v>364</v>
      </c>
    </row>
    <row r="45574">
      <c r="H45574" s="8" t="s">
        <v>364</v>
      </c>
    </row>
    <row r="45575">
      <c r="H45575" s="8" t="s">
        <v>364</v>
      </c>
    </row>
    <row r="45576">
      <c r="H45576" s="8" t="s">
        <v>364</v>
      </c>
    </row>
    <row r="45577">
      <c r="H45577" s="8" t="s">
        <v>364</v>
      </c>
    </row>
    <row r="45578">
      <c r="H45578" s="8" t="s">
        <v>364</v>
      </c>
    </row>
    <row r="45579">
      <c r="H45579" s="8" t="s">
        <v>364</v>
      </c>
    </row>
    <row r="45580">
      <c r="H45580" s="8" t="s">
        <v>364</v>
      </c>
    </row>
    <row r="45581">
      <c r="H45581" s="8" t="s">
        <v>364</v>
      </c>
    </row>
    <row r="45582">
      <c r="H45582" s="8" t="s">
        <v>364</v>
      </c>
    </row>
    <row r="45583">
      <c r="H45583" s="8" t="s">
        <v>364</v>
      </c>
    </row>
    <row r="45584">
      <c r="H45584" s="8" t="s">
        <v>364</v>
      </c>
    </row>
    <row r="45585">
      <c r="H45585" s="8" t="s">
        <v>364</v>
      </c>
    </row>
    <row r="45586">
      <c r="H45586" s="8" t="s">
        <v>364</v>
      </c>
    </row>
    <row r="45587">
      <c r="H45587" s="8" t="s">
        <v>364</v>
      </c>
    </row>
    <row r="45588">
      <c r="H45588" s="8" t="s">
        <v>364</v>
      </c>
    </row>
    <row r="45589">
      <c r="H45589" s="8" t="s">
        <v>364</v>
      </c>
    </row>
    <row r="45590">
      <c r="H45590" s="8" t="s">
        <v>364</v>
      </c>
    </row>
    <row r="45591">
      <c r="H45591" s="8" t="s">
        <v>364</v>
      </c>
    </row>
    <row r="45592">
      <c r="H45592" s="8" t="s">
        <v>364</v>
      </c>
    </row>
    <row r="45593">
      <c r="H45593" s="8" t="s">
        <v>364</v>
      </c>
    </row>
    <row r="45594">
      <c r="H45594" s="8" t="s">
        <v>364</v>
      </c>
    </row>
    <row r="45595">
      <c r="H45595" s="8" t="s">
        <v>364</v>
      </c>
    </row>
    <row r="45596">
      <c r="H45596" s="8" t="s">
        <v>364</v>
      </c>
    </row>
    <row r="45597">
      <c r="H45597" s="8" t="s">
        <v>364</v>
      </c>
    </row>
    <row r="45598">
      <c r="H45598" s="8" t="s">
        <v>364</v>
      </c>
    </row>
    <row r="45599">
      <c r="H45599" s="8" t="s">
        <v>364</v>
      </c>
    </row>
    <row r="45600">
      <c r="H45600" s="8" t="s">
        <v>364</v>
      </c>
    </row>
    <row r="45601">
      <c r="H45601" s="8" t="s">
        <v>364</v>
      </c>
    </row>
    <row r="45602">
      <c r="H45602" s="8" t="s">
        <v>364</v>
      </c>
    </row>
    <row r="45603">
      <c r="H45603" s="8" t="s">
        <v>364</v>
      </c>
    </row>
    <row r="45604">
      <c r="H45604" s="8" t="s">
        <v>364</v>
      </c>
    </row>
    <row r="45605">
      <c r="H45605" s="8" t="s">
        <v>364</v>
      </c>
    </row>
    <row r="45606">
      <c r="H45606" s="8" t="s">
        <v>364</v>
      </c>
    </row>
    <row r="45607">
      <c r="H45607" s="8" t="s">
        <v>364</v>
      </c>
    </row>
    <row r="45608">
      <c r="H45608" s="8" t="s">
        <v>364</v>
      </c>
    </row>
    <row r="45609">
      <c r="H45609" s="8" t="s">
        <v>364</v>
      </c>
    </row>
    <row r="45610">
      <c r="H45610" s="8" t="s">
        <v>364</v>
      </c>
    </row>
    <row r="45611">
      <c r="H45611" s="8" t="s">
        <v>364</v>
      </c>
    </row>
    <row r="45612">
      <c r="H45612" s="8" t="s">
        <v>364</v>
      </c>
    </row>
    <row r="45613">
      <c r="H45613" s="8" t="s">
        <v>364</v>
      </c>
    </row>
    <row r="45614">
      <c r="H45614" s="8" t="s">
        <v>364</v>
      </c>
    </row>
    <row r="45615">
      <c r="H45615" s="8" t="s">
        <v>364</v>
      </c>
    </row>
    <row r="45616">
      <c r="H45616" s="8" t="s">
        <v>364</v>
      </c>
    </row>
    <row r="45617">
      <c r="H45617" s="8" t="s">
        <v>364</v>
      </c>
    </row>
    <row r="45618">
      <c r="H45618" s="8" t="s">
        <v>364</v>
      </c>
    </row>
    <row r="45619">
      <c r="H45619" s="8" t="s">
        <v>364</v>
      </c>
    </row>
    <row r="45620">
      <c r="H45620" s="8" t="s">
        <v>364</v>
      </c>
    </row>
    <row r="45621">
      <c r="H45621" s="8" t="s">
        <v>364</v>
      </c>
    </row>
    <row r="45622">
      <c r="H45622" s="8" t="s">
        <v>364</v>
      </c>
    </row>
    <row r="45623">
      <c r="H45623" s="8" t="s">
        <v>364</v>
      </c>
    </row>
    <row r="45624">
      <c r="H45624" s="8" t="s">
        <v>364</v>
      </c>
    </row>
    <row r="45625">
      <c r="H45625" s="8" t="s">
        <v>364</v>
      </c>
    </row>
    <row r="45626">
      <c r="H45626" s="8" t="s">
        <v>364</v>
      </c>
    </row>
    <row r="45627">
      <c r="H45627" s="8" t="s">
        <v>364</v>
      </c>
    </row>
    <row r="45628">
      <c r="H45628" s="8" t="s">
        <v>364</v>
      </c>
    </row>
    <row r="45629">
      <c r="H45629" s="8" t="s">
        <v>364</v>
      </c>
    </row>
    <row r="45630">
      <c r="H45630" s="8" t="s">
        <v>364</v>
      </c>
    </row>
    <row r="45631">
      <c r="H45631" s="8" t="s">
        <v>364</v>
      </c>
    </row>
    <row r="45632">
      <c r="H45632" s="8" t="s">
        <v>364</v>
      </c>
    </row>
    <row r="45633">
      <c r="H45633" s="8" t="s">
        <v>364</v>
      </c>
    </row>
    <row r="45634">
      <c r="H45634" s="8" t="s">
        <v>364</v>
      </c>
    </row>
    <row r="45635">
      <c r="H45635" s="8" t="s">
        <v>364</v>
      </c>
    </row>
    <row r="45636">
      <c r="H45636" s="8" t="s">
        <v>364</v>
      </c>
    </row>
    <row r="45637">
      <c r="H45637" s="8" t="s">
        <v>364</v>
      </c>
    </row>
    <row r="45638">
      <c r="H45638" s="8" t="s">
        <v>364</v>
      </c>
    </row>
    <row r="45639">
      <c r="H45639" s="8" t="s">
        <v>364</v>
      </c>
    </row>
    <row r="45640">
      <c r="H45640" s="8" t="s">
        <v>364</v>
      </c>
    </row>
    <row r="45641">
      <c r="H45641" s="8" t="s">
        <v>364</v>
      </c>
    </row>
    <row r="45642">
      <c r="H45642" s="8" t="s">
        <v>364</v>
      </c>
    </row>
    <row r="45643">
      <c r="H45643" s="8" t="s">
        <v>364</v>
      </c>
    </row>
    <row r="45644">
      <c r="H45644" s="8" t="s">
        <v>364</v>
      </c>
    </row>
    <row r="45645">
      <c r="H45645" s="8" t="s">
        <v>364</v>
      </c>
    </row>
    <row r="45646">
      <c r="H45646" s="8" t="s">
        <v>364</v>
      </c>
    </row>
    <row r="45647">
      <c r="H45647" s="8" t="s">
        <v>364</v>
      </c>
    </row>
    <row r="45648">
      <c r="H45648" s="8" t="s">
        <v>364</v>
      </c>
    </row>
    <row r="45649">
      <c r="H45649" s="8" t="s">
        <v>364</v>
      </c>
    </row>
    <row r="45650">
      <c r="H45650" s="8" t="s">
        <v>364</v>
      </c>
    </row>
    <row r="45651">
      <c r="H45651" s="8" t="s">
        <v>364</v>
      </c>
    </row>
    <row r="45652">
      <c r="H45652" s="8" t="s">
        <v>364</v>
      </c>
    </row>
    <row r="45653">
      <c r="H45653" s="8" t="s">
        <v>364</v>
      </c>
    </row>
    <row r="45654">
      <c r="H45654" s="8" t="s">
        <v>364</v>
      </c>
    </row>
    <row r="45655">
      <c r="H45655" s="8" t="s">
        <v>364</v>
      </c>
    </row>
    <row r="45656">
      <c r="H45656" s="8" t="s">
        <v>364</v>
      </c>
    </row>
    <row r="45657">
      <c r="H45657" s="8" t="s">
        <v>364</v>
      </c>
    </row>
    <row r="45658">
      <c r="H45658" s="8" t="s">
        <v>364</v>
      </c>
    </row>
    <row r="45659">
      <c r="H45659" s="8" t="s">
        <v>364</v>
      </c>
    </row>
    <row r="45660">
      <c r="H45660" s="8" t="s">
        <v>364</v>
      </c>
    </row>
    <row r="45661">
      <c r="H45661" s="8" t="s">
        <v>364</v>
      </c>
    </row>
    <row r="45662">
      <c r="H45662" s="8" t="s">
        <v>364</v>
      </c>
    </row>
    <row r="45663">
      <c r="H45663" s="8" t="s">
        <v>364</v>
      </c>
    </row>
    <row r="45664">
      <c r="H45664" s="8" t="s">
        <v>364</v>
      </c>
    </row>
    <row r="45665">
      <c r="H45665" s="8" t="s">
        <v>364</v>
      </c>
    </row>
    <row r="45666">
      <c r="H45666" s="8" t="s">
        <v>364</v>
      </c>
    </row>
    <row r="45667">
      <c r="H45667" s="8" t="s">
        <v>364</v>
      </c>
    </row>
    <row r="45668">
      <c r="H45668" s="8" t="s">
        <v>364</v>
      </c>
    </row>
    <row r="45669">
      <c r="H45669" s="8" t="s">
        <v>364</v>
      </c>
    </row>
    <row r="45670">
      <c r="H45670" s="8" t="s">
        <v>364</v>
      </c>
    </row>
    <row r="45671">
      <c r="H45671" s="8" t="s">
        <v>364</v>
      </c>
    </row>
    <row r="45672">
      <c r="H45672" s="8" t="s">
        <v>364</v>
      </c>
    </row>
    <row r="45673">
      <c r="H45673" s="8" t="s">
        <v>364</v>
      </c>
    </row>
    <row r="45674">
      <c r="H45674" s="8" t="s">
        <v>364</v>
      </c>
    </row>
    <row r="45675">
      <c r="H45675" s="8" t="s">
        <v>364</v>
      </c>
    </row>
    <row r="45676">
      <c r="H45676" s="8" t="s">
        <v>364</v>
      </c>
    </row>
    <row r="45677">
      <c r="H45677" s="8" t="s">
        <v>364</v>
      </c>
    </row>
    <row r="45678">
      <c r="H45678" s="8" t="s">
        <v>364</v>
      </c>
    </row>
    <row r="45679">
      <c r="H45679" s="8" t="s">
        <v>364</v>
      </c>
    </row>
    <row r="45680">
      <c r="H45680" s="8" t="s">
        <v>364</v>
      </c>
    </row>
    <row r="45681">
      <c r="H45681" s="8" t="s">
        <v>364</v>
      </c>
    </row>
    <row r="45682">
      <c r="H45682" s="8" t="s">
        <v>364</v>
      </c>
    </row>
    <row r="45683">
      <c r="H45683" s="8" t="s">
        <v>364</v>
      </c>
    </row>
    <row r="45684">
      <c r="H45684" s="8" t="s">
        <v>364</v>
      </c>
    </row>
    <row r="45685">
      <c r="H45685" s="8" t="s">
        <v>364</v>
      </c>
    </row>
    <row r="45686">
      <c r="H45686" s="8" t="s">
        <v>364</v>
      </c>
    </row>
    <row r="45687">
      <c r="H45687" s="8" t="s">
        <v>364</v>
      </c>
    </row>
    <row r="45688">
      <c r="H45688" s="8" t="s">
        <v>364</v>
      </c>
    </row>
    <row r="45689">
      <c r="H45689" s="8" t="s">
        <v>364</v>
      </c>
    </row>
    <row r="45690">
      <c r="H45690" s="8" t="s">
        <v>364</v>
      </c>
    </row>
    <row r="45691">
      <c r="H45691" s="8" t="s">
        <v>364</v>
      </c>
    </row>
    <row r="45692">
      <c r="H45692" s="8" t="s">
        <v>364</v>
      </c>
    </row>
    <row r="45693">
      <c r="H45693" s="8" t="s">
        <v>364</v>
      </c>
    </row>
    <row r="45694">
      <c r="H45694" s="8" t="s">
        <v>364</v>
      </c>
    </row>
    <row r="45695">
      <c r="H45695" s="8" t="s">
        <v>364</v>
      </c>
    </row>
    <row r="45696">
      <c r="H45696" s="8" t="s">
        <v>364</v>
      </c>
    </row>
    <row r="45697">
      <c r="H45697" s="8" t="s">
        <v>364</v>
      </c>
    </row>
    <row r="45698">
      <c r="H45698" s="8" t="s">
        <v>364</v>
      </c>
    </row>
    <row r="45699">
      <c r="H45699" s="8" t="s">
        <v>364</v>
      </c>
    </row>
    <row r="45700">
      <c r="H45700" s="8" t="s">
        <v>364</v>
      </c>
    </row>
    <row r="45701">
      <c r="H45701" s="8" t="s">
        <v>364</v>
      </c>
    </row>
    <row r="45702">
      <c r="H45702" s="8" t="s">
        <v>364</v>
      </c>
    </row>
    <row r="45703">
      <c r="H45703" s="8" t="s">
        <v>364</v>
      </c>
    </row>
    <row r="45704">
      <c r="H45704" s="8" t="s">
        <v>364</v>
      </c>
    </row>
    <row r="45705">
      <c r="H45705" s="8" t="s">
        <v>364</v>
      </c>
    </row>
    <row r="45706">
      <c r="H45706" s="8" t="s">
        <v>364</v>
      </c>
    </row>
    <row r="45707">
      <c r="H45707" s="8" t="s">
        <v>364</v>
      </c>
    </row>
    <row r="45708">
      <c r="H45708" s="8" t="s">
        <v>364</v>
      </c>
    </row>
    <row r="45709">
      <c r="H45709" s="8" t="s">
        <v>364</v>
      </c>
    </row>
    <row r="45710">
      <c r="H45710" s="8" t="s">
        <v>364</v>
      </c>
    </row>
    <row r="45711">
      <c r="H45711" s="8" t="s">
        <v>364</v>
      </c>
    </row>
    <row r="45712">
      <c r="H45712" s="8" t="s">
        <v>364</v>
      </c>
    </row>
    <row r="45713">
      <c r="H45713" s="8" t="s">
        <v>364</v>
      </c>
    </row>
    <row r="45714">
      <c r="H45714" s="8" t="s">
        <v>364</v>
      </c>
    </row>
    <row r="45715">
      <c r="H45715" s="8" t="s">
        <v>364</v>
      </c>
    </row>
    <row r="45716">
      <c r="H45716" s="8" t="s">
        <v>364</v>
      </c>
    </row>
    <row r="45717">
      <c r="H45717" s="8" t="s">
        <v>364</v>
      </c>
    </row>
    <row r="45718">
      <c r="H45718" s="8" t="s">
        <v>364</v>
      </c>
    </row>
    <row r="45719">
      <c r="H45719" s="8" t="s">
        <v>364</v>
      </c>
    </row>
    <row r="45720">
      <c r="H45720" s="8" t="s">
        <v>364</v>
      </c>
    </row>
    <row r="45721">
      <c r="H45721" s="8" t="s">
        <v>364</v>
      </c>
    </row>
    <row r="45722">
      <c r="H45722" s="8" t="s">
        <v>364</v>
      </c>
    </row>
    <row r="45723">
      <c r="H45723" s="8" t="s">
        <v>364</v>
      </c>
    </row>
    <row r="45724">
      <c r="H45724" s="8" t="s">
        <v>364</v>
      </c>
    </row>
    <row r="45725">
      <c r="H45725" s="8" t="s">
        <v>364</v>
      </c>
    </row>
    <row r="45726">
      <c r="H45726" s="8" t="s">
        <v>364</v>
      </c>
    </row>
    <row r="45727">
      <c r="H45727" s="8" t="s">
        <v>364</v>
      </c>
    </row>
    <row r="45728">
      <c r="H45728" s="8" t="s">
        <v>364</v>
      </c>
    </row>
    <row r="45729">
      <c r="H45729" s="8" t="s">
        <v>364</v>
      </c>
    </row>
    <row r="45730">
      <c r="H45730" s="8" t="s">
        <v>364</v>
      </c>
    </row>
    <row r="45731">
      <c r="H45731" s="8" t="s">
        <v>364</v>
      </c>
    </row>
    <row r="45732">
      <c r="H45732" s="8" t="s">
        <v>364</v>
      </c>
    </row>
    <row r="45733">
      <c r="H45733" s="8" t="s">
        <v>364</v>
      </c>
    </row>
    <row r="45734">
      <c r="H45734" s="8" t="s">
        <v>364</v>
      </c>
    </row>
    <row r="45735">
      <c r="H45735" s="8" t="s">
        <v>364</v>
      </c>
    </row>
    <row r="45736">
      <c r="H45736" s="8" t="s">
        <v>364</v>
      </c>
    </row>
    <row r="45737">
      <c r="H45737" s="8" t="s">
        <v>364</v>
      </c>
    </row>
    <row r="45738">
      <c r="H45738" s="8" t="s">
        <v>364</v>
      </c>
    </row>
    <row r="45739">
      <c r="H45739" s="8" t="s">
        <v>364</v>
      </c>
    </row>
    <row r="45740">
      <c r="H45740" s="8" t="s">
        <v>364</v>
      </c>
    </row>
    <row r="45741">
      <c r="H45741" s="8" t="s">
        <v>364</v>
      </c>
    </row>
    <row r="45742">
      <c r="H45742" s="8" t="s">
        <v>364</v>
      </c>
    </row>
    <row r="45743">
      <c r="H45743" s="8" t="s">
        <v>364</v>
      </c>
    </row>
    <row r="45744">
      <c r="H45744" s="8" t="s">
        <v>364</v>
      </c>
    </row>
    <row r="45745">
      <c r="H45745" s="8" t="s">
        <v>364</v>
      </c>
    </row>
    <row r="45746">
      <c r="H45746" s="8" t="s">
        <v>364</v>
      </c>
    </row>
    <row r="45747">
      <c r="H45747" s="8" t="s">
        <v>364</v>
      </c>
    </row>
    <row r="45748">
      <c r="H45748" s="8" t="s">
        <v>364</v>
      </c>
    </row>
    <row r="45749">
      <c r="H45749" s="8" t="s">
        <v>364</v>
      </c>
    </row>
    <row r="45750">
      <c r="H45750" s="8" t="s">
        <v>364</v>
      </c>
    </row>
    <row r="45751">
      <c r="H45751" s="8" t="s">
        <v>364</v>
      </c>
    </row>
    <row r="45752">
      <c r="H45752" s="8" t="s">
        <v>364</v>
      </c>
    </row>
    <row r="45753">
      <c r="H45753" s="8" t="s">
        <v>364</v>
      </c>
    </row>
    <row r="45754">
      <c r="H45754" s="8" t="s">
        <v>364</v>
      </c>
    </row>
    <row r="45755">
      <c r="H45755" s="8" t="s">
        <v>364</v>
      </c>
    </row>
    <row r="45756">
      <c r="H45756" s="8" t="s">
        <v>364</v>
      </c>
    </row>
    <row r="45757">
      <c r="H45757" s="8" t="s">
        <v>364</v>
      </c>
    </row>
    <row r="45758">
      <c r="H45758" s="8" t="s">
        <v>364</v>
      </c>
    </row>
    <row r="45759">
      <c r="H45759" s="8" t="s">
        <v>364</v>
      </c>
    </row>
    <row r="45760">
      <c r="H45760" s="8" t="s">
        <v>364</v>
      </c>
    </row>
    <row r="45761">
      <c r="H45761" s="8" t="s">
        <v>364</v>
      </c>
    </row>
    <row r="45762">
      <c r="H45762" s="8" t="s">
        <v>364</v>
      </c>
    </row>
    <row r="45763">
      <c r="H45763" s="8" t="s">
        <v>364</v>
      </c>
    </row>
    <row r="45764">
      <c r="H45764" s="8" t="s">
        <v>364</v>
      </c>
    </row>
    <row r="45765">
      <c r="H45765" s="8" t="s">
        <v>364</v>
      </c>
    </row>
    <row r="45766">
      <c r="H45766" s="8" t="s">
        <v>364</v>
      </c>
    </row>
    <row r="45767">
      <c r="H45767" s="8" t="s">
        <v>364</v>
      </c>
    </row>
    <row r="45768">
      <c r="H45768" s="8" t="s">
        <v>364</v>
      </c>
    </row>
    <row r="45769">
      <c r="H45769" s="8" t="s">
        <v>364</v>
      </c>
    </row>
    <row r="45770">
      <c r="H45770" s="8" t="s">
        <v>364</v>
      </c>
    </row>
    <row r="45771">
      <c r="H45771" s="8" t="s">
        <v>364</v>
      </c>
    </row>
    <row r="45772">
      <c r="H45772" s="8" t="s">
        <v>364</v>
      </c>
    </row>
    <row r="45773">
      <c r="H45773" s="8" t="s">
        <v>364</v>
      </c>
    </row>
    <row r="45774">
      <c r="H45774" s="8" t="s">
        <v>364</v>
      </c>
    </row>
    <row r="45775">
      <c r="H45775" s="8" t="s">
        <v>364</v>
      </c>
    </row>
    <row r="45776">
      <c r="H45776" s="8" t="s">
        <v>364</v>
      </c>
    </row>
    <row r="45777">
      <c r="H45777" s="8" t="s">
        <v>364</v>
      </c>
    </row>
    <row r="45778">
      <c r="H45778" s="8" t="s">
        <v>364</v>
      </c>
    </row>
    <row r="45779">
      <c r="H45779" s="8" t="s">
        <v>364</v>
      </c>
    </row>
    <row r="45780">
      <c r="H45780" s="8" t="s">
        <v>364</v>
      </c>
    </row>
    <row r="45781">
      <c r="H45781" s="8" t="s">
        <v>364</v>
      </c>
    </row>
    <row r="45782">
      <c r="H45782" s="8" t="s">
        <v>364</v>
      </c>
    </row>
    <row r="45783">
      <c r="H45783" s="8" t="s">
        <v>364</v>
      </c>
    </row>
    <row r="45784">
      <c r="H45784" s="8" t="s">
        <v>364</v>
      </c>
    </row>
    <row r="45785">
      <c r="H45785" s="8" t="s">
        <v>364</v>
      </c>
    </row>
    <row r="45786">
      <c r="H45786" s="8" t="s">
        <v>364</v>
      </c>
    </row>
    <row r="45787">
      <c r="H45787" s="8" t="s">
        <v>364</v>
      </c>
    </row>
    <row r="45788">
      <c r="H45788" s="8" t="s">
        <v>364</v>
      </c>
    </row>
    <row r="45789">
      <c r="H45789" s="8" t="s">
        <v>364</v>
      </c>
    </row>
    <row r="45790">
      <c r="H45790" s="8" t="s">
        <v>364</v>
      </c>
    </row>
    <row r="45791">
      <c r="H45791" s="8" t="s">
        <v>364</v>
      </c>
    </row>
    <row r="45792">
      <c r="H45792" s="8" t="s">
        <v>364</v>
      </c>
    </row>
    <row r="45793">
      <c r="H45793" s="8" t="s">
        <v>364</v>
      </c>
    </row>
    <row r="45794">
      <c r="H45794" s="8" t="s">
        <v>364</v>
      </c>
    </row>
    <row r="45795">
      <c r="H45795" s="8" t="s">
        <v>364</v>
      </c>
    </row>
    <row r="45796">
      <c r="H45796" s="8" t="s">
        <v>364</v>
      </c>
    </row>
    <row r="45797">
      <c r="H45797" s="8" t="s">
        <v>364</v>
      </c>
    </row>
    <row r="45798">
      <c r="H45798" s="8" t="s">
        <v>364</v>
      </c>
    </row>
    <row r="45799">
      <c r="H45799" s="8" t="s">
        <v>364</v>
      </c>
    </row>
    <row r="45800">
      <c r="H45800" s="8" t="s">
        <v>364</v>
      </c>
    </row>
    <row r="45801">
      <c r="H45801" s="8" t="s">
        <v>364</v>
      </c>
    </row>
    <row r="45802">
      <c r="H45802" s="8" t="s">
        <v>364</v>
      </c>
    </row>
    <row r="45803">
      <c r="H45803" s="8" t="s">
        <v>364</v>
      </c>
    </row>
    <row r="45804">
      <c r="H45804" s="8" t="s">
        <v>364</v>
      </c>
    </row>
    <row r="45805">
      <c r="H45805" s="8" t="s">
        <v>364</v>
      </c>
    </row>
    <row r="45806">
      <c r="H45806" s="8" t="s">
        <v>364</v>
      </c>
    </row>
    <row r="45807">
      <c r="H45807" s="8" t="s">
        <v>364</v>
      </c>
    </row>
    <row r="45808">
      <c r="H45808" s="8" t="s">
        <v>364</v>
      </c>
    </row>
    <row r="45809">
      <c r="H45809" s="8" t="s">
        <v>364</v>
      </c>
    </row>
    <row r="45810">
      <c r="H45810" s="8" t="s">
        <v>364</v>
      </c>
    </row>
    <row r="45811">
      <c r="H45811" s="8" t="s">
        <v>364</v>
      </c>
    </row>
    <row r="45812">
      <c r="H45812" s="8" t="s">
        <v>364</v>
      </c>
    </row>
    <row r="45813">
      <c r="H45813" s="8" t="s">
        <v>364</v>
      </c>
    </row>
    <row r="45814">
      <c r="H45814" s="8" t="s">
        <v>364</v>
      </c>
    </row>
    <row r="45815">
      <c r="H45815" s="8" t="s">
        <v>364</v>
      </c>
    </row>
    <row r="45816">
      <c r="H45816" s="8" t="s">
        <v>364</v>
      </c>
    </row>
    <row r="45817">
      <c r="H45817" s="8" t="s">
        <v>364</v>
      </c>
    </row>
    <row r="45818">
      <c r="H45818" s="8" t="s">
        <v>364</v>
      </c>
    </row>
    <row r="45819">
      <c r="H45819" s="8" t="s">
        <v>364</v>
      </c>
    </row>
    <row r="45820">
      <c r="H45820" s="8" t="s">
        <v>364</v>
      </c>
    </row>
    <row r="45821">
      <c r="H45821" s="8" t="s">
        <v>364</v>
      </c>
    </row>
    <row r="45822">
      <c r="H45822" s="8" t="s">
        <v>364</v>
      </c>
    </row>
    <row r="45823">
      <c r="H45823" s="8" t="s">
        <v>364</v>
      </c>
    </row>
    <row r="45824">
      <c r="H45824" s="8" t="s">
        <v>364</v>
      </c>
    </row>
    <row r="45825">
      <c r="H45825" s="8" t="s">
        <v>364</v>
      </c>
    </row>
    <row r="45826">
      <c r="H45826" s="8" t="s">
        <v>364</v>
      </c>
    </row>
    <row r="45827">
      <c r="H45827" s="8" t="s">
        <v>364</v>
      </c>
    </row>
    <row r="45828">
      <c r="H45828" s="8" t="s">
        <v>364</v>
      </c>
    </row>
    <row r="45829">
      <c r="H45829" s="8" t="s">
        <v>364</v>
      </c>
    </row>
    <row r="45830">
      <c r="H45830" s="8" t="s">
        <v>364</v>
      </c>
    </row>
    <row r="45831">
      <c r="H45831" s="8" t="s">
        <v>364</v>
      </c>
    </row>
    <row r="45832">
      <c r="H45832" s="8" t="s">
        <v>364</v>
      </c>
    </row>
    <row r="45833">
      <c r="H45833" s="8" t="s">
        <v>364</v>
      </c>
    </row>
    <row r="45834">
      <c r="H45834" s="8" t="s">
        <v>364</v>
      </c>
    </row>
    <row r="45835">
      <c r="H45835" s="8" t="s">
        <v>364</v>
      </c>
    </row>
    <row r="45836">
      <c r="H45836" s="8" t="s">
        <v>364</v>
      </c>
    </row>
    <row r="45837">
      <c r="H45837" s="8" t="s">
        <v>364</v>
      </c>
    </row>
    <row r="45838">
      <c r="H45838" s="8" t="s">
        <v>364</v>
      </c>
    </row>
    <row r="45839">
      <c r="H45839" s="8" t="s">
        <v>364</v>
      </c>
    </row>
    <row r="45840">
      <c r="H45840" s="8" t="s">
        <v>364</v>
      </c>
    </row>
    <row r="45841">
      <c r="H45841" s="8" t="s">
        <v>364</v>
      </c>
    </row>
    <row r="45842">
      <c r="H45842" s="8" t="s">
        <v>364</v>
      </c>
    </row>
    <row r="45843">
      <c r="H45843" s="8" t="s">
        <v>364</v>
      </c>
    </row>
    <row r="45844">
      <c r="H45844" s="8" t="s">
        <v>364</v>
      </c>
    </row>
    <row r="45845">
      <c r="H45845" s="8" t="s">
        <v>364</v>
      </c>
    </row>
    <row r="45846">
      <c r="H45846" s="8" t="s">
        <v>364</v>
      </c>
    </row>
    <row r="45847">
      <c r="H45847" s="8" t="s">
        <v>364</v>
      </c>
    </row>
    <row r="45848">
      <c r="H45848" s="8" t="s">
        <v>364</v>
      </c>
    </row>
    <row r="45849">
      <c r="H45849" s="8" t="s">
        <v>364</v>
      </c>
    </row>
    <row r="45850">
      <c r="H45850" s="8" t="s">
        <v>364</v>
      </c>
    </row>
    <row r="45851">
      <c r="H45851" s="8" t="s">
        <v>364</v>
      </c>
    </row>
    <row r="45852">
      <c r="H45852" s="8" t="s">
        <v>364</v>
      </c>
    </row>
    <row r="45853">
      <c r="H45853" s="8" t="s">
        <v>364</v>
      </c>
    </row>
    <row r="45854">
      <c r="H45854" s="8" t="s">
        <v>364</v>
      </c>
    </row>
    <row r="45855">
      <c r="H45855" s="8" t="s">
        <v>364</v>
      </c>
    </row>
    <row r="45856">
      <c r="H45856" s="8" t="s">
        <v>364</v>
      </c>
    </row>
    <row r="45857">
      <c r="H45857" s="8" t="s">
        <v>364</v>
      </c>
    </row>
    <row r="45858">
      <c r="H45858" s="8" t="s">
        <v>364</v>
      </c>
    </row>
    <row r="45859">
      <c r="H45859" s="8" t="s">
        <v>364</v>
      </c>
    </row>
    <row r="45860">
      <c r="H45860" s="8" t="s">
        <v>364</v>
      </c>
    </row>
    <row r="45861">
      <c r="H45861" s="8" t="s">
        <v>364</v>
      </c>
    </row>
    <row r="45862">
      <c r="H45862" s="8" t="s">
        <v>364</v>
      </c>
    </row>
    <row r="45863">
      <c r="H45863" s="8" t="s">
        <v>364</v>
      </c>
    </row>
    <row r="45864">
      <c r="H45864" s="8" t="s">
        <v>364</v>
      </c>
    </row>
    <row r="45865">
      <c r="H45865" s="8" t="s">
        <v>364</v>
      </c>
    </row>
    <row r="45866">
      <c r="H45866" s="8" t="s">
        <v>364</v>
      </c>
    </row>
    <row r="45867">
      <c r="H45867" s="8" t="s">
        <v>364</v>
      </c>
    </row>
    <row r="45868">
      <c r="H45868" s="8" t="s">
        <v>364</v>
      </c>
    </row>
    <row r="45869">
      <c r="H45869" s="8" t="s">
        <v>364</v>
      </c>
    </row>
    <row r="45870">
      <c r="H45870" s="8" t="s">
        <v>364</v>
      </c>
    </row>
    <row r="45871">
      <c r="H45871" s="8" t="s">
        <v>364</v>
      </c>
    </row>
    <row r="45872">
      <c r="H45872" s="8" t="s">
        <v>364</v>
      </c>
    </row>
    <row r="45873">
      <c r="H45873" s="8" t="s">
        <v>364</v>
      </c>
    </row>
    <row r="45874">
      <c r="H45874" s="8" t="s">
        <v>364</v>
      </c>
    </row>
    <row r="45875">
      <c r="H45875" s="8" t="s">
        <v>364</v>
      </c>
    </row>
    <row r="45876">
      <c r="H45876" s="8" t="s">
        <v>364</v>
      </c>
    </row>
    <row r="45877">
      <c r="H45877" s="8" t="s">
        <v>364</v>
      </c>
    </row>
    <row r="45878">
      <c r="H45878" s="8" t="s">
        <v>364</v>
      </c>
    </row>
    <row r="45879">
      <c r="H45879" s="8" t="s">
        <v>364</v>
      </c>
    </row>
    <row r="45880">
      <c r="H45880" s="8" t="s">
        <v>364</v>
      </c>
    </row>
    <row r="45881">
      <c r="H45881" s="8" t="s">
        <v>364</v>
      </c>
    </row>
    <row r="45882">
      <c r="H45882" s="8" t="s">
        <v>364</v>
      </c>
    </row>
    <row r="45883">
      <c r="H45883" s="8" t="s">
        <v>364</v>
      </c>
    </row>
    <row r="45884">
      <c r="H45884" s="8" t="s">
        <v>364</v>
      </c>
    </row>
    <row r="45885">
      <c r="H45885" s="8" t="s">
        <v>364</v>
      </c>
    </row>
    <row r="45886">
      <c r="H45886" s="8" t="s">
        <v>364</v>
      </c>
    </row>
    <row r="45887">
      <c r="H45887" s="8" t="s">
        <v>364</v>
      </c>
    </row>
    <row r="45888">
      <c r="H45888" s="8" t="s">
        <v>364</v>
      </c>
    </row>
    <row r="45889">
      <c r="H45889" s="8" t="s">
        <v>364</v>
      </c>
    </row>
    <row r="45890">
      <c r="H45890" s="8" t="s">
        <v>364</v>
      </c>
    </row>
    <row r="45891">
      <c r="H45891" s="8" t="s">
        <v>364</v>
      </c>
    </row>
    <row r="45892">
      <c r="H45892" s="8" t="s">
        <v>364</v>
      </c>
    </row>
    <row r="45893">
      <c r="H45893" s="8" t="s">
        <v>364</v>
      </c>
    </row>
    <row r="45894">
      <c r="H45894" s="8" t="s">
        <v>364</v>
      </c>
    </row>
    <row r="45895">
      <c r="H45895" s="8" t="s">
        <v>364</v>
      </c>
    </row>
    <row r="45896">
      <c r="H45896" s="8" t="s">
        <v>364</v>
      </c>
    </row>
    <row r="45897">
      <c r="H45897" s="8" t="s">
        <v>364</v>
      </c>
    </row>
    <row r="45898">
      <c r="H45898" s="8" t="s">
        <v>364</v>
      </c>
    </row>
    <row r="45899">
      <c r="H45899" s="8" t="s">
        <v>364</v>
      </c>
    </row>
    <row r="45900">
      <c r="H45900" s="8" t="s">
        <v>364</v>
      </c>
    </row>
    <row r="45901">
      <c r="H45901" s="8" t="s">
        <v>364</v>
      </c>
    </row>
    <row r="45902">
      <c r="H45902" s="8" t="s">
        <v>364</v>
      </c>
    </row>
    <row r="45903">
      <c r="H45903" s="8" t="s">
        <v>364</v>
      </c>
    </row>
    <row r="45904">
      <c r="H45904" s="8" t="s">
        <v>364</v>
      </c>
    </row>
    <row r="45905">
      <c r="H45905" s="8" t="s">
        <v>364</v>
      </c>
    </row>
    <row r="45906">
      <c r="H45906" s="8" t="s">
        <v>364</v>
      </c>
    </row>
    <row r="45907">
      <c r="H45907" s="8" t="s">
        <v>364</v>
      </c>
    </row>
    <row r="45908">
      <c r="H45908" s="8" t="s">
        <v>364</v>
      </c>
    </row>
    <row r="45909">
      <c r="H45909" s="8" t="s">
        <v>364</v>
      </c>
    </row>
    <row r="45910">
      <c r="H45910" s="8" t="s">
        <v>364</v>
      </c>
    </row>
    <row r="45911">
      <c r="H45911" s="8" t="s">
        <v>364</v>
      </c>
    </row>
    <row r="45912">
      <c r="H45912" s="8" t="s">
        <v>364</v>
      </c>
    </row>
    <row r="45913">
      <c r="H45913" s="8" t="s">
        <v>364</v>
      </c>
    </row>
    <row r="45914">
      <c r="H45914" s="8" t="s">
        <v>364</v>
      </c>
    </row>
    <row r="45915">
      <c r="H45915" s="8" t="s">
        <v>364</v>
      </c>
    </row>
    <row r="45916">
      <c r="H45916" s="8" t="s">
        <v>364</v>
      </c>
    </row>
    <row r="45917">
      <c r="H45917" s="8" t="s">
        <v>364</v>
      </c>
    </row>
    <row r="45918">
      <c r="H45918" s="8" t="s">
        <v>364</v>
      </c>
    </row>
    <row r="45919">
      <c r="H45919" s="8" t="s">
        <v>364</v>
      </c>
    </row>
    <row r="45920">
      <c r="H45920" s="8" t="s">
        <v>364</v>
      </c>
    </row>
    <row r="45921">
      <c r="H45921" s="8" t="s">
        <v>364</v>
      </c>
    </row>
    <row r="45922">
      <c r="H45922" s="8" t="s">
        <v>364</v>
      </c>
    </row>
    <row r="45923">
      <c r="H45923" s="8" t="s">
        <v>364</v>
      </c>
    </row>
    <row r="45924">
      <c r="H45924" s="8" t="s">
        <v>364</v>
      </c>
    </row>
    <row r="45925">
      <c r="H45925" s="8" t="s">
        <v>364</v>
      </c>
    </row>
    <row r="45926">
      <c r="H45926" s="8" t="s">
        <v>364</v>
      </c>
    </row>
    <row r="45927">
      <c r="H45927" s="8" t="s">
        <v>364</v>
      </c>
    </row>
    <row r="45928">
      <c r="H45928" s="8" t="s">
        <v>364</v>
      </c>
    </row>
    <row r="45929">
      <c r="H45929" s="8" t="s">
        <v>364</v>
      </c>
    </row>
    <row r="45930">
      <c r="H45930" s="8" t="s">
        <v>364</v>
      </c>
    </row>
    <row r="45931">
      <c r="H45931" s="8" t="s">
        <v>364</v>
      </c>
    </row>
    <row r="45932">
      <c r="H45932" s="8" t="s">
        <v>364</v>
      </c>
    </row>
    <row r="45933">
      <c r="H45933" s="8" t="s">
        <v>364</v>
      </c>
    </row>
    <row r="45934">
      <c r="H45934" s="8" t="s">
        <v>364</v>
      </c>
    </row>
    <row r="45935">
      <c r="H45935" s="8" t="s">
        <v>364</v>
      </c>
    </row>
    <row r="45936">
      <c r="H45936" s="8" t="s">
        <v>364</v>
      </c>
    </row>
    <row r="45937">
      <c r="H45937" s="8" t="s">
        <v>364</v>
      </c>
    </row>
    <row r="45938">
      <c r="H45938" s="8" t="s">
        <v>364</v>
      </c>
    </row>
    <row r="45939">
      <c r="H45939" s="8" t="s">
        <v>364</v>
      </c>
    </row>
    <row r="45940">
      <c r="H45940" s="8" t="s">
        <v>364</v>
      </c>
    </row>
    <row r="45941">
      <c r="H45941" s="8" t="s">
        <v>364</v>
      </c>
    </row>
    <row r="45942">
      <c r="H45942" s="8" t="s">
        <v>364</v>
      </c>
    </row>
    <row r="45943">
      <c r="H45943" s="8" t="s">
        <v>364</v>
      </c>
    </row>
    <row r="45944">
      <c r="H45944" s="8" t="s">
        <v>364</v>
      </c>
    </row>
    <row r="45945">
      <c r="H45945" s="8" t="s">
        <v>364</v>
      </c>
    </row>
    <row r="45946">
      <c r="H45946" s="8" t="s">
        <v>364</v>
      </c>
    </row>
    <row r="45947">
      <c r="H45947" s="8" t="s">
        <v>364</v>
      </c>
    </row>
    <row r="45948">
      <c r="H45948" s="8" t="s">
        <v>364</v>
      </c>
    </row>
    <row r="45949">
      <c r="H45949" s="8" t="s">
        <v>364</v>
      </c>
    </row>
    <row r="45950">
      <c r="H45950" s="8" t="s">
        <v>364</v>
      </c>
    </row>
    <row r="45951">
      <c r="H45951" s="8" t="s">
        <v>364</v>
      </c>
    </row>
    <row r="45952">
      <c r="H45952" s="8" t="s">
        <v>364</v>
      </c>
    </row>
    <row r="45953">
      <c r="H45953" s="8" t="s">
        <v>364</v>
      </c>
    </row>
    <row r="45954">
      <c r="H45954" s="8" t="s">
        <v>364</v>
      </c>
    </row>
    <row r="45955">
      <c r="H45955" s="8" t="s">
        <v>364</v>
      </c>
    </row>
    <row r="45956">
      <c r="H45956" s="8" t="s">
        <v>364</v>
      </c>
    </row>
    <row r="45957">
      <c r="H45957" s="8" t="s">
        <v>364</v>
      </c>
    </row>
    <row r="45958">
      <c r="H45958" s="8" t="s">
        <v>364</v>
      </c>
    </row>
    <row r="45959">
      <c r="H45959" s="8" t="s">
        <v>364</v>
      </c>
    </row>
    <row r="45960">
      <c r="H45960" s="8" t="s">
        <v>364</v>
      </c>
    </row>
    <row r="45961">
      <c r="H45961" s="8" t="s">
        <v>364</v>
      </c>
    </row>
    <row r="45962">
      <c r="H45962" s="8" t="s">
        <v>364</v>
      </c>
    </row>
    <row r="45963">
      <c r="H45963" s="8" t="s">
        <v>364</v>
      </c>
    </row>
    <row r="45964">
      <c r="H45964" s="8" t="s">
        <v>364</v>
      </c>
    </row>
    <row r="45965">
      <c r="H45965" s="8" t="s">
        <v>364</v>
      </c>
    </row>
    <row r="45966">
      <c r="H45966" s="8" t="s">
        <v>364</v>
      </c>
    </row>
    <row r="45967">
      <c r="H45967" s="8" t="s">
        <v>364</v>
      </c>
    </row>
    <row r="45968">
      <c r="H45968" s="8" t="s">
        <v>364</v>
      </c>
    </row>
    <row r="45969">
      <c r="H45969" s="8" t="s">
        <v>364</v>
      </c>
    </row>
    <row r="45970">
      <c r="H45970" s="8" t="s">
        <v>364</v>
      </c>
    </row>
    <row r="45971">
      <c r="H45971" s="8" t="s">
        <v>364</v>
      </c>
    </row>
    <row r="45972">
      <c r="H45972" s="8" t="s">
        <v>364</v>
      </c>
    </row>
    <row r="45973">
      <c r="H45973" s="8" t="s">
        <v>364</v>
      </c>
    </row>
    <row r="45974">
      <c r="H45974" s="8" t="s">
        <v>364</v>
      </c>
    </row>
    <row r="45975">
      <c r="H45975" s="8" t="s">
        <v>364</v>
      </c>
    </row>
    <row r="45976">
      <c r="H45976" s="8" t="s">
        <v>364</v>
      </c>
    </row>
    <row r="45977">
      <c r="H45977" s="8" t="s">
        <v>364</v>
      </c>
    </row>
    <row r="45978">
      <c r="H45978" s="8" t="s">
        <v>364</v>
      </c>
    </row>
    <row r="45979">
      <c r="H45979" s="8" t="s">
        <v>364</v>
      </c>
    </row>
    <row r="45980">
      <c r="H45980" s="8" t="s">
        <v>364</v>
      </c>
    </row>
    <row r="45981">
      <c r="H45981" s="8" t="s">
        <v>364</v>
      </c>
    </row>
    <row r="45982">
      <c r="H45982" s="8" t="s">
        <v>364</v>
      </c>
    </row>
    <row r="45983">
      <c r="H45983" s="8" t="s">
        <v>364</v>
      </c>
    </row>
    <row r="45984">
      <c r="H45984" s="8" t="s">
        <v>364</v>
      </c>
    </row>
    <row r="45985">
      <c r="H45985" s="8" t="s">
        <v>364</v>
      </c>
    </row>
    <row r="45986">
      <c r="H45986" s="8" t="s">
        <v>364</v>
      </c>
    </row>
    <row r="45987">
      <c r="H45987" s="8" t="s">
        <v>364</v>
      </c>
    </row>
    <row r="45988">
      <c r="H45988" s="8" t="s">
        <v>364</v>
      </c>
    </row>
    <row r="45989">
      <c r="H45989" s="8" t="s">
        <v>364</v>
      </c>
    </row>
    <row r="45990">
      <c r="H45990" s="8" t="s">
        <v>364</v>
      </c>
    </row>
    <row r="45991">
      <c r="H45991" s="8" t="s">
        <v>364</v>
      </c>
    </row>
    <row r="45992">
      <c r="H45992" s="8" t="s">
        <v>364</v>
      </c>
    </row>
    <row r="45993">
      <c r="H45993" s="8" t="s">
        <v>364</v>
      </c>
    </row>
    <row r="45994">
      <c r="H45994" s="8" t="s">
        <v>364</v>
      </c>
    </row>
    <row r="45995">
      <c r="H45995" s="8" t="s">
        <v>364</v>
      </c>
    </row>
    <row r="45996">
      <c r="H45996" s="8" t="s">
        <v>364</v>
      </c>
    </row>
    <row r="45997">
      <c r="H45997" s="8" t="s">
        <v>364</v>
      </c>
    </row>
    <row r="45998">
      <c r="H45998" s="8" t="s">
        <v>364</v>
      </c>
    </row>
    <row r="45999">
      <c r="H45999" s="8" t="s">
        <v>364</v>
      </c>
    </row>
    <row r="46000">
      <c r="H46000" s="8" t="s">
        <v>364</v>
      </c>
    </row>
    <row r="46001">
      <c r="H46001" s="8" t="s">
        <v>364</v>
      </c>
    </row>
    <row r="46002">
      <c r="H46002" s="8" t="s">
        <v>364</v>
      </c>
    </row>
    <row r="46003">
      <c r="H46003" s="8" t="s">
        <v>364</v>
      </c>
    </row>
    <row r="46004">
      <c r="H46004" s="8" t="s">
        <v>364</v>
      </c>
    </row>
    <row r="46005">
      <c r="H46005" s="8" t="s">
        <v>364</v>
      </c>
    </row>
    <row r="46006">
      <c r="H46006" s="8" t="s">
        <v>364</v>
      </c>
    </row>
    <row r="46007">
      <c r="H46007" s="8" t="s">
        <v>364</v>
      </c>
    </row>
    <row r="46008">
      <c r="H46008" s="8" t="s">
        <v>364</v>
      </c>
    </row>
    <row r="46009">
      <c r="H46009" s="8" t="s">
        <v>364</v>
      </c>
    </row>
    <row r="46010">
      <c r="H46010" s="8" t="s">
        <v>364</v>
      </c>
    </row>
    <row r="46011">
      <c r="H46011" s="8" t="s">
        <v>364</v>
      </c>
    </row>
    <row r="46012">
      <c r="H46012" s="8" t="s">
        <v>364</v>
      </c>
    </row>
    <row r="46013">
      <c r="H46013" s="8" t="s">
        <v>364</v>
      </c>
    </row>
    <row r="46014">
      <c r="H46014" s="8" t="s">
        <v>364</v>
      </c>
    </row>
    <row r="46015">
      <c r="H46015" s="8" t="s">
        <v>364</v>
      </c>
    </row>
    <row r="46016">
      <c r="H46016" s="8" t="s">
        <v>364</v>
      </c>
    </row>
    <row r="46017">
      <c r="H46017" s="8" t="s">
        <v>364</v>
      </c>
    </row>
    <row r="46018">
      <c r="H46018" s="8" t="s">
        <v>364</v>
      </c>
    </row>
    <row r="46019">
      <c r="H46019" s="8" t="s">
        <v>364</v>
      </c>
    </row>
    <row r="46020">
      <c r="H46020" s="8" t="s">
        <v>364</v>
      </c>
    </row>
    <row r="46021">
      <c r="H46021" s="8" t="s">
        <v>364</v>
      </c>
    </row>
    <row r="46022">
      <c r="H46022" s="8" t="s">
        <v>364</v>
      </c>
    </row>
    <row r="46023">
      <c r="H46023" s="8" t="s">
        <v>364</v>
      </c>
    </row>
    <row r="46024">
      <c r="H46024" s="8" t="s">
        <v>364</v>
      </c>
    </row>
    <row r="46025">
      <c r="H46025" s="8" t="s">
        <v>364</v>
      </c>
    </row>
    <row r="46026">
      <c r="H46026" s="8" t="s">
        <v>364</v>
      </c>
    </row>
    <row r="46027">
      <c r="H46027" s="8" t="s">
        <v>364</v>
      </c>
    </row>
    <row r="46028">
      <c r="H46028" s="8" t="s">
        <v>364</v>
      </c>
    </row>
    <row r="46029">
      <c r="H46029" s="8" t="s">
        <v>364</v>
      </c>
    </row>
    <row r="46030">
      <c r="H46030" s="8" t="s">
        <v>364</v>
      </c>
    </row>
    <row r="46031">
      <c r="H46031" s="8" t="s">
        <v>364</v>
      </c>
    </row>
    <row r="46032">
      <c r="H46032" s="8" t="s">
        <v>364</v>
      </c>
    </row>
    <row r="46033">
      <c r="H46033" s="8" t="s">
        <v>364</v>
      </c>
    </row>
    <row r="46034">
      <c r="H46034" s="8" t="s">
        <v>364</v>
      </c>
    </row>
    <row r="46035">
      <c r="H46035" s="8" t="s">
        <v>364</v>
      </c>
    </row>
    <row r="46036">
      <c r="H46036" s="8" t="s">
        <v>364</v>
      </c>
    </row>
    <row r="46037">
      <c r="H46037" s="8" t="s">
        <v>364</v>
      </c>
    </row>
    <row r="46038">
      <c r="H46038" s="8" t="s">
        <v>364</v>
      </c>
    </row>
    <row r="46039">
      <c r="H46039" s="8" t="s">
        <v>364</v>
      </c>
    </row>
    <row r="46040">
      <c r="H46040" s="8" t="s">
        <v>364</v>
      </c>
    </row>
    <row r="46041">
      <c r="H46041" s="8" t="s">
        <v>364</v>
      </c>
    </row>
    <row r="46042">
      <c r="H46042" s="8" t="s">
        <v>364</v>
      </c>
    </row>
    <row r="46043">
      <c r="H46043" s="8" t="s">
        <v>364</v>
      </c>
    </row>
    <row r="46044">
      <c r="H46044" s="8" t="s">
        <v>364</v>
      </c>
    </row>
    <row r="46045">
      <c r="H46045" s="8" t="s">
        <v>364</v>
      </c>
    </row>
    <row r="46046">
      <c r="H46046" s="8" t="s">
        <v>364</v>
      </c>
    </row>
    <row r="46047">
      <c r="H46047" s="8" t="s">
        <v>364</v>
      </c>
    </row>
    <row r="46048">
      <c r="H46048" s="8" t="s">
        <v>364</v>
      </c>
    </row>
    <row r="46049">
      <c r="H46049" s="8" t="s">
        <v>364</v>
      </c>
    </row>
    <row r="46050">
      <c r="H46050" s="8" t="s">
        <v>364</v>
      </c>
    </row>
    <row r="46051">
      <c r="H46051" s="8" t="s">
        <v>364</v>
      </c>
    </row>
    <row r="46052">
      <c r="H46052" s="8" t="s">
        <v>364</v>
      </c>
    </row>
    <row r="46053">
      <c r="H46053" s="8" t="s">
        <v>364</v>
      </c>
    </row>
    <row r="46054">
      <c r="H46054" s="8" t="s">
        <v>364</v>
      </c>
    </row>
    <row r="46055">
      <c r="H46055" s="8" t="s">
        <v>364</v>
      </c>
    </row>
    <row r="46056">
      <c r="H46056" s="8" t="s">
        <v>364</v>
      </c>
    </row>
    <row r="46057">
      <c r="H46057" s="8" t="s">
        <v>364</v>
      </c>
    </row>
    <row r="46058">
      <c r="H46058" s="8" t="s">
        <v>364</v>
      </c>
    </row>
    <row r="46059">
      <c r="H46059" s="8" t="s">
        <v>364</v>
      </c>
    </row>
    <row r="46060">
      <c r="H46060" s="8" t="s">
        <v>364</v>
      </c>
    </row>
    <row r="46061">
      <c r="H46061" s="8" t="s">
        <v>364</v>
      </c>
    </row>
    <row r="46062">
      <c r="H46062" s="8" t="s">
        <v>364</v>
      </c>
    </row>
    <row r="46063">
      <c r="H46063" s="8" t="s">
        <v>364</v>
      </c>
    </row>
    <row r="46064">
      <c r="H46064" s="8" t="s">
        <v>364</v>
      </c>
    </row>
    <row r="46065">
      <c r="H46065" s="8" t="s">
        <v>364</v>
      </c>
    </row>
    <row r="46066">
      <c r="H46066" s="8" t="s">
        <v>364</v>
      </c>
    </row>
    <row r="46067">
      <c r="H46067" s="8" t="s">
        <v>364</v>
      </c>
    </row>
    <row r="46068">
      <c r="H46068" s="8" t="s">
        <v>364</v>
      </c>
    </row>
    <row r="46069">
      <c r="H46069" s="8" t="s">
        <v>364</v>
      </c>
    </row>
    <row r="46070">
      <c r="H46070" s="8" t="s">
        <v>364</v>
      </c>
    </row>
    <row r="46071">
      <c r="H46071" s="8" t="s">
        <v>364</v>
      </c>
    </row>
    <row r="46072">
      <c r="H46072" s="8" t="s">
        <v>364</v>
      </c>
    </row>
    <row r="46073">
      <c r="H46073" s="8" t="s">
        <v>364</v>
      </c>
    </row>
    <row r="46074">
      <c r="H46074" s="8" t="s">
        <v>364</v>
      </c>
    </row>
    <row r="46075">
      <c r="H46075" s="8" t="s">
        <v>364</v>
      </c>
    </row>
    <row r="46076">
      <c r="H46076" s="8" t="s">
        <v>364</v>
      </c>
    </row>
    <row r="46077">
      <c r="H46077" s="8" t="s">
        <v>364</v>
      </c>
    </row>
    <row r="46078">
      <c r="H46078" s="8" t="s">
        <v>364</v>
      </c>
    </row>
    <row r="46079">
      <c r="H46079" s="8" t="s">
        <v>364</v>
      </c>
    </row>
    <row r="46080">
      <c r="H46080" s="8" t="s">
        <v>364</v>
      </c>
    </row>
    <row r="46081">
      <c r="H46081" s="8" t="s">
        <v>364</v>
      </c>
    </row>
    <row r="46082">
      <c r="H46082" s="8" t="s">
        <v>364</v>
      </c>
    </row>
    <row r="46083">
      <c r="H46083" s="8" t="s">
        <v>364</v>
      </c>
    </row>
    <row r="46084">
      <c r="H46084" s="8" t="s">
        <v>364</v>
      </c>
    </row>
    <row r="46085">
      <c r="H46085" s="8" t="s">
        <v>364</v>
      </c>
    </row>
    <row r="46086">
      <c r="H46086" s="8" t="s">
        <v>364</v>
      </c>
    </row>
    <row r="46087">
      <c r="H46087" s="8" t="s">
        <v>364</v>
      </c>
    </row>
    <row r="46088">
      <c r="H46088" s="8" t="s">
        <v>364</v>
      </c>
    </row>
    <row r="46089">
      <c r="H46089" s="8" t="s">
        <v>364</v>
      </c>
    </row>
    <row r="46090">
      <c r="H46090" s="8" t="s">
        <v>364</v>
      </c>
    </row>
    <row r="46091">
      <c r="H46091" s="8" t="s">
        <v>364</v>
      </c>
    </row>
    <row r="46092">
      <c r="H46092" s="8" t="s">
        <v>364</v>
      </c>
    </row>
    <row r="46093">
      <c r="H46093" s="8" t="s">
        <v>364</v>
      </c>
    </row>
    <row r="46094">
      <c r="H46094" s="8" t="s">
        <v>364</v>
      </c>
    </row>
    <row r="46095">
      <c r="H46095" s="8" t="s">
        <v>364</v>
      </c>
    </row>
    <row r="46096">
      <c r="H46096" s="8" t="s">
        <v>364</v>
      </c>
    </row>
    <row r="46097">
      <c r="H46097" s="8" t="s">
        <v>364</v>
      </c>
    </row>
    <row r="46098">
      <c r="H46098" s="8" t="s">
        <v>364</v>
      </c>
    </row>
    <row r="46099">
      <c r="H46099" s="8" t="s">
        <v>364</v>
      </c>
    </row>
    <row r="46100">
      <c r="H46100" s="8" t="s">
        <v>364</v>
      </c>
    </row>
    <row r="46101">
      <c r="H46101" s="8" t="s">
        <v>364</v>
      </c>
    </row>
    <row r="46102">
      <c r="H46102" s="8" t="s">
        <v>364</v>
      </c>
    </row>
    <row r="46103">
      <c r="H46103" s="8" t="s">
        <v>364</v>
      </c>
    </row>
    <row r="46104">
      <c r="H46104" s="8" t="s">
        <v>364</v>
      </c>
    </row>
    <row r="46105">
      <c r="H46105" s="8" t="s">
        <v>364</v>
      </c>
    </row>
    <row r="46106">
      <c r="H46106" s="8" t="s">
        <v>364</v>
      </c>
    </row>
    <row r="46107">
      <c r="H46107" s="8" t="s">
        <v>364</v>
      </c>
    </row>
    <row r="46108">
      <c r="H46108" s="8" t="s">
        <v>364</v>
      </c>
    </row>
    <row r="46109">
      <c r="H46109" s="8" t="s">
        <v>364</v>
      </c>
    </row>
    <row r="46110">
      <c r="H46110" s="8" t="s">
        <v>364</v>
      </c>
    </row>
    <row r="46111">
      <c r="H46111" s="8" t="s">
        <v>364</v>
      </c>
    </row>
    <row r="46112">
      <c r="H46112" s="8" t="s">
        <v>364</v>
      </c>
    </row>
    <row r="46113">
      <c r="H46113" s="8" t="s">
        <v>364</v>
      </c>
    </row>
    <row r="46114">
      <c r="H46114" s="8" t="s">
        <v>364</v>
      </c>
    </row>
    <row r="46115">
      <c r="H46115" s="8" t="s">
        <v>364</v>
      </c>
    </row>
    <row r="46116">
      <c r="H46116" s="8" t="s">
        <v>364</v>
      </c>
    </row>
    <row r="46117">
      <c r="H46117" s="8" t="s">
        <v>364</v>
      </c>
    </row>
    <row r="46118">
      <c r="H46118" s="8" t="s">
        <v>364</v>
      </c>
    </row>
    <row r="46119">
      <c r="H46119" s="8" t="s">
        <v>364</v>
      </c>
    </row>
    <row r="46120">
      <c r="H46120" s="8" t="s">
        <v>364</v>
      </c>
    </row>
    <row r="46121">
      <c r="H46121" s="8" t="s">
        <v>364</v>
      </c>
    </row>
    <row r="46122">
      <c r="H46122" s="8" t="s">
        <v>364</v>
      </c>
    </row>
    <row r="46123">
      <c r="H46123" s="8" t="s">
        <v>364</v>
      </c>
    </row>
    <row r="46124">
      <c r="H46124" s="8" t="s">
        <v>364</v>
      </c>
    </row>
    <row r="46125">
      <c r="H46125" s="8" t="s">
        <v>364</v>
      </c>
    </row>
    <row r="46126">
      <c r="H46126" s="8" t="s">
        <v>364</v>
      </c>
    </row>
    <row r="46127">
      <c r="H46127" s="8" t="s">
        <v>364</v>
      </c>
    </row>
    <row r="46128">
      <c r="H46128" s="8" t="s">
        <v>364</v>
      </c>
    </row>
    <row r="46129">
      <c r="H46129" s="8" t="s">
        <v>364</v>
      </c>
    </row>
    <row r="46130">
      <c r="H46130" s="8" t="s">
        <v>364</v>
      </c>
    </row>
    <row r="46131">
      <c r="H46131" s="8" t="s">
        <v>364</v>
      </c>
    </row>
    <row r="46132">
      <c r="H46132" s="8" t="s">
        <v>364</v>
      </c>
    </row>
    <row r="46133">
      <c r="H46133" s="8" t="s">
        <v>364</v>
      </c>
    </row>
    <row r="46134">
      <c r="H46134" s="8" t="s">
        <v>364</v>
      </c>
    </row>
    <row r="46135">
      <c r="H46135" s="8" t="s">
        <v>364</v>
      </c>
    </row>
    <row r="46136">
      <c r="H46136" s="8" t="s">
        <v>364</v>
      </c>
    </row>
    <row r="46137">
      <c r="H46137" s="8" t="s">
        <v>364</v>
      </c>
    </row>
    <row r="46138">
      <c r="H46138" s="8" t="s">
        <v>364</v>
      </c>
    </row>
    <row r="46139">
      <c r="H46139" s="8" t="s">
        <v>364</v>
      </c>
    </row>
    <row r="46140">
      <c r="H46140" s="8" t="s">
        <v>364</v>
      </c>
    </row>
    <row r="46141">
      <c r="H46141" s="8" t="s">
        <v>364</v>
      </c>
    </row>
    <row r="46142">
      <c r="H46142" s="8" t="s">
        <v>364</v>
      </c>
    </row>
    <row r="46143">
      <c r="H46143" s="8" t="s">
        <v>364</v>
      </c>
    </row>
    <row r="46144">
      <c r="H46144" s="8" t="s">
        <v>364</v>
      </c>
    </row>
    <row r="46145">
      <c r="H46145" s="8" t="s">
        <v>364</v>
      </c>
    </row>
    <row r="46146">
      <c r="H46146" s="8" t="s">
        <v>364</v>
      </c>
    </row>
    <row r="46147">
      <c r="H46147" s="8" t="s">
        <v>364</v>
      </c>
    </row>
    <row r="46148">
      <c r="H46148" s="8" t="s">
        <v>364</v>
      </c>
    </row>
    <row r="46149">
      <c r="H46149" s="8" t="s">
        <v>364</v>
      </c>
    </row>
    <row r="46150">
      <c r="H46150" s="8" t="s">
        <v>364</v>
      </c>
    </row>
    <row r="46151">
      <c r="H46151" s="8" t="s">
        <v>364</v>
      </c>
    </row>
    <row r="46152">
      <c r="H46152" s="8" t="s">
        <v>364</v>
      </c>
    </row>
    <row r="46153">
      <c r="H46153" s="8" t="s">
        <v>364</v>
      </c>
    </row>
    <row r="46154">
      <c r="H46154" s="8" t="s">
        <v>364</v>
      </c>
    </row>
    <row r="46155">
      <c r="H46155" s="8" t="s">
        <v>364</v>
      </c>
    </row>
    <row r="46156">
      <c r="H46156" s="8" t="s">
        <v>364</v>
      </c>
    </row>
    <row r="46157">
      <c r="H46157" s="8" t="s">
        <v>364</v>
      </c>
    </row>
    <row r="46158">
      <c r="H46158" s="8" t="s">
        <v>364</v>
      </c>
    </row>
    <row r="46159">
      <c r="H46159" s="8" t="s">
        <v>364</v>
      </c>
    </row>
    <row r="46160">
      <c r="H46160" s="8" t="s">
        <v>364</v>
      </c>
    </row>
    <row r="46161">
      <c r="H46161" s="8" t="s">
        <v>364</v>
      </c>
    </row>
    <row r="46162">
      <c r="H46162" s="8" t="s">
        <v>364</v>
      </c>
    </row>
    <row r="46163">
      <c r="H46163" s="8" t="s">
        <v>364</v>
      </c>
    </row>
    <row r="46164">
      <c r="H46164" s="8" t="s">
        <v>364</v>
      </c>
    </row>
    <row r="46165">
      <c r="H46165" s="8" t="s">
        <v>364</v>
      </c>
    </row>
    <row r="46166">
      <c r="H46166" s="8" t="s">
        <v>364</v>
      </c>
    </row>
    <row r="46167">
      <c r="H46167" s="8" t="s">
        <v>364</v>
      </c>
    </row>
    <row r="46168">
      <c r="H46168" s="8" t="s">
        <v>364</v>
      </c>
    </row>
    <row r="46169">
      <c r="H46169" s="8" t="s">
        <v>364</v>
      </c>
    </row>
    <row r="46170">
      <c r="H46170" s="8" t="s">
        <v>364</v>
      </c>
    </row>
    <row r="46171">
      <c r="H46171" s="8" t="s">
        <v>364</v>
      </c>
    </row>
    <row r="46172">
      <c r="H46172" s="8" t="s">
        <v>364</v>
      </c>
    </row>
    <row r="46173">
      <c r="H46173" s="8" t="s">
        <v>364</v>
      </c>
    </row>
    <row r="46174">
      <c r="H46174" s="8" t="s">
        <v>364</v>
      </c>
    </row>
    <row r="46175">
      <c r="H46175" s="8" t="s">
        <v>364</v>
      </c>
    </row>
    <row r="46176">
      <c r="H46176" s="8" t="s">
        <v>364</v>
      </c>
    </row>
    <row r="46177">
      <c r="H46177" s="8" t="s">
        <v>364</v>
      </c>
    </row>
    <row r="46178">
      <c r="H46178" s="8" t="s">
        <v>364</v>
      </c>
    </row>
    <row r="46179">
      <c r="H46179" s="8" t="s">
        <v>364</v>
      </c>
    </row>
    <row r="46180">
      <c r="H46180" s="8" t="s">
        <v>364</v>
      </c>
    </row>
    <row r="46181">
      <c r="H46181" s="8" t="s">
        <v>364</v>
      </c>
    </row>
    <row r="46182">
      <c r="H46182" s="8" t="s">
        <v>364</v>
      </c>
    </row>
    <row r="46183">
      <c r="H46183" s="8" t="s">
        <v>364</v>
      </c>
    </row>
    <row r="46184">
      <c r="H46184" s="8" t="s">
        <v>364</v>
      </c>
    </row>
    <row r="46185">
      <c r="H46185" s="8" t="s">
        <v>364</v>
      </c>
    </row>
    <row r="46186">
      <c r="H46186" s="8" t="s">
        <v>364</v>
      </c>
    </row>
    <row r="46187">
      <c r="H46187" s="8" t="s">
        <v>364</v>
      </c>
    </row>
    <row r="46188">
      <c r="H46188" s="8" t="s">
        <v>364</v>
      </c>
    </row>
    <row r="46189">
      <c r="H46189" s="8" t="s">
        <v>364</v>
      </c>
    </row>
    <row r="46190">
      <c r="H46190" s="8" t="s">
        <v>364</v>
      </c>
    </row>
    <row r="46191">
      <c r="H46191" s="8" t="s">
        <v>364</v>
      </c>
    </row>
    <row r="46192">
      <c r="H46192" s="8" t="s">
        <v>364</v>
      </c>
    </row>
    <row r="46193">
      <c r="H46193" s="8" t="s">
        <v>364</v>
      </c>
    </row>
    <row r="46194">
      <c r="H46194" s="8" t="s">
        <v>364</v>
      </c>
    </row>
    <row r="46195">
      <c r="H46195" s="8" t="s">
        <v>364</v>
      </c>
    </row>
    <row r="46196">
      <c r="H46196" s="8" t="s">
        <v>364</v>
      </c>
    </row>
    <row r="46197">
      <c r="H46197" s="8" t="s">
        <v>364</v>
      </c>
    </row>
    <row r="46198">
      <c r="H46198" s="8" t="s">
        <v>364</v>
      </c>
    </row>
    <row r="46199">
      <c r="H46199" s="8" t="s">
        <v>364</v>
      </c>
    </row>
    <row r="46200">
      <c r="H46200" s="8" t="s">
        <v>364</v>
      </c>
    </row>
    <row r="46201">
      <c r="H46201" s="8" t="s">
        <v>364</v>
      </c>
    </row>
    <row r="46202">
      <c r="H46202" s="8" t="s">
        <v>364</v>
      </c>
    </row>
    <row r="46203">
      <c r="H46203" s="8" t="s">
        <v>364</v>
      </c>
    </row>
    <row r="46204">
      <c r="H46204" s="8" t="s">
        <v>364</v>
      </c>
    </row>
    <row r="46205">
      <c r="H46205" s="8" t="s">
        <v>364</v>
      </c>
    </row>
    <row r="46206">
      <c r="H46206" s="8" t="s">
        <v>364</v>
      </c>
    </row>
    <row r="46207">
      <c r="H46207" s="8" t="s">
        <v>364</v>
      </c>
    </row>
    <row r="46208">
      <c r="H46208" s="8" t="s">
        <v>364</v>
      </c>
    </row>
    <row r="46209">
      <c r="H46209" s="8" t="s">
        <v>364</v>
      </c>
    </row>
    <row r="46210">
      <c r="H46210" s="8" t="s">
        <v>364</v>
      </c>
    </row>
    <row r="46211">
      <c r="H46211" s="8" t="s">
        <v>364</v>
      </c>
    </row>
    <row r="46212">
      <c r="H46212" s="8" t="s">
        <v>364</v>
      </c>
    </row>
    <row r="46213">
      <c r="H46213" s="8" t="s">
        <v>364</v>
      </c>
    </row>
    <row r="46214">
      <c r="H46214" s="8" t="s">
        <v>364</v>
      </c>
    </row>
    <row r="46215">
      <c r="H46215" s="8" t="s">
        <v>364</v>
      </c>
    </row>
    <row r="46216">
      <c r="H46216" s="8" t="s">
        <v>364</v>
      </c>
    </row>
    <row r="46217">
      <c r="H46217" s="8" t="s">
        <v>364</v>
      </c>
    </row>
    <row r="46218">
      <c r="H46218" s="8" t="s">
        <v>364</v>
      </c>
    </row>
    <row r="46219">
      <c r="H46219" s="8" t="s">
        <v>364</v>
      </c>
    </row>
    <row r="46220">
      <c r="H46220" s="8" t="s">
        <v>364</v>
      </c>
    </row>
    <row r="46221">
      <c r="H46221" s="8" t="s">
        <v>364</v>
      </c>
    </row>
    <row r="46222">
      <c r="H46222" s="8" t="s">
        <v>364</v>
      </c>
    </row>
    <row r="46223">
      <c r="H46223" s="8" t="s">
        <v>364</v>
      </c>
    </row>
    <row r="46224">
      <c r="H46224" s="8" t="s">
        <v>364</v>
      </c>
    </row>
    <row r="46225">
      <c r="H46225" s="8" t="s">
        <v>364</v>
      </c>
    </row>
    <row r="46226">
      <c r="H46226" s="8" t="s">
        <v>364</v>
      </c>
    </row>
    <row r="46227">
      <c r="H46227" s="8" t="s">
        <v>364</v>
      </c>
    </row>
    <row r="46228">
      <c r="H46228" s="8" t="s">
        <v>364</v>
      </c>
    </row>
    <row r="46229">
      <c r="H46229" s="8" t="s">
        <v>364</v>
      </c>
    </row>
    <row r="46230">
      <c r="H46230" s="8" t="s">
        <v>364</v>
      </c>
    </row>
    <row r="46231">
      <c r="H46231" s="8" t="s">
        <v>364</v>
      </c>
    </row>
    <row r="46232">
      <c r="H46232" s="8" t="s">
        <v>364</v>
      </c>
    </row>
    <row r="46233">
      <c r="H46233" s="8" t="s">
        <v>364</v>
      </c>
    </row>
    <row r="46234">
      <c r="H46234" s="8" t="s">
        <v>364</v>
      </c>
    </row>
    <row r="46235">
      <c r="H46235" s="8" t="s">
        <v>364</v>
      </c>
    </row>
    <row r="46236">
      <c r="H46236" s="8" t="s">
        <v>364</v>
      </c>
    </row>
    <row r="46237">
      <c r="H46237" s="8" t="s">
        <v>364</v>
      </c>
    </row>
    <row r="46238">
      <c r="H46238" s="8" t="s">
        <v>364</v>
      </c>
    </row>
    <row r="46239">
      <c r="H46239" s="8" t="s">
        <v>364</v>
      </c>
    </row>
    <row r="46240">
      <c r="H46240" s="8" t="s">
        <v>364</v>
      </c>
    </row>
    <row r="46241">
      <c r="H46241" s="8" t="s">
        <v>364</v>
      </c>
    </row>
    <row r="46242">
      <c r="H46242" s="8" t="s">
        <v>364</v>
      </c>
    </row>
    <row r="46243">
      <c r="H46243" s="8" t="s">
        <v>364</v>
      </c>
    </row>
    <row r="46244">
      <c r="H46244" s="8" t="s">
        <v>364</v>
      </c>
    </row>
    <row r="46245">
      <c r="H46245" s="8" t="s">
        <v>364</v>
      </c>
    </row>
    <row r="46246">
      <c r="H46246" s="8" t="s">
        <v>364</v>
      </c>
    </row>
    <row r="46247">
      <c r="H46247" s="8" t="s">
        <v>364</v>
      </c>
    </row>
    <row r="46248">
      <c r="H46248" s="8" t="s">
        <v>364</v>
      </c>
    </row>
    <row r="46249">
      <c r="H46249" s="8" t="s">
        <v>364</v>
      </c>
    </row>
    <row r="46250">
      <c r="H46250" s="8" t="s">
        <v>364</v>
      </c>
    </row>
    <row r="46251">
      <c r="H46251" s="8" t="s">
        <v>364</v>
      </c>
    </row>
    <row r="46252">
      <c r="H46252" s="8" t="s">
        <v>364</v>
      </c>
    </row>
    <row r="46253">
      <c r="H46253" s="8" t="s">
        <v>364</v>
      </c>
    </row>
    <row r="46254">
      <c r="H46254" s="8" t="s">
        <v>364</v>
      </c>
    </row>
    <row r="46255">
      <c r="H46255" s="8" t="s">
        <v>364</v>
      </c>
    </row>
    <row r="46256">
      <c r="H46256" s="8" t="s">
        <v>364</v>
      </c>
    </row>
    <row r="46257">
      <c r="H46257" s="8" t="s">
        <v>364</v>
      </c>
    </row>
    <row r="46258">
      <c r="H46258" s="8" t="s">
        <v>364</v>
      </c>
    </row>
    <row r="46259">
      <c r="H46259" s="8" t="s">
        <v>364</v>
      </c>
    </row>
    <row r="46260">
      <c r="H46260" s="8" t="s">
        <v>364</v>
      </c>
    </row>
    <row r="46261">
      <c r="H46261" s="8" t="s">
        <v>364</v>
      </c>
    </row>
    <row r="46262">
      <c r="H46262" s="8" t="s">
        <v>364</v>
      </c>
    </row>
    <row r="46263">
      <c r="H46263" s="8" t="s">
        <v>364</v>
      </c>
    </row>
    <row r="46264">
      <c r="H46264" s="8" t="s">
        <v>364</v>
      </c>
    </row>
    <row r="46265">
      <c r="H46265" s="8" t="s">
        <v>364</v>
      </c>
    </row>
    <row r="46266">
      <c r="H46266" s="8" t="s">
        <v>364</v>
      </c>
    </row>
    <row r="46267">
      <c r="H46267" s="8" t="s">
        <v>364</v>
      </c>
    </row>
    <row r="46268">
      <c r="H46268" s="8" t="s">
        <v>364</v>
      </c>
    </row>
    <row r="46269">
      <c r="H46269" s="8" t="s">
        <v>364</v>
      </c>
    </row>
    <row r="46270">
      <c r="H46270" s="8" t="s">
        <v>364</v>
      </c>
    </row>
    <row r="46271">
      <c r="H46271" s="8" t="s">
        <v>364</v>
      </c>
    </row>
    <row r="46272">
      <c r="H46272" s="8" t="s">
        <v>364</v>
      </c>
    </row>
    <row r="46273">
      <c r="H46273" s="8" t="s">
        <v>364</v>
      </c>
    </row>
    <row r="46274">
      <c r="H46274" s="8" t="s">
        <v>364</v>
      </c>
    </row>
    <row r="46275">
      <c r="H46275" s="8" t="s">
        <v>364</v>
      </c>
    </row>
    <row r="46276">
      <c r="H46276" s="8" t="s">
        <v>364</v>
      </c>
    </row>
    <row r="46277">
      <c r="H46277" s="8" t="s">
        <v>364</v>
      </c>
    </row>
    <row r="46278">
      <c r="H46278" s="8" t="s">
        <v>364</v>
      </c>
    </row>
    <row r="46279">
      <c r="H46279" s="8" t="s">
        <v>364</v>
      </c>
    </row>
    <row r="46280">
      <c r="H46280" s="8" t="s">
        <v>364</v>
      </c>
    </row>
    <row r="46281">
      <c r="H46281" s="8" t="s">
        <v>364</v>
      </c>
    </row>
    <row r="46282">
      <c r="H46282" s="8" t="s">
        <v>364</v>
      </c>
    </row>
    <row r="46283">
      <c r="H46283" s="8" t="s">
        <v>364</v>
      </c>
    </row>
    <row r="46284">
      <c r="H46284" s="8" t="s">
        <v>364</v>
      </c>
    </row>
    <row r="46285">
      <c r="H46285" s="8" t="s">
        <v>364</v>
      </c>
    </row>
    <row r="46286">
      <c r="H46286" s="8" t="s">
        <v>364</v>
      </c>
    </row>
    <row r="46287">
      <c r="H46287" s="8" t="s">
        <v>364</v>
      </c>
    </row>
    <row r="46288">
      <c r="H46288" s="8" t="s">
        <v>364</v>
      </c>
    </row>
    <row r="46289">
      <c r="H46289" s="8" t="s">
        <v>364</v>
      </c>
    </row>
    <row r="46290">
      <c r="H46290" s="8" t="s">
        <v>364</v>
      </c>
    </row>
    <row r="46291">
      <c r="H46291" s="8" t="s">
        <v>364</v>
      </c>
    </row>
    <row r="46292">
      <c r="H46292" s="8" t="s">
        <v>364</v>
      </c>
    </row>
    <row r="46293">
      <c r="H46293" s="8" t="s">
        <v>364</v>
      </c>
    </row>
    <row r="46294">
      <c r="H46294" s="8" t="s">
        <v>364</v>
      </c>
    </row>
    <row r="46295">
      <c r="H46295" s="8" t="s">
        <v>364</v>
      </c>
    </row>
    <row r="46296">
      <c r="H46296" s="8" t="s">
        <v>364</v>
      </c>
    </row>
    <row r="46297">
      <c r="H46297" s="8" t="s">
        <v>364</v>
      </c>
    </row>
    <row r="46298">
      <c r="H46298" s="8" t="s">
        <v>364</v>
      </c>
    </row>
    <row r="46299">
      <c r="H46299" s="8" t="s">
        <v>364</v>
      </c>
    </row>
    <row r="46300">
      <c r="H46300" s="8" t="s">
        <v>364</v>
      </c>
    </row>
    <row r="46301">
      <c r="H46301" s="8" t="s">
        <v>364</v>
      </c>
    </row>
    <row r="46302">
      <c r="H46302" s="8" t="s">
        <v>364</v>
      </c>
    </row>
    <row r="46303">
      <c r="H46303" s="8" t="s">
        <v>364</v>
      </c>
    </row>
    <row r="46304">
      <c r="H46304" s="8" t="s">
        <v>364</v>
      </c>
    </row>
    <row r="46305">
      <c r="H46305" s="8" t="s">
        <v>364</v>
      </c>
    </row>
    <row r="46306">
      <c r="H46306" s="8" t="s">
        <v>364</v>
      </c>
    </row>
    <row r="46307">
      <c r="H46307" s="8" t="s">
        <v>364</v>
      </c>
    </row>
    <row r="46308">
      <c r="H46308" s="8" t="s">
        <v>364</v>
      </c>
    </row>
    <row r="46309">
      <c r="H46309" s="8" t="s">
        <v>364</v>
      </c>
    </row>
    <row r="46310">
      <c r="H46310" s="8" t="s">
        <v>364</v>
      </c>
    </row>
    <row r="46311">
      <c r="H46311" s="8" t="s">
        <v>364</v>
      </c>
    </row>
    <row r="46312">
      <c r="H46312" s="8" t="s">
        <v>364</v>
      </c>
    </row>
    <row r="46313">
      <c r="H46313" s="8" t="s">
        <v>364</v>
      </c>
    </row>
    <row r="46314">
      <c r="H46314" s="8" t="s">
        <v>364</v>
      </c>
    </row>
    <row r="46315">
      <c r="H46315" s="8" t="s">
        <v>364</v>
      </c>
    </row>
    <row r="46316">
      <c r="H46316" s="8" t="s">
        <v>364</v>
      </c>
    </row>
    <row r="46317">
      <c r="H46317" s="8" t="s">
        <v>364</v>
      </c>
    </row>
    <row r="46318">
      <c r="H46318" s="8" t="s">
        <v>364</v>
      </c>
    </row>
    <row r="46319">
      <c r="H46319" s="8" t="s">
        <v>364</v>
      </c>
    </row>
    <row r="46320">
      <c r="H46320" s="8" t="s">
        <v>364</v>
      </c>
    </row>
    <row r="46321">
      <c r="H46321" s="8" t="s">
        <v>364</v>
      </c>
    </row>
    <row r="46322">
      <c r="H46322" s="8" t="s">
        <v>364</v>
      </c>
    </row>
    <row r="46323">
      <c r="H46323" s="8" t="s">
        <v>364</v>
      </c>
    </row>
    <row r="46324">
      <c r="H46324" s="8" t="s">
        <v>364</v>
      </c>
    </row>
    <row r="46325">
      <c r="H46325" s="8" t="s">
        <v>364</v>
      </c>
    </row>
    <row r="46326">
      <c r="H46326" s="8" t="s">
        <v>364</v>
      </c>
    </row>
    <row r="46327">
      <c r="H46327" s="8" t="s">
        <v>364</v>
      </c>
    </row>
    <row r="46328">
      <c r="H46328" s="8" t="s">
        <v>364</v>
      </c>
    </row>
    <row r="46329">
      <c r="H46329" s="8" t="s">
        <v>364</v>
      </c>
    </row>
    <row r="46330">
      <c r="H46330" s="8" t="s">
        <v>364</v>
      </c>
    </row>
    <row r="46331">
      <c r="H46331" s="8" t="s">
        <v>364</v>
      </c>
    </row>
    <row r="46332">
      <c r="H46332" s="8" t="s">
        <v>364</v>
      </c>
    </row>
    <row r="46333">
      <c r="H46333" s="8" t="s">
        <v>364</v>
      </c>
    </row>
    <row r="46334">
      <c r="H46334" s="8" t="s">
        <v>364</v>
      </c>
    </row>
    <row r="46335">
      <c r="H46335" s="8" t="s">
        <v>364</v>
      </c>
    </row>
    <row r="46336">
      <c r="H46336" s="8" t="s">
        <v>364</v>
      </c>
    </row>
    <row r="46337">
      <c r="H46337" s="8" t="s">
        <v>364</v>
      </c>
    </row>
    <row r="46338">
      <c r="H46338" s="8" t="s">
        <v>364</v>
      </c>
    </row>
    <row r="46339">
      <c r="H46339" s="8" t="s">
        <v>364</v>
      </c>
    </row>
    <row r="46340">
      <c r="H46340" s="8" t="s">
        <v>364</v>
      </c>
    </row>
    <row r="46341">
      <c r="H46341" s="8" t="s">
        <v>364</v>
      </c>
    </row>
    <row r="46342">
      <c r="H46342" s="8" t="s">
        <v>364</v>
      </c>
    </row>
    <row r="46343">
      <c r="H46343" s="8" t="s">
        <v>364</v>
      </c>
    </row>
    <row r="46344">
      <c r="H46344" s="8" t="s">
        <v>364</v>
      </c>
    </row>
    <row r="46345">
      <c r="H46345" s="8" t="s">
        <v>364</v>
      </c>
    </row>
    <row r="46346">
      <c r="H46346" s="8" t="s">
        <v>364</v>
      </c>
    </row>
    <row r="46347">
      <c r="H46347" s="8" t="s">
        <v>364</v>
      </c>
    </row>
    <row r="46348">
      <c r="H46348" s="8" t="s">
        <v>364</v>
      </c>
    </row>
    <row r="46349">
      <c r="H46349" s="8" t="s">
        <v>364</v>
      </c>
    </row>
    <row r="46350">
      <c r="H46350" s="8" t="s">
        <v>364</v>
      </c>
    </row>
    <row r="46351">
      <c r="H46351" s="8" t="s">
        <v>364</v>
      </c>
    </row>
    <row r="46352">
      <c r="H46352" s="8" t="s">
        <v>364</v>
      </c>
    </row>
    <row r="46353">
      <c r="H46353" s="8" t="s">
        <v>364</v>
      </c>
    </row>
    <row r="46354">
      <c r="H46354" s="8" t="s">
        <v>364</v>
      </c>
    </row>
    <row r="46355">
      <c r="H46355" s="8" t="s">
        <v>364</v>
      </c>
    </row>
    <row r="46356">
      <c r="H46356" s="8" t="s">
        <v>364</v>
      </c>
    </row>
    <row r="46357">
      <c r="H46357" s="8" t="s">
        <v>364</v>
      </c>
    </row>
    <row r="46358">
      <c r="H46358" s="8" t="s">
        <v>364</v>
      </c>
    </row>
    <row r="46359">
      <c r="H46359" s="8" t="s">
        <v>364</v>
      </c>
    </row>
    <row r="46360">
      <c r="H46360" s="8" t="s">
        <v>364</v>
      </c>
    </row>
    <row r="46361">
      <c r="H46361" s="8" t="s">
        <v>364</v>
      </c>
    </row>
    <row r="46362">
      <c r="H46362" s="8" t="s">
        <v>364</v>
      </c>
    </row>
    <row r="46363">
      <c r="H46363" s="8" t="s">
        <v>364</v>
      </c>
    </row>
    <row r="46364">
      <c r="H46364" s="8" t="s">
        <v>364</v>
      </c>
    </row>
    <row r="46365">
      <c r="H46365" s="8" t="s">
        <v>364</v>
      </c>
    </row>
    <row r="46366">
      <c r="H46366" s="8" t="s">
        <v>364</v>
      </c>
    </row>
    <row r="46367">
      <c r="H46367" s="8" t="s">
        <v>364</v>
      </c>
    </row>
    <row r="46368">
      <c r="H46368" s="8" t="s">
        <v>364</v>
      </c>
    </row>
    <row r="46369">
      <c r="H46369" s="8" t="s">
        <v>364</v>
      </c>
    </row>
    <row r="46370">
      <c r="H46370" s="8" t="s">
        <v>364</v>
      </c>
    </row>
    <row r="46371">
      <c r="H46371" s="8" t="s">
        <v>364</v>
      </c>
    </row>
    <row r="46372">
      <c r="H46372" s="8" t="s">
        <v>364</v>
      </c>
    </row>
    <row r="46373">
      <c r="H46373" s="8" t="s">
        <v>364</v>
      </c>
    </row>
    <row r="46374">
      <c r="H46374" s="8" t="s">
        <v>364</v>
      </c>
    </row>
    <row r="46375">
      <c r="H46375" s="8" t="s">
        <v>364</v>
      </c>
    </row>
    <row r="46376">
      <c r="H46376" s="8" t="s">
        <v>364</v>
      </c>
    </row>
    <row r="46377">
      <c r="H46377" s="8" t="s">
        <v>364</v>
      </c>
    </row>
    <row r="46378">
      <c r="H46378" s="8" t="s">
        <v>364</v>
      </c>
    </row>
    <row r="46379">
      <c r="H46379" s="8" t="s">
        <v>364</v>
      </c>
    </row>
    <row r="46380">
      <c r="H46380" s="8" t="s">
        <v>364</v>
      </c>
    </row>
    <row r="46381">
      <c r="H46381" s="8" t="s">
        <v>364</v>
      </c>
    </row>
    <row r="46382">
      <c r="H46382" s="8" t="s">
        <v>364</v>
      </c>
    </row>
    <row r="46383">
      <c r="H46383" s="8" t="s">
        <v>364</v>
      </c>
    </row>
    <row r="46384">
      <c r="H46384" s="8" t="s">
        <v>364</v>
      </c>
    </row>
    <row r="46385">
      <c r="H46385" s="8" t="s">
        <v>364</v>
      </c>
    </row>
    <row r="46386">
      <c r="H46386" s="8" t="s">
        <v>364</v>
      </c>
    </row>
    <row r="46387">
      <c r="H46387" s="8" t="s">
        <v>364</v>
      </c>
    </row>
    <row r="46388">
      <c r="H46388" s="8" t="s">
        <v>364</v>
      </c>
    </row>
    <row r="46389">
      <c r="H46389" s="8" t="s">
        <v>364</v>
      </c>
    </row>
    <row r="46390">
      <c r="H46390" s="8" t="s">
        <v>364</v>
      </c>
    </row>
    <row r="46391">
      <c r="H46391" s="8" t="s">
        <v>364</v>
      </c>
    </row>
    <row r="46392">
      <c r="H46392" s="8" t="s">
        <v>364</v>
      </c>
    </row>
    <row r="46393">
      <c r="H46393" s="8" t="s">
        <v>364</v>
      </c>
    </row>
    <row r="46394">
      <c r="H46394" s="8" t="s">
        <v>364</v>
      </c>
    </row>
    <row r="46395">
      <c r="H46395" s="8" t="s">
        <v>364</v>
      </c>
    </row>
    <row r="46396">
      <c r="H46396" s="8" t="s">
        <v>364</v>
      </c>
    </row>
    <row r="46397">
      <c r="H46397" s="8" t="s">
        <v>364</v>
      </c>
    </row>
    <row r="46398">
      <c r="H46398" s="8" t="s">
        <v>364</v>
      </c>
    </row>
    <row r="46399">
      <c r="H46399" s="8" t="s">
        <v>364</v>
      </c>
    </row>
    <row r="46400">
      <c r="H46400" s="8" t="s">
        <v>364</v>
      </c>
    </row>
    <row r="46401">
      <c r="H46401" s="8" t="s">
        <v>364</v>
      </c>
    </row>
    <row r="46402">
      <c r="H46402" s="8" t="s">
        <v>364</v>
      </c>
    </row>
    <row r="46403">
      <c r="H46403" s="8" t="s">
        <v>364</v>
      </c>
    </row>
    <row r="46404">
      <c r="H46404" s="8" t="s">
        <v>364</v>
      </c>
    </row>
    <row r="46405">
      <c r="H46405" s="8" t="s">
        <v>364</v>
      </c>
    </row>
    <row r="46406">
      <c r="H46406" s="8" t="s">
        <v>364</v>
      </c>
    </row>
    <row r="46407">
      <c r="H46407" s="8" t="s">
        <v>364</v>
      </c>
    </row>
    <row r="46408">
      <c r="H46408" s="8" t="s">
        <v>364</v>
      </c>
    </row>
    <row r="46409">
      <c r="H46409" s="8" t="s">
        <v>364</v>
      </c>
    </row>
    <row r="46410">
      <c r="H46410" s="8" t="s">
        <v>364</v>
      </c>
    </row>
    <row r="46411">
      <c r="H46411" s="8" t="s">
        <v>364</v>
      </c>
    </row>
    <row r="46412">
      <c r="H46412" s="8" t="s">
        <v>364</v>
      </c>
    </row>
    <row r="46413">
      <c r="H46413" s="8" t="s">
        <v>364</v>
      </c>
    </row>
    <row r="46414">
      <c r="H46414" s="8" t="s">
        <v>364</v>
      </c>
    </row>
    <row r="46415">
      <c r="H46415" s="8" t="s">
        <v>364</v>
      </c>
    </row>
    <row r="46416">
      <c r="H46416" s="8" t="s">
        <v>364</v>
      </c>
    </row>
    <row r="46417">
      <c r="H46417" s="8" t="s">
        <v>364</v>
      </c>
    </row>
    <row r="46418">
      <c r="H46418" s="8" t="s">
        <v>364</v>
      </c>
    </row>
    <row r="46419">
      <c r="H46419" s="8" t="s">
        <v>364</v>
      </c>
    </row>
    <row r="46420">
      <c r="H46420" s="8" t="s">
        <v>364</v>
      </c>
    </row>
    <row r="46421">
      <c r="H46421" s="8" t="s">
        <v>364</v>
      </c>
    </row>
    <row r="46422">
      <c r="H46422" s="8" t="s">
        <v>364</v>
      </c>
    </row>
    <row r="46423">
      <c r="H46423" s="8" t="s">
        <v>364</v>
      </c>
    </row>
    <row r="46424">
      <c r="H46424" s="8" t="s">
        <v>364</v>
      </c>
    </row>
    <row r="46425">
      <c r="H46425" s="8" t="s">
        <v>364</v>
      </c>
    </row>
    <row r="46426">
      <c r="H46426" s="8" t="s">
        <v>364</v>
      </c>
    </row>
    <row r="46427">
      <c r="H46427" s="8" t="s">
        <v>364</v>
      </c>
    </row>
    <row r="46428">
      <c r="H46428" s="8" t="s">
        <v>364</v>
      </c>
    </row>
    <row r="46429">
      <c r="H46429" s="8" t="s">
        <v>364</v>
      </c>
    </row>
    <row r="46430">
      <c r="H46430" s="8" t="s">
        <v>364</v>
      </c>
    </row>
    <row r="46431">
      <c r="H46431" s="8" t="s">
        <v>364</v>
      </c>
    </row>
    <row r="46432">
      <c r="H46432" s="8" t="s">
        <v>364</v>
      </c>
    </row>
    <row r="46433">
      <c r="H46433" s="8" t="s">
        <v>364</v>
      </c>
    </row>
    <row r="46434">
      <c r="H46434" s="8" t="s">
        <v>364</v>
      </c>
    </row>
    <row r="46435">
      <c r="H46435" s="8" t="s">
        <v>364</v>
      </c>
    </row>
    <row r="46436">
      <c r="H46436" s="8" t="s">
        <v>364</v>
      </c>
    </row>
    <row r="46437">
      <c r="H46437" s="8" t="s">
        <v>364</v>
      </c>
    </row>
    <row r="46438">
      <c r="H46438" s="8" t="s">
        <v>364</v>
      </c>
    </row>
    <row r="46439">
      <c r="H46439" s="8" t="s">
        <v>364</v>
      </c>
    </row>
    <row r="46440">
      <c r="H46440" s="8" t="s">
        <v>364</v>
      </c>
    </row>
    <row r="46441">
      <c r="H46441" s="8" t="s">
        <v>364</v>
      </c>
    </row>
    <row r="46442">
      <c r="H46442" s="8" t="s">
        <v>364</v>
      </c>
    </row>
    <row r="46443">
      <c r="H46443" s="8" t="s">
        <v>364</v>
      </c>
    </row>
    <row r="46444">
      <c r="H46444" s="8" t="s">
        <v>364</v>
      </c>
    </row>
    <row r="46445">
      <c r="H46445" s="8" t="s">
        <v>364</v>
      </c>
    </row>
    <row r="46446">
      <c r="H46446" s="8" t="s">
        <v>364</v>
      </c>
    </row>
    <row r="46447">
      <c r="H46447" s="8" t="s">
        <v>364</v>
      </c>
    </row>
    <row r="46448">
      <c r="H46448" s="8" t="s">
        <v>364</v>
      </c>
    </row>
    <row r="46449">
      <c r="H46449" s="8" t="s">
        <v>364</v>
      </c>
    </row>
    <row r="46450">
      <c r="H46450" s="8" t="s">
        <v>364</v>
      </c>
    </row>
    <row r="46451">
      <c r="H46451" s="8" t="s">
        <v>364</v>
      </c>
    </row>
    <row r="46452">
      <c r="H46452" s="8" t="s">
        <v>364</v>
      </c>
    </row>
    <row r="46453">
      <c r="H46453" s="8" t="s">
        <v>364</v>
      </c>
    </row>
    <row r="46454">
      <c r="H46454" s="8" t="s">
        <v>364</v>
      </c>
    </row>
    <row r="46455">
      <c r="H46455" s="8" t="s">
        <v>364</v>
      </c>
    </row>
    <row r="46456">
      <c r="H46456" s="8" t="s">
        <v>364</v>
      </c>
    </row>
    <row r="46457">
      <c r="H46457" s="8" t="s">
        <v>364</v>
      </c>
    </row>
    <row r="46458">
      <c r="H46458" s="8" t="s">
        <v>364</v>
      </c>
    </row>
    <row r="46459">
      <c r="H46459" s="8" t="s">
        <v>364</v>
      </c>
    </row>
    <row r="46460">
      <c r="H46460" s="8" t="s">
        <v>364</v>
      </c>
    </row>
    <row r="46461">
      <c r="H46461" s="8" t="s">
        <v>364</v>
      </c>
    </row>
    <row r="46462">
      <c r="H46462" s="8" t="s">
        <v>364</v>
      </c>
    </row>
    <row r="46463">
      <c r="H46463" s="8" t="s">
        <v>364</v>
      </c>
    </row>
    <row r="46464">
      <c r="H46464" s="8" t="s">
        <v>364</v>
      </c>
    </row>
    <row r="46465">
      <c r="H46465" s="8" t="s">
        <v>364</v>
      </c>
    </row>
    <row r="46466">
      <c r="H46466" s="8" t="s">
        <v>364</v>
      </c>
    </row>
    <row r="46467">
      <c r="H46467" s="8" t="s">
        <v>364</v>
      </c>
    </row>
    <row r="46468">
      <c r="H46468" s="8" t="s">
        <v>364</v>
      </c>
    </row>
    <row r="46469">
      <c r="H46469" s="8" t="s">
        <v>364</v>
      </c>
    </row>
    <row r="46470">
      <c r="H46470" s="8" t="s">
        <v>364</v>
      </c>
    </row>
    <row r="46471">
      <c r="H46471" s="8" t="s">
        <v>364</v>
      </c>
    </row>
    <row r="46472">
      <c r="H46472" s="8" t="s">
        <v>364</v>
      </c>
    </row>
    <row r="46473">
      <c r="H46473" s="8" t="s">
        <v>364</v>
      </c>
    </row>
    <row r="46474">
      <c r="H46474" s="8" t="s">
        <v>364</v>
      </c>
    </row>
    <row r="46475">
      <c r="H46475" s="8" t="s">
        <v>364</v>
      </c>
    </row>
    <row r="46476">
      <c r="H46476" s="8" t="s">
        <v>364</v>
      </c>
    </row>
    <row r="46477">
      <c r="H46477" s="8" t="s">
        <v>364</v>
      </c>
    </row>
    <row r="46478">
      <c r="H46478" s="8" t="s">
        <v>364</v>
      </c>
    </row>
    <row r="46479">
      <c r="H46479" s="8" t="s">
        <v>364</v>
      </c>
    </row>
    <row r="46480">
      <c r="H46480" s="8" t="s">
        <v>364</v>
      </c>
    </row>
    <row r="46481">
      <c r="H46481" s="8" t="s">
        <v>364</v>
      </c>
    </row>
    <row r="46482">
      <c r="H46482" s="8" t="s">
        <v>364</v>
      </c>
    </row>
    <row r="46483">
      <c r="H46483" s="8" t="s">
        <v>364</v>
      </c>
    </row>
    <row r="46484">
      <c r="H46484" s="8" t="s">
        <v>364</v>
      </c>
    </row>
    <row r="46485">
      <c r="H46485" s="8" t="s">
        <v>364</v>
      </c>
    </row>
    <row r="46486">
      <c r="H46486" s="8" t="s">
        <v>364</v>
      </c>
    </row>
    <row r="46487">
      <c r="H46487" s="8" t="s">
        <v>364</v>
      </c>
    </row>
    <row r="46488">
      <c r="H46488" s="8" t="s">
        <v>364</v>
      </c>
    </row>
    <row r="46489">
      <c r="H46489" s="8" t="s">
        <v>364</v>
      </c>
    </row>
    <row r="46490">
      <c r="H46490" s="8" t="s">
        <v>364</v>
      </c>
    </row>
    <row r="46491">
      <c r="H46491" s="8" t="s">
        <v>364</v>
      </c>
    </row>
    <row r="46492">
      <c r="H46492" s="8" t="s">
        <v>364</v>
      </c>
    </row>
    <row r="46493">
      <c r="H46493" s="8" t="s">
        <v>364</v>
      </c>
    </row>
    <row r="46494">
      <c r="H46494" s="8" t="s">
        <v>364</v>
      </c>
    </row>
    <row r="46495">
      <c r="H46495" s="8" t="s">
        <v>364</v>
      </c>
    </row>
    <row r="46496">
      <c r="H46496" s="8" t="s">
        <v>364</v>
      </c>
    </row>
    <row r="46497">
      <c r="H46497" s="8" t="s">
        <v>364</v>
      </c>
    </row>
    <row r="46498">
      <c r="H46498" s="8" t="s">
        <v>364</v>
      </c>
    </row>
    <row r="46499">
      <c r="H46499" s="8" t="s">
        <v>364</v>
      </c>
    </row>
    <row r="46500">
      <c r="H46500" s="8" t="s">
        <v>364</v>
      </c>
    </row>
    <row r="46501">
      <c r="H46501" s="8" t="s">
        <v>364</v>
      </c>
    </row>
    <row r="46502">
      <c r="H46502" s="8" t="s">
        <v>364</v>
      </c>
    </row>
    <row r="46503">
      <c r="H46503" s="8" t="s">
        <v>364</v>
      </c>
    </row>
    <row r="46504">
      <c r="H46504" s="8" t="s">
        <v>364</v>
      </c>
    </row>
    <row r="46505">
      <c r="H46505" s="8" t="s">
        <v>364</v>
      </c>
    </row>
    <row r="46506">
      <c r="H46506" s="8" t="s">
        <v>364</v>
      </c>
    </row>
    <row r="46507">
      <c r="H46507" s="8" t="s">
        <v>364</v>
      </c>
    </row>
    <row r="46508">
      <c r="H46508" s="8" t="s">
        <v>364</v>
      </c>
    </row>
    <row r="46509">
      <c r="H46509" s="8" t="s">
        <v>364</v>
      </c>
    </row>
    <row r="46510">
      <c r="H46510" s="8" t="s">
        <v>364</v>
      </c>
    </row>
    <row r="46511">
      <c r="H46511" s="8" t="s">
        <v>364</v>
      </c>
    </row>
    <row r="46512">
      <c r="H46512" s="8" t="s">
        <v>364</v>
      </c>
    </row>
    <row r="46513">
      <c r="H46513" s="8" t="s">
        <v>364</v>
      </c>
    </row>
    <row r="46514">
      <c r="H46514" s="8" t="s">
        <v>364</v>
      </c>
    </row>
    <row r="46515">
      <c r="H46515" s="8" t="s">
        <v>364</v>
      </c>
    </row>
    <row r="46516">
      <c r="H46516" s="8" t="s">
        <v>364</v>
      </c>
    </row>
    <row r="46517">
      <c r="H46517" s="8" t="s">
        <v>364</v>
      </c>
    </row>
    <row r="46518">
      <c r="H46518" s="8" t="s">
        <v>364</v>
      </c>
    </row>
    <row r="46519">
      <c r="H46519" s="8" t="s">
        <v>364</v>
      </c>
    </row>
    <row r="46520">
      <c r="H46520" s="8" t="s">
        <v>364</v>
      </c>
    </row>
    <row r="46521">
      <c r="H46521" s="8" t="s">
        <v>364</v>
      </c>
    </row>
    <row r="46522">
      <c r="H46522" s="8" t="s">
        <v>364</v>
      </c>
    </row>
    <row r="46523">
      <c r="H46523" s="8" t="s">
        <v>364</v>
      </c>
    </row>
    <row r="46524">
      <c r="H46524" s="8" t="s">
        <v>364</v>
      </c>
    </row>
    <row r="46525">
      <c r="H46525" s="8" t="s">
        <v>364</v>
      </c>
    </row>
    <row r="46526">
      <c r="H46526" s="8" t="s">
        <v>364</v>
      </c>
    </row>
    <row r="46527">
      <c r="H46527" s="8" t="s">
        <v>364</v>
      </c>
    </row>
    <row r="46528">
      <c r="H46528" s="8" t="s">
        <v>364</v>
      </c>
    </row>
    <row r="46529">
      <c r="H46529" s="8" t="s">
        <v>364</v>
      </c>
    </row>
    <row r="46530">
      <c r="H46530" s="8" t="s">
        <v>364</v>
      </c>
    </row>
    <row r="46531">
      <c r="H46531" s="8" t="s">
        <v>364</v>
      </c>
    </row>
    <row r="46532">
      <c r="H46532" s="8" t="s">
        <v>364</v>
      </c>
    </row>
    <row r="46533">
      <c r="H46533" s="8" t="s">
        <v>364</v>
      </c>
    </row>
    <row r="46534">
      <c r="H46534" s="8" t="s">
        <v>364</v>
      </c>
    </row>
    <row r="46535">
      <c r="H46535" s="8" t="s">
        <v>364</v>
      </c>
    </row>
    <row r="46536">
      <c r="H46536" s="8" t="s">
        <v>364</v>
      </c>
    </row>
    <row r="46537">
      <c r="H46537" s="8" t="s">
        <v>364</v>
      </c>
    </row>
    <row r="46538">
      <c r="H46538" s="8" t="s">
        <v>364</v>
      </c>
    </row>
    <row r="46539">
      <c r="H46539" s="8" t="s">
        <v>364</v>
      </c>
    </row>
    <row r="46540">
      <c r="H46540" s="8" t="s">
        <v>364</v>
      </c>
    </row>
    <row r="46541">
      <c r="H46541" s="8" t="s">
        <v>364</v>
      </c>
    </row>
    <row r="46542">
      <c r="H46542" s="8" t="s">
        <v>364</v>
      </c>
    </row>
    <row r="46543">
      <c r="H46543" s="8" t="s">
        <v>364</v>
      </c>
    </row>
    <row r="46544">
      <c r="H46544" s="8" t="s">
        <v>364</v>
      </c>
    </row>
    <row r="46545">
      <c r="H46545" s="8" t="s">
        <v>364</v>
      </c>
    </row>
    <row r="46546">
      <c r="H46546" s="8" t="s">
        <v>364</v>
      </c>
    </row>
    <row r="46547">
      <c r="H46547" s="8" t="s">
        <v>364</v>
      </c>
    </row>
    <row r="46548">
      <c r="H46548" s="8" t="s">
        <v>364</v>
      </c>
    </row>
    <row r="46549">
      <c r="H46549" s="8" t="s">
        <v>364</v>
      </c>
    </row>
    <row r="46550">
      <c r="H46550" s="8" t="s">
        <v>364</v>
      </c>
    </row>
    <row r="46551">
      <c r="H46551" s="8" t="s">
        <v>364</v>
      </c>
    </row>
    <row r="46552">
      <c r="H46552" s="8" t="s">
        <v>364</v>
      </c>
    </row>
    <row r="46553">
      <c r="H46553" s="8" t="s">
        <v>364</v>
      </c>
    </row>
    <row r="46554">
      <c r="H46554" s="8" t="s">
        <v>364</v>
      </c>
    </row>
    <row r="46555">
      <c r="H46555" s="8" t="s">
        <v>364</v>
      </c>
    </row>
    <row r="46556">
      <c r="H46556" s="8" t="s">
        <v>364</v>
      </c>
    </row>
    <row r="46557">
      <c r="H46557" s="8" t="s">
        <v>364</v>
      </c>
    </row>
    <row r="46558">
      <c r="H46558" s="8" t="s">
        <v>364</v>
      </c>
    </row>
    <row r="46559">
      <c r="H46559" s="8" t="s">
        <v>364</v>
      </c>
    </row>
    <row r="46560">
      <c r="H46560" s="8" t="s">
        <v>364</v>
      </c>
    </row>
    <row r="46561">
      <c r="H46561" s="8" t="s">
        <v>364</v>
      </c>
    </row>
    <row r="46562">
      <c r="H46562" s="8" t="s">
        <v>364</v>
      </c>
    </row>
    <row r="46563">
      <c r="H46563" s="8" t="s">
        <v>364</v>
      </c>
    </row>
    <row r="46564">
      <c r="H46564" s="8" t="s">
        <v>364</v>
      </c>
    </row>
    <row r="46565">
      <c r="H46565" s="8" t="s">
        <v>364</v>
      </c>
    </row>
    <row r="46566">
      <c r="H46566" s="8" t="s">
        <v>364</v>
      </c>
    </row>
    <row r="46567">
      <c r="H46567" s="8" t="s">
        <v>364</v>
      </c>
    </row>
    <row r="46568">
      <c r="H46568" s="8" t="s">
        <v>364</v>
      </c>
    </row>
    <row r="46569">
      <c r="H46569" s="8" t="s">
        <v>364</v>
      </c>
    </row>
    <row r="46570">
      <c r="H46570" s="8" t="s">
        <v>364</v>
      </c>
    </row>
    <row r="46571">
      <c r="H46571" s="8" t="s">
        <v>364</v>
      </c>
    </row>
    <row r="46572">
      <c r="H46572" s="8" t="s">
        <v>364</v>
      </c>
    </row>
    <row r="46573">
      <c r="H46573" s="8" t="s">
        <v>364</v>
      </c>
    </row>
    <row r="46574">
      <c r="H46574" s="8" t="s">
        <v>364</v>
      </c>
    </row>
    <row r="46575">
      <c r="H46575" s="8" t="s">
        <v>364</v>
      </c>
    </row>
    <row r="46576">
      <c r="H46576" s="8" t="s">
        <v>364</v>
      </c>
    </row>
    <row r="46577">
      <c r="H46577" s="8" t="s">
        <v>364</v>
      </c>
    </row>
    <row r="46578">
      <c r="H46578" s="8" t="s">
        <v>364</v>
      </c>
    </row>
    <row r="46579">
      <c r="H46579" s="8" t="s">
        <v>364</v>
      </c>
    </row>
    <row r="46580">
      <c r="H46580" s="8" t="s">
        <v>364</v>
      </c>
    </row>
    <row r="46581">
      <c r="H46581" s="8" t="s">
        <v>364</v>
      </c>
    </row>
    <row r="46582">
      <c r="H46582" s="8" t="s">
        <v>364</v>
      </c>
    </row>
    <row r="46583">
      <c r="H46583" s="8" t="s">
        <v>364</v>
      </c>
    </row>
    <row r="46584">
      <c r="H46584" s="8" t="s">
        <v>364</v>
      </c>
    </row>
    <row r="46585">
      <c r="H46585" s="8" t="s">
        <v>364</v>
      </c>
    </row>
    <row r="46586">
      <c r="H46586" s="8" t="s">
        <v>364</v>
      </c>
    </row>
    <row r="46587">
      <c r="H46587" s="8" t="s">
        <v>364</v>
      </c>
    </row>
    <row r="46588">
      <c r="H46588" s="8" t="s">
        <v>364</v>
      </c>
    </row>
    <row r="46589">
      <c r="H46589" s="8" t="s">
        <v>364</v>
      </c>
    </row>
    <row r="46590">
      <c r="H46590" s="8" t="s">
        <v>364</v>
      </c>
    </row>
    <row r="46591">
      <c r="H46591" s="8" t="s">
        <v>364</v>
      </c>
    </row>
    <row r="46592">
      <c r="H46592" s="8" t="s">
        <v>364</v>
      </c>
    </row>
    <row r="46593">
      <c r="H46593" s="8" t="s">
        <v>364</v>
      </c>
    </row>
    <row r="46594">
      <c r="H46594" s="8" t="s">
        <v>364</v>
      </c>
    </row>
    <row r="46595">
      <c r="H46595" s="8" t="s">
        <v>364</v>
      </c>
    </row>
    <row r="46596">
      <c r="H46596" s="8" t="s">
        <v>364</v>
      </c>
    </row>
    <row r="46597">
      <c r="H46597" s="8" t="s">
        <v>364</v>
      </c>
    </row>
    <row r="46598">
      <c r="H46598" s="8" t="s">
        <v>364</v>
      </c>
    </row>
    <row r="46599">
      <c r="H46599" s="8" t="s">
        <v>364</v>
      </c>
    </row>
    <row r="46600">
      <c r="H46600" s="8" t="s">
        <v>364</v>
      </c>
    </row>
    <row r="46601">
      <c r="H46601" s="8" t="s">
        <v>364</v>
      </c>
    </row>
    <row r="46602">
      <c r="H46602" s="8" t="s">
        <v>364</v>
      </c>
    </row>
    <row r="46603">
      <c r="H46603" s="8" t="s">
        <v>364</v>
      </c>
    </row>
    <row r="46604">
      <c r="H46604" s="8" t="s">
        <v>364</v>
      </c>
    </row>
    <row r="46605">
      <c r="H46605" s="8" t="s">
        <v>364</v>
      </c>
    </row>
    <row r="46606">
      <c r="H46606" s="8" t="s">
        <v>364</v>
      </c>
    </row>
    <row r="46607">
      <c r="H46607" s="8" t="s">
        <v>364</v>
      </c>
    </row>
    <row r="46608">
      <c r="H46608" s="8" t="s">
        <v>364</v>
      </c>
    </row>
    <row r="46609">
      <c r="H46609" s="8" t="s">
        <v>364</v>
      </c>
    </row>
    <row r="46610">
      <c r="H46610" s="8" t="s">
        <v>364</v>
      </c>
    </row>
    <row r="46611">
      <c r="H46611" s="8" t="s">
        <v>364</v>
      </c>
    </row>
    <row r="46612">
      <c r="H46612" s="8" t="s">
        <v>364</v>
      </c>
    </row>
    <row r="46613">
      <c r="H46613" s="8" t="s">
        <v>364</v>
      </c>
    </row>
    <row r="46614">
      <c r="H46614" s="8" t="s">
        <v>364</v>
      </c>
    </row>
    <row r="46615">
      <c r="H46615" s="8" t="s">
        <v>364</v>
      </c>
    </row>
    <row r="46616">
      <c r="H46616" s="8" t="s">
        <v>364</v>
      </c>
    </row>
    <row r="46617">
      <c r="H46617" s="8" t="s">
        <v>364</v>
      </c>
    </row>
    <row r="46618">
      <c r="H46618" s="8" t="s">
        <v>364</v>
      </c>
    </row>
    <row r="46619">
      <c r="H46619" s="8" t="s">
        <v>364</v>
      </c>
    </row>
    <row r="46620">
      <c r="H46620" s="8" t="s">
        <v>364</v>
      </c>
    </row>
    <row r="46621">
      <c r="H46621" s="8" t="s">
        <v>364</v>
      </c>
    </row>
    <row r="46622">
      <c r="H46622" s="8" t="s">
        <v>364</v>
      </c>
    </row>
    <row r="46623">
      <c r="H46623" s="8" t="s">
        <v>364</v>
      </c>
    </row>
    <row r="46624">
      <c r="H46624" s="8" t="s">
        <v>364</v>
      </c>
    </row>
    <row r="46625">
      <c r="H46625" s="8" t="s">
        <v>364</v>
      </c>
    </row>
    <row r="46626">
      <c r="H46626" s="8" t="s">
        <v>364</v>
      </c>
    </row>
    <row r="46627">
      <c r="H46627" s="8" t="s">
        <v>364</v>
      </c>
    </row>
    <row r="46628">
      <c r="H46628" s="8" t="s">
        <v>364</v>
      </c>
    </row>
    <row r="46629">
      <c r="H46629" s="8" t="s">
        <v>364</v>
      </c>
    </row>
    <row r="46630">
      <c r="H46630" s="8" t="s">
        <v>364</v>
      </c>
    </row>
    <row r="46631">
      <c r="H46631" s="8" t="s">
        <v>364</v>
      </c>
    </row>
    <row r="46632">
      <c r="H46632" s="8" t="s">
        <v>364</v>
      </c>
    </row>
    <row r="46633">
      <c r="H46633" s="8" t="s">
        <v>364</v>
      </c>
    </row>
    <row r="46634">
      <c r="H46634" s="8" t="s">
        <v>364</v>
      </c>
    </row>
    <row r="46635">
      <c r="H46635" s="8" t="s">
        <v>364</v>
      </c>
    </row>
    <row r="46636">
      <c r="H46636" s="8" t="s">
        <v>364</v>
      </c>
    </row>
    <row r="46637">
      <c r="H46637" s="8" t="s">
        <v>364</v>
      </c>
    </row>
    <row r="46638">
      <c r="H46638" s="8" t="s">
        <v>364</v>
      </c>
    </row>
    <row r="46639">
      <c r="H46639" s="8" t="s">
        <v>364</v>
      </c>
    </row>
    <row r="46640">
      <c r="H46640" s="8" t="s">
        <v>364</v>
      </c>
    </row>
    <row r="46641">
      <c r="H46641" s="8" t="s">
        <v>364</v>
      </c>
    </row>
    <row r="46642">
      <c r="H46642" s="8" t="s">
        <v>364</v>
      </c>
    </row>
    <row r="46643">
      <c r="H46643" s="8" t="s">
        <v>364</v>
      </c>
    </row>
    <row r="46644">
      <c r="H46644" s="8" t="s">
        <v>364</v>
      </c>
    </row>
    <row r="46645">
      <c r="H46645" s="8" t="s">
        <v>364</v>
      </c>
    </row>
    <row r="46646">
      <c r="H46646" s="8" t="s">
        <v>364</v>
      </c>
    </row>
    <row r="46647">
      <c r="H46647" s="8" t="s">
        <v>364</v>
      </c>
    </row>
    <row r="46648">
      <c r="H46648" s="8" t="s">
        <v>364</v>
      </c>
    </row>
    <row r="46649">
      <c r="H46649" s="8" t="s">
        <v>364</v>
      </c>
    </row>
    <row r="46650">
      <c r="H46650" s="8" t="s">
        <v>364</v>
      </c>
    </row>
    <row r="46651">
      <c r="H46651" s="8" t="s">
        <v>364</v>
      </c>
    </row>
    <row r="46652">
      <c r="H46652" s="8" t="s">
        <v>364</v>
      </c>
    </row>
    <row r="46653">
      <c r="H46653" s="8" t="s">
        <v>364</v>
      </c>
    </row>
    <row r="46654">
      <c r="H46654" s="8" t="s">
        <v>364</v>
      </c>
    </row>
    <row r="46655">
      <c r="H46655" s="8" t="s">
        <v>364</v>
      </c>
    </row>
    <row r="46656">
      <c r="H46656" s="8" t="s">
        <v>364</v>
      </c>
    </row>
    <row r="46657">
      <c r="H46657" s="8" t="s">
        <v>364</v>
      </c>
    </row>
    <row r="46658">
      <c r="H46658" s="8" t="s">
        <v>364</v>
      </c>
    </row>
    <row r="46659">
      <c r="H46659" s="8" t="s">
        <v>364</v>
      </c>
    </row>
    <row r="46660">
      <c r="H46660" s="8" t="s">
        <v>364</v>
      </c>
    </row>
    <row r="46661">
      <c r="H46661" s="8" t="s">
        <v>364</v>
      </c>
    </row>
    <row r="46662">
      <c r="H46662" s="8" t="s">
        <v>364</v>
      </c>
    </row>
    <row r="46663">
      <c r="H46663" s="8" t="s">
        <v>364</v>
      </c>
    </row>
    <row r="46664">
      <c r="H46664" s="8" t="s">
        <v>364</v>
      </c>
    </row>
    <row r="46665">
      <c r="H46665" s="8" t="s">
        <v>364</v>
      </c>
    </row>
    <row r="46666">
      <c r="H46666" s="8" t="s">
        <v>364</v>
      </c>
    </row>
    <row r="46667">
      <c r="H46667" s="8" t="s">
        <v>364</v>
      </c>
    </row>
    <row r="46668">
      <c r="H46668" s="8" t="s">
        <v>364</v>
      </c>
    </row>
    <row r="46669">
      <c r="H46669" s="8" t="s">
        <v>364</v>
      </c>
    </row>
    <row r="46670">
      <c r="H46670" s="8" t="s">
        <v>364</v>
      </c>
    </row>
    <row r="46671">
      <c r="H46671" s="8" t="s">
        <v>364</v>
      </c>
    </row>
    <row r="46672">
      <c r="H46672" s="8" t="s">
        <v>364</v>
      </c>
    </row>
    <row r="46673">
      <c r="H46673" s="8" t="s">
        <v>364</v>
      </c>
    </row>
    <row r="46674">
      <c r="H46674" s="8" t="s">
        <v>364</v>
      </c>
    </row>
    <row r="46675">
      <c r="H46675" s="8" t="s">
        <v>364</v>
      </c>
    </row>
    <row r="46676">
      <c r="H46676" s="8" t="s">
        <v>364</v>
      </c>
    </row>
    <row r="46677">
      <c r="H46677" s="8" t="s">
        <v>364</v>
      </c>
    </row>
    <row r="46678">
      <c r="H46678" s="8" t="s">
        <v>364</v>
      </c>
    </row>
    <row r="46679">
      <c r="H46679" s="8" t="s">
        <v>364</v>
      </c>
    </row>
    <row r="46680">
      <c r="H46680" s="8" t="s">
        <v>364</v>
      </c>
    </row>
    <row r="46681">
      <c r="H46681" s="8" t="s">
        <v>364</v>
      </c>
    </row>
    <row r="46682">
      <c r="H46682" s="8" t="s">
        <v>364</v>
      </c>
    </row>
    <row r="46683">
      <c r="H46683" s="8" t="s">
        <v>364</v>
      </c>
    </row>
    <row r="46684">
      <c r="H46684" s="8" t="s">
        <v>364</v>
      </c>
    </row>
    <row r="46685">
      <c r="H46685" s="8" t="s">
        <v>364</v>
      </c>
    </row>
    <row r="46686">
      <c r="H46686" s="8" t="s">
        <v>364</v>
      </c>
    </row>
    <row r="46687">
      <c r="H46687" s="8" t="s">
        <v>364</v>
      </c>
    </row>
    <row r="46688">
      <c r="H46688" s="8" t="s">
        <v>364</v>
      </c>
    </row>
    <row r="46689">
      <c r="H46689" s="8" t="s">
        <v>364</v>
      </c>
    </row>
    <row r="46690">
      <c r="H46690" s="8" t="s">
        <v>364</v>
      </c>
    </row>
    <row r="46691">
      <c r="H46691" s="8" t="s">
        <v>364</v>
      </c>
    </row>
    <row r="46692">
      <c r="H46692" s="8" t="s">
        <v>364</v>
      </c>
    </row>
    <row r="46693">
      <c r="H46693" s="8" t="s">
        <v>364</v>
      </c>
    </row>
    <row r="46694">
      <c r="H46694" s="8" t="s">
        <v>364</v>
      </c>
    </row>
    <row r="46695">
      <c r="H46695" s="8" t="s">
        <v>364</v>
      </c>
    </row>
    <row r="46696">
      <c r="H46696" s="8" t="s">
        <v>364</v>
      </c>
    </row>
    <row r="46697">
      <c r="H46697" s="8" t="s">
        <v>364</v>
      </c>
    </row>
    <row r="46698">
      <c r="H46698" s="8" t="s">
        <v>364</v>
      </c>
    </row>
    <row r="46699">
      <c r="H46699" s="8" t="s">
        <v>364</v>
      </c>
    </row>
    <row r="46700">
      <c r="H46700" s="8" t="s">
        <v>364</v>
      </c>
    </row>
    <row r="46701">
      <c r="H46701" s="8" t="s">
        <v>364</v>
      </c>
    </row>
    <row r="46702">
      <c r="H46702" s="8" t="s">
        <v>364</v>
      </c>
    </row>
    <row r="46703">
      <c r="H46703" s="8" t="s">
        <v>364</v>
      </c>
    </row>
    <row r="46704">
      <c r="H46704" s="8" t="s">
        <v>364</v>
      </c>
    </row>
    <row r="46705">
      <c r="H46705" s="8" t="s">
        <v>364</v>
      </c>
    </row>
    <row r="46706">
      <c r="H46706" s="8" t="s">
        <v>364</v>
      </c>
    </row>
    <row r="46707">
      <c r="H46707" s="8" t="s">
        <v>364</v>
      </c>
    </row>
    <row r="46708">
      <c r="H46708" s="8" t="s">
        <v>364</v>
      </c>
    </row>
    <row r="46709">
      <c r="H46709" s="8" t="s">
        <v>364</v>
      </c>
    </row>
    <row r="46710">
      <c r="H46710" s="8" t="s">
        <v>364</v>
      </c>
    </row>
    <row r="46711">
      <c r="H46711" s="8" t="s">
        <v>364</v>
      </c>
    </row>
    <row r="46712">
      <c r="H46712" s="8" t="s">
        <v>364</v>
      </c>
    </row>
    <row r="46713">
      <c r="H46713" s="8" t="s">
        <v>364</v>
      </c>
    </row>
    <row r="46714">
      <c r="H46714" s="8" t="s">
        <v>364</v>
      </c>
    </row>
    <row r="46715">
      <c r="H46715" s="8" t="s">
        <v>364</v>
      </c>
    </row>
    <row r="46716">
      <c r="H46716" s="8" t="s">
        <v>364</v>
      </c>
    </row>
    <row r="46717">
      <c r="H46717" s="8" t="s">
        <v>364</v>
      </c>
    </row>
    <row r="46718">
      <c r="H46718" s="8" t="s">
        <v>364</v>
      </c>
    </row>
    <row r="46719">
      <c r="H46719" s="8" t="s">
        <v>364</v>
      </c>
    </row>
    <row r="46720">
      <c r="H46720" s="8" t="s">
        <v>364</v>
      </c>
    </row>
    <row r="46721">
      <c r="H46721" s="8" t="s">
        <v>364</v>
      </c>
    </row>
    <row r="46722">
      <c r="H46722" s="8" t="s">
        <v>364</v>
      </c>
    </row>
    <row r="46723">
      <c r="H46723" s="8" t="s">
        <v>364</v>
      </c>
    </row>
    <row r="46724">
      <c r="H46724" s="8" t="s">
        <v>364</v>
      </c>
    </row>
    <row r="46725">
      <c r="H46725" s="8" t="s">
        <v>364</v>
      </c>
    </row>
    <row r="46726">
      <c r="H46726" s="8" t="s">
        <v>364</v>
      </c>
    </row>
    <row r="46727">
      <c r="H46727" s="8" t="s">
        <v>364</v>
      </c>
    </row>
    <row r="46728">
      <c r="H46728" s="8" t="s">
        <v>364</v>
      </c>
    </row>
    <row r="46729">
      <c r="H46729" s="8" t="s">
        <v>364</v>
      </c>
    </row>
    <row r="46730">
      <c r="H46730" s="8" t="s">
        <v>364</v>
      </c>
    </row>
    <row r="46731">
      <c r="H46731" s="8" t="s">
        <v>364</v>
      </c>
    </row>
    <row r="46732">
      <c r="H46732" s="8" t="s">
        <v>364</v>
      </c>
    </row>
    <row r="46733">
      <c r="H46733" s="8" t="s">
        <v>364</v>
      </c>
    </row>
    <row r="46734">
      <c r="H46734" s="8" t="s">
        <v>364</v>
      </c>
    </row>
    <row r="46735">
      <c r="H46735" s="8" t="s">
        <v>364</v>
      </c>
    </row>
    <row r="46736">
      <c r="H46736" s="8" t="s">
        <v>364</v>
      </c>
    </row>
    <row r="46737">
      <c r="H46737" s="8" t="s">
        <v>364</v>
      </c>
    </row>
    <row r="46738">
      <c r="H46738" s="8" t="s">
        <v>364</v>
      </c>
    </row>
    <row r="46739">
      <c r="H46739" s="8" t="s">
        <v>364</v>
      </c>
    </row>
    <row r="46740">
      <c r="H46740" s="8" t="s">
        <v>364</v>
      </c>
    </row>
    <row r="46741">
      <c r="H46741" s="8" t="s">
        <v>364</v>
      </c>
    </row>
    <row r="46742">
      <c r="H46742" s="8" t="s">
        <v>364</v>
      </c>
    </row>
    <row r="46743">
      <c r="H46743" s="8" t="s">
        <v>364</v>
      </c>
    </row>
    <row r="46744">
      <c r="H46744" s="8" t="s">
        <v>364</v>
      </c>
    </row>
    <row r="46745">
      <c r="H46745" s="8" t="s">
        <v>364</v>
      </c>
    </row>
    <row r="46746">
      <c r="H46746" s="8" t="s">
        <v>364</v>
      </c>
    </row>
    <row r="46747">
      <c r="H46747" s="8" t="s">
        <v>364</v>
      </c>
    </row>
    <row r="46748">
      <c r="H46748" s="8" t="s">
        <v>364</v>
      </c>
    </row>
    <row r="46749">
      <c r="H46749" s="8" t="s">
        <v>364</v>
      </c>
    </row>
    <row r="46750">
      <c r="H46750" s="8" t="s">
        <v>364</v>
      </c>
    </row>
    <row r="46751">
      <c r="H46751" s="8" t="s">
        <v>364</v>
      </c>
    </row>
    <row r="46752">
      <c r="H46752" s="8" t="s">
        <v>364</v>
      </c>
    </row>
    <row r="46753">
      <c r="H46753" s="8" t="s">
        <v>364</v>
      </c>
    </row>
    <row r="46754">
      <c r="H46754" s="8" t="s">
        <v>364</v>
      </c>
    </row>
    <row r="46755">
      <c r="H46755" s="8" t="s">
        <v>364</v>
      </c>
    </row>
    <row r="46756">
      <c r="H46756" s="8" t="s">
        <v>364</v>
      </c>
    </row>
    <row r="46757">
      <c r="H46757" s="8" t="s">
        <v>364</v>
      </c>
    </row>
    <row r="46758">
      <c r="H46758" s="8" t="s">
        <v>364</v>
      </c>
    </row>
    <row r="46759">
      <c r="H46759" s="8" t="s">
        <v>364</v>
      </c>
    </row>
    <row r="46760">
      <c r="H46760" s="8" t="s">
        <v>364</v>
      </c>
    </row>
    <row r="46761">
      <c r="H46761" s="8" t="s">
        <v>364</v>
      </c>
    </row>
    <row r="46762">
      <c r="H46762" s="8" t="s">
        <v>364</v>
      </c>
    </row>
    <row r="46763">
      <c r="H46763" s="8" t="s">
        <v>364</v>
      </c>
    </row>
    <row r="46764">
      <c r="H46764" s="8" t="s">
        <v>364</v>
      </c>
    </row>
    <row r="46765">
      <c r="H46765" s="8" t="s">
        <v>364</v>
      </c>
    </row>
    <row r="46766">
      <c r="H46766" s="8" t="s">
        <v>364</v>
      </c>
    </row>
    <row r="46767">
      <c r="H46767" s="8" t="s">
        <v>364</v>
      </c>
    </row>
    <row r="46768">
      <c r="H46768" s="8" t="s">
        <v>364</v>
      </c>
    </row>
    <row r="46769">
      <c r="H46769" s="8" t="s">
        <v>364</v>
      </c>
    </row>
    <row r="46770">
      <c r="H46770" s="8" t="s">
        <v>364</v>
      </c>
    </row>
    <row r="46771">
      <c r="H46771" s="8" t="s">
        <v>364</v>
      </c>
    </row>
    <row r="46772">
      <c r="H46772" s="8" t="s">
        <v>364</v>
      </c>
    </row>
    <row r="46773">
      <c r="H46773" s="8" t="s">
        <v>364</v>
      </c>
    </row>
    <row r="46774">
      <c r="H46774" s="8" t="s">
        <v>364</v>
      </c>
    </row>
    <row r="46775">
      <c r="H46775" s="8" t="s">
        <v>364</v>
      </c>
    </row>
    <row r="46776">
      <c r="H46776" s="8" t="s">
        <v>364</v>
      </c>
    </row>
    <row r="46777">
      <c r="H46777" s="8" t="s">
        <v>364</v>
      </c>
    </row>
    <row r="46778">
      <c r="H46778" s="8" t="s">
        <v>364</v>
      </c>
    </row>
    <row r="46779">
      <c r="H46779" s="8" t="s">
        <v>364</v>
      </c>
    </row>
    <row r="46780">
      <c r="H46780" s="8" t="s">
        <v>364</v>
      </c>
    </row>
    <row r="46781">
      <c r="H46781" s="8" t="s">
        <v>364</v>
      </c>
    </row>
    <row r="46782">
      <c r="H46782" s="8" t="s">
        <v>364</v>
      </c>
    </row>
    <row r="46783">
      <c r="H46783" s="8" t="s">
        <v>364</v>
      </c>
    </row>
    <row r="46784">
      <c r="H46784" s="8" t="s">
        <v>364</v>
      </c>
    </row>
    <row r="46785">
      <c r="H46785" s="8" t="s">
        <v>364</v>
      </c>
    </row>
    <row r="46786">
      <c r="H46786" s="8" t="s">
        <v>364</v>
      </c>
    </row>
    <row r="46787">
      <c r="H46787" s="8" t="s">
        <v>364</v>
      </c>
    </row>
    <row r="46788">
      <c r="H46788" s="8" t="s">
        <v>364</v>
      </c>
    </row>
    <row r="46789">
      <c r="H46789" s="8" t="s">
        <v>364</v>
      </c>
    </row>
    <row r="46790">
      <c r="H46790" s="8" t="s">
        <v>364</v>
      </c>
    </row>
    <row r="46791">
      <c r="H46791" s="8" t="s">
        <v>364</v>
      </c>
    </row>
    <row r="46792">
      <c r="H46792" s="8" t="s">
        <v>364</v>
      </c>
    </row>
    <row r="46793">
      <c r="H46793" s="8" t="s">
        <v>364</v>
      </c>
    </row>
    <row r="46794">
      <c r="H46794" s="8" t="s">
        <v>364</v>
      </c>
    </row>
    <row r="46795">
      <c r="H46795" s="8" t="s">
        <v>364</v>
      </c>
    </row>
    <row r="46796">
      <c r="H46796" s="8" t="s">
        <v>364</v>
      </c>
    </row>
    <row r="46797">
      <c r="H46797" s="8" t="s">
        <v>364</v>
      </c>
    </row>
    <row r="46798">
      <c r="H46798" s="8" t="s">
        <v>364</v>
      </c>
    </row>
    <row r="46799">
      <c r="H46799" s="8" t="s">
        <v>364</v>
      </c>
    </row>
    <row r="46800">
      <c r="H46800" s="8" t="s">
        <v>364</v>
      </c>
    </row>
    <row r="46801">
      <c r="H46801" s="8" t="s">
        <v>364</v>
      </c>
    </row>
    <row r="46802">
      <c r="H46802" s="8" t="s">
        <v>364</v>
      </c>
    </row>
    <row r="46803">
      <c r="H46803" s="8" t="s">
        <v>364</v>
      </c>
    </row>
    <row r="46804">
      <c r="H46804" s="8" t="s">
        <v>364</v>
      </c>
    </row>
    <row r="46805">
      <c r="H46805" s="8" t="s">
        <v>364</v>
      </c>
    </row>
    <row r="46806">
      <c r="H46806" s="8" t="s">
        <v>364</v>
      </c>
    </row>
    <row r="46807">
      <c r="H46807" s="8" t="s">
        <v>364</v>
      </c>
    </row>
    <row r="46808">
      <c r="H46808" s="8" t="s">
        <v>364</v>
      </c>
    </row>
    <row r="46809">
      <c r="H46809" s="8" t="s">
        <v>364</v>
      </c>
    </row>
    <row r="46810">
      <c r="H46810" s="8" t="s">
        <v>364</v>
      </c>
    </row>
    <row r="46811">
      <c r="H46811" s="8" t="s">
        <v>364</v>
      </c>
    </row>
    <row r="46812">
      <c r="H46812" s="8" t="s">
        <v>364</v>
      </c>
    </row>
    <row r="46813">
      <c r="H46813" s="8" t="s">
        <v>364</v>
      </c>
    </row>
    <row r="46814">
      <c r="H46814" s="8" t="s">
        <v>364</v>
      </c>
    </row>
    <row r="46815">
      <c r="H46815" s="8" t="s">
        <v>364</v>
      </c>
    </row>
    <row r="46816">
      <c r="H46816" s="8" t="s">
        <v>364</v>
      </c>
    </row>
    <row r="46817">
      <c r="H46817" s="8" t="s">
        <v>364</v>
      </c>
    </row>
    <row r="46818">
      <c r="H46818" s="8" t="s">
        <v>364</v>
      </c>
    </row>
    <row r="46819">
      <c r="H46819" s="8" t="s">
        <v>364</v>
      </c>
    </row>
    <row r="46820">
      <c r="H46820" s="8" t="s">
        <v>364</v>
      </c>
    </row>
    <row r="46821">
      <c r="H46821" s="8" t="s">
        <v>364</v>
      </c>
    </row>
    <row r="46822">
      <c r="H46822" s="8" t="s">
        <v>364</v>
      </c>
    </row>
    <row r="46823">
      <c r="H46823" s="8" t="s">
        <v>364</v>
      </c>
    </row>
    <row r="46824">
      <c r="H46824" s="8" t="s">
        <v>364</v>
      </c>
    </row>
    <row r="46825">
      <c r="H46825" s="8" t="s">
        <v>364</v>
      </c>
    </row>
    <row r="46826">
      <c r="H46826" s="8" t="s">
        <v>364</v>
      </c>
    </row>
    <row r="46827">
      <c r="H46827" s="8" t="s">
        <v>364</v>
      </c>
    </row>
    <row r="46828">
      <c r="H46828" s="8" t="s">
        <v>364</v>
      </c>
    </row>
    <row r="46829">
      <c r="H46829" s="8" t="s">
        <v>364</v>
      </c>
    </row>
    <row r="46830">
      <c r="H46830" s="8" t="s">
        <v>364</v>
      </c>
    </row>
    <row r="46831">
      <c r="H46831" s="8" t="s">
        <v>364</v>
      </c>
    </row>
    <row r="46832">
      <c r="H46832" s="8" t="s">
        <v>364</v>
      </c>
    </row>
    <row r="46833">
      <c r="H46833" s="8" t="s">
        <v>364</v>
      </c>
    </row>
    <row r="46834">
      <c r="H46834" s="8" t="s">
        <v>364</v>
      </c>
    </row>
    <row r="46835">
      <c r="H46835" s="8" t="s">
        <v>364</v>
      </c>
    </row>
    <row r="46836">
      <c r="H46836" s="8" t="s">
        <v>364</v>
      </c>
    </row>
    <row r="46837">
      <c r="H46837" s="8" t="s">
        <v>364</v>
      </c>
    </row>
    <row r="46838">
      <c r="H46838" s="8" t="s">
        <v>364</v>
      </c>
    </row>
    <row r="46839">
      <c r="H46839" s="8" t="s">
        <v>364</v>
      </c>
    </row>
    <row r="46840">
      <c r="H46840" s="8" t="s">
        <v>364</v>
      </c>
    </row>
    <row r="46841">
      <c r="H46841" s="8" t="s">
        <v>364</v>
      </c>
    </row>
    <row r="46842">
      <c r="H46842" s="8" t="s">
        <v>364</v>
      </c>
    </row>
    <row r="46843">
      <c r="H46843" s="8" t="s">
        <v>364</v>
      </c>
    </row>
    <row r="46844">
      <c r="H46844" s="8" t="s">
        <v>364</v>
      </c>
    </row>
    <row r="46845">
      <c r="H46845" s="8" t="s">
        <v>364</v>
      </c>
    </row>
    <row r="46846">
      <c r="H46846" s="8" t="s">
        <v>364</v>
      </c>
    </row>
    <row r="46847">
      <c r="H46847" s="8" t="s">
        <v>364</v>
      </c>
    </row>
    <row r="46848">
      <c r="H46848" s="8" t="s">
        <v>364</v>
      </c>
    </row>
    <row r="46849">
      <c r="H46849" s="8" t="s">
        <v>364</v>
      </c>
    </row>
    <row r="46850">
      <c r="H46850" s="8" t="s">
        <v>364</v>
      </c>
    </row>
    <row r="46851">
      <c r="H46851" s="8" t="s">
        <v>364</v>
      </c>
    </row>
    <row r="46852">
      <c r="H46852" s="8" t="s">
        <v>364</v>
      </c>
    </row>
    <row r="46853">
      <c r="H46853" s="8" t="s">
        <v>364</v>
      </c>
    </row>
    <row r="46854">
      <c r="H46854" s="8" t="s">
        <v>364</v>
      </c>
    </row>
    <row r="46855">
      <c r="H46855" s="8" t="s">
        <v>364</v>
      </c>
    </row>
    <row r="46856">
      <c r="H46856" s="8" t="s">
        <v>364</v>
      </c>
    </row>
    <row r="46857">
      <c r="H46857" s="8" t="s">
        <v>364</v>
      </c>
    </row>
    <row r="46858">
      <c r="H46858" s="8" t="s">
        <v>364</v>
      </c>
    </row>
    <row r="46859">
      <c r="H46859" s="8" t="s">
        <v>364</v>
      </c>
    </row>
    <row r="46860">
      <c r="H46860" s="8" t="s">
        <v>364</v>
      </c>
    </row>
    <row r="46861">
      <c r="H46861" s="8" t="s">
        <v>364</v>
      </c>
    </row>
    <row r="46862">
      <c r="H46862" s="8" t="s">
        <v>364</v>
      </c>
    </row>
    <row r="46863">
      <c r="H46863" s="8" t="s">
        <v>364</v>
      </c>
    </row>
    <row r="46864">
      <c r="H46864" s="8" t="s">
        <v>364</v>
      </c>
    </row>
    <row r="46865">
      <c r="H46865" s="8" t="s">
        <v>364</v>
      </c>
    </row>
    <row r="46866">
      <c r="H46866" s="8" t="s">
        <v>364</v>
      </c>
    </row>
    <row r="46867">
      <c r="H46867" s="8" t="s">
        <v>364</v>
      </c>
    </row>
    <row r="46868">
      <c r="H46868" s="8" t="s">
        <v>364</v>
      </c>
    </row>
    <row r="46869">
      <c r="H46869" s="8" t="s">
        <v>364</v>
      </c>
    </row>
    <row r="46870">
      <c r="H46870" s="8" t="s">
        <v>364</v>
      </c>
    </row>
    <row r="46871">
      <c r="H46871" s="8" t="s">
        <v>364</v>
      </c>
    </row>
    <row r="46872">
      <c r="H46872" s="8" t="s">
        <v>364</v>
      </c>
    </row>
    <row r="46873">
      <c r="H46873" s="8" t="s">
        <v>364</v>
      </c>
    </row>
    <row r="46874">
      <c r="H46874" s="8" t="s">
        <v>364</v>
      </c>
    </row>
    <row r="46875">
      <c r="H46875" s="8" t="s">
        <v>364</v>
      </c>
    </row>
    <row r="46876">
      <c r="H46876" s="8" t="s">
        <v>364</v>
      </c>
    </row>
    <row r="46877">
      <c r="H46877" s="8" t="s">
        <v>364</v>
      </c>
    </row>
    <row r="46878">
      <c r="H46878" s="8" t="s">
        <v>364</v>
      </c>
    </row>
    <row r="46879">
      <c r="H46879" s="8" t="s">
        <v>364</v>
      </c>
    </row>
    <row r="46880">
      <c r="H46880" s="8" t="s">
        <v>364</v>
      </c>
    </row>
    <row r="46881">
      <c r="H46881" s="8" t="s">
        <v>364</v>
      </c>
    </row>
    <row r="46882">
      <c r="H46882" s="8" t="s">
        <v>364</v>
      </c>
    </row>
    <row r="46883">
      <c r="H46883" s="8" t="s">
        <v>364</v>
      </c>
    </row>
    <row r="46884">
      <c r="H46884" s="8" t="s">
        <v>364</v>
      </c>
    </row>
    <row r="46885">
      <c r="H46885" s="8" t="s">
        <v>364</v>
      </c>
    </row>
    <row r="46886">
      <c r="H46886" s="8" t="s">
        <v>364</v>
      </c>
    </row>
    <row r="46887">
      <c r="H46887" s="8" t="s">
        <v>364</v>
      </c>
    </row>
    <row r="46888">
      <c r="H46888" s="8" t="s">
        <v>364</v>
      </c>
    </row>
    <row r="46889">
      <c r="H46889" s="8" t="s">
        <v>364</v>
      </c>
    </row>
    <row r="46890">
      <c r="H46890" s="8" t="s">
        <v>364</v>
      </c>
    </row>
    <row r="46891">
      <c r="H46891" s="8" t="s">
        <v>364</v>
      </c>
    </row>
    <row r="46892">
      <c r="H46892" s="8" t="s">
        <v>364</v>
      </c>
    </row>
    <row r="46893">
      <c r="H46893" s="8" t="s">
        <v>364</v>
      </c>
    </row>
    <row r="46894">
      <c r="H46894" s="8" t="s">
        <v>364</v>
      </c>
    </row>
    <row r="46895">
      <c r="H46895" s="8" t="s">
        <v>364</v>
      </c>
    </row>
    <row r="46896">
      <c r="H46896" s="8" t="s">
        <v>364</v>
      </c>
    </row>
    <row r="46897">
      <c r="H46897" s="8" t="s">
        <v>364</v>
      </c>
    </row>
    <row r="46898">
      <c r="H46898" s="8" t="s">
        <v>364</v>
      </c>
    </row>
    <row r="46899">
      <c r="H46899" s="8" t="s">
        <v>364</v>
      </c>
    </row>
    <row r="46900">
      <c r="H46900" s="8" t="s">
        <v>364</v>
      </c>
    </row>
    <row r="46901">
      <c r="H46901" s="8" t="s">
        <v>364</v>
      </c>
    </row>
    <row r="46902">
      <c r="H46902" s="8" t="s">
        <v>364</v>
      </c>
    </row>
    <row r="46903">
      <c r="H46903" s="8" t="s">
        <v>364</v>
      </c>
    </row>
    <row r="46904">
      <c r="H46904" s="8" t="s">
        <v>364</v>
      </c>
    </row>
    <row r="46905">
      <c r="H46905" s="8" t="s">
        <v>364</v>
      </c>
    </row>
    <row r="46906">
      <c r="H46906" s="8" t="s">
        <v>364</v>
      </c>
    </row>
    <row r="46907">
      <c r="H46907" s="8" t="s">
        <v>364</v>
      </c>
    </row>
    <row r="46908">
      <c r="H46908" s="8" t="s">
        <v>364</v>
      </c>
    </row>
    <row r="46909">
      <c r="H46909" s="8" t="s">
        <v>364</v>
      </c>
    </row>
    <row r="46910">
      <c r="H46910" s="8" t="s">
        <v>364</v>
      </c>
    </row>
    <row r="46911">
      <c r="H46911" s="8" t="s">
        <v>364</v>
      </c>
    </row>
    <row r="46912">
      <c r="H46912" s="8" t="s">
        <v>364</v>
      </c>
    </row>
    <row r="46913">
      <c r="H46913" s="8" t="s">
        <v>364</v>
      </c>
    </row>
    <row r="46914">
      <c r="H46914" s="8" t="s">
        <v>364</v>
      </c>
    </row>
    <row r="46915">
      <c r="H46915" s="8" t="s">
        <v>364</v>
      </c>
    </row>
    <row r="46916">
      <c r="H46916" s="8" t="s">
        <v>364</v>
      </c>
    </row>
    <row r="46917">
      <c r="H46917" s="8" t="s">
        <v>364</v>
      </c>
    </row>
    <row r="46918">
      <c r="H46918" s="8" t="s">
        <v>364</v>
      </c>
    </row>
    <row r="46919">
      <c r="H46919" s="8" t="s">
        <v>364</v>
      </c>
    </row>
    <row r="46920">
      <c r="H46920" s="8" t="s">
        <v>364</v>
      </c>
    </row>
    <row r="46921">
      <c r="H46921" s="8" t="s">
        <v>364</v>
      </c>
    </row>
    <row r="46922">
      <c r="H46922" s="8" t="s">
        <v>364</v>
      </c>
    </row>
    <row r="46923">
      <c r="H46923" s="8" t="s">
        <v>364</v>
      </c>
    </row>
    <row r="46924">
      <c r="H46924" s="8" t="s">
        <v>364</v>
      </c>
    </row>
    <row r="46925">
      <c r="H46925" s="8" t="s">
        <v>364</v>
      </c>
    </row>
    <row r="46926">
      <c r="H46926" s="8" t="s">
        <v>364</v>
      </c>
    </row>
    <row r="46927">
      <c r="H46927" s="8" t="s">
        <v>364</v>
      </c>
    </row>
    <row r="46928">
      <c r="H46928" s="8" t="s">
        <v>364</v>
      </c>
    </row>
    <row r="46929">
      <c r="H46929" s="8" t="s">
        <v>364</v>
      </c>
    </row>
    <row r="46930">
      <c r="H46930" s="8" t="s">
        <v>364</v>
      </c>
    </row>
    <row r="46931">
      <c r="H46931" s="8" t="s">
        <v>364</v>
      </c>
    </row>
    <row r="46932">
      <c r="H46932" s="8" t="s">
        <v>364</v>
      </c>
    </row>
    <row r="46933">
      <c r="H46933" s="8" t="s">
        <v>364</v>
      </c>
    </row>
    <row r="46934">
      <c r="H46934" s="8" t="s">
        <v>364</v>
      </c>
    </row>
    <row r="46935">
      <c r="H46935" s="8" t="s">
        <v>364</v>
      </c>
    </row>
    <row r="46936">
      <c r="H46936" s="8" t="s">
        <v>364</v>
      </c>
    </row>
    <row r="46937">
      <c r="H46937" s="8" t="s">
        <v>364</v>
      </c>
    </row>
    <row r="46938">
      <c r="H46938" s="8" t="s">
        <v>364</v>
      </c>
    </row>
    <row r="46939">
      <c r="H46939" s="8" t="s">
        <v>364</v>
      </c>
    </row>
    <row r="46940">
      <c r="H46940" s="8" t="s">
        <v>364</v>
      </c>
    </row>
    <row r="46941">
      <c r="H46941" s="8" t="s">
        <v>364</v>
      </c>
    </row>
    <row r="46942">
      <c r="H46942" s="8" t="s">
        <v>364</v>
      </c>
    </row>
    <row r="46943">
      <c r="H46943" s="8" t="s">
        <v>364</v>
      </c>
    </row>
    <row r="46944">
      <c r="H46944" s="8" t="s">
        <v>364</v>
      </c>
    </row>
    <row r="46945">
      <c r="H46945" s="8" t="s">
        <v>364</v>
      </c>
    </row>
    <row r="46946">
      <c r="H46946" s="8" t="s">
        <v>364</v>
      </c>
    </row>
    <row r="46947">
      <c r="H46947" s="8" t="s">
        <v>364</v>
      </c>
    </row>
    <row r="46948">
      <c r="H46948" s="8" t="s">
        <v>364</v>
      </c>
    </row>
    <row r="46949">
      <c r="H46949" s="8" t="s">
        <v>364</v>
      </c>
    </row>
    <row r="46950">
      <c r="H46950" s="8" t="s">
        <v>364</v>
      </c>
    </row>
    <row r="46951">
      <c r="H46951" s="8" t="s">
        <v>364</v>
      </c>
    </row>
    <row r="46952">
      <c r="H46952" s="8" t="s">
        <v>364</v>
      </c>
    </row>
    <row r="46953">
      <c r="H46953" s="8" t="s">
        <v>364</v>
      </c>
    </row>
    <row r="46954">
      <c r="H46954" s="8" t="s">
        <v>364</v>
      </c>
    </row>
    <row r="46955">
      <c r="H46955" s="8" t="s">
        <v>364</v>
      </c>
    </row>
    <row r="46956">
      <c r="H46956" s="8" t="s">
        <v>364</v>
      </c>
    </row>
    <row r="46957">
      <c r="H46957" s="8" t="s">
        <v>364</v>
      </c>
    </row>
    <row r="46958">
      <c r="H46958" s="8" t="s">
        <v>364</v>
      </c>
    </row>
    <row r="46959">
      <c r="H46959" s="8" t="s">
        <v>364</v>
      </c>
    </row>
    <row r="46960">
      <c r="H46960" s="8" t="s">
        <v>364</v>
      </c>
    </row>
    <row r="46961">
      <c r="H46961" s="8" t="s">
        <v>364</v>
      </c>
    </row>
    <row r="46962">
      <c r="H46962" s="8" t="s">
        <v>364</v>
      </c>
    </row>
    <row r="46963">
      <c r="H46963" s="8" t="s">
        <v>364</v>
      </c>
    </row>
    <row r="46964">
      <c r="H46964" s="8" t="s">
        <v>364</v>
      </c>
    </row>
    <row r="46965">
      <c r="H46965" s="8" t="s">
        <v>364</v>
      </c>
    </row>
    <row r="46966">
      <c r="H46966" s="8" t="s">
        <v>364</v>
      </c>
    </row>
    <row r="46967">
      <c r="H46967" s="8" t="s">
        <v>364</v>
      </c>
    </row>
    <row r="46968">
      <c r="H46968" s="8" t="s">
        <v>364</v>
      </c>
    </row>
    <row r="46969">
      <c r="H46969" s="8" t="s">
        <v>364</v>
      </c>
    </row>
    <row r="46970">
      <c r="H46970" s="8" t="s">
        <v>364</v>
      </c>
    </row>
    <row r="46971">
      <c r="H46971" s="8" t="s">
        <v>364</v>
      </c>
    </row>
    <row r="46972">
      <c r="H46972" s="8" t="s">
        <v>364</v>
      </c>
    </row>
    <row r="46973">
      <c r="H46973" s="8" t="s">
        <v>364</v>
      </c>
    </row>
    <row r="46974">
      <c r="H46974" s="8" t="s">
        <v>364</v>
      </c>
    </row>
    <row r="46975">
      <c r="H46975" s="8" t="s">
        <v>364</v>
      </c>
    </row>
    <row r="46976">
      <c r="H46976" s="8" t="s">
        <v>364</v>
      </c>
    </row>
    <row r="46977">
      <c r="H46977" s="8" t="s">
        <v>364</v>
      </c>
    </row>
    <row r="46978">
      <c r="H46978" s="8" t="s">
        <v>364</v>
      </c>
    </row>
    <row r="46979">
      <c r="H46979" s="8" t="s">
        <v>364</v>
      </c>
    </row>
    <row r="46980">
      <c r="H46980" s="8" t="s">
        <v>364</v>
      </c>
    </row>
    <row r="46981">
      <c r="H46981" s="8" t="s">
        <v>364</v>
      </c>
    </row>
    <row r="46982">
      <c r="H46982" s="8" t="s">
        <v>364</v>
      </c>
    </row>
    <row r="46983">
      <c r="H46983" s="8" t="s">
        <v>364</v>
      </c>
    </row>
    <row r="46984">
      <c r="H46984" s="8" t="s">
        <v>364</v>
      </c>
    </row>
    <row r="46985">
      <c r="H46985" s="8" t="s">
        <v>364</v>
      </c>
    </row>
    <row r="46986">
      <c r="H46986" s="8" t="s">
        <v>364</v>
      </c>
    </row>
    <row r="46987">
      <c r="H46987" s="8" t="s">
        <v>364</v>
      </c>
    </row>
    <row r="46988">
      <c r="H46988" s="8" t="s">
        <v>364</v>
      </c>
    </row>
    <row r="46989">
      <c r="H46989" s="8" t="s">
        <v>364</v>
      </c>
    </row>
    <row r="46990">
      <c r="H46990" s="8" t="s">
        <v>364</v>
      </c>
    </row>
    <row r="46991">
      <c r="H46991" s="8" t="s">
        <v>364</v>
      </c>
    </row>
    <row r="46992">
      <c r="H46992" s="8" t="s">
        <v>364</v>
      </c>
    </row>
    <row r="46993">
      <c r="H46993" s="8" t="s">
        <v>364</v>
      </c>
    </row>
    <row r="46994">
      <c r="H46994" s="8" t="s">
        <v>364</v>
      </c>
    </row>
    <row r="46995">
      <c r="H46995" s="8" t="s">
        <v>364</v>
      </c>
    </row>
    <row r="46996">
      <c r="H46996" s="8" t="s">
        <v>364</v>
      </c>
    </row>
    <row r="46997">
      <c r="H46997" s="8" t="s">
        <v>364</v>
      </c>
    </row>
    <row r="46998">
      <c r="H46998" s="8" t="s">
        <v>364</v>
      </c>
    </row>
    <row r="46999">
      <c r="H46999" s="8" t="s">
        <v>364</v>
      </c>
    </row>
    <row r="47000">
      <c r="H47000" s="8" t="s">
        <v>364</v>
      </c>
    </row>
    <row r="47001">
      <c r="H47001" s="8" t="s">
        <v>364</v>
      </c>
    </row>
    <row r="47002">
      <c r="H47002" s="8" t="s">
        <v>364</v>
      </c>
    </row>
    <row r="47003">
      <c r="H47003" s="8" t="s">
        <v>364</v>
      </c>
    </row>
    <row r="47004">
      <c r="H47004" s="8" t="s">
        <v>364</v>
      </c>
    </row>
    <row r="47005">
      <c r="H47005" s="8" t="s">
        <v>364</v>
      </c>
    </row>
    <row r="47006">
      <c r="H47006" s="8" t="s">
        <v>364</v>
      </c>
    </row>
    <row r="47007">
      <c r="H47007" s="8" t="s">
        <v>364</v>
      </c>
    </row>
    <row r="47008">
      <c r="H47008" s="8" t="s">
        <v>364</v>
      </c>
    </row>
    <row r="47009">
      <c r="H47009" s="8" t="s">
        <v>364</v>
      </c>
    </row>
    <row r="47010">
      <c r="H47010" s="8" t="s">
        <v>364</v>
      </c>
    </row>
    <row r="47011">
      <c r="H47011" s="8" t="s">
        <v>364</v>
      </c>
    </row>
    <row r="47012">
      <c r="H47012" s="8" t="s">
        <v>364</v>
      </c>
    </row>
    <row r="47013">
      <c r="H47013" s="8" t="s">
        <v>364</v>
      </c>
    </row>
    <row r="47014">
      <c r="H47014" s="8" t="s">
        <v>364</v>
      </c>
    </row>
    <row r="47015">
      <c r="H47015" s="8" t="s">
        <v>364</v>
      </c>
    </row>
    <row r="47016">
      <c r="H47016" s="8" t="s">
        <v>364</v>
      </c>
    </row>
    <row r="47017">
      <c r="H47017" s="8" t="s">
        <v>364</v>
      </c>
    </row>
    <row r="47018">
      <c r="H47018" s="8" t="s">
        <v>364</v>
      </c>
    </row>
    <row r="47019">
      <c r="H47019" s="8" t="s">
        <v>364</v>
      </c>
    </row>
    <row r="47020">
      <c r="H47020" s="8" t="s">
        <v>364</v>
      </c>
    </row>
    <row r="47021">
      <c r="H47021" s="8" t="s">
        <v>364</v>
      </c>
    </row>
    <row r="47022">
      <c r="H47022" s="8" t="s">
        <v>364</v>
      </c>
    </row>
    <row r="47023">
      <c r="H47023" s="8" t="s">
        <v>364</v>
      </c>
    </row>
    <row r="47024">
      <c r="H47024" s="8" t="s">
        <v>364</v>
      </c>
    </row>
    <row r="47025">
      <c r="H47025" s="8" t="s">
        <v>364</v>
      </c>
    </row>
    <row r="47026">
      <c r="H47026" s="8" t="s">
        <v>364</v>
      </c>
    </row>
    <row r="47027">
      <c r="H47027" s="8" t="s">
        <v>364</v>
      </c>
    </row>
    <row r="47028">
      <c r="H47028" s="8" t="s">
        <v>364</v>
      </c>
    </row>
    <row r="47029">
      <c r="H47029" s="8" t="s">
        <v>364</v>
      </c>
    </row>
    <row r="47030">
      <c r="H47030" s="8" t="s">
        <v>364</v>
      </c>
    </row>
    <row r="47031">
      <c r="H47031" s="8" t="s">
        <v>364</v>
      </c>
    </row>
    <row r="47032">
      <c r="H47032" s="8" t="s">
        <v>364</v>
      </c>
    </row>
    <row r="47033">
      <c r="H47033" s="8" t="s">
        <v>364</v>
      </c>
    </row>
    <row r="47034">
      <c r="H47034" s="8" t="s">
        <v>364</v>
      </c>
    </row>
    <row r="47035">
      <c r="H47035" s="8" t="s">
        <v>364</v>
      </c>
    </row>
    <row r="47036">
      <c r="H47036" s="8" t="s">
        <v>364</v>
      </c>
    </row>
    <row r="47037">
      <c r="H47037" s="8" t="s">
        <v>364</v>
      </c>
    </row>
    <row r="47038">
      <c r="H47038" s="8" t="s">
        <v>364</v>
      </c>
    </row>
    <row r="47039">
      <c r="H47039" s="8" t="s">
        <v>364</v>
      </c>
    </row>
    <row r="47040">
      <c r="H47040" s="8" t="s">
        <v>364</v>
      </c>
    </row>
    <row r="47041">
      <c r="H47041" s="8" t="s">
        <v>364</v>
      </c>
    </row>
    <row r="47042">
      <c r="H47042" s="8" t="s">
        <v>364</v>
      </c>
    </row>
    <row r="47043">
      <c r="H47043" s="8" t="s">
        <v>364</v>
      </c>
    </row>
    <row r="47044">
      <c r="H47044" s="8" t="s">
        <v>364</v>
      </c>
    </row>
    <row r="47045">
      <c r="H47045" s="8" t="s">
        <v>364</v>
      </c>
    </row>
    <row r="47046">
      <c r="H47046" s="8" t="s">
        <v>364</v>
      </c>
    </row>
    <row r="47047">
      <c r="H47047" s="8" t="s">
        <v>364</v>
      </c>
    </row>
    <row r="47048">
      <c r="H47048" s="8" t="s">
        <v>364</v>
      </c>
    </row>
    <row r="47049">
      <c r="H47049" s="8" t="s">
        <v>364</v>
      </c>
    </row>
    <row r="47050">
      <c r="H47050" s="8" t="s">
        <v>364</v>
      </c>
    </row>
    <row r="47051">
      <c r="H47051" s="8" t="s">
        <v>364</v>
      </c>
    </row>
    <row r="47052">
      <c r="H47052" s="8" t="s">
        <v>364</v>
      </c>
    </row>
    <row r="47053">
      <c r="H47053" s="8" t="s">
        <v>364</v>
      </c>
    </row>
    <row r="47054">
      <c r="H47054" s="8" t="s">
        <v>364</v>
      </c>
    </row>
    <row r="47055">
      <c r="H47055" s="8" t="s">
        <v>364</v>
      </c>
    </row>
    <row r="47056">
      <c r="H47056" s="8" t="s">
        <v>364</v>
      </c>
    </row>
    <row r="47057">
      <c r="H47057" s="8" t="s">
        <v>364</v>
      </c>
    </row>
    <row r="47058">
      <c r="H47058" s="8" t="s">
        <v>364</v>
      </c>
    </row>
    <row r="47059">
      <c r="H47059" s="8" t="s">
        <v>364</v>
      </c>
    </row>
    <row r="47060">
      <c r="H47060" s="8" t="s">
        <v>364</v>
      </c>
    </row>
    <row r="47061">
      <c r="H47061" s="8" t="s">
        <v>364</v>
      </c>
    </row>
    <row r="47062">
      <c r="H47062" s="8" t="s">
        <v>364</v>
      </c>
    </row>
    <row r="47063">
      <c r="H47063" s="8" t="s">
        <v>364</v>
      </c>
    </row>
    <row r="47064">
      <c r="H47064" s="8" t="s">
        <v>364</v>
      </c>
    </row>
    <row r="47065">
      <c r="H47065" s="8" t="s">
        <v>364</v>
      </c>
    </row>
    <row r="47066">
      <c r="H47066" s="8" t="s">
        <v>364</v>
      </c>
    </row>
    <row r="47067">
      <c r="H47067" s="8" t="s">
        <v>364</v>
      </c>
    </row>
    <row r="47068">
      <c r="H47068" s="8" t="s">
        <v>364</v>
      </c>
    </row>
    <row r="47069">
      <c r="H47069" s="8" t="s">
        <v>364</v>
      </c>
    </row>
    <row r="47070">
      <c r="H47070" s="8" t="s">
        <v>364</v>
      </c>
    </row>
    <row r="47071">
      <c r="H47071" s="8" t="s">
        <v>364</v>
      </c>
    </row>
    <row r="47072">
      <c r="H47072" s="8" t="s">
        <v>364</v>
      </c>
    </row>
    <row r="47073">
      <c r="H47073" s="8" t="s">
        <v>364</v>
      </c>
    </row>
    <row r="47074">
      <c r="H47074" s="8" t="s">
        <v>364</v>
      </c>
    </row>
    <row r="47075">
      <c r="H47075" s="8" t="s">
        <v>364</v>
      </c>
    </row>
    <row r="47076">
      <c r="H47076" s="8" t="s">
        <v>364</v>
      </c>
    </row>
    <row r="47077">
      <c r="H47077" s="8" t="s">
        <v>364</v>
      </c>
    </row>
    <row r="47078">
      <c r="H47078" s="8" t="s">
        <v>364</v>
      </c>
    </row>
    <row r="47079">
      <c r="H47079" s="8" t="s">
        <v>364</v>
      </c>
    </row>
    <row r="47080">
      <c r="H47080" s="8" t="s">
        <v>364</v>
      </c>
    </row>
    <row r="47081">
      <c r="H47081" s="8" t="s">
        <v>364</v>
      </c>
    </row>
    <row r="47082">
      <c r="H47082" s="8" t="s">
        <v>364</v>
      </c>
    </row>
    <row r="47083">
      <c r="H47083" s="8" t="s">
        <v>364</v>
      </c>
    </row>
    <row r="47084">
      <c r="H47084" s="8" t="s">
        <v>364</v>
      </c>
    </row>
    <row r="47085">
      <c r="H47085" s="8" t="s">
        <v>364</v>
      </c>
    </row>
    <row r="47086">
      <c r="H47086" s="8" t="s">
        <v>364</v>
      </c>
    </row>
    <row r="47087">
      <c r="H47087" s="8" t="s">
        <v>364</v>
      </c>
    </row>
    <row r="47088">
      <c r="H47088" s="8" t="s">
        <v>364</v>
      </c>
    </row>
    <row r="47089">
      <c r="H47089" s="8" t="s">
        <v>364</v>
      </c>
    </row>
    <row r="47090">
      <c r="H47090" s="8" t="s">
        <v>364</v>
      </c>
    </row>
    <row r="47091">
      <c r="H47091" s="8" t="s">
        <v>364</v>
      </c>
    </row>
    <row r="47092">
      <c r="H47092" s="8" t="s">
        <v>364</v>
      </c>
    </row>
    <row r="47093">
      <c r="H47093" s="8" t="s">
        <v>364</v>
      </c>
    </row>
    <row r="47094">
      <c r="H47094" s="8" t="s">
        <v>364</v>
      </c>
    </row>
    <row r="47095">
      <c r="H47095" s="8" t="s">
        <v>364</v>
      </c>
    </row>
    <row r="47096">
      <c r="H47096" s="8" t="s">
        <v>364</v>
      </c>
    </row>
    <row r="47097">
      <c r="H47097" s="8" t="s">
        <v>364</v>
      </c>
    </row>
    <row r="47098">
      <c r="H47098" s="8" t="s">
        <v>364</v>
      </c>
    </row>
    <row r="47099">
      <c r="H47099" s="8" t="s">
        <v>364</v>
      </c>
    </row>
    <row r="47100">
      <c r="H47100" s="8" t="s">
        <v>364</v>
      </c>
    </row>
    <row r="47101">
      <c r="H47101" s="8" t="s">
        <v>364</v>
      </c>
    </row>
    <row r="47102">
      <c r="H47102" s="8" t="s">
        <v>364</v>
      </c>
    </row>
    <row r="47103">
      <c r="H47103" s="8" t="s">
        <v>364</v>
      </c>
    </row>
    <row r="47104">
      <c r="H47104" s="8" t="s">
        <v>364</v>
      </c>
    </row>
    <row r="47105">
      <c r="H47105" s="8" t="s">
        <v>364</v>
      </c>
    </row>
    <row r="47106">
      <c r="H47106" s="8" t="s">
        <v>364</v>
      </c>
    </row>
    <row r="47107">
      <c r="H47107" s="8" t="s">
        <v>364</v>
      </c>
    </row>
    <row r="47108">
      <c r="H47108" s="8" t="s">
        <v>364</v>
      </c>
    </row>
    <row r="47109">
      <c r="H47109" s="8" t="s">
        <v>364</v>
      </c>
    </row>
    <row r="47110">
      <c r="H47110" s="8" t="s">
        <v>364</v>
      </c>
    </row>
    <row r="47111">
      <c r="H47111" s="8" t="s">
        <v>364</v>
      </c>
    </row>
    <row r="47112">
      <c r="H47112" s="8" t="s">
        <v>364</v>
      </c>
    </row>
    <row r="47113">
      <c r="H47113" s="8" t="s">
        <v>364</v>
      </c>
    </row>
    <row r="47114">
      <c r="H47114" s="8" t="s">
        <v>364</v>
      </c>
    </row>
    <row r="47115">
      <c r="H47115" s="8" t="s">
        <v>364</v>
      </c>
    </row>
    <row r="47116">
      <c r="H47116" s="8" t="s">
        <v>364</v>
      </c>
    </row>
    <row r="47117">
      <c r="H47117" s="8" t="s">
        <v>364</v>
      </c>
    </row>
    <row r="47118">
      <c r="H47118" s="8" t="s">
        <v>364</v>
      </c>
    </row>
    <row r="47119">
      <c r="H47119" s="8" t="s">
        <v>364</v>
      </c>
    </row>
    <row r="47120">
      <c r="H47120" s="8" t="s">
        <v>364</v>
      </c>
    </row>
    <row r="47121">
      <c r="H47121" s="8" t="s">
        <v>364</v>
      </c>
    </row>
    <row r="47122">
      <c r="H47122" s="8" t="s">
        <v>364</v>
      </c>
    </row>
    <row r="47123">
      <c r="H47123" s="8" t="s">
        <v>364</v>
      </c>
    </row>
    <row r="47124">
      <c r="H47124" s="8" t="s">
        <v>364</v>
      </c>
    </row>
    <row r="47125">
      <c r="H47125" s="8" t="s">
        <v>364</v>
      </c>
    </row>
    <row r="47126">
      <c r="H47126" s="8" t="s">
        <v>364</v>
      </c>
    </row>
    <row r="47127">
      <c r="H47127" s="8" t="s">
        <v>364</v>
      </c>
    </row>
    <row r="47128">
      <c r="H47128" s="8" t="s">
        <v>364</v>
      </c>
    </row>
    <row r="47129">
      <c r="H47129" s="8" t="s">
        <v>364</v>
      </c>
    </row>
    <row r="47130">
      <c r="H47130" s="8" t="s">
        <v>364</v>
      </c>
    </row>
    <row r="47131">
      <c r="H47131" s="8" t="s">
        <v>364</v>
      </c>
    </row>
    <row r="47132">
      <c r="H47132" s="8" t="s">
        <v>364</v>
      </c>
    </row>
    <row r="47133">
      <c r="H47133" s="8" t="s">
        <v>364</v>
      </c>
    </row>
    <row r="47134">
      <c r="H47134" s="8" t="s">
        <v>364</v>
      </c>
    </row>
    <row r="47135">
      <c r="H47135" s="8" t="s">
        <v>364</v>
      </c>
    </row>
    <row r="47136">
      <c r="H47136" s="8" t="s">
        <v>364</v>
      </c>
    </row>
    <row r="47137">
      <c r="H47137" s="8" t="s">
        <v>364</v>
      </c>
    </row>
    <row r="47138">
      <c r="H47138" s="8" t="s">
        <v>364</v>
      </c>
    </row>
    <row r="47139">
      <c r="H47139" s="8" t="s">
        <v>364</v>
      </c>
    </row>
    <row r="47140">
      <c r="H47140" s="8" t="s">
        <v>364</v>
      </c>
    </row>
    <row r="47141">
      <c r="H47141" s="8" t="s">
        <v>364</v>
      </c>
    </row>
    <row r="47142">
      <c r="H47142" s="8" t="s">
        <v>364</v>
      </c>
    </row>
    <row r="47143">
      <c r="H47143" s="8" t="s">
        <v>364</v>
      </c>
    </row>
    <row r="47144">
      <c r="H47144" s="8" t="s">
        <v>364</v>
      </c>
    </row>
    <row r="47145">
      <c r="H47145" s="8" t="s">
        <v>364</v>
      </c>
    </row>
    <row r="47146">
      <c r="H47146" s="8" t="s">
        <v>364</v>
      </c>
    </row>
    <row r="47147">
      <c r="H47147" s="8" t="s">
        <v>364</v>
      </c>
    </row>
    <row r="47148">
      <c r="H47148" s="8" t="s">
        <v>364</v>
      </c>
    </row>
    <row r="47149">
      <c r="H47149" s="8" t="s">
        <v>364</v>
      </c>
    </row>
    <row r="47150">
      <c r="H47150" s="8" t="s">
        <v>364</v>
      </c>
    </row>
    <row r="47151">
      <c r="H47151" s="8" t="s">
        <v>364</v>
      </c>
    </row>
    <row r="47152">
      <c r="H47152" s="8" t="s">
        <v>364</v>
      </c>
    </row>
    <row r="47153">
      <c r="H47153" s="8" t="s">
        <v>364</v>
      </c>
    </row>
    <row r="47154">
      <c r="H47154" s="8" t="s">
        <v>364</v>
      </c>
    </row>
    <row r="47155">
      <c r="H47155" s="8" t="s">
        <v>364</v>
      </c>
    </row>
    <row r="47156">
      <c r="H47156" s="8" t="s">
        <v>364</v>
      </c>
    </row>
    <row r="47157">
      <c r="H47157" s="8" t="s">
        <v>364</v>
      </c>
    </row>
    <row r="47158">
      <c r="H47158" s="8" t="s">
        <v>364</v>
      </c>
    </row>
    <row r="47159">
      <c r="H47159" s="8" t="s">
        <v>364</v>
      </c>
    </row>
    <row r="47160">
      <c r="H47160" s="8" t="s">
        <v>364</v>
      </c>
    </row>
    <row r="47161">
      <c r="H47161" s="8" t="s">
        <v>364</v>
      </c>
    </row>
    <row r="47162">
      <c r="H47162" s="8" t="s">
        <v>364</v>
      </c>
    </row>
    <row r="47163">
      <c r="H47163" s="8" t="s">
        <v>364</v>
      </c>
    </row>
    <row r="47164">
      <c r="H47164" s="8" t="s">
        <v>364</v>
      </c>
    </row>
    <row r="47165">
      <c r="H47165" s="8" t="s">
        <v>364</v>
      </c>
    </row>
    <row r="47166">
      <c r="H47166" s="8" t="s">
        <v>364</v>
      </c>
    </row>
    <row r="47167">
      <c r="H47167" s="8" t="s">
        <v>364</v>
      </c>
    </row>
    <row r="47168">
      <c r="H47168" s="8" t="s">
        <v>364</v>
      </c>
    </row>
    <row r="47169">
      <c r="H47169" s="8" t="s">
        <v>364</v>
      </c>
    </row>
    <row r="47170">
      <c r="H47170" s="8" t="s">
        <v>364</v>
      </c>
    </row>
    <row r="47171">
      <c r="H47171" s="8" t="s">
        <v>364</v>
      </c>
    </row>
    <row r="47172">
      <c r="H47172" s="8" t="s">
        <v>364</v>
      </c>
    </row>
    <row r="47173">
      <c r="H47173" s="8" t="s">
        <v>364</v>
      </c>
    </row>
    <row r="47174">
      <c r="H47174" s="8" t="s">
        <v>364</v>
      </c>
    </row>
    <row r="47175">
      <c r="H47175" s="8" t="s">
        <v>364</v>
      </c>
    </row>
    <row r="47176">
      <c r="H47176" s="8" t="s">
        <v>364</v>
      </c>
    </row>
    <row r="47177">
      <c r="H47177" s="8" t="s">
        <v>364</v>
      </c>
    </row>
    <row r="47178">
      <c r="H47178" s="8" t="s">
        <v>364</v>
      </c>
    </row>
    <row r="47179">
      <c r="H47179" s="8" t="s">
        <v>364</v>
      </c>
    </row>
    <row r="47180">
      <c r="H47180" s="8" t="s">
        <v>364</v>
      </c>
    </row>
    <row r="47181">
      <c r="H47181" s="8" t="s">
        <v>364</v>
      </c>
    </row>
    <row r="47182">
      <c r="H47182" s="8" t="s">
        <v>364</v>
      </c>
    </row>
    <row r="47183">
      <c r="H47183" s="8" t="s">
        <v>364</v>
      </c>
    </row>
    <row r="47184">
      <c r="H47184" s="8" t="s">
        <v>364</v>
      </c>
    </row>
    <row r="47185">
      <c r="H47185" s="8" t="s">
        <v>364</v>
      </c>
    </row>
    <row r="47186">
      <c r="H47186" s="8" t="s">
        <v>364</v>
      </c>
    </row>
    <row r="47187">
      <c r="H47187" s="8" t="s">
        <v>364</v>
      </c>
    </row>
    <row r="47188">
      <c r="H47188" s="8" t="s">
        <v>364</v>
      </c>
    </row>
    <row r="47189">
      <c r="H47189" s="8" t="s">
        <v>364</v>
      </c>
    </row>
    <row r="47190">
      <c r="H47190" s="8" t="s">
        <v>364</v>
      </c>
    </row>
    <row r="47191">
      <c r="H47191" s="8" t="s">
        <v>364</v>
      </c>
    </row>
    <row r="47192">
      <c r="H47192" s="8" t="s">
        <v>364</v>
      </c>
    </row>
    <row r="47193">
      <c r="H47193" s="8" t="s">
        <v>364</v>
      </c>
    </row>
    <row r="47194">
      <c r="H47194" s="8" t="s">
        <v>364</v>
      </c>
    </row>
    <row r="47195">
      <c r="H47195" s="8" t="s">
        <v>364</v>
      </c>
    </row>
    <row r="47196">
      <c r="H47196" s="8" t="s">
        <v>364</v>
      </c>
    </row>
    <row r="47197">
      <c r="H47197" s="8" t="s">
        <v>364</v>
      </c>
    </row>
    <row r="47198">
      <c r="H47198" s="8" t="s">
        <v>364</v>
      </c>
    </row>
    <row r="47199">
      <c r="H47199" s="8" t="s">
        <v>364</v>
      </c>
    </row>
    <row r="47200">
      <c r="H47200" s="8" t="s">
        <v>364</v>
      </c>
    </row>
    <row r="47201">
      <c r="H47201" s="8" t="s">
        <v>364</v>
      </c>
    </row>
    <row r="47202">
      <c r="H47202" s="8" t="s">
        <v>364</v>
      </c>
    </row>
    <row r="47203">
      <c r="H47203" s="8" t="s">
        <v>364</v>
      </c>
    </row>
    <row r="47204">
      <c r="H47204" s="8" t="s">
        <v>364</v>
      </c>
    </row>
    <row r="47205">
      <c r="H47205" s="8" t="s">
        <v>364</v>
      </c>
    </row>
    <row r="47206">
      <c r="H47206" s="8" t="s">
        <v>364</v>
      </c>
    </row>
    <row r="47207">
      <c r="H47207" s="8" t="s">
        <v>364</v>
      </c>
    </row>
    <row r="47208">
      <c r="H47208" s="8" t="s">
        <v>364</v>
      </c>
    </row>
    <row r="47209">
      <c r="H47209" s="8" t="s">
        <v>364</v>
      </c>
    </row>
    <row r="47210">
      <c r="H47210" s="8" t="s">
        <v>364</v>
      </c>
    </row>
    <row r="47211">
      <c r="H47211" s="8" t="s">
        <v>364</v>
      </c>
    </row>
    <row r="47212">
      <c r="H47212" s="8" t="s">
        <v>364</v>
      </c>
    </row>
    <row r="47213">
      <c r="H47213" s="8" t="s">
        <v>364</v>
      </c>
    </row>
    <row r="47214">
      <c r="H47214" s="8" t="s">
        <v>364</v>
      </c>
    </row>
    <row r="47215">
      <c r="H47215" s="8" t="s">
        <v>364</v>
      </c>
    </row>
    <row r="47216">
      <c r="H47216" s="8" t="s">
        <v>364</v>
      </c>
    </row>
    <row r="47217">
      <c r="H47217" s="8" t="s">
        <v>364</v>
      </c>
    </row>
    <row r="47218">
      <c r="H47218" s="8" t="s">
        <v>364</v>
      </c>
    </row>
    <row r="47219">
      <c r="H47219" s="8" t="s">
        <v>364</v>
      </c>
    </row>
    <row r="47220">
      <c r="H47220" s="8" t="s">
        <v>364</v>
      </c>
    </row>
    <row r="47221">
      <c r="H47221" s="8" t="s">
        <v>364</v>
      </c>
    </row>
    <row r="47222">
      <c r="H47222" s="8" t="s">
        <v>364</v>
      </c>
    </row>
    <row r="47223">
      <c r="H47223" s="8" t="s">
        <v>364</v>
      </c>
    </row>
    <row r="47224">
      <c r="H47224" s="8" t="s">
        <v>364</v>
      </c>
    </row>
    <row r="47225">
      <c r="H47225" s="8" t="s">
        <v>364</v>
      </c>
    </row>
    <row r="47226">
      <c r="H47226" s="8" t="s">
        <v>364</v>
      </c>
    </row>
    <row r="47227">
      <c r="H47227" s="8" t="s">
        <v>364</v>
      </c>
    </row>
    <row r="47228">
      <c r="H47228" s="8" t="s">
        <v>364</v>
      </c>
    </row>
    <row r="47229">
      <c r="H47229" s="8" t="s">
        <v>364</v>
      </c>
    </row>
    <row r="47230">
      <c r="H47230" s="8" t="s">
        <v>364</v>
      </c>
    </row>
    <row r="47231">
      <c r="H47231" s="8" t="s">
        <v>364</v>
      </c>
    </row>
    <row r="47232">
      <c r="H47232" s="8" t="s">
        <v>364</v>
      </c>
    </row>
    <row r="47233">
      <c r="H47233" s="8" t="s">
        <v>364</v>
      </c>
    </row>
    <row r="47234">
      <c r="H47234" s="8" t="s">
        <v>364</v>
      </c>
    </row>
    <row r="47235">
      <c r="H47235" s="8" t="s">
        <v>364</v>
      </c>
    </row>
    <row r="47236">
      <c r="H47236" s="8" t="s">
        <v>364</v>
      </c>
    </row>
    <row r="47237">
      <c r="H47237" s="8" t="s">
        <v>364</v>
      </c>
    </row>
    <row r="47238">
      <c r="H47238" s="8" t="s">
        <v>364</v>
      </c>
    </row>
    <row r="47239">
      <c r="H47239" s="8" t="s">
        <v>364</v>
      </c>
    </row>
    <row r="47240">
      <c r="H47240" s="8" t="s">
        <v>364</v>
      </c>
    </row>
    <row r="47241">
      <c r="H47241" s="8" t="s">
        <v>364</v>
      </c>
    </row>
    <row r="47242">
      <c r="H47242" s="8" t="s">
        <v>364</v>
      </c>
    </row>
    <row r="47243">
      <c r="H47243" s="8" t="s">
        <v>364</v>
      </c>
    </row>
    <row r="47244">
      <c r="H47244" s="8" t="s">
        <v>364</v>
      </c>
    </row>
    <row r="47245">
      <c r="H47245" s="8" t="s">
        <v>364</v>
      </c>
    </row>
    <row r="47246">
      <c r="H47246" s="8" t="s">
        <v>364</v>
      </c>
    </row>
    <row r="47247">
      <c r="H47247" s="8" t="s">
        <v>364</v>
      </c>
    </row>
    <row r="47248">
      <c r="H47248" s="8" t="s">
        <v>364</v>
      </c>
    </row>
    <row r="47249">
      <c r="H47249" s="8" t="s">
        <v>364</v>
      </c>
    </row>
    <row r="47250">
      <c r="H47250" s="8" t="s">
        <v>364</v>
      </c>
    </row>
    <row r="47251">
      <c r="H47251" s="8" t="s">
        <v>364</v>
      </c>
    </row>
    <row r="47252">
      <c r="H47252" s="8" t="s">
        <v>364</v>
      </c>
    </row>
    <row r="47253">
      <c r="H47253" s="8" t="s">
        <v>364</v>
      </c>
    </row>
    <row r="47254">
      <c r="H47254" s="8" t="s">
        <v>364</v>
      </c>
    </row>
    <row r="47255">
      <c r="H47255" s="8" t="s">
        <v>364</v>
      </c>
    </row>
    <row r="47256">
      <c r="H47256" s="8" t="s">
        <v>364</v>
      </c>
    </row>
    <row r="47257">
      <c r="H47257" s="8" t="s">
        <v>364</v>
      </c>
    </row>
    <row r="47258">
      <c r="H47258" s="8" t="s">
        <v>364</v>
      </c>
    </row>
    <row r="47259">
      <c r="H47259" s="8" t="s">
        <v>364</v>
      </c>
    </row>
    <row r="47260">
      <c r="H47260" s="8" t="s">
        <v>364</v>
      </c>
    </row>
    <row r="47261">
      <c r="H47261" s="8" t="s">
        <v>364</v>
      </c>
    </row>
    <row r="47262">
      <c r="H47262" s="8" t="s">
        <v>364</v>
      </c>
    </row>
    <row r="47263">
      <c r="H47263" s="8" t="s">
        <v>364</v>
      </c>
    </row>
    <row r="47264">
      <c r="H47264" s="8" t="s">
        <v>364</v>
      </c>
    </row>
    <row r="47265">
      <c r="H47265" s="8" t="s">
        <v>364</v>
      </c>
    </row>
    <row r="47266">
      <c r="H47266" s="8" t="s">
        <v>364</v>
      </c>
    </row>
    <row r="47267">
      <c r="H47267" s="8" t="s">
        <v>364</v>
      </c>
    </row>
    <row r="47268">
      <c r="H47268" s="8" t="s">
        <v>364</v>
      </c>
    </row>
    <row r="47269">
      <c r="H47269" s="8" t="s">
        <v>364</v>
      </c>
    </row>
    <row r="47270">
      <c r="H47270" s="8" t="s">
        <v>364</v>
      </c>
    </row>
    <row r="47271">
      <c r="H47271" s="8" t="s">
        <v>364</v>
      </c>
    </row>
    <row r="47272">
      <c r="H47272" s="8" t="s">
        <v>364</v>
      </c>
    </row>
    <row r="47273">
      <c r="H47273" s="8" t="s">
        <v>364</v>
      </c>
    </row>
    <row r="47274">
      <c r="H47274" s="8" t="s">
        <v>364</v>
      </c>
    </row>
    <row r="47275">
      <c r="H47275" s="8" t="s">
        <v>364</v>
      </c>
    </row>
    <row r="47276">
      <c r="H47276" s="8" t="s">
        <v>364</v>
      </c>
    </row>
    <row r="47277">
      <c r="H47277" s="8" t="s">
        <v>364</v>
      </c>
    </row>
    <row r="47278">
      <c r="H47278" s="8" t="s">
        <v>364</v>
      </c>
    </row>
    <row r="47279">
      <c r="H47279" s="8" t="s">
        <v>364</v>
      </c>
    </row>
    <row r="47280">
      <c r="H47280" s="8" t="s">
        <v>364</v>
      </c>
    </row>
    <row r="47281">
      <c r="H47281" s="8" t="s">
        <v>364</v>
      </c>
    </row>
    <row r="47282">
      <c r="H47282" s="8" t="s">
        <v>364</v>
      </c>
    </row>
    <row r="47283">
      <c r="H47283" s="8" t="s">
        <v>364</v>
      </c>
    </row>
    <row r="47284">
      <c r="H47284" s="8" t="s">
        <v>364</v>
      </c>
    </row>
    <row r="47285">
      <c r="H47285" s="8" t="s">
        <v>364</v>
      </c>
    </row>
    <row r="47286">
      <c r="H47286" s="8" t="s">
        <v>364</v>
      </c>
    </row>
    <row r="47287">
      <c r="H47287" s="8" t="s">
        <v>364</v>
      </c>
    </row>
    <row r="47288">
      <c r="H47288" s="8" t="s">
        <v>364</v>
      </c>
    </row>
    <row r="47289">
      <c r="H47289" s="8" t="s">
        <v>364</v>
      </c>
    </row>
    <row r="47290">
      <c r="H47290" s="8" t="s">
        <v>364</v>
      </c>
    </row>
    <row r="47291">
      <c r="H47291" s="8" t="s">
        <v>364</v>
      </c>
    </row>
    <row r="47292">
      <c r="H47292" s="8" t="s">
        <v>364</v>
      </c>
    </row>
    <row r="47293">
      <c r="H47293" s="8" t="s">
        <v>364</v>
      </c>
    </row>
    <row r="47294">
      <c r="H47294" s="8" t="s">
        <v>364</v>
      </c>
    </row>
    <row r="47295">
      <c r="H47295" s="8" t="s">
        <v>364</v>
      </c>
    </row>
    <row r="47296">
      <c r="H47296" s="8" t="s">
        <v>364</v>
      </c>
    </row>
    <row r="47297">
      <c r="H47297" s="8" t="s">
        <v>364</v>
      </c>
    </row>
    <row r="47298">
      <c r="H47298" s="8" t="s">
        <v>364</v>
      </c>
    </row>
    <row r="47299">
      <c r="H47299" s="8" t="s">
        <v>364</v>
      </c>
    </row>
    <row r="47300">
      <c r="H47300" s="8" t="s">
        <v>364</v>
      </c>
    </row>
    <row r="47301">
      <c r="H47301" s="8" t="s">
        <v>364</v>
      </c>
    </row>
    <row r="47302">
      <c r="H47302" s="8" t="s">
        <v>364</v>
      </c>
    </row>
    <row r="47303">
      <c r="H47303" s="8" t="s">
        <v>364</v>
      </c>
    </row>
    <row r="47304">
      <c r="H47304" s="8" t="s">
        <v>364</v>
      </c>
    </row>
    <row r="47305">
      <c r="H47305" s="8" t="s">
        <v>364</v>
      </c>
    </row>
    <row r="47306">
      <c r="H47306" s="8" t="s">
        <v>364</v>
      </c>
    </row>
    <row r="47307">
      <c r="H47307" s="8" t="s">
        <v>364</v>
      </c>
    </row>
    <row r="47308">
      <c r="H47308" s="8" t="s">
        <v>364</v>
      </c>
    </row>
    <row r="47309">
      <c r="H47309" s="8" t="s">
        <v>364</v>
      </c>
    </row>
    <row r="47310">
      <c r="H47310" s="8" t="s">
        <v>364</v>
      </c>
    </row>
    <row r="47311">
      <c r="H47311" s="8" t="s">
        <v>364</v>
      </c>
    </row>
    <row r="47312">
      <c r="H47312" s="8" t="s">
        <v>364</v>
      </c>
    </row>
    <row r="47313">
      <c r="H47313" s="8" t="s">
        <v>364</v>
      </c>
    </row>
    <row r="47314">
      <c r="H47314" s="8" t="s">
        <v>364</v>
      </c>
    </row>
    <row r="47315">
      <c r="H47315" s="8" t="s">
        <v>364</v>
      </c>
    </row>
    <row r="47316">
      <c r="H47316" s="8" t="s">
        <v>364</v>
      </c>
    </row>
    <row r="47317">
      <c r="H47317" s="8" t="s">
        <v>364</v>
      </c>
    </row>
    <row r="47318">
      <c r="H47318" s="8" t="s">
        <v>364</v>
      </c>
    </row>
    <row r="47319">
      <c r="H47319" s="8" t="s">
        <v>364</v>
      </c>
    </row>
    <row r="47320">
      <c r="H47320" s="8" t="s">
        <v>364</v>
      </c>
    </row>
    <row r="47321">
      <c r="H47321" s="8" t="s">
        <v>364</v>
      </c>
    </row>
    <row r="47322">
      <c r="H47322" s="8" t="s">
        <v>364</v>
      </c>
    </row>
    <row r="47323">
      <c r="H47323" s="8" t="s">
        <v>364</v>
      </c>
    </row>
    <row r="47324">
      <c r="H47324" s="8" t="s">
        <v>364</v>
      </c>
    </row>
    <row r="47325">
      <c r="H47325" s="8" t="s">
        <v>364</v>
      </c>
    </row>
    <row r="47326">
      <c r="H47326" s="8" t="s">
        <v>364</v>
      </c>
    </row>
    <row r="47327">
      <c r="H47327" s="8" t="s">
        <v>364</v>
      </c>
    </row>
    <row r="47328">
      <c r="H47328" s="8" t="s">
        <v>364</v>
      </c>
    </row>
    <row r="47329">
      <c r="H47329" s="8" t="s">
        <v>364</v>
      </c>
    </row>
    <row r="47330">
      <c r="H47330" s="8" t="s">
        <v>364</v>
      </c>
    </row>
    <row r="47331">
      <c r="H47331" s="8" t="s">
        <v>364</v>
      </c>
    </row>
    <row r="47332">
      <c r="H47332" s="8" t="s">
        <v>364</v>
      </c>
    </row>
    <row r="47333">
      <c r="H47333" s="8" t="s">
        <v>364</v>
      </c>
    </row>
    <row r="47334">
      <c r="H47334" s="8" t="s">
        <v>364</v>
      </c>
    </row>
    <row r="47335">
      <c r="H47335" s="8" t="s">
        <v>364</v>
      </c>
    </row>
    <row r="47336">
      <c r="H47336" s="8" t="s">
        <v>364</v>
      </c>
    </row>
    <row r="47337">
      <c r="H47337" s="8" t="s">
        <v>364</v>
      </c>
    </row>
    <row r="47338">
      <c r="H47338" s="8" t="s">
        <v>364</v>
      </c>
    </row>
    <row r="47339">
      <c r="H47339" s="8" t="s">
        <v>364</v>
      </c>
    </row>
    <row r="47340">
      <c r="H47340" s="8" t="s">
        <v>364</v>
      </c>
    </row>
    <row r="47341">
      <c r="H47341" s="8" t="s">
        <v>364</v>
      </c>
    </row>
    <row r="47342">
      <c r="H47342" s="8" t="s">
        <v>364</v>
      </c>
    </row>
    <row r="47343">
      <c r="H47343" s="8" t="s">
        <v>364</v>
      </c>
    </row>
    <row r="47344">
      <c r="H47344" s="8" t="s">
        <v>364</v>
      </c>
    </row>
    <row r="47345">
      <c r="H47345" s="8" t="s">
        <v>364</v>
      </c>
    </row>
    <row r="47346">
      <c r="H47346" s="8" t="s">
        <v>364</v>
      </c>
    </row>
    <row r="47347">
      <c r="H47347" s="8" t="s">
        <v>364</v>
      </c>
    </row>
    <row r="47348">
      <c r="H47348" s="8" t="s">
        <v>364</v>
      </c>
    </row>
    <row r="47349">
      <c r="H47349" s="8" t="s">
        <v>364</v>
      </c>
    </row>
    <row r="47350">
      <c r="H47350" s="8" t="s">
        <v>364</v>
      </c>
    </row>
    <row r="47351">
      <c r="H47351" s="8" t="s">
        <v>364</v>
      </c>
    </row>
    <row r="47352">
      <c r="H47352" s="8" t="s">
        <v>364</v>
      </c>
    </row>
    <row r="47353">
      <c r="H47353" s="8" t="s">
        <v>364</v>
      </c>
    </row>
    <row r="47354">
      <c r="H47354" s="8" t="s">
        <v>364</v>
      </c>
    </row>
    <row r="47355">
      <c r="H47355" s="8" t="s">
        <v>364</v>
      </c>
    </row>
    <row r="47356">
      <c r="H47356" s="8" t="s">
        <v>364</v>
      </c>
    </row>
    <row r="47357">
      <c r="H47357" s="8" t="s">
        <v>364</v>
      </c>
    </row>
    <row r="47358">
      <c r="H47358" s="8" t="s">
        <v>364</v>
      </c>
    </row>
    <row r="47359">
      <c r="H47359" s="8" t="s">
        <v>364</v>
      </c>
    </row>
    <row r="47360">
      <c r="H47360" s="8" t="s">
        <v>364</v>
      </c>
    </row>
    <row r="47361">
      <c r="H47361" s="8" t="s">
        <v>364</v>
      </c>
    </row>
    <row r="47362">
      <c r="H47362" s="8" t="s">
        <v>364</v>
      </c>
    </row>
    <row r="47363">
      <c r="H47363" s="8" t="s">
        <v>364</v>
      </c>
    </row>
    <row r="47364">
      <c r="H47364" s="8" t="s">
        <v>364</v>
      </c>
    </row>
    <row r="47365">
      <c r="H47365" s="8" t="s">
        <v>364</v>
      </c>
    </row>
    <row r="47366">
      <c r="H47366" s="8" t="s">
        <v>364</v>
      </c>
    </row>
    <row r="47367">
      <c r="H47367" s="8" t="s">
        <v>364</v>
      </c>
    </row>
    <row r="47368">
      <c r="H47368" s="8" t="s">
        <v>364</v>
      </c>
    </row>
    <row r="47369">
      <c r="H47369" s="8" t="s">
        <v>364</v>
      </c>
    </row>
    <row r="47370">
      <c r="H47370" s="8" t="s">
        <v>364</v>
      </c>
    </row>
    <row r="47371">
      <c r="H47371" s="8" t="s">
        <v>364</v>
      </c>
    </row>
    <row r="47372">
      <c r="H47372" s="8" t="s">
        <v>364</v>
      </c>
    </row>
    <row r="47373">
      <c r="H47373" s="8" t="s">
        <v>364</v>
      </c>
    </row>
    <row r="47374">
      <c r="H47374" s="8" t="s">
        <v>364</v>
      </c>
    </row>
    <row r="47375">
      <c r="H47375" s="8" t="s">
        <v>364</v>
      </c>
    </row>
    <row r="47376">
      <c r="H47376" s="8" t="s">
        <v>364</v>
      </c>
    </row>
    <row r="47377">
      <c r="H47377" s="8" t="s">
        <v>364</v>
      </c>
    </row>
    <row r="47378">
      <c r="H47378" s="8" t="s">
        <v>364</v>
      </c>
    </row>
    <row r="47379">
      <c r="H47379" s="8" t="s">
        <v>364</v>
      </c>
    </row>
    <row r="47380">
      <c r="H47380" s="8" t="s">
        <v>364</v>
      </c>
    </row>
    <row r="47381">
      <c r="H47381" s="8" t="s">
        <v>364</v>
      </c>
    </row>
    <row r="47382">
      <c r="H47382" s="8" t="s">
        <v>364</v>
      </c>
    </row>
    <row r="47383">
      <c r="H47383" s="8" t="s">
        <v>364</v>
      </c>
    </row>
    <row r="47384">
      <c r="H47384" s="8" t="s">
        <v>364</v>
      </c>
    </row>
    <row r="47385">
      <c r="H47385" s="8" t="s">
        <v>364</v>
      </c>
    </row>
    <row r="47386">
      <c r="H47386" s="8" t="s">
        <v>364</v>
      </c>
    </row>
    <row r="47387">
      <c r="H47387" s="8" t="s">
        <v>364</v>
      </c>
    </row>
    <row r="47388">
      <c r="H47388" s="8" t="s">
        <v>364</v>
      </c>
    </row>
    <row r="47389">
      <c r="H47389" s="8" t="s">
        <v>364</v>
      </c>
    </row>
    <row r="47390">
      <c r="H47390" s="8" t="s">
        <v>364</v>
      </c>
    </row>
    <row r="47391">
      <c r="H47391" s="8" t="s">
        <v>364</v>
      </c>
    </row>
    <row r="47392">
      <c r="H47392" s="8" t="s">
        <v>364</v>
      </c>
    </row>
    <row r="47393">
      <c r="H47393" s="8" t="s">
        <v>364</v>
      </c>
    </row>
    <row r="47394">
      <c r="H47394" s="8" t="s">
        <v>364</v>
      </c>
    </row>
    <row r="47395">
      <c r="H47395" s="8" t="s">
        <v>364</v>
      </c>
    </row>
    <row r="47396">
      <c r="H47396" s="8" t="s">
        <v>364</v>
      </c>
    </row>
    <row r="47397">
      <c r="H47397" s="8" t="s">
        <v>364</v>
      </c>
    </row>
    <row r="47398">
      <c r="H47398" s="8" t="s">
        <v>364</v>
      </c>
    </row>
    <row r="47399">
      <c r="H47399" s="8" t="s">
        <v>364</v>
      </c>
    </row>
    <row r="47400">
      <c r="H47400" s="8" t="s">
        <v>364</v>
      </c>
    </row>
    <row r="47401">
      <c r="H47401" s="8" t="s">
        <v>364</v>
      </c>
    </row>
    <row r="47402">
      <c r="H47402" s="8" t="s">
        <v>364</v>
      </c>
    </row>
    <row r="47403">
      <c r="H47403" s="8" t="s">
        <v>364</v>
      </c>
    </row>
    <row r="47404">
      <c r="H47404" s="8" t="s">
        <v>364</v>
      </c>
    </row>
    <row r="47405">
      <c r="H47405" s="8" t="s">
        <v>364</v>
      </c>
    </row>
    <row r="47406">
      <c r="H47406" s="8" t="s">
        <v>364</v>
      </c>
    </row>
    <row r="47407">
      <c r="H47407" s="8" t="s">
        <v>364</v>
      </c>
    </row>
    <row r="47408">
      <c r="H47408" s="8" t="s">
        <v>364</v>
      </c>
    </row>
    <row r="47409">
      <c r="H47409" s="8" t="s">
        <v>364</v>
      </c>
    </row>
    <row r="47410">
      <c r="H47410" s="8" t="s">
        <v>364</v>
      </c>
    </row>
    <row r="47411">
      <c r="H47411" s="8" t="s">
        <v>364</v>
      </c>
    </row>
    <row r="47412">
      <c r="H47412" s="8" t="s">
        <v>364</v>
      </c>
    </row>
    <row r="47413">
      <c r="H47413" s="8" t="s">
        <v>364</v>
      </c>
    </row>
    <row r="47414">
      <c r="H47414" s="8" t="s">
        <v>364</v>
      </c>
    </row>
    <row r="47415">
      <c r="H47415" s="8" t="s">
        <v>364</v>
      </c>
    </row>
    <row r="47416">
      <c r="H47416" s="8" t="s">
        <v>364</v>
      </c>
    </row>
    <row r="47417">
      <c r="H47417" s="8" t="s">
        <v>364</v>
      </c>
    </row>
    <row r="47418">
      <c r="H47418" s="8" t="s">
        <v>364</v>
      </c>
    </row>
    <row r="47419">
      <c r="H47419" s="8" t="s">
        <v>364</v>
      </c>
    </row>
    <row r="47420">
      <c r="H47420" s="8" t="s">
        <v>364</v>
      </c>
    </row>
    <row r="47421">
      <c r="H47421" s="8" t="s">
        <v>364</v>
      </c>
    </row>
    <row r="47422">
      <c r="H47422" s="8" t="s">
        <v>364</v>
      </c>
    </row>
    <row r="47423">
      <c r="H47423" s="8" t="s">
        <v>364</v>
      </c>
    </row>
    <row r="47424">
      <c r="H47424" s="8" t="s">
        <v>364</v>
      </c>
    </row>
    <row r="47425">
      <c r="H47425" s="8" t="s">
        <v>364</v>
      </c>
    </row>
    <row r="47426">
      <c r="H47426" s="8" t="s">
        <v>364</v>
      </c>
    </row>
    <row r="47427">
      <c r="H47427" s="8" t="s">
        <v>364</v>
      </c>
    </row>
    <row r="47428">
      <c r="H47428" s="8" t="s">
        <v>364</v>
      </c>
    </row>
    <row r="47429">
      <c r="H47429" s="8" t="s">
        <v>364</v>
      </c>
    </row>
    <row r="47430">
      <c r="H47430" s="8" t="s">
        <v>364</v>
      </c>
    </row>
    <row r="47431">
      <c r="H47431" s="8" t="s">
        <v>364</v>
      </c>
    </row>
    <row r="47432">
      <c r="H47432" s="8" t="s">
        <v>364</v>
      </c>
    </row>
    <row r="47433">
      <c r="H47433" s="8" t="s">
        <v>364</v>
      </c>
    </row>
    <row r="47434">
      <c r="H47434" s="8" t="s">
        <v>364</v>
      </c>
    </row>
    <row r="47435">
      <c r="H47435" s="8" t="s">
        <v>364</v>
      </c>
    </row>
    <row r="47436">
      <c r="H47436" s="8" t="s">
        <v>364</v>
      </c>
    </row>
    <row r="47437">
      <c r="H47437" s="8" t="s">
        <v>364</v>
      </c>
    </row>
    <row r="47438">
      <c r="H47438" s="8" t="s">
        <v>364</v>
      </c>
    </row>
    <row r="47439">
      <c r="H47439" s="8" t="s">
        <v>364</v>
      </c>
    </row>
    <row r="47440">
      <c r="H47440" s="8" t="s">
        <v>364</v>
      </c>
    </row>
    <row r="47441">
      <c r="H47441" s="8" t="s">
        <v>364</v>
      </c>
    </row>
    <row r="47442">
      <c r="H47442" s="8" t="s">
        <v>364</v>
      </c>
    </row>
    <row r="47443">
      <c r="H47443" s="8" t="s">
        <v>364</v>
      </c>
    </row>
    <row r="47444">
      <c r="H47444" s="8" t="s">
        <v>364</v>
      </c>
    </row>
    <row r="47445">
      <c r="H47445" s="8" t="s">
        <v>364</v>
      </c>
    </row>
    <row r="47446">
      <c r="H47446" s="8" t="s">
        <v>364</v>
      </c>
    </row>
    <row r="47447">
      <c r="H47447" s="8" t="s">
        <v>364</v>
      </c>
    </row>
    <row r="47448">
      <c r="H47448" s="8" t="s">
        <v>364</v>
      </c>
    </row>
    <row r="47449">
      <c r="H47449" s="8" t="s">
        <v>364</v>
      </c>
    </row>
    <row r="47450">
      <c r="H47450" s="8" t="s">
        <v>364</v>
      </c>
    </row>
    <row r="47451">
      <c r="H47451" s="8" t="s">
        <v>364</v>
      </c>
    </row>
    <row r="47452">
      <c r="H47452" s="8" t="s">
        <v>364</v>
      </c>
    </row>
    <row r="47453">
      <c r="H47453" s="8" t="s">
        <v>364</v>
      </c>
    </row>
    <row r="47454">
      <c r="H47454" s="8" t="s">
        <v>364</v>
      </c>
    </row>
    <row r="47455">
      <c r="H47455" s="8" t="s">
        <v>364</v>
      </c>
    </row>
    <row r="47456">
      <c r="H47456" s="8" t="s">
        <v>364</v>
      </c>
    </row>
    <row r="47457">
      <c r="H47457" s="8" t="s">
        <v>364</v>
      </c>
    </row>
    <row r="47458">
      <c r="H47458" s="8" t="s">
        <v>364</v>
      </c>
    </row>
    <row r="47459">
      <c r="H47459" s="8" t="s">
        <v>364</v>
      </c>
    </row>
    <row r="47460">
      <c r="H47460" s="8" t="s">
        <v>364</v>
      </c>
    </row>
    <row r="47461">
      <c r="H47461" s="8" t="s">
        <v>364</v>
      </c>
    </row>
    <row r="47462">
      <c r="H47462" s="8" t="s">
        <v>364</v>
      </c>
    </row>
    <row r="47463">
      <c r="H47463" s="8" t="s">
        <v>364</v>
      </c>
    </row>
    <row r="47464">
      <c r="H47464" s="8" t="s">
        <v>364</v>
      </c>
    </row>
    <row r="47465">
      <c r="H47465" s="8" t="s">
        <v>364</v>
      </c>
    </row>
    <row r="47466">
      <c r="H47466" s="8" t="s">
        <v>364</v>
      </c>
    </row>
    <row r="47467">
      <c r="H47467" s="8" t="s">
        <v>364</v>
      </c>
    </row>
    <row r="47468">
      <c r="H47468" s="8" t="s">
        <v>364</v>
      </c>
    </row>
    <row r="47469">
      <c r="H47469" s="8" t="s">
        <v>364</v>
      </c>
    </row>
    <row r="47470">
      <c r="H47470" s="8" t="s">
        <v>364</v>
      </c>
    </row>
    <row r="47471">
      <c r="H47471" s="8" t="s">
        <v>364</v>
      </c>
    </row>
    <row r="47472">
      <c r="H47472" s="8" t="s">
        <v>364</v>
      </c>
    </row>
    <row r="47473">
      <c r="H47473" s="8" t="s">
        <v>364</v>
      </c>
    </row>
    <row r="47474">
      <c r="H47474" s="8" t="s">
        <v>364</v>
      </c>
    </row>
    <row r="47475">
      <c r="H47475" s="8" t="s">
        <v>364</v>
      </c>
    </row>
    <row r="47476">
      <c r="H47476" s="8" t="s">
        <v>364</v>
      </c>
    </row>
    <row r="47477">
      <c r="H47477" s="8" t="s">
        <v>364</v>
      </c>
    </row>
    <row r="47478">
      <c r="H47478" s="8" t="s">
        <v>364</v>
      </c>
    </row>
    <row r="47479">
      <c r="H47479" s="8" t="s">
        <v>364</v>
      </c>
    </row>
    <row r="47480">
      <c r="H47480" s="8" t="s">
        <v>364</v>
      </c>
    </row>
    <row r="47481">
      <c r="H47481" s="8" t="s">
        <v>364</v>
      </c>
    </row>
    <row r="47482">
      <c r="H47482" s="8" t="s">
        <v>364</v>
      </c>
    </row>
    <row r="47483">
      <c r="H47483" s="8" t="s">
        <v>364</v>
      </c>
    </row>
    <row r="47484">
      <c r="H47484" s="8" t="s">
        <v>364</v>
      </c>
    </row>
    <row r="47485">
      <c r="H47485" s="8" t="s">
        <v>364</v>
      </c>
    </row>
    <row r="47486">
      <c r="H47486" s="8" t="s">
        <v>364</v>
      </c>
    </row>
    <row r="47487">
      <c r="H47487" s="8" t="s">
        <v>364</v>
      </c>
    </row>
    <row r="47488">
      <c r="H47488" s="8" t="s">
        <v>364</v>
      </c>
    </row>
    <row r="47489">
      <c r="H47489" s="8" t="s">
        <v>364</v>
      </c>
    </row>
    <row r="47490">
      <c r="H47490" s="8" t="s">
        <v>364</v>
      </c>
    </row>
    <row r="47491">
      <c r="H47491" s="8" t="s">
        <v>364</v>
      </c>
    </row>
    <row r="47492">
      <c r="H47492" s="8" t="s">
        <v>364</v>
      </c>
    </row>
    <row r="47493">
      <c r="H47493" s="8" t="s">
        <v>364</v>
      </c>
    </row>
    <row r="47494">
      <c r="H47494" s="8" t="s">
        <v>364</v>
      </c>
    </row>
    <row r="47495">
      <c r="H47495" s="8" t="s">
        <v>364</v>
      </c>
    </row>
    <row r="47496">
      <c r="H47496" s="8" t="s">
        <v>364</v>
      </c>
    </row>
    <row r="47497">
      <c r="H47497" s="8" t="s">
        <v>364</v>
      </c>
    </row>
    <row r="47498">
      <c r="H47498" s="8" t="s">
        <v>364</v>
      </c>
    </row>
    <row r="47499">
      <c r="H47499" s="8" t="s">
        <v>364</v>
      </c>
    </row>
    <row r="47500">
      <c r="H47500" s="8" t="s">
        <v>364</v>
      </c>
    </row>
    <row r="47501">
      <c r="H47501" s="8" t="s">
        <v>364</v>
      </c>
    </row>
    <row r="47502">
      <c r="H47502" s="8" t="s">
        <v>364</v>
      </c>
    </row>
    <row r="47503">
      <c r="H47503" s="8" t="s">
        <v>364</v>
      </c>
    </row>
    <row r="47504">
      <c r="H47504" s="8" t="s">
        <v>364</v>
      </c>
    </row>
    <row r="47505">
      <c r="H47505" s="8" t="s">
        <v>364</v>
      </c>
    </row>
    <row r="47506">
      <c r="H47506" s="8" t="s">
        <v>364</v>
      </c>
    </row>
    <row r="47507">
      <c r="H47507" s="8" t="s">
        <v>364</v>
      </c>
    </row>
    <row r="47508">
      <c r="H47508" s="8" t="s">
        <v>364</v>
      </c>
    </row>
    <row r="47509">
      <c r="H47509" s="8" t="s">
        <v>364</v>
      </c>
    </row>
    <row r="47510">
      <c r="H47510" s="8" t="s">
        <v>364</v>
      </c>
    </row>
    <row r="47511">
      <c r="H47511" s="8" t="s">
        <v>364</v>
      </c>
    </row>
    <row r="47512">
      <c r="H47512" s="8" t="s">
        <v>364</v>
      </c>
    </row>
    <row r="47513">
      <c r="H47513" s="8" t="s">
        <v>364</v>
      </c>
    </row>
    <row r="47514">
      <c r="H47514" s="8" t="s">
        <v>364</v>
      </c>
    </row>
    <row r="47515">
      <c r="H47515" s="8" t="s">
        <v>364</v>
      </c>
    </row>
    <row r="47516">
      <c r="H47516" s="8" t="s">
        <v>364</v>
      </c>
    </row>
    <row r="47517">
      <c r="H47517" s="8" t="s">
        <v>364</v>
      </c>
    </row>
    <row r="47518">
      <c r="H47518" s="8" t="s">
        <v>364</v>
      </c>
    </row>
    <row r="47519">
      <c r="H47519" s="8" t="s">
        <v>364</v>
      </c>
    </row>
    <row r="47520">
      <c r="H47520" s="8" t="s">
        <v>364</v>
      </c>
    </row>
    <row r="47521">
      <c r="H47521" s="8" t="s">
        <v>364</v>
      </c>
    </row>
    <row r="47522">
      <c r="H47522" s="8" t="s">
        <v>364</v>
      </c>
    </row>
    <row r="47523">
      <c r="H47523" s="8" t="s">
        <v>364</v>
      </c>
    </row>
    <row r="47524">
      <c r="H47524" s="8" t="s">
        <v>364</v>
      </c>
    </row>
    <row r="47525">
      <c r="H47525" s="8" t="s">
        <v>364</v>
      </c>
    </row>
    <row r="47526">
      <c r="H47526" s="8" t="s">
        <v>364</v>
      </c>
    </row>
    <row r="47527">
      <c r="H47527" s="8" t="s">
        <v>364</v>
      </c>
    </row>
    <row r="47528">
      <c r="H47528" s="8" t="s">
        <v>364</v>
      </c>
    </row>
    <row r="47529">
      <c r="H47529" s="8" t="s">
        <v>364</v>
      </c>
    </row>
    <row r="47530">
      <c r="H47530" s="8" t="s">
        <v>364</v>
      </c>
    </row>
    <row r="47531">
      <c r="H47531" s="8" t="s">
        <v>364</v>
      </c>
    </row>
    <row r="47532">
      <c r="H47532" s="8" t="s">
        <v>364</v>
      </c>
    </row>
    <row r="47533">
      <c r="H47533" s="8" t="s">
        <v>364</v>
      </c>
    </row>
    <row r="47534">
      <c r="H47534" s="8" t="s">
        <v>364</v>
      </c>
    </row>
    <row r="47535">
      <c r="H47535" s="8" t="s">
        <v>364</v>
      </c>
    </row>
    <row r="47536">
      <c r="H47536" s="8" t="s">
        <v>364</v>
      </c>
    </row>
    <row r="47537">
      <c r="H47537" s="8" t="s">
        <v>364</v>
      </c>
    </row>
    <row r="47538">
      <c r="H47538" s="8" t="s">
        <v>364</v>
      </c>
    </row>
    <row r="47539">
      <c r="H47539" s="8" t="s">
        <v>364</v>
      </c>
    </row>
    <row r="47540">
      <c r="H47540" s="8" t="s">
        <v>364</v>
      </c>
    </row>
    <row r="47541">
      <c r="H47541" s="8" t="s">
        <v>364</v>
      </c>
    </row>
    <row r="47542">
      <c r="H47542" s="8" t="s">
        <v>364</v>
      </c>
    </row>
    <row r="47543">
      <c r="H47543" s="8" t="s">
        <v>364</v>
      </c>
    </row>
    <row r="47544">
      <c r="H47544" s="8" t="s">
        <v>364</v>
      </c>
    </row>
    <row r="47545">
      <c r="H47545" s="8" t="s">
        <v>364</v>
      </c>
    </row>
    <row r="47546">
      <c r="H47546" s="8" t="s">
        <v>364</v>
      </c>
    </row>
    <row r="47547">
      <c r="H47547" s="8" t="s">
        <v>364</v>
      </c>
    </row>
    <row r="47548">
      <c r="H47548" s="8" t="s">
        <v>364</v>
      </c>
    </row>
    <row r="47549">
      <c r="H47549" s="8" t="s">
        <v>364</v>
      </c>
    </row>
    <row r="47550">
      <c r="H47550" s="8" t="s">
        <v>364</v>
      </c>
    </row>
    <row r="47551">
      <c r="H47551" s="8" t="s">
        <v>364</v>
      </c>
    </row>
    <row r="47552">
      <c r="H47552" s="8" t="s">
        <v>364</v>
      </c>
    </row>
    <row r="47553">
      <c r="H47553" s="8" t="s">
        <v>364</v>
      </c>
    </row>
    <row r="47554">
      <c r="H47554" s="8" t="s">
        <v>364</v>
      </c>
    </row>
    <row r="47555">
      <c r="H47555" s="8" t="s">
        <v>364</v>
      </c>
    </row>
    <row r="47556">
      <c r="H47556" s="8" t="s">
        <v>364</v>
      </c>
    </row>
    <row r="47557">
      <c r="H47557" s="8" t="s">
        <v>364</v>
      </c>
    </row>
    <row r="47558">
      <c r="H47558" s="8" t="s">
        <v>364</v>
      </c>
    </row>
    <row r="47559">
      <c r="H47559" s="8" t="s">
        <v>364</v>
      </c>
    </row>
    <row r="47560">
      <c r="H47560" s="8" t="s">
        <v>364</v>
      </c>
    </row>
    <row r="47561">
      <c r="H47561" s="8" t="s">
        <v>364</v>
      </c>
    </row>
    <row r="47562">
      <c r="H47562" s="8" t="s">
        <v>364</v>
      </c>
    </row>
    <row r="47563">
      <c r="H47563" s="8" t="s">
        <v>364</v>
      </c>
    </row>
    <row r="47564">
      <c r="H47564" s="8" t="s">
        <v>364</v>
      </c>
    </row>
    <row r="47565">
      <c r="H47565" s="8" t="s">
        <v>364</v>
      </c>
    </row>
    <row r="47566">
      <c r="H47566" s="8" t="s">
        <v>364</v>
      </c>
    </row>
    <row r="47567">
      <c r="H47567" s="8" t="s">
        <v>364</v>
      </c>
    </row>
    <row r="47568">
      <c r="H47568" s="8" t="s">
        <v>364</v>
      </c>
    </row>
    <row r="47569">
      <c r="H47569" s="8" t="s">
        <v>364</v>
      </c>
    </row>
    <row r="47570">
      <c r="H47570" s="8" t="s">
        <v>364</v>
      </c>
    </row>
    <row r="47571">
      <c r="H47571" s="8" t="s">
        <v>364</v>
      </c>
    </row>
    <row r="47572">
      <c r="H47572" s="8" t="s">
        <v>364</v>
      </c>
    </row>
    <row r="47573">
      <c r="H47573" s="8" t="s">
        <v>364</v>
      </c>
    </row>
    <row r="47574">
      <c r="H47574" s="8" t="s">
        <v>364</v>
      </c>
    </row>
    <row r="47575">
      <c r="H47575" s="8" t="s">
        <v>364</v>
      </c>
    </row>
    <row r="47576">
      <c r="H47576" s="8" t="s">
        <v>364</v>
      </c>
    </row>
    <row r="47577">
      <c r="H47577" s="8" t="s">
        <v>364</v>
      </c>
    </row>
    <row r="47578">
      <c r="H47578" s="8" t="s">
        <v>364</v>
      </c>
    </row>
    <row r="47579">
      <c r="H47579" s="8" t="s">
        <v>364</v>
      </c>
    </row>
    <row r="47580">
      <c r="H47580" s="8" t="s">
        <v>364</v>
      </c>
    </row>
    <row r="47581">
      <c r="H47581" s="8" t="s">
        <v>364</v>
      </c>
    </row>
    <row r="47582">
      <c r="H47582" s="8" t="s">
        <v>364</v>
      </c>
    </row>
    <row r="47583">
      <c r="H47583" s="8" t="s">
        <v>364</v>
      </c>
    </row>
    <row r="47584">
      <c r="H47584" s="8" t="s">
        <v>364</v>
      </c>
    </row>
    <row r="47585">
      <c r="H47585" s="8" t="s">
        <v>364</v>
      </c>
    </row>
    <row r="47586">
      <c r="H47586" s="8" t="s">
        <v>364</v>
      </c>
    </row>
    <row r="47587">
      <c r="H47587" s="8" t="s">
        <v>364</v>
      </c>
    </row>
    <row r="47588">
      <c r="H47588" s="8" t="s">
        <v>364</v>
      </c>
    </row>
    <row r="47589">
      <c r="H47589" s="8" t="s">
        <v>364</v>
      </c>
    </row>
    <row r="47590">
      <c r="H47590" s="8" t="s">
        <v>364</v>
      </c>
    </row>
    <row r="47591">
      <c r="H47591" s="8" t="s">
        <v>364</v>
      </c>
    </row>
    <row r="47592">
      <c r="H47592" s="8" t="s">
        <v>364</v>
      </c>
    </row>
    <row r="47593">
      <c r="H47593" s="8" t="s">
        <v>364</v>
      </c>
    </row>
    <row r="47594">
      <c r="H47594" s="8" t="s">
        <v>364</v>
      </c>
    </row>
    <row r="47595">
      <c r="H47595" s="8" t="s">
        <v>364</v>
      </c>
    </row>
    <row r="47596">
      <c r="H47596" s="8" t="s">
        <v>364</v>
      </c>
    </row>
    <row r="47597">
      <c r="H47597" s="8" t="s">
        <v>364</v>
      </c>
    </row>
    <row r="47598">
      <c r="H47598" s="8" t="s">
        <v>364</v>
      </c>
    </row>
    <row r="47599">
      <c r="H47599" s="8" t="s">
        <v>364</v>
      </c>
    </row>
    <row r="47600">
      <c r="H47600" s="8" t="s">
        <v>364</v>
      </c>
    </row>
    <row r="47601">
      <c r="H47601" s="8" t="s">
        <v>364</v>
      </c>
    </row>
    <row r="47602">
      <c r="H47602" s="8" t="s">
        <v>364</v>
      </c>
    </row>
    <row r="47603">
      <c r="H47603" s="8" t="s">
        <v>364</v>
      </c>
    </row>
    <row r="47604">
      <c r="H47604" s="8" t="s">
        <v>364</v>
      </c>
    </row>
    <row r="47605">
      <c r="H47605" s="8" t="s">
        <v>364</v>
      </c>
    </row>
    <row r="47606">
      <c r="H47606" s="8" t="s">
        <v>364</v>
      </c>
    </row>
    <row r="47607">
      <c r="H47607" s="8" t="s">
        <v>364</v>
      </c>
    </row>
    <row r="47608">
      <c r="H47608" s="8" t="s">
        <v>364</v>
      </c>
    </row>
    <row r="47609">
      <c r="H47609" s="8" t="s">
        <v>364</v>
      </c>
    </row>
    <row r="47610">
      <c r="H47610" s="8" t="s">
        <v>364</v>
      </c>
    </row>
    <row r="47611">
      <c r="H47611" s="8" t="s">
        <v>364</v>
      </c>
    </row>
    <row r="47612">
      <c r="H47612" s="8" t="s">
        <v>364</v>
      </c>
    </row>
    <row r="47613">
      <c r="H47613" s="8" t="s">
        <v>364</v>
      </c>
    </row>
    <row r="47614">
      <c r="H47614" s="8" t="s">
        <v>364</v>
      </c>
    </row>
    <row r="47615">
      <c r="H47615" s="8" t="s">
        <v>364</v>
      </c>
    </row>
    <row r="47616">
      <c r="H47616" s="8" t="s">
        <v>364</v>
      </c>
    </row>
    <row r="47617">
      <c r="H47617" s="8" t="s">
        <v>364</v>
      </c>
    </row>
    <row r="47618">
      <c r="H47618" s="8" t="s">
        <v>364</v>
      </c>
    </row>
    <row r="47619">
      <c r="H47619" s="8" t="s">
        <v>364</v>
      </c>
    </row>
    <row r="47620">
      <c r="H47620" s="8" t="s">
        <v>364</v>
      </c>
    </row>
    <row r="47621">
      <c r="H47621" s="8" t="s">
        <v>364</v>
      </c>
    </row>
    <row r="47622">
      <c r="H47622" s="8" t="s">
        <v>364</v>
      </c>
    </row>
    <row r="47623">
      <c r="H47623" s="8" t="s">
        <v>364</v>
      </c>
    </row>
    <row r="47624">
      <c r="H47624" s="8" t="s">
        <v>364</v>
      </c>
    </row>
    <row r="47625">
      <c r="H47625" s="8" t="s">
        <v>364</v>
      </c>
    </row>
    <row r="47626">
      <c r="H47626" s="8" t="s">
        <v>364</v>
      </c>
    </row>
    <row r="47627">
      <c r="H47627" s="8" t="s">
        <v>364</v>
      </c>
    </row>
    <row r="47628">
      <c r="H47628" s="8" t="s">
        <v>364</v>
      </c>
    </row>
    <row r="47629">
      <c r="H47629" s="8" t="s">
        <v>364</v>
      </c>
    </row>
    <row r="47630">
      <c r="H47630" s="8" t="s">
        <v>364</v>
      </c>
    </row>
    <row r="47631">
      <c r="H47631" s="8" t="s">
        <v>364</v>
      </c>
    </row>
    <row r="47632">
      <c r="H47632" s="8" t="s">
        <v>364</v>
      </c>
    </row>
    <row r="47633">
      <c r="H47633" s="8" t="s">
        <v>364</v>
      </c>
    </row>
    <row r="47634">
      <c r="H47634" s="8" t="s">
        <v>364</v>
      </c>
    </row>
    <row r="47635">
      <c r="H47635" s="8" t="s">
        <v>364</v>
      </c>
    </row>
    <row r="47636">
      <c r="H47636" s="8" t="s">
        <v>364</v>
      </c>
    </row>
    <row r="47637">
      <c r="H47637" s="8" t="s">
        <v>364</v>
      </c>
    </row>
    <row r="47638">
      <c r="H47638" s="8" t="s">
        <v>364</v>
      </c>
    </row>
    <row r="47639">
      <c r="H47639" s="8" t="s">
        <v>364</v>
      </c>
    </row>
    <row r="47640">
      <c r="H47640" s="8" t="s">
        <v>364</v>
      </c>
    </row>
    <row r="47641">
      <c r="H47641" s="8" t="s">
        <v>364</v>
      </c>
    </row>
    <row r="47642">
      <c r="H47642" s="8" t="s">
        <v>364</v>
      </c>
    </row>
    <row r="47643">
      <c r="H47643" s="8" t="s">
        <v>364</v>
      </c>
    </row>
    <row r="47644">
      <c r="H47644" s="8" t="s">
        <v>364</v>
      </c>
    </row>
    <row r="47645">
      <c r="H47645" s="8" t="s">
        <v>364</v>
      </c>
    </row>
    <row r="47646">
      <c r="H47646" s="8" t="s">
        <v>364</v>
      </c>
    </row>
    <row r="47647">
      <c r="H47647" s="8" t="s">
        <v>364</v>
      </c>
    </row>
    <row r="47648">
      <c r="H47648" s="8" t="s">
        <v>364</v>
      </c>
    </row>
    <row r="47649">
      <c r="H47649" s="8" t="s">
        <v>364</v>
      </c>
    </row>
    <row r="47650">
      <c r="H47650" s="8" t="s">
        <v>364</v>
      </c>
    </row>
    <row r="47651">
      <c r="H47651" s="8" t="s">
        <v>364</v>
      </c>
    </row>
    <row r="47652">
      <c r="H47652" s="8" t="s">
        <v>364</v>
      </c>
    </row>
    <row r="47653">
      <c r="H47653" s="8" t="s">
        <v>364</v>
      </c>
    </row>
    <row r="47654">
      <c r="H47654" s="8" t="s">
        <v>364</v>
      </c>
    </row>
    <row r="47655">
      <c r="H47655" s="8" t="s">
        <v>364</v>
      </c>
    </row>
    <row r="47656">
      <c r="H47656" s="8" t="s">
        <v>364</v>
      </c>
    </row>
    <row r="47657">
      <c r="H47657" s="8" t="s">
        <v>364</v>
      </c>
    </row>
    <row r="47658">
      <c r="H47658" s="8" t="s">
        <v>364</v>
      </c>
    </row>
    <row r="47659">
      <c r="H47659" s="8" t="s">
        <v>364</v>
      </c>
    </row>
    <row r="47660">
      <c r="H47660" s="8" t="s">
        <v>364</v>
      </c>
    </row>
    <row r="47661">
      <c r="H47661" s="8" t="s">
        <v>364</v>
      </c>
    </row>
    <row r="47662">
      <c r="H47662" s="8" t="s">
        <v>364</v>
      </c>
    </row>
    <row r="47663">
      <c r="H47663" s="8" t="s">
        <v>364</v>
      </c>
    </row>
    <row r="47664">
      <c r="H47664" s="8" t="s">
        <v>364</v>
      </c>
    </row>
    <row r="47665">
      <c r="H47665" s="8" t="s">
        <v>364</v>
      </c>
    </row>
    <row r="47666">
      <c r="H47666" s="8" t="s">
        <v>364</v>
      </c>
    </row>
    <row r="47667">
      <c r="H47667" s="8" t="s">
        <v>364</v>
      </c>
    </row>
    <row r="47668">
      <c r="H47668" s="8" t="s">
        <v>364</v>
      </c>
    </row>
    <row r="47669">
      <c r="H47669" s="8" t="s">
        <v>364</v>
      </c>
    </row>
    <row r="47670">
      <c r="H47670" s="8" t="s">
        <v>364</v>
      </c>
    </row>
    <row r="47671">
      <c r="H47671" s="8" t="s">
        <v>364</v>
      </c>
    </row>
    <row r="47672">
      <c r="H47672" s="8" t="s">
        <v>364</v>
      </c>
    </row>
    <row r="47673">
      <c r="H47673" s="8" t="s">
        <v>364</v>
      </c>
    </row>
    <row r="47674">
      <c r="H47674" s="8" t="s">
        <v>364</v>
      </c>
    </row>
    <row r="47675">
      <c r="H47675" s="8" t="s">
        <v>364</v>
      </c>
    </row>
    <row r="47676">
      <c r="H47676" s="8" t="s">
        <v>364</v>
      </c>
    </row>
    <row r="47677">
      <c r="H47677" s="8" t="s">
        <v>364</v>
      </c>
    </row>
    <row r="47678">
      <c r="H47678" s="8" t="s">
        <v>364</v>
      </c>
    </row>
    <row r="47679">
      <c r="H47679" s="8" t="s">
        <v>364</v>
      </c>
    </row>
    <row r="47680">
      <c r="H47680" s="8" t="s">
        <v>364</v>
      </c>
    </row>
    <row r="47681">
      <c r="H47681" s="8" t="s">
        <v>364</v>
      </c>
    </row>
    <row r="47682">
      <c r="H47682" s="8" t="s">
        <v>364</v>
      </c>
    </row>
    <row r="47683">
      <c r="H47683" s="8" t="s">
        <v>364</v>
      </c>
    </row>
    <row r="47684">
      <c r="H47684" s="8" t="s">
        <v>364</v>
      </c>
    </row>
    <row r="47685">
      <c r="H47685" s="8" t="s">
        <v>364</v>
      </c>
    </row>
    <row r="47686">
      <c r="H47686" s="8" t="s">
        <v>364</v>
      </c>
    </row>
    <row r="47687">
      <c r="H47687" s="8" t="s">
        <v>364</v>
      </c>
    </row>
    <row r="47688">
      <c r="H47688" s="8" t="s">
        <v>364</v>
      </c>
    </row>
    <row r="47689">
      <c r="H47689" s="8" t="s">
        <v>364</v>
      </c>
    </row>
    <row r="47690">
      <c r="H47690" s="8" t="s">
        <v>364</v>
      </c>
    </row>
    <row r="47691">
      <c r="H47691" s="8" t="s">
        <v>364</v>
      </c>
    </row>
    <row r="47692">
      <c r="H47692" s="8" t="s">
        <v>364</v>
      </c>
    </row>
    <row r="47693">
      <c r="H47693" s="8" t="s">
        <v>364</v>
      </c>
    </row>
    <row r="47694">
      <c r="H47694" s="8" t="s">
        <v>364</v>
      </c>
    </row>
    <row r="47695">
      <c r="H47695" s="8" t="s">
        <v>364</v>
      </c>
    </row>
    <row r="47696">
      <c r="H47696" s="8" t="s">
        <v>364</v>
      </c>
    </row>
    <row r="47697">
      <c r="H47697" s="8" t="s">
        <v>364</v>
      </c>
    </row>
    <row r="47698">
      <c r="H47698" s="8" t="s">
        <v>364</v>
      </c>
    </row>
    <row r="47699">
      <c r="H47699" s="8" t="s">
        <v>364</v>
      </c>
    </row>
    <row r="47700">
      <c r="H47700" s="8" t="s">
        <v>364</v>
      </c>
    </row>
    <row r="47701">
      <c r="H47701" s="8" t="s">
        <v>364</v>
      </c>
    </row>
    <row r="47702">
      <c r="H47702" s="8" t="s">
        <v>364</v>
      </c>
    </row>
    <row r="47703">
      <c r="H47703" s="8" t="s">
        <v>364</v>
      </c>
    </row>
    <row r="47704">
      <c r="H47704" s="8" t="s">
        <v>364</v>
      </c>
    </row>
    <row r="47705">
      <c r="H47705" s="8" t="s">
        <v>364</v>
      </c>
    </row>
    <row r="47706">
      <c r="H47706" s="8" t="s">
        <v>364</v>
      </c>
    </row>
    <row r="47707">
      <c r="H47707" s="8" t="s">
        <v>364</v>
      </c>
    </row>
    <row r="47708">
      <c r="H47708" s="8" t="s">
        <v>364</v>
      </c>
    </row>
    <row r="47709">
      <c r="H47709" s="8" t="s">
        <v>364</v>
      </c>
    </row>
    <row r="47710">
      <c r="H47710" s="8" t="s">
        <v>364</v>
      </c>
    </row>
    <row r="47711">
      <c r="H47711" s="8" t="s">
        <v>364</v>
      </c>
    </row>
    <row r="47712">
      <c r="H47712" s="8" t="s">
        <v>364</v>
      </c>
    </row>
    <row r="47713">
      <c r="H47713" s="8" t="s">
        <v>364</v>
      </c>
    </row>
    <row r="47714">
      <c r="H47714" s="8" t="s">
        <v>364</v>
      </c>
    </row>
    <row r="47715">
      <c r="H47715" s="8" t="s">
        <v>364</v>
      </c>
    </row>
    <row r="47716">
      <c r="H47716" s="8" t="s">
        <v>364</v>
      </c>
    </row>
    <row r="47717">
      <c r="H47717" s="8" t="s">
        <v>364</v>
      </c>
    </row>
    <row r="47718">
      <c r="H47718" s="8" t="s">
        <v>364</v>
      </c>
    </row>
    <row r="47719">
      <c r="H47719" s="8" t="s">
        <v>364</v>
      </c>
    </row>
    <row r="47720">
      <c r="H47720" s="8" t="s">
        <v>364</v>
      </c>
    </row>
    <row r="47721">
      <c r="H47721" s="8" t="s">
        <v>364</v>
      </c>
    </row>
    <row r="47722">
      <c r="H47722" s="8" t="s">
        <v>364</v>
      </c>
    </row>
    <row r="47723">
      <c r="H47723" s="8" t="s">
        <v>364</v>
      </c>
    </row>
    <row r="47724">
      <c r="H47724" s="8" t="s">
        <v>364</v>
      </c>
    </row>
    <row r="47725">
      <c r="H47725" s="8" t="s">
        <v>364</v>
      </c>
    </row>
    <row r="47726">
      <c r="H47726" s="8" t="s">
        <v>364</v>
      </c>
    </row>
    <row r="47727">
      <c r="H47727" s="8" t="s">
        <v>364</v>
      </c>
    </row>
    <row r="47728">
      <c r="H47728" s="8" t="s">
        <v>364</v>
      </c>
    </row>
    <row r="47729">
      <c r="H47729" s="8" t="s">
        <v>364</v>
      </c>
    </row>
    <row r="47730">
      <c r="H47730" s="8" t="s">
        <v>364</v>
      </c>
    </row>
    <row r="47731">
      <c r="H47731" s="8" t="s">
        <v>364</v>
      </c>
    </row>
    <row r="47732">
      <c r="H47732" s="8" t="s">
        <v>364</v>
      </c>
    </row>
    <row r="47733">
      <c r="H47733" s="8" t="s">
        <v>364</v>
      </c>
    </row>
    <row r="47734">
      <c r="H47734" s="8" t="s">
        <v>364</v>
      </c>
    </row>
    <row r="47735">
      <c r="H47735" s="8" t="s">
        <v>364</v>
      </c>
    </row>
    <row r="47736">
      <c r="H47736" s="8" t="s">
        <v>364</v>
      </c>
    </row>
    <row r="47737">
      <c r="H47737" s="8" t="s">
        <v>364</v>
      </c>
    </row>
    <row r="47738">
      <c r="H47738" s="8" t="s">
        <v>364</v>
      </c>
    </row>
    <row r="47739">
      <c r="H47739" s="8" t="s">
        <v>364</v>
      </c>
    </row>
    <row r="47740">
      <c r="H47740" s="8" t="s">
        <v>364</v>
      </c>
    </row>
    <row r="47741">
      <c r="H47741" s="8" t="s">
        <v>364</v>
      </c>
    </row>
    <row r="47742">
      <c r="H47742" s="8" t="s">
        <v>364</v>
      </c>
    </row>
    <row r="47743">
      <c r="H47743" s="8" t="s">
        <v>364</v>
      </c>
    </row>
    <row r="47744">
      <c r="H47744" s="8" t="s">
        <v>364</v>
      </c>
    </row>
    <row r="47745">
      <c r="H47745" s="8" t="s">
        <v>364</v>
      </c>
    </row>
    <row r="47746">
      <c r="H47746" s="8" t="s">
        <v>364</v>
      </c>
    </row>
    <row r="47747">
      <c r="H47747" s="8" t="s">
        <v>364</v>
      </c>
    </row>
    <row r="47748">
      <c r="H47748" s="8" t="s">
        <v>364</v>
      </c>
    </row>
    <row r="47749">
      <c r="H47749" s="8" t="s">
        <v>364</v>
      </c>
    </row>
    <row r="47750">
      <c r="H47750" s="8" t="s">
        <v>364</v>
      </c>
    </row>
    <row r="47751">
      <c r="H47751" s="8" t="s">
        <v>364</v>
      </c>
    </row>
    <row r="47752">
      <c r="H47752" s="8" t="s">
        <v>364</v>
      </c>
    </row>
    <row r="47753">
      <c r="H47753" s="8" t="s">
        <v>364</v>
      </c>
    </row>
    <row r="47754">
      <c r="H47754" s="8" t="s">
        <v>364</v>
      </c>
    </row>
    <row r="47755">
      <c r="H47755" s="8" t="s">
        <v>364</v>
      </c>
    </row>
    <row r="47756">
      <c r="H47756" s="8" t="s">
        <v>364</v>
      </c>
    </row>
    <row r="47757">
      <c r="H47757" s="8" t="s">
        <v>364</v>
      </c>
    </row>
    <row r="47758">
      <c r="H47758" s="8" t="s">
        <v>364</v>
      </c>
    </row>
    <row r="47759">
      <c r="H47759" s="8" t="s">
        <v>364</v>
      </c>
    </row>
    <row r="47760">
      <c r="H47760" s="8" t="s">
        <v>364</v>
      </c>
    </row>
    <row r="47761">
      <c r="H47761" s="8" t="s">
        <v>364</v>
      </c>
    </row>
    <row r="47762">
      <c r="H47762" s="8" t="s">
        <v>364</v>
      </c>
    </row>
    <row r="47763">
      <c r="H47763" s="8" t="s">
        <v>364</v>
      </c>
    </row>
    <row r="47764">
      <c r="H47764" s="8" t="s">
        <v>364</v>
      </c>
    </row>
    <row r="47765">
      <c r="H47765" s="8" t="s">
        <v>364</v>
      </c>
    </row>
    <row r="47766">
      <c r="H47766" s="8" t="s">
        <v>364</v>
      </c>
    </row>
    <row r="47767">
      <c r="H47767" s="8" t="s">
        <v>364</v>
      </c>
    </row>
    <row r="47768">
      <c r="H47768" s="8" t="s">
        <v>364</v>
      </c>
    </row>
    <row r="47769">
      <c r="H47769" s="8" t="s">
        <v>364</v>
      </c>
    </row>
    <row r="47770">
      <c r="H47770" s="8" t="s">
        <v>364</v>
      </c>
    </row>
    <row r="47771">
      <c r="H47771" s="8" t="s">
        <v>364</v>
      </c>
    </row>
    <row r="47772">
      <c r="H47772" s="8" t="s">
        <v>364</v>
      </c>
    </row>
    <row r="47773">
      <c r="H47773" s="8" t="s">
        <v>364</v>
      </c>
    </row>
    <row r="47774">
      <c r="H47774" s="8" t="s">
        <v>364</v>
      </c>
    </row>
    <row r="47775">
      <c r="H47775" s="8" t="s">
        <v>364</v>
      </c>
    </row>
    <row r="47776">
      <c r="H47776" s="8" t="s">
        <v>364</v>
      </c>
    </row>
    <row r="47777">
      <c r="H47777" s="8" t="s">
        <v>364</v>
      </c>
    </row>
    <row r="47778">
      <c r="H47778" s="8" t="s">
        <v>364</v>
      </c>
    </row>
    <row r="47779">
      <c r="H47779" s="8" t="s">
        <v>364</v>
      </c>
    </row>
    <row r="47780">
      <c r="H47780" s="8" t="s">
        <v>364</v>
      </c>
    </row>
    <row r="47781">
      <c r="H47781" s="8" t="s">
        <v>364</v>
      </c>
    </row>
    <row r="47782">
      <c r="H47782" s="8" t="s">
        <v>364</v>
      </c>
    </row>
    <row r="47783">
      <c r="H47783" s="8" t="s">
        <v>364</v>
      </c>
    </row>
    <row r="47784">
      <c r="H47784" s="8" t="s">
        <v>364</v>
      </c>
    </row>
    <row r="47785">
      <c r="H47785" s="8" t="s">
        <v>364</v>
      </c>
    </row>
    <row r="47786">
      <c r="H47786" s="8" t="s">
        <v>364</v>
      </c>
    </row>
    <row r="47787">
      <c r="H47787" s="8" t="s">
        <v>364</v>
      </c>
    </row>
    <row r="47788">
      <c r="H47788" s="8" t="s">
        <v>364</v>
      </c>
    </row>
    <row r="47789">
      <c r="H47789" s="8" t="s">
        <v>364</v>
      </c>
    </row>
    <row r="47790">
      <c r="H47790" s="8" t="s">
        <v>364</v>
      </c>
    </row>
    <row r="47791">
      <c r="H47791" s="8" t="s">
        <v>364</v>
      </c>
    </row>
    <row r="47792">
      <c r="H47792" s="8" t="s">
        <v>364</v>
      </c>
    </row>
    <row r="47793">
      <c r="H47793" s="8" t="s">
        <v>364</v>
      </c>
    </row>
    <row r="47794">
      <c r="H47794" s="8" t="s">
        <v>364</v>
      </c>
    </row>
    <row r="47795">
      <c r="H47795" s="8" t="s">
        <v>364</v>
      </c>
    </row>
    <row r="47796">
      <c r="H47796" s="8" t="s">
        <v>364</v>
      </c>
    </row>
    <row r="47797">
      <c r="H47797" s="8" t="s">
        <v>364</v>
      </c>
    </row>
    <row r="47798">
      <c r="H47798" s="8" t="s">
        <v>364</v>
      </c>
    </row>
    <row r="47799">
      <c r="H47799" s="8" t="s">
        <v>364</v>
      </c>
    </row>
    <row r="47800">
      <c r="H47800" s="8" t="s">
        <v>364</v>
      </c>
    </row>
    <row r="47801">
      <c r="H47801" s="8" t="s">
        <v>364</v>
      </c>
    </row>
    <row r="47802">
      <c r="H47802" s="8" t="s">
        <v>364</v>
      </c>
    </row>
    <row r="47803">
      <c r="H47803" s="8" t="s">
        <v>364</v>
      </c>
    </row>
    <row r="47804">
      <c r="H47804" s="8" t="s">
        <v>364</v>
      </c>
    </row>
    <row r="47805">
      <c r="H47805" s="8" t="s">
        <v>364</v>
      </c>
    </row>
    <row r="47806">
      <c r="H47806" s="8" t="s">
        <v>364</v>
      </c>
    </row>
    <row r="47807">
      <c r="H47807" s="8" t="s">
        <v>364</v>
      </c>
    </row>
    <row r="47808">
      <c r="H47808" s="8" t="s">
        <v>364</v>
      </c>
    </row>
    <row r="47809">
      <c r="H47809" s="8" t="s">
        <v>364</v>
      </c>
    </row>
    <row r="47810">
      <c r="H47810" s="8" t="s">
        <v>364</v>
      </c>
    </row>
    <row r="47811">
      <c r="H47811" s="8" t="s">
        <v>364</v>
      </c>
    </row>
    <row r="47812">
      <c r="H47812" s="8" t="s">
        <v>364</v>
      </c>
    </row>
    <row r="47813">
      <c r="H47813" s="8" t="s">
        <v>364</v>
      </c>
    </row>
    <row r="47814">
      <c r="H47814" s="8" t="s">
        <v>364</v>
      </c>
    </row>
    <row r="47815">
      <c r="H47815" s="8" t="s">
        <v>364</v>
      </c>
    </row>
    <row r="47816">
      <c r="H47816" s="8" t="s">
        <v>364</v>
      </c>
    </row>
    <row r="47817">
      <c r="H47817" s="8" t="s">
        <v>364</v>
      </c>
    </row>
    <row r="47818">
      <c r="H47818" s="8" t="s">
        <v>364</v>
      </c>
    </row>
    <row r="47819">
      <c r="H47819" s="8" t="s">
        <v>364</v>
      </c>
    </row>
    <row r="47820">
      <c r="H47820" s="8" t="s">
        <v>364</v>
      </c>
    </row>
    <row r="47821">
      <c r="H47821" s="8" t="s">
        <v>364</v>
      </c>
    </row>
    <row r="47822">
      <c r="H47822" s="8" t="s">
        <v>364</v>
      </c>
    </row>
    <row r="47823">
      <c r="H47823" s="8" t="s">
        <v>364</v>
      </c>
    </row>
    <row r="47824">
      <c r="H47824" s="8" t="s">
        <v>364</v>
      </c>
    </row>
    <row r="47825">
      <c r="H47825" s="8" t="s">
        <v>364</v>
      </c>
    </row>
    <row r="47826">
      <c r="H47826" s="8" t="s">
        <v>364</v>
      </c>
    </row>
    <row r="47827">
      <c r="H47827" s="8" t="s">
        <v>364</v>
      </c>
    </row>
    <row r="47828">
      <c r="H47828" s="8" t="s">
        <v>364</v>
      </c>
    </row>
    <row r="47829">
      <c r="H47829" s="8" t="s">
        <v>364</v>
      </c>
    </row>
    <row r="47830">
      <c r="H47830" s="8" t="s">
        <v>364</v>
      </c>
    </row>
    <row r="47831">
      <c r="H47831" s="8" t="s">
        <v>364</v>
      </c>
    </row>
    <row r="47832">
      <c r="H47832" s="8" t="s">
        <v>364</v>
      </c>
    </row>
    <row r="47833">
      <c r="H47833" s="8" t="s">
        <v>364</v>
      </c>
    </row>
    <row r="47834">
      <c r="H47834" s="8" t="s">
        <v>364</v>
      </c>
    </row>
    <row r="47835">
      <c r="H47835" s="8" t="s">
        <v>364</v>
      </c>
    </row>
    <row r="47836">
      <c r="H47836" s="8" t="s">
        <v>364</v>
      </c>
    </row>
    <row r="47837">
      <c r="H47837" s="8" t="s">
        <v>364</v>
      </c>
    </row>
    <row r="47838">
      <c r="H47838" s="8" t="s">
        <v>364</v>
      </c>
    </row>
    <row r="47839">
      <c r="H47839" s="8" t="s">
        <v>364</v>
      </c>
    </row>
    <row r="47840">
      <c r="H47840" s="8" t="s">
        <v>364</v>
      </c>
    </row>
    <row r="47841">
      <c r="H47841" s="8" t="s">
        <v>364</v>
      </c>
    </row>
    <row r="47842">
      <c r="H47842" s="8" t="s">
        <v>364</v>
      </c>
    </row>
    <row r="47843">
      <c r="H47843" s="8" t="s">
        <v>364</v>
      </c>
    </row>
    <row r="47844">
      <c r="H47844" s="8" t="s">
        <v>364</v>
      </c>
    </row>
    <row r="47845">
      <c r="H47845" s="8" t="s">
        <v>364</v>
      </c>
    </row>
    <row r="47846">
      <c r="H47846" s="8" t="s">
        <v>364</v>
      </c>
    </row>
    <row r="47847">
      <c r="H47847" s="8" t="s">
        <v>364</v>
      </c>
    </row>
    <row r="47848">
      <c r="H47848" s="8" t="s">
        <v>364</v>
      </c>
    </row>
    <row r="47849">
      <c r="H47849" s="8" t="s">
        <v>364</v>
      </c>
    </row>
    <row r="47850">
      <c r="H47850" s="8" t="s">
        <v>364</v>
      </c>
    </row>
    <row r="47851">
      <c r="H47851" s="8" t="s">
        <v>364</v>
      </c>
    </row>
    <row r="47852">
      <c r="H47852" s="8" t="s">
        <v>364</v>
      </c>
    </row>
    <row r="47853">
      <c r="H47853" s="8" t="s">
        <v>364</v>
      </c>
    </row>
    <row r="47854">
      <c r="H47854" s="8" t="s">
        <v>364</v>
      </c>
    </row>
    <row r="47855">
      <c r="H47855" s="8" t="s">
        <v>364</v>
      </c>
    </row>
    <row r="47856">
      <c r="H47856" s="8" t="s">
        <v>364</v>
      </c>
    </row>
    <row r="47857">
      <c r="H47857" s="8" t="s">
        <v>364</v>
      </c>
    </row>
    <row r="47858">
      <c r="H47858" s="8" t="s">
        <v>364</v>
      </c>
    </row>
    <row r="47859">
      <c r="H47859" s="8" t="s">
        <v>364</v>
      </c>
    </row>
    <row r="47860">
      <c r="H47860" s="8" t="s">
        <v>364</v>
      </c>
    </row>
    <row r="47861">
      <c r="H47861" s="8" t="s">
        <v>364</v>
      </c>
    </row>
    <row r="47862">
      <c r="H47862" s="8" t="s">
        <v>364</v>
      </c>
    </row>
    <row r="47863">
      <c r="H47863" s="8" t="s">
        <v>364</v>
      </c>
    </row>
    <row r="47864">
      <c r="H47864" s="8" t="s">
        <v>364</v>
      </c>
    </row>
    <row r="47865">
      <c r="H47865" s="8" t="s">
        <v>364</v>
      </c>
    </row>
    <row r="47866">
      <c r="H47866" s="8" t="s">
        <v>364</v>
      </c>
    </row>
    <row r="47867">
      <c r="H47867" s="8" t="s">
        <v>364</v>
      </c>
    </row>
    <row r="47868">
      <c r="H47868" s="8" t="s">
        <v>364</v>
      </c>
    </row>
    <row r="47869">
      <c r="H47869" s="8" t="s">
        <v>364</v>
      </c>
    </row>
    <row r="47870">
      <c r="H47870" s="8" t="s">
        <v>364</v>
      </c>
    </row>
    <row r="47871">
      <c r="H47871" s="8" t="s">
        <v>364</v>
      </c>
    </row>
    <row r="47872">
      <c r="H47872" s="8" t="s">
        <v>364</v>
      </c>
    </row>
    <row r="47873">
      <c r="H47873" s="8" t="s">
        <v>364</v>
      </c>
    </row>
    <row r="47874">
      <c r="H47874" s="8" t="s">
        <v>364</v>
      </c>
    </row>
    <row r="47875">
      <c r="H47875" s="8" t="s">
        <v>364</v>
      </c>
    </row>
    <row r="47876">
      <c r="H47876" s="8" t="s">
        <v>364</v>
      </c>
    </row>
    <row r="47877">
      <c r="H47877" s="8" t="s">
        <v>364</v>
      </c>
    </row>
    <row r="47878">
      <c r="H47878" s="8" t="s">
        <v>364</v>
      </c>
    </row>
    <row r="47879">
      <c r="H47879" s="8" t="s">
        <v>364</v>
      </c>
    </row>
    <row r="47880">
      <c r="H47880" s="8" t="s">
        <v>364</v>
      </c>
    </row>
    <row r="47881">
      <c r="H47881" s="8" t="s">
        <v>364</v>
      </c>
    </row>
    <row r="47882">
      <c r="H47882" s="8" t="s">
        <v>364</v>
      </c>
    </row>
    <row r="47883">
      <c r="H47883" s="8" t="s">
        <v>364</v>
      </c>
    </row>
    <row r="47884">
      <c r="H47884" s="8" t="s">
        <v>364</v>
      </c>
    </row>
    <row r="47885">
      <c r="H47885" s="8" t="s">
        <v>364</v>
      </c>
    </row>
    <row r="47886">
      <c r="H47886" s="8" t="s">
        <v>364</v>
      </c>
    </row>
    <row r="47887">
      <c r="H47887" s="8" t="s">
        <v>364</v>
      </c>
    </row>
    <row r="47888">
      <c r="H47888" s="8" t="s">
        <v>364</v>
      </c>
    </row>
    <row r="47889">
      <c r="H47889" s="8" t="s">
        <v>364</v>
      </c>
    </row>
    <row r="47890">
      <c r="H47890" s="8" t="s">
        <v>364</v>
      </c>
    </row>
    <row r="47891">
      <c r="H47891" s="8" t="s">
        <v>364</v>
      </c>
    </row>
    <row r="47892">
      <c r="H47892" s="8" t="s">
        <v>364</v>
      </c>
    </row>
    <row r="47893">
      <c r="H47893" s="8" t="s">
        <v>364</v>
      </c>
    </row>
    <row r="47894">
      <c r="H47894" s="8" t="s">
        <v>364</v>
      </c>
    </row>
    <row r="47895">
      <c r="H47895" s="8" t="s">
        <v>364</v>
      </c>
    </row>
    <row r="47896">
      <c r="H47896" s="8" t="s">
        <v>364</v>
      </c>
    </row>
    <row r="47897">
      <c r="H47897" s="8" t="s">
        <v>364</v>
      </c>
    </row>
    <row r="47898">
      <c r="H47898" s="8" t="s">
        <v>364</v>
      </c>
    </row>
    <row r="47899">
      <c r="H47899" s="8" t="s">
        <v>364</v>
      </c>
    </row>
    <row r="47900">
      <c r="H47900" s="8" t="s">
        <v>364</v>
      </c>
    </row>
    <row r="47901">
      <c r="H47901" s="8" t="s">
        <v>364</v>
      </c>
    </row>
    <row r="47902">
      <c r="H47902" s="8" t="s">
        <v>364</v>
      </c>
    </row>
    <row r="47903">
      <c r="H47903" s="8" t="s">
        <v>364</v>
      </c>
    </row>
    <row r="47904">
      <c r="H47904" s="8" t="s">
        <v>364</v>
      </c>
    </row>
    <row r="47905">
      <c r="H47905" s="8" t="s">
        <v>364</v>
      </c>
    </row>
    <row r="47906">
      <c r="H47906" s="8" t="s">
        <v>364</v>
      </c>
    </row>
    <row r="47907">
      <c r="H47907" s="8" t="s">
        <v>364</v>
      </c>
    </row>
    <row r="47908">
      <c r="H47908" s="8" t="s">
        <v>364</v>
      </c>
    </row>
    <row r="47909">
      <c r="H47909" s="8" t="s">
        <v>364</v>
      </c>
    </row>
    <row r="47910">
      <c r="H47910" s="8" t="s">
        <v>364</v>
      </c>
    </row>
    <row r="47911">
      <c r="H47911" s="8" t="s">
        <v>364</v>
      </c>
    </row>
    <row r="47912">
      <c r="H47912" s="8" t="s">
        <v>364</v>
      </c>
    </row>
    <row r="47913">
      <c r="H47913" s="8" t="s">
        <v>364</v>
      </c>
    </row>
    <row r="47914">
      <c r="H47914" s="8" t="s">
        <v>364</v>
      </c>
    </row>
    <row r="47915">
      <c r="H47915" s="8" t="s">
        <v>364</v>
      </c>
    </row>
    <row r="47916">
      <c r="H47916" s="8" t="s">
        <v>364</v>
      </c>
    </row>
    <row r="47917">
      <c r="H47917" s="8" t="s">
        <v>364</v>
      </c>
    </row>
    <row r="47918">
      <c r="H47918" s="8" t="s">
        <v>364</v>
      </c>
    </row>
    <row r="47919">
      <c r="H47919" s="8" t="s">
        <v>364</v>
      </c>
    </row>
    <row r="47920">
      <c r="H47920" s="8" t="s">
        <v>364</v>
      </c>
    </row>
    <row r="47921">
      <c r="H47921" s="8" t="s">
        <v>364</v>
      </c>
    </row>
    <row r="47922">
      <c r="H47922" s="8" t="s">
        <v>364</v>
      </c>
    </row>
    <row r="47923">
      <c r="H47923" s="8" t="s">
        <v>364</v>
      </c>
    </row>
    <row r="47924">
      <c r="H47924" s="8" t="s">
        <v>364</v>
      </c>
    </row>
    <row r="47925">
      <c r="H47925" s="8" t="s">
        <v>364</v>
      </c>
    </row>
    <row r="47926">
      <c r="H47926" s="8" t="s">
        <v>364</v>
      </c>
    </row>
    <row r="47927">
      <c r="H47927" s="8" t="s">
        <v>364</v>
      </c>
    </row>
    <row r="47928">
      <c r="H47928" s="8" t="s">
        <v>364</v>
      </c>
    </row>
    <row r="47929">
      <c r="H47929" s="8" t="s">
        <v>364</v>
      </c>
    </row>
    <row r="47930">
      <c r="H47930" s="8" t="s">
        <v>364</v>
      </c>
    </row>
    <row r="47931">
      <c r="H47931" s="8" t="s">
        <v>364</v>
      </c>
    </row>
    <row r="47932">
      <c r="H47932" s="8" t="s">
        <v>364</v>
      </c>
    </row>
    <row r="47933">
      <c r="H47933" s="8" t="s">
        <v>364</v>
      </c>
    </row>
    <row r="47934">
      <c r="H47934" s="8" t="s">
        <v>364</v>
      </c>
    </row>
    <row r="47935">
      <c r="H47935" s="8" t="s">
        <v>364</v>
      </c>
    </row>
    <row r="47936">
      <c r="H47936" s="8" t="s">
        <v>364</v>
      </c>
    </row>
    <row r="47937">
      <c r="H47937" s="8" t="s">
        <v>364</v>
      </c>
    </row>
    <row r="47938">
      <c r="H47938" s="8" t="s">
        <v>364</v>
      </c>
    </row>
    <row r="47939">
      <c r="H47939" s="8" t="s">
        <v>364</v>
      </c>
    </row>
    <row r="47940">
      <c r="H47940" s="8" t="s">
        <v>364</v>
      </c>
    </row>
    <row r="47941">
      <c r="H47941" s="8" t="s">
        <v>364</v>
      </c>
    </row>
    <row r="47942">
      <c r="H47942" s="8" t="s">
        <v>364</v>
      </c>
    </row>
    <row r="47943">
      <c r="H47943" s="8" t="s">
        <v>364</v>
      </c>
    </row>
    <row r="47944">
      <c r="H47944" s="8" t="s">
        <v>364</v>
      </c>
    </row>
    <row r="47945">
      <c r="H47945" s="8" t="s">
        <v>364</v>
      </c>
    </row>
    <row r="47946">
      <c r="H47946" s="8" t="s">
        <v>364</v>
      </c>
    </row>
    <row r="47947">
      <c r="H47947" s="8" t="s">
        <v>364</v>
      </c>
    </row>
    <row r="47948">
      <c r="H47948" s="8" t="s">
        <v>364</v>
      </c>
    </row>
    <row r="47949">
      <c r="H47949" s="8" t="s">
        <v>364</v>
      </c>
    </row>
    <row r="47950">
      <c r="H47950" s="8" t="s">
        <v>364</v>
      </c>
    </row>
    <row r="47951">
      <c r="H47951" s="8" t="s">
        <v>364</v>
      </c>
    </row>
    <row r="47952">
      <c r="H47952" s="8" t="s">
        <v>364</v>
      </c>
    </row>
    <row r="47953">
      <c r="H47953" s="8" t="s">
        <v>364</v>
      </c>
    </row>
    <row r="47954">
      <c r="H47954" s="8" t="s">
        <v>364</v>
      </c>
    </row>
    <row r="47955">
      <c r="H47955" s="8" t="s">
        <v>364</v>
      </c>
    </row>
    <row r="47956">
      <c r="H47956" s="8" t="s">
        <v>364</v>
      </c>
    </row>
    <row r="47957">
      <c r="H47957" s="8" t="s">
        <v>364</v>
      </c>
    </row>
    <row r="47958">
      <c r="H47958" s="8" t="s">
        <v>364</v>
      </c>
    </row>
    <row r="47959">
      <c r="H47959" s="8" t="s">
        <v>364</v>
      </c>
    </row>
    <row r="47960">
      <c r="H47960" s="8" t="s">
        <v>364</v>
      </c>
    </row>
    <row r="47961">
      <c r="H47961" s="8" t="s">
        <v>364</v>
      </c>
    </row>
    <row r="47962">
      <c r="H47962" s="8" t="s">
        <v>364</v>
      </c>
    </row>
    <row r="47963">
      <c r="H47963" s="8" t="s">
        <v>364</v>
      </c>
    </row>
    <row r="47964">
      <c r="H47964" s="8" t="s">
        <v>364</v>
      </c>
    </row>
    <row r="47965">
      <c r="H47965" s="8" t="s">
        <v>364</v>
      </c>
    </row>
    <row r="47966">
      <c r="H47966" s="8" t="s">
        <v>364</v>
      </c>
    </row>
    <row r="47967">
      <c r="H47967" s="8" t="s">
        <v>364</v>
      </c>
    </row>
    <row r="47968">
      <c r="H47968" s="8" t="s">
        <v>364</v>
      </c>
    </row>
    <row r="47969">
      <c r="H47969" s="8" t="s">
        <v>364</v>
      </c>
    </row>
    <row r="47970">
      <c r="H47970" s="8" t="s">
        <v>364</v>
      </c>
    </row>
    <row r="47971">
      <c r="H47971" s="8" t="s">
        <v>364</v>
      </c>
    </row>
    <row r="47972">
      <c r="H47972" s="8" t="s">
        <v>364</v>
      </c>
    </row>
    <row r="47973">
      <c r="H47973" s="8" t="s">
        <v>364</v>
      </c>
    </row>
    <row r="47974">
      <c r="H47974" s="8" t="s">
        <v>364</v>
      </c>
    </row>
    <row r="47975">
      <c r="H47975" s="8" t="s">
        <v>364</v>
      </c>
    </row>
    <row r="47976">
      <c r="H47976" s="8" t="s">
        <v>364</v>
      </c>
    </row>
    <row r="47977">
      <c r="H47977" s="8" t="s">
        <v>364</v>
      </c>
    </row>
    <row r="47978">
      <c r="H47978" s="8" t="s">
        <v>364</v>
      </c>
    </row>
    <row r="47979">
      <c r="H47979" s="8" t="s">
        <v>364</v>
      </c>
    </row>
    <row r="47980">
      <c r="H47980" s="8" t="s">
        <v>364</v>
      </c>
    </row>
    <row r="47981">
      <c r="H47981" s="8" t="s">
        <v>364</v>
      </c>
    </row>
    <row r="47982">
      <c r="H47982" s="8" t="s">
        <v>364</v>
      </c>
    </row>
    <row r="47983">
      <c r="H47983" s="8" t="s">
        <v>364</v>
      </c>
    </row>
    <row r="47984">
      <c r="H47984" s="8" t="s">
        <v>364</v>
      </c>
    </row>
    <row r="47985">
      <c r="H47985" s="8" t="s">
        <v>364</v>
      </c>
    </row>
    <row r="47986">
      <c r="H47986" s="8" t="s">
        <v>364</v>
      </c>
    </row>
    <row r="47987">
      <c r="H47987" s="8" t="s">
        <v>364</v>
      </c>
    </row>
    <row r="47988">
      <c r="H47988" s="8" t="s">
        <v>364</v>
      </c>
    </row>
    <row r="47989">
      <c r="H47989" s="8" t="s">
        <v>364</v>
      </c>
    </row>
    <row r="47990">
      <c r="H47990" s="8" t="s">
        <v>364</v>
      </c>
    </row>
    <row r="47991">
      <c r="H47991" s="8" t="s">
        <v>364</v>
      </c>
    </row>
    <row r="47992">
      <c r="H47992" s="8" t="s">
        <v>364</v>
      </c>
    </row>
    <row r="47993">
      <c r="H47993" s="8" t="s">
        <v>364</v>
      </c>
    </row>
    <row r="47994">
      <c r="H47994" s="8" t="s">
        <v>364</v>
      </c>
    </row>
    <row r="47995">
      <c r="H47995" s="8" t="s">
        <v>364</v>
      </c>
    </row>
    <row r="47996">
      <c r="H47996" s="8" t="s">
        <v>364</v>
      </c>
    </row>
    <row r="47997">
      <c r="H47997" s="8" t="s">
        <v>364</v>
      </c>
    </row>
    <row r="47998">
      <c r="H47998" s="8" t="s">
        <v>364</v>
      </c>
    </row>
    <row r="47999">
      <c r="H47999" s="8" t="s">
        <v>364</v>
      </c>
    </row>
    <row r="48000">
      <c r="H48000" s="8" t="s">
        <v>364</v>
      </c>
    </row>
    <row r="48001">
      <c r="H48001" s="8" t="s">
        <v>364</v>
      </c>
    </row>
    <row r="48002">
      <c r="H48002" s="8" t="s">
        <v>364</v>
      </c>
    </row>
    <row r="48003">
      <c r="H48003" s="8" t="s">
        <v>364</v>
      </c>
    </row>
    <row r="48004">
      <c r="H48004" s="8" t="s">
        <v>364</v>
      </c>
    </row>
    <row r="48005">
      <c r="H48005" s="8" t="s">
        <v>364</v>
      </c>
    </row>
    <row r="48006">
      <c r="H48006" s="8" t="s">
        <v>364</v>
      </c>
    </row>
    <row r="48007">
      <c r="H48007" s="8" t="s">
        <v>364</v>
      </c>
    </row>
    <row r="48008">
      <c r="H48008" s="8" t="s">
        <v>364</v>
      </c>
    </row>
    <row r="48009">
      <c r="H48009" s="8" t="s">
        <v>364</v>
      </c>
    </row>
    <row r="48010">
      <c r="H48010" s="8" t="s">
        <v>364</v>
      </c>
    </row>
    <row r="48011">
      <c r="H48011" s="8" t="s">
        <v>364</v>
      </c>
    </row>
    <row r="48012">
      <c r="H48012" s="8" t="s">
        <v>364</v>
      </c>
    </row>
    <row r="48013">
      <c r="H48013" s="8" t="s">
        <v>364</v>
      </c>
    </row>
    <row r="48014">
      <c r="H48014" s="8" t="s">
        <v>364</v>
      </c>
    </row>
    <row r="48015">
      <c r="H48015" s="8" t="s">
        <v>364</v>
      </c>
    </row>
    <row r="48016">
      <c r="H48016" s="8" t="s">
        <v>364</v>
      </c>
    </row>
    <row r="48017">
      <c r="H48017" s="8" t="s">
        <v>364</v>
      </c>
    </row>
    <row r="48018">
      <c r="H48018" s="8" t="s">
        <v>364</v>
      </c>
    </row>
    <row r="48019">
      <c r="H48019" s="8" t="s">
        <v>364</v>
      </c>
    </row>
    <row r="48020">
      <c r="H48020" s="8" t="s">
        <v>364</v>
      </c>
    </row>
    <row r="48021">
      <c r="H48021" s="8" t="s">
        <v>364</v>
      </c>
    </row>
    <row r="48022">
      <c r="H48022" s="8" t="s">
        <v>364</v>
      </c>
    </row>
    <row r="48023">
      <c r="H48023" s="8" t="s">
        <v>364</v>
      </c>
    </row>
    <row r="48024">
      <c r="H48024" s="8" t="s">
        <v>364</v>
      </c>
    </row>
    <row r="48025">
      <c r="H48025" s="8" t="s">
        <v>364</v>
      </c>
    </row>
    <row r="48026">
      <c r="H48026" s="8" t="s">
        <v>364</v>
      </c>
    </row>
    <row r="48027">
      <c r="H48027" s="8" t="s">
        <v>364</v>
      </c>
    </row>
    <row r="48028">
      <c r="H48028" s="8" t="s">
        <v>364</v>
      </c>
    </row>
    <row r="48029">
      <c r="H48029" s="8" t="s">
        <v>364</v>
      </c>
    </row>
    <row r="48030">
      <c r="H48030" s="8" t="s">
        <v>364</v>
      </c>
    </row>
    <row r="48031">
      <c r="H48031" s="8" t="s">
        <v>364</v>
      </c>
    </row>
    <row r="48032">
      <c r="H48032" s="8" t="s">
        <v>364</v>
      </c>
    </row>
    <row r="48033">
      <c r="H48033" s="8" t="s">
        <v>364</v>
      </c>
    </row>
    <row r="48034">
      <c r="H48034" s="8" t="s">
        <v>364</v>
      </c>
    </row>
    <row r="48035">
      <c r="H48035" s="8" t="s">
        <v>364</v>
      </c>
    </row>
    <row r="48036">
      <c r="H48036" s="8" t="s">
        <v>364</v>
      </c>
    </row>
    <row r="48037">
      <c r="H48037" s="8" t="s">
        <v>364</v>
      </c>
    </row>
    <row r="48038">
      <c r="H48038" s="8" t="s">
        <v>364</v>
      </c>
    </row>
    <row r="48039">
      <c r="H48039" s="8" t="s">
        <v>364</v>
      </c>
    </row>
    <row r="48040">
      <c r="H48040" s="8" t="s">
        <v>364</v>
      </c>
    </row>
    <row r="48041">
      <c r="H48041" s="8" t="s">
        <v>364</v>
      </c>
    </row>
    <row r="48042">
      <c r="H48042" s="8" t="s">
        <v>364</v>
      </c>
    </row>
    <row r="48043">
      <c r="H48043" s="8" t="s">
        <v>364</v>
      </c>
    </row>
    <row r="48044">
      <c r="H48044" s="8" t="s">
        <v>364</v>
      </c>
    </row>
    <row r="48045">
      <c r="H48045" s="8" t="s">
        <v>364</v>
      </c>
    </row>
    <row r="48046">
      <c r="H48046" s="8" t="s">
        <v>364</v>
      </c>
    </row>
    <row r="48047">
      <c r="H48047" s="8" t="s">
        <v>364</v>
      </c>
    </row>
    <row r="48048">
      <c r="H48048" s="8" t="s">
        <v>364</v>
      </c>
    </row>
    <row r="48049">
      <c r="H48049" s="8" t="s">
        <v>364</v>
      </c>
    </row>
    <row r="48050">
      <c r="H48050" s="8" t="s">
        <v>364</v>
      </c>
    </row>
    <row r="48051">
      <c r="H48051" s="8" t="s">
        <v>364</v>
      </c>
    </row>
    <row r="48052">
      <c r="H48052" s="8" t="s">
        <v>364</v>
      </c>
    </row>
    <row r="48053">
      <c r="H48053" s="8" t="s">
        <v>364</v>
      </c>
    </row>
    <row r="48054">
      <c r="H48054" s="8" t="s">
        <v>364</v>
      </c>
    </row>
    <row r="48055">
      <c r="H48055" s="8" t="s">
        <v>364</v>
      </c>
    </row>
    <row r="48056">
      <c r="H48056" s="8" t="s">
        <v>364</v>
      </c>
    </row>
    <row r="48057">
      <c r="H48057" s="8" t="s">
        <v>364</v>
      </c>
    </row>
    <row r="48058">
      <c r="H48058" s="8" t="s">
        <v>364</v>
      </c>
    </row>
    <row r="48059">
      <c r="H48059" s="8" t="s">
        <v>364</v>
      </c>
    </row>
    <row r="48060">
      <c r="H48060" s="8" t="s">
        <v>364</v>
      </c>
    </row>
    <row r="48061">
      <c r="H48061" s="8" t="s">
        <v>364</v>
      </c>
    </row>
    <row r="48062">
      <c r="H48062" s="8" t="s">
        <v>364</v>
      </c>
    </row>
    <row r="48063">
      <c r="H48063" s="8" t="s">
        <v>364</v>
      </c>
    </row>
    <row r="48064">
      <c r="H48064" s="8" t="s">
        <v>364</v>
      </c>
    </row>
    <row r="48065">
      <c r="H48065" s="8" t="s">
        <v>364</v>
      </c>
    </row>
    <row r="48066">
      <c r="H48066" s="8" t="s">
        <v>364</v>
      </c>
    </row>
    <row r="48067">
      <c r="H48067" s="8" t="s">
        <v>364</v>
      </c>
    </row>
    <row r="48068">
      <c r="H48068" s="8" t="s">
        <v>364</v>
      </c>
    </row>
    <row r="48069">
      <c r="H48069" s="8" t="s">
        <v>364</v>
      </c>
    </row>
    <row r="48070">
      <c r="H48070" s="8" t="s">
        <v>364</v>
      </c>
    </row>
    <row r="48071">
      <c r="H48071" s="8" t="s">
        <v>364</v>
      </c>
    </row>
    <row r="48072">
      <c r="H48072" s="8" t="s">
        <v>364</v>
      </c>
    </row>
    <row r="48073">
      <c r="H48073" s="8" t="s">
        <v>364</v>
      </c>
    </row>
    <row r="48074">
      <c r="H48074" s="8" t="s">
        <v>364</v>
      </c>
    </row>
    <row r="48075">
      <c r="H48075" s="8" t="s">
        <v>364</v>
      </c>
    </row>
    <row r="48076">
      <c r="H48076" s="8" t="s">
        <v>364</v>
      </c>
    </row>
    <row r="48077">
      <c r="H48077" s="8" t="s">
        <v>364</v>
      </c>
    </row>
    <row r="48078">
      <c r="H48078" s="8" t="s">
        <v>364</v>
      </c>
    </row>
    <row r="48079">
      <c r="H48079" s="8" t="s">
        <v>364</v>
      </c>
    </row>
    <row r="48080">
      <c r="H48080" s="8" t="s">
        <v>364</v>
      </c>
    </row>
    <row r="48081">
      <c r="H48081" s="8" t="s">
        <v>364</v>
      </c>
    </row>
    <row r="48082">
      <c r="H48082" s="8" t="s">
        <v>364</v>
      </c>
    </row>
    <row r="48083">
      <c r="H48083" s="8" t="s">
        <v>364</v>
      </c>
    </row>
    <row r="48084">
      <c r="H48084" s="8" t="s">
        <v>364</v>
      </c>
    </row>
    <row r="48085">
      <c r="H48085" s="8" t="s">
        <v>364</v>
      </c>
    </row>
    <row r="48086">
      <c r="H48086" s="8" t="s">
        <v>364</v>
      </c>
    </row>
    <row r="48087">
      <c r="H48087" s="8" t="s">
        <v>364</v>
      </c>
    </row>
    <row r="48088">
      <c r="H48088" s="8" t="s">
        <v>364</v>
      </c>
    </row>
    <row r="48089">
      <c r="H48089" s="8" t="s">
        <v>364</v>
      </c>
    </row>
    <row r="48090">
      <c r="H48090" s="8" t="s">
        <v>364</v>
      </c>
    </row>
    <row r="48091">
      <c r="H48091" s="8" t="s">
        <v>364</v>
      </c>
    </row>
    <row r="48092">
      <c r="H48092" s="8" t="s">
        <v>364</v>
      </c>
    </row>
    <row r="48093">
      <c r="H48093" s="8" t="s">
        <v>364</v>
      </c>
    </row>
    <row r="48094">
      <c r="H48094" s="8" t="s">
        <v>364</v>
      </c>
    </row>
    <row r="48095">
      <c r="H48095" s="8" t="s">
        <v>364</v>
      </c>
    </row>
    <row r="48096">
      <c r="H48096" s="8" t="s">
        <v>364</v>
      </c>
    </row>
    <row r="48097">
      <c r="H48097" s="8" t="s">
        <v>364</v>
      </c>
    </row>
    <row r="48098">
      <c r="H48098" s="8" t="s">
        <v>364</v>
      </c>
    </row>
    <row r="48099">
      <c r="H48099" s="8" t="s">
        <v>364</v>
      </c>
    </row>
    <row r="48100">
      <c r="H48100" s="8" t="s">
        <v>364</v>
      </c>
    </row>
    <row r="48101">
      <c r="H48101" s="8" t="s">
        <v>364</v>
      </c>
    </row>
    <row r="48102">
      <c r="H48102" s="8" t="s">
        <v>364</v>
      </c>
    </row>
    <row r="48103">
      <c r="H48103" s="8" t="s">
        <v>364</v>
      </c>
    </row>
    <row r="48104">
      <c r="H48104" s="8" t="s">
        <v>364</v>
      </c>
    </row>
    <row r="48105">
      <c r="H48105" s="8" t="s">
        <v>364</v>
      </c>
    </row>
    <row r="48106">
      <c r="H48106" s="8" t="s">
        <v>364</v>
      </c>
    </row>
    <row r="48107">
      <c r="H48107" s="8" t="s">
        <v>364</v>
      </c>
    </row>
    <row r="48108">
      <c r="H48108" s="8" t="s">
        <v>364</v>
      </c>
    </row>
    <row r="48109">
      <c r="H48109" s="8" t="s">
        <v>364</v>
      </c>
    </row>
    <row r="48110">
      <c r="H48110" s="8" t="s">
        <v>364</v>
      </c>
    </row>
    <row r="48111">
      <c r="H48111" s="8" t="s">
        <v>364</v>
      </c>
    </row>
    <row r="48112">
      <c r="H48112" s="8" t="s">
        <v>364</v>
      </c>
    </row>
    <row r="48113">
      <c r="H48113" s="8" t="s">
        <v>364</v>
      </c>
    </row>
    <row r="48114">
      <c r="H48114" s="8" t="s">
        <v>364</v>
      </c>
    </row>
    <row r="48115">
      <c r="H48115" s="8" t="s">
        <v>364</v>
      </c>
    </row>
    <row r="48116">
      <c r="H48116" s="8" t="s">
        <v>364</v>
      </c>
    </row>
    <row r="48117">
      <c r="H48117" s="8" t="s">
        <v>364</v>
      </c>
    </row>
    <row r="48118">
      <c r="H48118" s="8" t="s">
        <v>364</v>
      </c>
    </row>
    <row r="48119">
      <c r="H48119" s="8" t="s">
        <v>364</v>
      </c>
    </row>
    <row r="48120">
      <c r="H48120" s="8" t="s">
        <v>364</v>
      </c>
    </row>
    <row r="48121">
      <c r="H48121" s="8" t="s">
        <v>364</v>
      </c>
    </row>
    <row r="48122">
      <c r="H48122" s="8" t="s">
        <v>364</v>
      </c>
    </row>
    <row r="48123">
      <c r="H48123" s="8" t="s">
        <v>364</v>
      </c>
    </row>
    <row r="48124">
      <c r="H48124" s="8" t="s">
        <v>364</v>
      </c>
    </row>
    <row r="48125">
      <c r="H48125" s="8" t="s">
        <v>364</v>
      </c>
    </row>
    <row r="48126">
      <c r="H48126" s="8" t="s">
        <v>364</v>
      </c>
    </row>
    <row r="48127">
      <c r="H48127" s="8" t="s">
        <v>364</v>
      </c>
    </row>
    <row r="48128">
      <c r="H48128" s="8" t="s">
        <v>364</v>
      </c>
    </row>
    <row r="48129">
      <c r="H48129" s="8" t="s">
        <v>364</v>
      </c>
    </row>
    <row r="48130">
      <c r="H48130" s="8" t="s">
        <v>364</v>
      </c>
    </row>
    <row r="48131">
      <c r="H48131" s="8" t="s">
        <v>364</v>
      </c>
    </row>
    <row r="48132">
      <c r="H48132" s="8" t="s">
        <v>364</v>
      </c>
    </row>
    <row r="48133">
      <c r="H48133" s="8" t="s">
        <v>364</v>
      </c>
    </row>
    <row r="48134">
      <c r="H48134" s="8" t="s">
        <v>364</v>
      </c>
    </row>
    <row r="48135">
      <c r="H48135" s="8" t="s">
        <v>364</v>
      </c>
    </row>
    <row r="48136">
      <c r="H48136" s="8" t="s">
        <v>364</v>
      </c>
    </row>
    <row r="48137">
      <c r="H48137" s="8" t="s">
        <v>364</v>
      </c>
    </row>
    <row r="48138">
      <c r="H48138" s="8" t="s">
        <v>364</v>
      </c>
    </row>
    <row r="48139">
      <c r="H48139" s="8" t="s">
        <v>364</v>
      </c>
    </row>
    <row r="48140">
      <c r="H48140" s="8" t="s">
        <v>364</v>
      </c>
    </row>
    <row r="48141">
      <c r="H48141" s="8" t="s">
        <v>364</v>
      </c>
    </row>
    <row r="48142">
      <c r="H48142" s="8" t="s">
        <v>364</v>
      </c>
    </row>
    <row r="48143">
      <c r="H48143" s="8" t="s">
        <v>364</v>
      </c>
    </row>
    <row r="48144">
      <c r="H48144" s="8" t="s">
        <v>364</v>
      </c>
    </row>
    <row r="48145">
      <c r="H48145" s="8" t="s">
        <v>364</v>
      </c>
    </row>
    <row r="48146">
      <c r="H48146" s="8" t="s">
        <v>364</v>
      </c>
    </row>
    <row r="48147">
      <c r="H48147" s="8" t="s">
        <v>364</v>
      </c>
    </row>
    <row r="48148">
      <c r="H48148" s="8" t="s">
        <v>364</v>
      </c>
    </row>
    <row r="48149">
      <c r="H48149" s="8" t="s">
        <v>364</v>
      </c>
    </row>
    <row r="48150">
      <c r="H48150" s="8" t="s">
        <v>364</v>
      </c>
    </row>
    <row r="48151">
      <c r="H48151" s="8" t="s">
        <v>364</v>
      </c>
    </row>
    <row r="48152">
      <c r="H48152" s="8" t="s">
        <v>364</v>
      </c>
    </row>
    <row r="48153">
      <c r="H48153" s="8" t="s">
        <v>364</v>
      </c>
    </row>
    <row r="48154">
      <c r="H48154" s="8" t="s">
        <v>364</v>
      </c>
    </row>
    <row r="48155">
      <c r="H48155" s="8" t="s">
        <v>364</v>
      </c>
    </row>
    <row r="48156">
      <c r="H48156" s="8" t="s">
        <v>364</v>
      </c>
    </row>
    <row r="48157">
      <c r="H48157" s="8" t="s">
        <v>364</v>
      </c>
    </row>
    <row r="48158">
      <c r="H48158" s="8" t="s">
        <v>364</v>
      </c>
    </row>
    <row r="48159">
      <c r="H48159" s="8" t="s">
        <v>364</v>
      </c>
    </row>
    <row r="48160">
      <c r="H48160" s="8" t="s">
        <v>364</v>
      </c>
    </row>
    <row r="48161">
      <c r="H48161" s="8" t="s">
        <v>364</v>
      </c>
    </row>
    <row r="48162">
      <c r="H48162" s="8" t="s">
        <v>364</v>
      </c>
    </row>
    <row r="48163">
      <c r="H48163" s="8" t="s">
        <v>364</v>
      </c>
    </row>
    <row r="48164">
      <c r="H48164" s="8" t="s">
        <v>364</v>
      </c>
    </row>
    <row r="48165">
      <c r="H48165" s="8" t="s">
        <v>364</v>
      </c>
    </row>
    <row r="48166">
      <c r="H48166" s="8" t="s">
        <v>364</v>
      </c>
    </row>
    <row r="48167">
      <c r="H48167" s="8" t="s">
        <v>364</v>
      </c>
    </row>
    <row r="48168">
      <c r="H48168" s="8" t="s">
        <v>364</v>
      </c>
    </row>
    <row r="48169">
      <c r="H48169" s="8" t="s">
        <v>364</v>
      </c>
    </row>
    <row r="48170">
      <c r="H48170" s="8" t="s">
        <v>364</v>
      </c>
    </row>
    <row r="48171">
      <c r="H48171" s="8" t="s">
        <v>364</v>
      </c>
    </row>
    <row r="48172">
      <c r="H48172" s="8" t="s">
        <v>364</v>
      </c>
    </row>
    <row r="48173">
      <c r="H48173" s="8" t="s">
        <v>364</v>
      </c>
    </row>
    <row r="48174">
      <c r="H48174" s="8" t="s">
        <v>364</v>
      </c>
    </row>
    <row r="48175">
      <c r="H48175" s="8" t="s">
        <v>364</v>
      </c>
    </row>
    <row r="48176">
      <c r="H48176" s="8" t="s">
        <v>364</v>
      </c>
    </row>
    <row r="48177">
      <c r="H48177" s="8" t="s">
        <v>364</v>
      </c>
    </row>
    <row r="48178">
      <c r="H48178" s="8" t="s">
        <v>364</v>
      </c>
    </row>
    <row r="48179">
      <c r="H48179" s="8" t="s">
        <v>364</v>
      </c>
    </row>
    <row r="48180">
      <c r="H48180" s="8" t="s">
        <v>364</v>
      </c>
    </row>
    <row r="48181">
      <c r="H48181" s="8" t="s">
        <v>364</v>
      </c>
    </row>
    <row r="48182">
      <c r="H48182" s="8" t="s">
        <v>364</v>
      </c>
    </row>
    <row r="48183">
      <c r="H48183" s="8" t="s">
        <v>364</v>
      </c>
    </row>
    <row r="48184">
      <c r="H48184" s="8" t="s">
        <v>364</v>
      </c>
    </row>
    <row r="48185">
      <c r="H48185" s="8" t="s">
        <v>364</v>
      </c>
    </row>
    <row r="48186">
      <c r="H48186" s="8" t="s">
        <v>364</v>
      </c>
    </row>
    <row r="48187">
      <c r="H48187" s="8" t="s">
        <v>364</v>
      </c>
    </row>
    <row r="48188">
      <c r="H48188" s="8" t="s">
        <v>364</v>
      </c>
    </row>
    <row r="48189">
      <c r="H48189" s="8" t="s">
        <v>364</v>
      </c>
    </row>
    <row r="48190">
      <c r="H48190" s="8" t="s">
        <v>364</v>
      </c>
    </row>
    <row r="48191">
      <c r="H48191" s="8" t="s">
        <v>364</v>
      </c>
    </row>
    <row r="48192">
      <c r="H48192" s="8" t="s">
        <v>364</v>
      </c>
    </row>
    <row r="48193">
      <c r="H48193" s="8" t="s">
        <v>364</v>
      </c>
    </row>
    <row r="48194">
      <c r="H48194" s="8" t="s">
        <v>364</v>
      </c>
    </row>
    <row r="48195">
      <c r="H48195" s="8" t="s">
        <v>364</v>
      </c>
    </row>
    <row r="48196">
      <c r="H48196" s="8" t="s">
        <v>364</v>
      </c>
    </row>
    <row r="48197">
      <c r="H48197" s="8" t="s">
        <v>364</v>
      </c>
    </row>
    <row r="48198">
      <c r="H48198" s="8" t="s">
        <v>364</v>
      </c>
    </row>
    <row r="48199">
      <c r="H48199" s="8" t="s">
        <v>364</v>
      </c>
    </row>
    <row r="48200">
      <c r="H48200" s="8" t="s">
        <v>364</v>
      </c>
    </row>
    <row r="48201">
      <c r="H48201" s="8" t="s">
        <v>364</v>
      </c>
    </row>
    <row r="48202">
      <c r="H48202" s="8" t="s">
        <v>364</v>
      </c>
    </row>
    <row r="48203">
      <c r="H48203" s="8" t="s">
        <v>364</v>
      </c>
    </row>
    <row r="48204">
      <c r="H48204" s="8" t="s">
        <v>364</v>
      </c>
    </row>
    <row r="48205">
      <c r="H48205" s="8" t="s">
        <v>364</v>
      </c>
    </row>
    <row r="48206">
      <c r="H48206" s="8" t="s">
        <v>364</v>
      </c>
    </row>
    <row r="48207">
      <c r="H48207" s="8" t="s">
        <v>364</v>
      </c>
    </row>
    <row r="48208">
      <c r="H48208" s="8" t="s">
        <v>364</v>
      </c>
    </row>
    <row r="48209">
      <c r="H48209" s="8" t="s">
        <v>364</v>
      </c>
    </row>
    <row r="48210">
      <c r="H48210" s="8" t="s">
        <v>364</v>
      </c>
    </row>
    <row r="48211">
      <c r="H48211" s="8" t="s">
        <v>364</v>
      </c>
    </row>
    <row r="48212">
      <c r="H48212" s="8" t="s">
        <v>364</v>
      </c>
    </row>
    <row r="48213">
      <c r="H48213" s="8" t="s">
        <v>364</v>
      </c>
    </row>
    <row r="48214">
      <c r="H48214" s="8" t="s">
        <v>364</v>
      </c>
    </row>
    <row r="48215">
      <c r="H48215" s="8" t="s">
        <v>364</v>
      </c>
    </row>
    <row r="48216">
      <c r="H48216" s="8" t="s">
        <v>364</v>
      </c>
    </row>
    <row r="48217">
      <c r="H48217" s="8" t="s">
        <v>364</v>
      </c>
    </row>
    <row r="48218">
      <c r="H48218" s="8" t="s">
        <v>364</v>
      </c>
    </row>
    <row r="48219">
      <c r="H48219" s="8" t="s">
        <v>364</v>
      </c>
    </row>
    <row r="48220">
      <c r="H48220" s="8" t="s">
        <v>364</v>
      </c>
    </row>
    <row r="48221">
      <c r="H48221" s="8" t="s">
        <v>364</v>
      </c>
    </row>
    <row r="48222">
      <c r="H48222" s="8" t="s">
        <v>364</v>
      </c>
    </row>
    <row r="48223">
      <c r="H48223" s="8" t="s">
        <v>364</v>
      </c>
    </row>
    <row r="48224">
      <c r="H48224" s="8" t="s">
        <v>364</v>
      </c>
    </row>
    <row r="48225">
      <c r="H48225" s="8" t="s">
        <v>364</v>
      </c>
    </row>
    <row r="48226">
      <c r="H48226" s="8" t="s">
        <v>364</v>
      </c>
    </row>
    <row r="48227">
      <c r="H48227" s="8" t="s">
        <v>364</v>
      </c>
    </row>
    <row r="48228">
      <c r="H48228" s="8" t="s">
        <v>364</v>
      </c>
    </row>
    <row r="48229">
      <c r="H48229" s="8" t="s">
        <v>364</v>
      </c>
    </row>
    <row r="48230">
      <c r="H48230" s="8" t="s">
        <v>364</v>
      </c>
    </row>
    <row r="48231">
      <c r="H48231" s="8" t="s">
        <v>364</v>
      </c>
    </row>
    <row r="48232">
      <c r="H48232" s="8" t="s">
        <v>364</v>
      </c>
    </row>
    <row r="48233">
      <c r="H48233" s="8" t="s">
        <v>364</v>
      </c>
    </row>
    <row r="48234">
      <c r="H48234" s="8" t="s">
        <v>364</v>
      </c>
    </row>
    <row r="48235">
      <c r="H48235" s="8" t="s">
        <v>364</v>
      </c>
    </row>
    <row r="48236">
      <c r="H48236" s="8" t="s">
        <v>364</v>
      </c>
    </row>
    <row r="48237">
      <c r="H48237" s="8" t="s">
        <v>364</v>
      </c>
    </row>
    <row r="48238">
      <c r="H48238" s="8" t="s">
        <v>364</v>
      </c>
    </row>
    <row r="48239">
      <c r="H48239" s="8" t="s">
        <v>364</v>
      </c>
    </row>
    <row r="48240">
      <c r="H48240" s="8" t="s">
        <v>364</v>
      </c>
    </row>
    <row r="48241">
      <c r="H48241" s="8" t="s">
        <v>364</v>
      </c>
    </row>
    <row r="48242">
      <c r="H48242" s="8" t="s">
        <v>364</v>
      </c>
    </row>
    <row r="48243">
      <c r="H48243" s="8" t="s">
        <v>364</v>
      </c>
    </row>
    <row r="48244">
      <c r="H48244" s="8" t="s">
        <v>364</v>
      </c>
    </row>
    <row r="48245">
      <c r="H48245" s="8" t="s">
        <v>364</v>
      </c>
    </row>
    <row r="48246">
      <c r="H48246" s="8" t="s">
        <v>364</v>
      </c>
    </row>
    <row r="48247">
      <c r="H48247" s="8" t="s">
        <v>364</v>
      </c>
    </row>
    <row r="48248">
      <c r="H48248" s="8" t="s">
        <v>364</v>
      </c>
    </row>
    <row r="48249">
      <c r="H48249" s="8" t="s">
        <v>364</v>
      </c>
    </row>
    <row r="48250">
      <c r="H48250" s="8" t="s">
        <v>364</v>
      </c>
    </row>
    <row r="48251">
      <c r="H48251" s="8" t="s">
        <v>364</v>
      </c>
    </row>
    <row r="48252">
      <c r="H48252" s="8" t="s">
        <v>364</v>
      </c>
    </row>
    <row r="48253">
      <c r="H48253" s="8" t="s">
        <v>364</v>
      </c>
    </row>
    <row r="48254">
      <c r="H48254" s="8" t="s">
        <v>364</v>
      </c>
    </row>
    <row r="48255">
      <c r="H48255" s="8" t="s">
        <v>364</v>
      </c>
    </row>
    <row r="48256">
      <c r="H48256" s="8" t="s">
        <v>364</v>
      </c>
    </row>
    <row r="48257">
      <c r="H48257" s="8" t="s">
        <v>364</v>
      </c>
    </row>
    <row r="48258">
      <c r="H48258" s="8" t="s">
        <v>364</v>
      </c>
    </row>
    <row r="48259">
      <c r="H48259" s="8" t="s">
        <v>364</v>
      </c>
    </row>
    <row r="48260">
      <c r="H48260" s="8" t="s">
        <v>364</v>
      </c>
    </row>
    <row r="48261">
      <c r="H48261" s="8" t="s">
        <v>364</v>
      </c>
    </row>
    <row r="48262">
      <c r="H48262" s="8" t="s">
        <v>364</v>
      </c>
    </row>
    <row r="48263">
      <c r="H48263" s="8" t="s">
        <v>364</v>
      </c>
    </row>
    <row r="48264">
      <c r="H48264" s="8" t="s">
        <v>364</v>
      </c>
    </row>
    <row r="48265">
      <c r="H48265" s="8" t="s">
        <v>364</v>
      </c>
    </row>
    <row r="48266">
      <c r="H48266" s="8" t="s">
        <v>364</v>
      </c>
    </row>
    <row r="48267">
      <c r="H48267" s="8" t="s">
        <v>364</v>
      </c>
    </row>
    <row r="48268">
      <c r="H48268" s="8" t="s">
        <v>364</v>
      </c>
    </row>
    <row r="48269">
      <c r="H48269" s="8" t="s">
        <v>364</v>
      </c>
    </row>
    <row r="48270">
      <c r="H48270" s="8" t="s">
        <v>364</v>
      </c>
    </row>
    <row r="48271">
      <c r="H48271" s="8" t="s">
        <v>364</v>
      </c>
    </row>
    <row r="48272">
      <c r="H48272" s="8" t="s">
        <v>364</v>
      </c>
    </row>
    <row r="48273">
      <c r="H48273" s="8" t="s">
        <v>364</v>
      </c>
    </row>
    <row r="48274">
      <c r="H48274" s="8" t="s">
        <v>364</v>
      </c>
    </row>
    <row r="48275">
      <c r="H48275" s="8" t="s">
        <v>364</v>
      </c>
    </row>
    <row r="48276">
      <c r="H48276" s="8" t="s">
        <v>364</v>
      </c>
    </row>
    <row r="48277">
      <c r="H48277" s="8" t="s">
        <v>364</v>
      </c>
    </row>
    <row r="48278">
      <c r="H48278" s="8" t="s">
        <v>364</v>
      </c>
    </row>
    <row r="48279">
      <c r="H48279" s="8" t="s">
        <v>364</v>
      </c>
    </row>
    <row r="48280">
      <c r="H48280" s="8" t="s">
        <v>364</v>
      </c>
    </row>
    <row r="48281">
      <c r="H48281" s="8" t="s">
        <v>364</v>
      </c>
    </row>
    <row r="48282">
      <c r="H48282" s="8" t="s">
        <v>364</v>
      </c>
    </row>
    <row r="48283">
      <c r="H48283" s="8" t="s">
        <v>364</v>
      </c>
    </row>
    <row r="48284">
      <c r="H48284" s="8" t="s">
        <v>364</v>
      </c>
    </row>
    <row r="48285">
      <c r="H48285" s="8" t="s">
        <v>364</v>
      </c>
    </row>
    <row r="48286">
      <c r="H48286" s="8" t="s">
        <v>364</v>
      </c>
    </row>
    <row r="48287">
      <c r="H48287" s="8" t="s">
        <v>364</v>
      </c>
    </row>
    <row r="48288">
      <c r="H48288" s="8" t="s">
        <v>364</v>
      </c>
    </row>
    <row r="48289">
      <c r="H48289" s="8" t="s">
        <v>364</v>
      </c>
    </row>
    <row r="48290">
      <c r="H48290" s="8" t="s">
        <v>364</v>
      </c>
    </row>
    <row r="48291">
      <c r="H48291" s="8" t="s">
        <v>364</v>
      </c>
    </row>
    <row r="48292">
      <c r="H48292" s="8" t="s">
        <v>364</v>
      </c>
    </row>
    <row r="48293">
      <c r="H48293" s="8" t="s">
        <v>364</v>
      </c>
    </row>
    <row r="48294">
      <c r="H48294" s="8" t="s">
        <v>364</v>
      </c>
    </row>
    <row r="48295">
      <c r="H48295" s="8" t="s">
        <v>364</v>
      </c>
    </row>
    <row r="48296">
      <c r="H48296" s="8" t="s">
        <v>364</v>
      </c>
    </row>
    <row r="48297">
      <c r="H48297" s="8" t="s">
        <v>364</v>
      </c>
    </row>
    <row r="48298">
      <c r="H48298" s="8" t="s">
        <v>364</v>
      </c>
    </row>
    <row r="48299">
      <c r="H48299" s="8" t="s">
        <v>364</v>
      </c>
    </row>
    <row r="48300">
      <c r="H48300" s="8" t="s">
        <v>364</v>
      </c>
    </row>
    <row r="48301">
      <c r="H48301" s="8" t="s">
        <v>364</v>
      </c>
    </row>
    <row r="48302">
      <c r="H48302" s="8" t="s">
        <v>364</v>
      </c>
    </row>
    <row r="48303">
      <c r="H48303" s="8" t="s">
        <v>364</v>
      </c>
    </row>
    <row r="48304">
      <c r="H48304" s="8" t="s">
        <v>364</v>
      </c>
    </row>
    <row r="48305">
      <c r="H48305" s="8" t="s">
        <v>364</v>
      </c>
    </row>
    <row r="48306">
      <c r="H48306" s="8" t="s">
        <v>364</v>
      </c>
    </row>
    <row r="48307">
      <c r="H48307" s="8" t="s">
        <v>364</v>
      </c>
    </row>
    <row r="48308">
      <c r="H48308" s="8" t="s">
        <v>364</v>
      </c>
    </row>
    <row r="48309">
      <c r="H48309" s="8" t="s">
        <v>364</v>
      </c>
    </row>
    <row r="48310">
      <c r="H48310" s="8" t="s">
        <v>364</v>
      </c>
    </row>
    <row r="48311">
      <c r="H48311" s="8" t="s">
        <v>364</v>
      </c>
    </row>
    <row r="48312">
      <c r="H48312" s="8" t="s">
        <v>364</v>
      </c>
    </row>
    <row r="48313">
      <c r="H48313" s="8" t="s">
        <v>364</v>
      </c>
    </row>
    <row r="48314">
      <c r="H48314" s="8" t="s">
        <v>364</v>
      </c>
    </row>
    <row r="48315">
      <c r="H48315" s="8" t="s">
        <v>364</v>
      </c>
    </row>
    <row r="48316">
      <c r="H48316" s="8" t="s">
        <v>364</v>
      </c>
    </row>
    <row r="48317">
      <c r="H48317" s="8" t="s">
        <v>364</v>
      </c>
    </row>
    <row r="48318">
      <c r="H48318" s="8" t="s">
        <v>364</v>
      </c>
    </row>
    <row r="48319">
      <c r="H48319" s="8" t="s">
        <v>364</v>
      </c>
    </row>
    <row r="48320">
      <c r="H48320" s="8" t="s">
        <v>364</v>
      </c>
    </row>
    <row r="48321">
      <c r="H48321" s="8" t="s">
        <v>364</v>
      </c>
    </row>
    <row r="48322">
      <c r="H48322" s="8" t="s">
        <v>364</v>
      </c>
    </row>
    <row r="48323">
      <c r="H48323" s="8" t="s">
        <v>364</v>
      </c>
    </row>
    <row r="48324">
      <c r="H48324" s="8" t="s">
        <v>364</v>
      </c>
    </row>
    <row r="48325">
      <c r="H48325" s="8" t="s">
        <v>364</v>
      </c>
    </row>
    <row r="48326">
      <c r="H48326" s="8" t="s">
        <v>364</v>
      </c>
    </row>
    <row r="48327">
      <c r="H48327" s="8" t="s">
        <v>364</v>
      </c>
    </row>
    <row r="48328">
      <c r="H48328" s="8" t="s">
        <v>364</v>
      </c>
    </row>
    <row r="48329">
      <c r="H48329" s="8" t="s">
        <v>364</v>
      </c>
    </row>
    <row r="48330">
      <c r="H48330" s="8" t="s">
        <v>364</v>
      </c>
    </row>
    <row r="48331">
      <c r="H48331" s="8" t="s">
        <v>364</v>
      </c>
    </row>
    <row r="48332">
      <c r="H48332" s="8" t="s">
        <v>364</v>
      </c>
    </row>
    <row r="48333">
      <c r="H48333" s="8" t="s">
        <v>364</v>
      </c>
    </row>
    <row r="48334">
      <c r="H48334" s="8" t="s">
        <v>364</v>
      </c>
    </row>
    <row r="48335">
      <c r="H48335" s="8" t="s">
        <v>364</v>
      </c>
    </row>
    <row r="48336">
      <c r="H48336" s="8" t="s">
        <v>364</v>
      </c>
    </row>
    <row r="48337">
      <c r="H48337" s="8" t="s">
        <v>364</v>
      </c>
    </row>
    <row r="48338">
      <c r="H48338" s="8" t="s">
        <v>364</v>
      </c>
    </row>
    <row r="48339">
      <c r="H48339" s="8" t="s">
        <v>364</v>
      </c>
    </row>
    <row r="48340">
      <c r="H48340" s="8" t="s">
        <v>364</v>
      </c>
    </row>
    <row r="48341">
      <c r="H48341" s="8" t="s">
        <v>364</v>
      </c>
    </row>
    <row r="48342">
      <c r="H48342" s="8" t="s">
        <v>364</v>
      </c>
    </row>
    <row r="48343">
      <c r="H48343" s="8" t="s">
        <v>364</v>
      </c>
    </row>
    <row r="48344">
      <c r="H48344" s="8" t="s">
        <v>364</v>
      </c>
    </row>
    <row r="48345">
      <c r="H48345" s="8" t="s">
        <v>364</v>
      </c>
    </row>
    <row r="48346">
      <c r="H48346" s="8" t="s">
        <v>364</v>
      </c>
    </row>
    <row r="48347">
      <c r="H48347" s="8" t="s">
        <v>364</v>
      </c>
    </row>
    <row r="48348">
      <c r="H48348" s="8" t="s">
        <v>364</v>
      </c>
    </row>
    <row r="48349">
      <c r="H48349" s="8" t="s">
        <v>364</v>
      </c>
    </row>
    <row r="48350">
      <c r="H48350" s="8" t="s">
        <v>364</v>
      </c>
    </row>
    <row r="48351">
      <c r="H48351" s="8" t="s">
        <v>364</v>
      </c>
    </row>
    <row r="48352">
      <c r="H48352" s="8" t="s">
        <v>364</v>
      </c>
    </row>
    <row r="48353">
      <c r="H48353" s="8" t="s">
        <v>364</v>
      </c>
    </row>
    <row r="48354">
      <c r="H48354" s="8" t="s">
        <v>364</v>
      </c>
    </row>
    <row r="48355">
      <c r="H48355" s="8" t="s">
        <v>364</v>
      </c>
    </row>
    <row r="48356">
      <c r="H48356" s="8" t="s">
        <v>364</v>
      </c>
    </row>
    <row r="48357">
      <c r="H48357" s="8" t="s">
        <v>364</v>
      </c>
    </row>
    <row r="48358">
      <c r="H48358" s="8" t="s">
        <v>364</v>
      </c>
    </row>
    <row r="48359">
      <c r="H48359" s="8" t="s">
        <v>364</v>
      </c>
    </row>
    <row r="48360">
      <c r="H48360" s="8" t="s">
        <v>364</v>
      </c>
    </row>
    <row r="48361">
      <c r="H48361" s="8" t="s">
        <v>364</v>
      </c>
    </row>
    <row r="48362">
      <c r="H48362" s="8" t="s">
        <v>364</v>
      </c>
    </row>
    <row r="48363">
      <c r="H48363" s="8" t="s">
        <v>364</v>
      </c>
    </row>
    <row r="48364">
      <c r="H48364" s="8" t="s">
        <v>364</v>
      </c>
    </row>
    <row r="48365">
      <c r="H48365" s="8" t="s">
        <v>364</v>
      </c>
    </row>
    <row r="48366">
      <c r="H48366" s="8" t="s">
        <v>364</v>
      </c>
    </row>
    <row r="48367">
      <c r="H48367" s="8" t="s">
        <v>364</v>
      </c>
    </row>
    <row r="48368">
      <c r="H48368" s="8" t="s">
        <v>364</v>
      </c>
    </row>
    <row r="48369">
      <c r="H48369" s="8" t="s">
        <v>364</v>
      </c>
    </row>
    <row r="48370">
      <c r="H48370" s="8" t="s">
        <v>364</v>
      </c>
    </row>
    <row r="48371">
      <c r="H48371" s="8" t="s">
        <v>364</v>
      </c>
    </row>
    <row r="48372">
      <c r="H48372" s="8" t="s">
        <v>364</v>
      </c>
    </row>
    <row r="48373">
      <c r="H48373" s="8" t="s">
        <v>364</v>
      </c>
    </row>
    <row r="48374">
      <c r="H48374" s="8" t="s">
        <v>364</v>
      </c>
    </row>
    <row r="48375">
      <c r="H48375" s="8" t="s">
        <v>364</v>
      </c>
    </row>
    <row r="48376">
      <c r="H48376" s="8" t="s">
        <v>364</v>
      </c>
    </row>
    <row r="48377">
      <c r="H48377" s="8" t="s">
        <v>364</v>
      </c>
    </row>
    <row r="48378">
      <c r="H48378" s="8" t="s">
        <v>364</v>
      </c>
    </row>
    <row r="48379">
      <c r="H48379" s="8" t="s">
        <v>364</v>
      </c>
    </row>
    <row r="48380">
      <c r="H48380" s="8" t="s">
        <v>364</v>
      </c>
    </row>
    <row r="48381">
      <c r="H48381" s="8" t="s">
        <v>364</v>
      </c>
    </row>
    <row r="48382">
      <c r="H48382" s="8" t="s">
        <v>364</v>
      </c>
    </row>
    <row r="48383">
      <c r="H48383" s="8" t="s">
        <v>364</v>
      </c>
    </row>
    <row r="48384">
      <c r="H48384" s="8" t="s">
        <v>364</v>
      </c>
    </row>
    <row r="48385">
      <c r="H48385" s="8" t="s">
        <v>364</v>
      </c>
    </row>
    <row r="48386">
      <c r="H48386" s="8" t="s">
        <v>364</v>
      </c>
    </row>
    <row r="48387">
      <c r="H48387" s="8" t="s">
        <v>364</v>
      </c>
    </row>
    <row r="48388">
      <c r="H48388" s="8" t="s">
        <v>364</v>
      </c>
    </row>
    <row r="48389">
      <c r="H48389" s="8" t="s">
        <v>364</v>
      </c>
    </row>
    <row r="48390">
      <c r="H48390" s="8" t="s">
        <v>364</v>
      </c>
    </row>
    <row r="48391">
      <c r="H48391" s="8" t="s">
        <v>364</v>
      </c>
    </row>
    <row r="48392">
      <c r="H48392" s="8" t="s">
        <v>364</v>
      </c>
    </row>
    <row r="48393">
      <c r="H48393" s="8" t="s">
        <v>364</v>
      </c>
    </row>
    <row r="48394">
      <c r="H48394" s="8" t="s">
        <v>364</v>
      </c>
    </row>
    <row r="48395">
      <c r="H48395" s="8" t="s">
        <v>364</v>
      </c>
    </row>
    <row r="48396">
      <c r="H48396" s="8" t="s">
        <v>364</v>
      </c>
    </row>
    <row r="48397">
      <c r="H48397" s="8" t="s">
        <v>364</v>
      </c>
    </row>
    <row r="48398">
      <c r="H48398" s="8" t="s">
        <v>364</v>
      </c>
    </row>
    <row r="48399">
      <c r="H48399" s="8" t="s">
        <v>364</v>
      </c>
    </row>
    <row r="48400">
      <c r="H48400" s="8" t="s">
        <v>364</v>
      </c>
    </row>
    <row r="48401">
      <c r="H48401" s="8" t="s">
        <v>364</v>
      </c>
    </row>
    <row r="48402">
      <c r="H48402" s="8" t="s">
        <v>364</v>
      </c>
    </row>
    <row r="48403">
      <c r="H48403" s="8" t="s">
        <v>364</v>
      </c>
    </row>
    <row r="48404">
      <c r="H48404" s="8" t="s">
        <v>364</v>
      </c>
    </row>
    <row r="48405">
      <c r="H48405" s="8" t="s">
        <v>364</v>
      </c>
    </row>
    <row r="48406">
      <c r="H48406" s="8" t="s">
        <v>364</v>
      </c>
    </row>
    <row r="48407">
      <c r="H48407" s="8" t="s">
        <v>364</v>
      </c>
    </row>
    <row r="48408">
      <c r="H48408" s="8" t="s">
        <v>364</v>
      </c>
    </row>
    <row r="48409">
      <c r="H48409" s="8" t="s">
        <v>364</v>
      </c>
    </row>
    <row r="48410">
      <c r="H48410" s="8" t="s">
        <v>364</v>
      </c>
    </row>
    <row r="48411">
      <c r="H48411" s="8" t="s">
        <v>364</v>
      </c>
    </row>
    <row r="48412">
      <c r="H48412" s="8" t="s">
        <v>364</v>
      </c>
    </row>
    <row r="48413">
      <c r="H48413" s="8" t="s">
        <v>364</v>
      </c>
    </row>
    <row r="48414">
      <c r="H48414" s="8" t="s">
        <v>364</v>
      </c>
    </row>
    <row r="48415">
      <c r="H48415" s="8" t="s">
        <v>364</v>
      </c>
    </row>
    <row r="48416">
      <c r="H48416" s="8" t="s">
        <v>364</v>
      </c>
    </row>
    <row r="48417">
      <c r="H48417" s="8" t="s">
        <v>364</v>
      </c>
    </row>
    <row r="48418">
      <c r="H48418" s="8" t="s">
        <v>364</v>
      </c>
    </row>
    <row r="48419">
      <c r="H48419" s="8" t="s">
        <v>364</v>
      </c>
    </row>
    <row r="48420">
      <c r="H48420" s="8" t="s">
        <v>364</v>
      </c>
    </row>
    <row r="48421">
      <c r="H48421" s="8" t="s">
        <v>364</v>
      </c>
    </row>
    <row r="48422">
      <c r="H48422" s="8" t="s">
        <v>364</v>
      </c>
    </row>
    <row r="48423">
      <c r="H48423" s="8" t="s">
        <v>364</v>
      </c>
    </row>
    <row r="48424">
      <c r="H48424" s="8" t="s">
        <v>364</v>
      </c>
    </row>
    <row r="48425">
      <c r="H48425" s="8" t="s">
        <v>364</v>
      </c>
    </row>
    <row r="48426">
      <c r="H48426" s="8" t="s">
        <v>364</v>
      </c>
    </row>
    <row r="48427">
      <c r="H48427" s="8" t="s">
        <v>364</v>
      </c>
    </row>
    <row r="48428">
      <c r="H48428" s="8" t="s">
        <v>364</v>
      </c>
    </row>
    <row r="48429">
      <c r="H48429" s="8" t="s">
        <v>364</v>
      </c>
    </row>
    <row r="48430">
      <c r="H48430" s="8" t="s">
        <v>364</v>
      </c>
    </row>
    <row r="48431">
      <c r="H48431" s="8" t="s">
        <v>364</v>
      </c>
    </row>
    <row r="48432">
      <c r="H48432" s="8" t="s">
        <v>364</v>
      </c>
    </row>
    <row r="48433">
      <c r="H48433" s="8" t="s">
        <v>364</v>
      </c>
    </row>
    <row r="48434">
      <c r="H48434" s="8" t="s">
        <v>364</v>
      </c>
    </row>
    <row r="48435">
      <c r="H48435" s="8" t="s">
        <v>364</v>
      </c>
    </row>
    <row r="48436">
      <c r="H48436" s="8" t="s">
        <v>364</v>
      </c>
    </row>
    <row r="48437">
      <c r="H48437" s="8" t="s">
        <v>364</v>
      </c>
    </row>
    <row r="48438">
      <c r="H48438" s="8" t="s">
        <v>364</v>
      </c>
    </row>
    <row r="48439">
      <c r="H48439" s="8" t="s">
        <v>364</v>
      </c>
    </row>
    <row r="48440">
      <c r="H48440" s="8" t="s">
        <v>364</v>
      </c>
    </row>
    <row r="48441">
      <c r="H48441" s="8" t="s">
        <v>364</v>
      </c>
    </row>
    <row r="48442">
      <c r="H48442" s="8" t="s">
        <v>364</v>
      </c>
    </row>
    <row r="48443">
      <c r="H48443" s="8" t="s">
        <v>364</v>
      </c>
    </row>
    <row r="48444">
      <c r="H48444" s="8" t="s">
        <v>364</v>
      </c>
    </row>
    <row r="48445">
      <c r="H48445" s="8" t="s">
        <v>364</v>
      </c>
    </row>
    <row r="48446">
      <c r="H48446" s="8" t="s">
        <v>364</v>
      </c>
    </row>
    <row r="48447">
      <c r="H48447" s="8" t="s">
        <v>364</v>
      </c>
    </row>
    <row r="48448">
      <c r="H48448" s="8" t="s">
        <v>364</v>
      </c>
    </row>
    <row r="48449">
      <c r="H48449" s="8" t="s">
        <v>364</v>
      </c>
    </row>
    <row r="48450">
      <c r="H48450" s="8" t="s">
        <v>364</v>
      </c>
    </row>
    <row r="48451">
      <c r="H48451" s="8" t="s">
        <v>364</v>
      </c>
    </row>
    <row r="48452">
      <c r="H48452" s="8" t="s">
        <v>364</v>
      </c>
    </row>
    <row r="48453">
      <c r="H48453" s="8" t="s">
        <v>364</v>
      </c>
    </row>
    <row r="48454">
      <c r="H48454" s="8" t="s">
        <v>364</v>
      </c>
    </row>
    <row r="48455">
      <c r="H48455" s="8" t="s">
        <v>364</v>
      </c>
    </row>
    <row r="48456">
      <c r="H48456" s="8" t="s">
        <v>364</v>
      </c>
    </row>
    <row r="48457">
      <c r="H48457" s="8" t="s">
        <v>364</v>
      </c>
    </row>
    <row r="48458">
      <c r="H48458" s="8" t="s">
        <v>364</v>
      </c>
    </row>
    <row r="48459">
      <c r="H48459" s="8" t="s">
        <v>364</v>
      </c>
    </row>
    <row r="48460">
      <c r="H48460" s="8" t="s">
        <v>364</v>
      </c>
    </row>
    <row r="48461">
      <c r="H48461" s="8" t="s">
        <v>364</v>
      </c>
    </row>
    <row r="48462">
      <c r="H48462" s="8" t="s">
        <v>364</v>
      </c>
    </row>
    <row r="48463">
      <c r="H48463" s="8" t="s">
        <v>364</v>
      </c>
    </row>
    <row r="48464">
      <c r="H48464" s="8" t="s">
        <v>364</v>
      </c>
    </row>
    <row r="48465">
      <c r="H48465" s="8" t="s">
        <v>364</v>
      </c>
    </row>
    <row r="48466">
      <c r="H48466" s="8" t="s">
        <v>364</v>
      </c>
    </row>
    <row r="48467">
      <c r="H48467" s="8" t="s">
        <v>364</v>
      </c>
    </row>
    <row r="48468">
      <c r="H48468" s="8" t="s">
        <v>364</v>
      </c>
    </row>
    <row r="48469">
      <c r="H48469" s="8" t="s">
        <v>364</v>
      </c>
    </row>
    <row r="48470">
      <c r="H48470" s="8" t="s">
        <v>364</v>
      </c>
    </row>
    <row r="48471">
      <c r="H48471" s="8" t="s">
        <v>364</v>
      </c>
    </row>
    <row r="48472">
      <c r="H48472" s="8" t="s">
        <v>364</v>
      </c>
    </row>
    <row r="48473">
      <c r="H48473" s="8" t="s">
        <v>364</v>
      </c>
    </row>
    <row r="48474">
      <c r="H48474" s="8" t="s">
        <v>364</v>
      </c>
    </row>
    <row r="48475">
      <c r="H48475" s="8" t="s">
        <v>364</v>
      </c>
    </row>
    <row r="48476">
      <c r="H48476" s="8" t="s">
        <v>364</v>
      </c>
    </row>
    <row r="48477">
      <c r="H48477" s="8" t="s">
        <v>364</v>
      </c>
    </row>
    <row r="48478">
      <c r="H48478" s="8" t="s">
        <v>364</v>
      </c>
    </row>
    <row r="48479">
      <c r="H48479" s="8" t="s">
        <v>364</v>
      </c>
    </row>
    <row r="48480">
      <c r="H48480" s="8" t="s">
        <v>364</v>
      </c>
    </row>
    <row r="48481">
      <c r="H48481" s="8" t="s">
        <v>364</v>
      </c>
    </row>
    <row r="48482">
      <c r="H48482" s="8" t="s">
        <v>364</v>
      </c>
    </row>
    <row r="48483">
      <c r="H48483" s="8" t="s">
        <v>364</v>
      </c>
    </row>
    <row r="48484">
      <c r="H48484" s="8" t="s">
        <v>364</v>
      </c>
    </row>
    <row r="48485">
      <c r="H48485" s="8" t="s">
        <v>364</v>
      </c>
    </row>
    <row r="48486">
      <c r="H48486" s="8" t="s">
        <v>364</v>
      </c>
    </row>
    <row r="48487">
      <c r="H48487" s="8" t="s">
        <v>364</v>
      </c>
    </row>
    <row r="48488">
      <c r="H48488" s="8" t="s">
        <v>364</v>
      </c>
    </row>
    <row r="48489">
      <c r="H48489" s="8" t="s">
        <v>364</v>
      </c>
    </row>
    <row r="48490">
      <c r="H48490" s="8" t="s">
        <v>364</v>
      </c>
    </row>
    <row r="48491">
      <c r="H48491" s="8" t="s">
        <v>364</v>
      </c>
    </row>
    <row r="48492">
      <c r="H48492" s="8" t="s">
        <v>364</v>
      </c>
    </row>
    <row r="48493">
      <c r="H48493" s="8" t="s">
        <v>364</v>
      </c>
    </row>
    <row r="48494">
      <c r="H48494" s="8" t="s">
        <v>364</v>
      </c>
    </row>
    <row r="48495">
      <c r="H48495" s="8" t="s">
        <v>364</v>
      </c>
    </row>
    <row r="48496">
      <c r="H48496" s="8" t="s">
        <v>364</v>
      </c>
    </row>
    <row r="48497">
      <c r="H48497" s="8" t="s">
        <v>364</v>
      </c>
    </row>
    <row r="48498">
      <c r="H48498" s="8" t="s">
        <v>364</v>
      </c>
    </row>
    <row r="48499">
      <c r="H48499" s="8" t="s">
        <v>364</v>
      </c>
    </row>
    <row r="48500">
      <c r="H48500" s="8" t="s">
        <v>364</v>
      </c>
    </row>
    <row r="48501">
      <c r="H48501" s="8" t="s">
        <v>364</v>
      </c>
    </row>
    <row r="48502">
      <c r="H48502" s="8" t="s">
        <v>364</v>
      </c>
    </row>
    <row r="48503">
      <c r="H48503" s="8" t="s">
        <v>364</v>
      </c>
    </row>
    <row r="48504">
      <c r="H48504" s="8" t="s">
        <v>364</v>
      </c>
    </row>
    <row r="48505">
      <c r="H48505" s="8" t="s">
        <v>364</v>
      </c>
    </row>
    <row r="48506">
      <c r="H48506" s="8" t="s">
        <v>364</v>
      </c>
    </row>
    <row r="48507">
      <c r="H48507" s="8" t="s">
        <v>364</v>
      </c>
    </row>
    <row r="48508">
      <c r="H48508" s="8" t="s">
        <v>364</v>
      </c>
    </row>
    <row r="48509">
      <c r="H48509" s="8" t="s">
        <v>364</v>
      </c>
    </row>
    <row r="48510">
      <c r="H48510" s="8" t="s">
        <v>364</v>
      </c>
    </row>
    <row r="48511">
      <c r="H48511" s="8" t="s">
        <v>364</v>
      </c>
    </row>
    <row r="48512">
      <c r="H48512" s="8" t="s">
        <v>364</v>
      </c>
    </row>
    <row r="48513">
      <c r="H48513" s="8" t="s">
        <v>364</v>
      </c>
    </row>
    <row r="48514">
      <c r="H48514" s="8" t="s">
        <v>364</v>
      </c>
    </row>
    <row r="48515">
      <c r="H48515" s="8" t="s">
        <v>364</v>
      </c>
    </row>
    <row r="48516">
      <c r="H48516" s="8" t="s">
        <v>364</v>
      </c>
    </row>
    <row r="48517">
      <c r="H48517" s="8" t="s">
        <v>364</v>
      </c>
    </row>
    <row r="48518">
      <c r="H48518" s="8" t="s">
        <v>364</v>
      </c>
    </row>
    <row r="48519">
      <c r="H48519" s="8" t="s">
        <v>364</v>
      </c>
    </row>
    <row r="48520">
      <c r="H48520" s="8" t="s">
        <v>364</v>
      </c>
    </row>
    <row r="48521">
      <c r="H48521" s="8" t="s">
        <v>364</v>
      </c>
    </row>
    <row r="48522">
      <c r="H48522" s="8" t="s">
        <v>364</v>
      </c>
    </row>
    <row r="48523">
      <c r="H48523" s="8" t="s">
        <v>364</v>
      </c>
    </row>
    <row r="48524">
      <c r="H48524" s="8" t="s">
        <v>364</v>
      </c>
    </row>
    <row r="48525">
      <c r="H48525" s="8" t="s">
        <v>364</v>
      </c>
    </row>
    <row r="48526">
      <c r="H48526" s="8" t="s">
        <v>364</v>
      </c>
    </row>
    <row r="48527">
      <c r="H48527" s="8" t="s">
        <v>364</v>
      </c>
    </row>
    <row r="48528">
      <c r="H48528" s="8" t="s">
        <v>364</v>
      </c>
    </row>
    <row r="48529">
      <c r="H48529" s="8" t="s">
        <v>364</v>
      </c>
    </row>
    <row r="48530">
      <c r="H48530" s="8" t="s">
        <v>364</v>
      </c>
    </row>
    <row r="48531">
      <c r="H48531" s="8" t="s">
        <v>364</v>
      </c>
    </row>
    <row r="48532">
      <c r="H48532" s="8" t="s">
        <v>364</v>
      </c>
    </row>
    <row r="48533">
      <c r="H48533" s="8" t="s">
        <v>364</v>
      </c>
    </row>
    <row r="48534">
      <c r="H48534" s="8" t="s">
        <v>364</v>
      </c>
    </row>
    <row r="48535">
      <c r="H48535" s="8" t="s">
        <v>364</v>
      </c>
    </row>
    <row r="48536">
      <c r="H48536" s="8" t="s">
        <v>364</v>
      </c>
    </row>
    <row r="48537">
      <c r="H48537" s="8" t="s">
        <v>364</v>
      </c>
    </row>
    <row r="48538">
      <c r="H48538" s="8" t="s">
        <v>364</v>
      </c>
    </row>
    <row r="48539">
      <c r="H48539" s="8" t="s">
        <v>364</v>
      </c>
    </row>
    <row r="48540">
      <c r="H48540" s="8" t="s">
        <v>364</v>
      </c>
    </row>
    <row r="48541">
      <c r="H48541" s="8" t="s">
        <v>364</v>
      </c>
    </row>
    <row r="48542">
      <c r="H48542" s="8" t="s">
        <v>364</v>
      </c>
    </row>
    <row r="48543">
      <c r="H48543" s="8" t="s">
        <v>364</v>
      </c>
    </row>
    <row r="48544">
      <c r="H48544" s="8" t="s">
        <v>364</v>
      </c>
    </row>
    <row r="48545">
      <c r="H48545" s="8" t="s">
        <v>364</v>
      </c>
    </row>
    <row r="48546">
      <c r="H48546" s="8" t="s">
        <v>364</v>
      </c>
    </row>
    <row r="48547">
      <c r="H48547" s="8" t="s">
        <v>364</v>
      </c>
    </row>
    <row r="48548">
      <c r="H48548" s="8" t="s">
        <v>364</v>
      </c>
    </row>
    <row r="48549">
      <c r="H48549" s="8" t="s">
        <v>364</v>
      </c>
    </row>
    <row r="48550">
      <c r="H48550" s="8" t="s">
        <v>364</v>
      </c>
    </row>
    <row r="48551">
      <c r="H48551" s="8" t="s">
        <v>364</v>
      </c>
    </row>
    <row r="48552">
      <c r="H48552" s="8" t="s">
        <v>364</v>
      </c>
    </row>
    <row r="48553">
      <c r="H48553" s="8" t="s">
        <v>364</v>
      </c>
    </row>
    <row r="48554">
      <c r="H48554" s="8" t="s">
        <v>364</v>
      </c>
    </row>
    <row r="48555">
      <c r="H48555" s="8" t="s">
        <v>364</v>
      </c>
    </row>
    <row r="48556">
      <c r="H48556" s="8" t="s">
        <v>364</v>
      </c>
    </row>
    <row r="48557">
      <c r="H48557" s="8" t="s">
        <v>364</v>
      </c>
    </row>
    <row r="48558">
      <c r="H48558" s="8" t="s">
        <v>364</v>
      </c>
    </row>
    <row r="48559">
      <c r="H48559" s="8" t="s">
        <v>364</v>
      </c>
    </row>
    <row r="48560">
      <c r="H48560" s="8" t="s">
        <v>364</v>
      </c>
    </row>
    <row r="48561">
      <c r="H48561" s="8" t="s">
        <v>364</v>
      </c>
    </row>
    <row r="48562">
      <c r="H48562" s="8" t="s">
        <v>364</v>
      </c>
    </row>
    <row r="48563">
      <c r="H48563" s="8" t="s">
        <v>364</v>
      </c>
    </row>
    <row r="48564">
      <c r="H48564" s="8" t="s">
        <v>364</v>
      </c>
    </row>
    <row r="48565">
      <c r="H48565" s="8" t="s">
        <v>364</v>
      </c>
    </row>
    <row r="48566">
      <c r="H48566" s="8" t="s">
        <v>364</v>
      </c>
    </row>
    <row r="48567">
      <c r="H48567" s="8" t="s">
        <v>364</v>
      </c>
    </row>
    <row r="48568">
      <c r="H48568" s="8" t="s">
        <v>364</v>
      </c>
    </row>
    <row r="48569">
      <c r="H48569" s="8" t="s">
        <v>364</v>
      </c>
    </row>
    <row r="48570">
      <c r="H48570" s="8" t="s">
        <v>364</v>
      </c>
    </row>
    <row r="48571">
      <c r="H48571" s="8" t="s">
        <v>364</v>
      </c>
    </row>
    <row r="48572">
      <c r="H48572" s="8" t="s">
        <v>364</v>
      </c>
    </row>
    <row r="48573">
      <c r="H48573" s="8" t="s">
        <v>364</v>
      </c>
    </row>
    <row r="48574">
      <c r="H48574" s="8" t="s">
        <v>364</v>
      </c>
    </row>
    <row r="48575">
      <c r="H48575" s="8" t="s">
        <v>364</v>
      </c>
    </row>
    <row r="48576">
      <c r="H48576" s="8" t="s">
        <v>364</v>
      </c>
    </row>
    <row r="48577">
      <c r="H48577" s="8" t="s">
        <v>364</v>
      </c>
    </row>
    <row r="48578">
      <c r="H48578" s="8" t="s">
        <v>364</v>
      </c>
    </row>
    <row r="48579">
      <c r="H48579" s="8" t="s">
        <v>364</v>
      </c>
    </row>
    <row r="48580">
      <c r="H48580" s="8" t="s">
        <v>364</v>
      </c>
    </row>
    <row r="48581">
      <c r="H48581" s="8" t="s">
        <v>364</v>
      </c>
    </row>
    <row r="48582">
      <c r="H48582" s="8" t="s">
        <v>364</v>
      </c>
    </row>
    <row r="48583">
      <c r="H48583" s="8" t="s">
        <v>364</v>
      </c>
    </row>
    <row r="48584">
      <c r="H48584" s="8" t="s">
        <v>364</v>
      </c>
    </row>
    <row r="48585">
      <c r="H48585" s="8" t="s">
        <v>364</v>
      </c>
    </row>
    <row r="48586">
      <c r="H48586" s="8" t="s">
        <v>364</v>
      </c>
    </row>
    <row r="48587">
      <c r="H48587" s="8" t="s">
        <v>364</v>
      </c>
    </row>
    <row r="48588">
      <c r="H48588" s="8" t="s">
        <v>364</v>
      </c>
    </row>
    <row r="48589">
      <c r="H48589" s="8" t="s">
        <v>364</v>
      </c>
    </row>
    <row r="48590">
      <c r="H48590" s="8" t="s">
        <v>364</v>
      </c>
    </row>
    <row r="48591">
      <c r="H48591" s="8" t="s">
        <v>364</v>
      </c>
    </row>
    <row r="48592">
      <c r="H48592" s="8" t="s">
        <v>364</v>
      </c>
    </row>
    <row r="48593">
      <c r="H48593" s="8" t="s">
        <v>364</v>
      </c>
    </row>
    <row r="48594">
      <c r="H48594" s="8" t="s">
        <v>364</v>
      </c>
    </row>
    <row r="48595">
      <c r="H48595" s="8" t="s">
        <v>364</v>
      </c>
    </row>
    <row r="48596">
      <c r="H48596" s="8" t="s">
        <v>364</v>
      </c>
    </row>
    <row r="48597">
      <c r="H48597" s="8" t="s">
        <v>364</v>
      </c>
    </row>
    <row r="48598">
      <c r="H48598" s="8" t="s">
        <v>364</v>
      </c>
    </row>
    <row r="48599">
      <c r="H48599" s="8" t="s">
        <v>364</v>
      </c>
    </row>
    <row r="48600">
      <c r="H48600" s="8" t="s">
        <v>364</v>
      </c>
    </row>
    <row r="48601">
      <c r="H48601" s="8" t="s">
        <v>364</v>
      </c>
    </row>
    <row r="48602">
      <c r="H48602" s="8" t="s">
        <v>364</v>
      </c>
    </row>
    <row r="48603">
      <c r="H48603" s="8" t="s">
        <v>364</v>
      </c>
    </row>
    <row r="48604">
      <c r="H48604" s="8" t="s">
        <v>364</v>
      </c>
    </row>
    <row r="48605">
      <c r="H48605" s="8" t="s">
        <v>364</v>
      </c>
    </row>
    <row r="48606">
      <c r="H48606" s="8" t="s">
        <v>364</v>
      </c>
    </row>
    <row r="48607">
      <c r="H48607" s="8" t="s">
        <v>364</v>
      </c>
    </row>
    <row r="48608">
      <c r="H48608" s="8" t="s">
        <v>364</v>
      </c>
    </row>
    <row r="48609">
      <c r="H48609" s="8" t="s">
        <v>364</v>
      </c>
    </row>
    <row r="48610">
      <c r="H48610" s="8" t="s">
        <v>364</v>
      </c>
    </row>
    <row r="48611">
      <c r="H48611" s="8" t="s">
        <v>364</v>
      </c>
    </row>
    <row r="48612">
      <c r="H48612" s="8" t="s">
        <v>364</v>
      </c>
    </row>
    <row r="48613">
      <c r="H48613" s="8" t="s">
        <v>364</v>
      </c>
    </row>
    <row r="48614">
      <c r="H48614" s="8" t="s">
        <v>364</v>
      </c>
    </row>
    <row r="48615">
      <c r="H48615" s="8" t="s">
        <v>364</v>
      </c>
    </row>
    <row r="48616">
      <c r="H48616" s="8" t="s">
        <v>364</v>
      </c>
    </row>
    <row r="48617">
      <c r="H48617" s="8" t="s">
        <v>364</v>
      </c>
    </row>
    <row r="48618">
      <c r="H48618" s="8" t="s">
        <v>364</v>
      </c>
    </row>
    <row r="48619">
      <c r="H48619" s="8" t="s">
        <v>364</v>
      </c>
    </row>
    <row r="48620">
      <c r="H48620" s="8" t="s">
        <v>364</v>
      </c>
    </row>
    <row r="48621">
      <c r="H48621" s="8" t="s">
        <v>364</v>
      </c>
    </row>
    <row r="48622">
      <c r="H48622" s="8" t="s">
        <v>364</v>
      </c>
    </row>
    <row r="48623">
      <c r="H48623" s="8" t="s">
        <v>364</v>
      </c>
    </row>
    <row r="48624">
      <c r="H48624" s="8" t="s">
        <v>364</v>
      </c>
    </row>
    <row r="48625">
      <c r="H48625" s="8" t="s">
        <v>364</v>
      </c>
    </row>
    <row r="48626">
      <c r="H48626" s="8" t="s">
        <v>364</v>
      </c>
    </row>
    <row r="48627">
      <c r="H48627" s="8" t="s">
        <v>364</v>
      </c>
    </row>
    <row r="48628">
      <c r="H48628" s="8" t="s">
        <v>364</v>
      </c>
    </row>
    <row r="48629">
      <c r="H48629" s="8" t="s">
        <v>364</v>
      </c>
    </row>
    <row r="48630">
      <c r="H48630" s="8" t="s">
        <v>364</v>
      </c>
    </row>
    <row r="48631">
      <c r="H48631" s="8" t="s">
        <v>364</v>
      </c>
    </row>
    <row r="48632">
      <c r="H48632" s="8" t="s">
        <v>364</v>
      </c>
    </row>
    <row r="48633">
      <c r="H48633" s="8" t="s">
        <v>364</v>
      </c>
    </row>
    <row r="48634">
      <c r="H48634" s="8" t="s">
        <v>364</v>
      </c>
    </row>
    <row r="48635">
      <c r="H48635" s="8" t="s">
        <v>364</v>
      </c>
    </row>
    <row r="48636">
      <c r="H48636" s="8" t="s">
        <v>364</v>
      </c>
    </row>
    <row r="48637">
      <c r="H48637" s="8" t="s">
        <v>364</v>
      </c>
    </row>
    <row r="48638">
      <c r="H48638" s="8" t="s">
        <v>364</v>
      </c>
    </row>
    <row r="48639">
      <c r="H48639" s="8" t="s">
        <v>364</v>
      </c>
    </row>
    <row r="48640">
      <c r="H48640" s="8" t="s">
        <v>364</v>
      </c>
    </row>
    <row r="48641">
      <c r="H48641" s="8" t="s">
        <v>364</v>
      </c>
    </row>
    <row r="48642">
      <c r="H48642" s="8" t="s">
        <v>364</v>
      </c>
    </row>
    <row r="48643">
      <c r="H48643" s="8" t="s">
        <v>364</v>
      </c>
    </row>
    <row r="48644">
      <c r="H48644" s="8" t="s">
        <v>364</v>
      </c>
    </row>
    <row r="48645">
      <c r="H48645" s="8" t="s">
        <v>364</v>
      </c>
    </row>
    <row r="48646">
      <c r="H48646" s="8" t="s">
        <v>364</v>
      </c>
    </row>
    <row r="48647">
      <c r="H48647" s="8" t="s">
        <v>364</v>
      </c>
    </row>
    <row r="48648">
      <c r="H48648" s="8" t="s">
        <v>364</v>
      </c>
    </row>
    <row r="48649">
      <c r="H48649" s="8" t="s">
        <v>364</v>
      </c>
    </row>
    <row r="48650">
      <c r="H48650" s="8" t="s">
        <v>364</v>
      </c>
    </row>
    <row r="48651">
      <c r="H48651" s="8" t="s">
        <v>364</v>
      </c>
    </row>
    <row r="48652">
      <c r="H48652" s="8" t="s">
        <v>364</v>
      </c>
    </row>
    <row r="48653">
      <c r="H48653" s="8" t="s">
        <v>364</v>
      </c>
    </row>
    <row r="48654">
      <c r="H48654" s="8" t="s">
        <v>364</v>
      </c>
    </row>
    <row r="48655">
      <c r="H48655" s="8" t="s">
        <v>364</v>
      </c>
    </row>
    <row r="48656">
      <c r="H48656" s="8" t="s">
        <v>364</v>
      </c>
    </row>
    <row r="48657">
      <c r="H48657" s="8" t="s">
        <v>364</v>
      </c>
    </row>
    <row r="48658">
      <c r="H48658" s="8" t="s">
        <v>364</v>
      </c>
    </row>
    <row r="48659">
      <c r="H48659" s="8" t="s">
        <v>364</v>
      </c>
    </row>
    <row r="48660">
      <c r="H48660" s="8" t="s">
        <v>364</v>
      </c>
    </row>
    <row r="48661">
      <c r="H48661" s="8" t="s">
        <v>364</v>
      </c>
    </row>
    <row r="48662">
      <c r="H48662" s="8" t="s">
        <v>364</v>
      </c>
    </row>
    <row r="48663">
      <c r="H48663" s="8" t="s">
        <v>364</v>
      </c>
    </row>
    <row r="48664">
      <c r="H48664" s="8" t="s">
        <v>364</v>
      </c>
    </row>
    <row r="48665">
      <c r="H48665" s="8" t="s">
        <v>364</v>
      </c>
    </row>
    <row r="48666">
      <c r="H48666" s="8" t="s">
        <v>364</v>
      </c>
    </row>
    <row r="48667">
      <c r="H48667" s="8" t="s">
        <v>364</v>
      </c>
    </row>
    <row r="48668">
      <c r="H48668" s="8" t="s">
        <v>364</v>
      </c>
    </row>
    <row r="48669">
      <c r="H48669" s="8" t="s">
        <v>364</v>
      </c>
    </row>
    <row r="48670">
      <c r="H48670" s="8" t="s">
        <v>364</v>
      </c>
    </row>
    <row r="48671">
      <c r="H48671" s="8" t="s">
        <v>364</v>
      </c>
    </row>
    <row r="48672">
      <c r="H48672" s="8" t="s">
        <v>364</v>
      </c>
    </row>
    <row r="48673">
      <c r="H48673" s="8" t="s">
        <v>364</v>
      </c>
    </row>
    <row r="48674">
      <c r="H48674" s="8" t="s">
        <v>364</v>
      </c>
    </row>
    <row r="48675">
      <c r="H48675" s="8" t="s">
        <v>364</v>
      </c>
    </row>
    <row r="48676">
      <c r="H48676" s="8" t="s">
        <v>364</v>
      </c>
    </row>
    <row r="48677">
      <c r="H48677" s="8" t="s">
        <v>364</v>
      </c>
    </row>
    <row r="48678">
      <c r="H48678" s="8" t="s">
        <v>364</v>
      </c>
    </row>
    <row r="48679">
      <c r="H48679" s="8" t="s">
        <v>364</v>
      </c>
    </row>
    <row r="48680">
      <c r="H48680" s="8" t="s">
        <v>364</v>
      </c>
    </row>
    <row r="48681">
      <c r="H48681" s="8" t="s">
        <v>364</v>
      </c>
    </row>
    <row r="48682">
      <c r="H48682" s="8" t="s">
        <v>364</v>
      </c>
    </row>
    <row r="48683">
      <c r="H48683" s="8" t="s">
        <v>364</v>
      </c>
    </row>
    <row r="48684">
      <c r="H48684" s="8" t="s">
        <v>364</v>
      </c>
    </row>
    <row r="48685">
      <c r="H48685" s="8" t="s">
        <v>364</v>
      </c>
    </row>
    <row r="48686">
      <c r="H48686" s="8" t="s">
        <v>364</v>
      </c>
    </row>
    <row r="48687">
      <c r="H48687" s="8" t="s">
        <v>364</v>
      </c>
    </row>
    <row r="48688">
      <c r="H48688" s="8" t="s">
        <v>364</v>
      </c>
    </row>
    <row r="48689">
      <c r="H48689" s="8" t="s">
        <v>364</v>
      </c>
    </row>
    <row r="48690">
      <c r="H48690" s="8" t="s">
        <v>364</v>
      </c>
    </row>
    <row r="48691">
      <c r="H48691" s="8" t="s">
        <v>364</v>
      </c>
    </row>
    <row r="48692">
      <c r="H48692" s="8" t="s">
        <v>364</v>
      </c>
    </row>
    <row r="48693">
      <c r="H48693" s="8" t="s">
        <v>364</v>
      </c>
    </row>
    <row r="48694">
      <c r="H48694" s="8" t="s">
        <v>364</v>
      </c>
    </row>
    <row r="48695">
      <c r="H48695" s="8" t="s">
        <v>364</v>
      </c>
    </row>
    <row r="48696">
      <c r="H48696" s="8" t="s">
        <v>364</v>
      </c>
    </row>
    <row r="48697">
      <c r="H48697" s="8" t="s">
        <v>364</v>
      </c>
    </row>
    <row r="48698">
      <c r="H48698" s="8" t="s">
        <v>364</v>
      </c>
    </row>
    <row r="48699">
      <c r="H48699" s="8" t="s">
        <v>364</v>
      </c>
    </row>
    <row r="48700">
      <c r="H48700" s="8" t="s">
        <v>364</v>
      </c>
    </row>
    <row r="48701">
      <c r="H48701" s="8" t="s">
        <v>364</v>
      </c>
    </row>
    <row r="48702">
      <c r="H48702" s="8" t="s">
        <v>364</v>
      </c>
    </row>
    <row r="48703">
      <c r="H48703" s="8" t="s">
        <v>364</v>
      </c>
    </row>
    <row r="48704">
      <c r="H48704" s="8" t="s">
        <v>364</v>
      </c>
    </row>
    <row r="48705">
      <c r="H48705" s="8" t="s">
        <v>364</v>
      </c>
    </row>
    <row r="48706">
      <c r="H48706" s="8" t="s">
        <v>364</v>
      </c>
    </row>
    <row r="48707">
      <c r="H48707" s="8" t="s">
        <v>364</v>
      </c>
    </row>
    <row r="48708">
      <c r="H48708" s="8" t="s">
        <v>364</v>
      </c>
    </row>
    <row r="48709">
      <c r="H48709" s="8" t="s">
        <v>364</v>
      </c>
    </row>
    <row r="48710">
      <c r="H48710" s="8" t="s">
        <v>364</v>
      </c>
    </row>
    <row r="48711">
      <c r="H48711" s="8" t="s">
        <v>364</v>
      </c>
    </row>
    <row r="48712">
      <c r="H48712" s="8" t="s">
        <v>364</v>
      </c>
    </row>
    <row r="48713">
      <c r="H48713" s="8" t="s">
        <v>364</v>
      </c>
    </row>
    <row r="48714">
      <c r="H48714" s="8" t="s">
        <v>364</v>
      </c>
    </row>
    <row r="48715">
      <c r="H48715" s="8" t="s">
        <v>364</v>
      </c>
    </row>
    <row r="48716">
      <c r="H48716" s="8" t="s">
        <v>364</v>
      </c>
    </row>
    <row r="48717">
      <c r="H48717" s="8" t="s">
        <v>364</v>
      </c>
    </row>
    <row r="48718">
      <c r="H48718" s="8" t="s">
        <v>364</v>
      </c>
    </row>
    <row r="48719">
      <c r="H48719" s="8" t="s">
        <v>364</v>
      </c>
    </row>
    <row r="48720">
      <c r="H48720" s="8" t="s">
        <v>364</v>
      </c>
    </row>
    <row r="48721">
      <c r="H48721" s="8" t="s">
        <v>364</v>
      </c>
    </row>
    <row r="48722">
      <c r="H48722" s="8" t="s">
        <v>364</v>
      </c>
    </row>
    <row r="48723">
      <c r="H48723" s="8" t="s">
        <v>364</v>
      </c>
    </row>
    <row r="48724">
      <c r="H48724" s="8" t="s">
        <v>364</v>
      </c>
    </row>
    <row r="48725">
      <c r="H48725" s="8" t="s">
        <v>364</v>
      </c>
    </row>
    <row r="48726">
      <c r="H48726" s="8" t="s">
        <v>364</v>
      </c>
    </row>
    <row r="48727">
      <c r="H48727" s="8" t="s">
        <v>364</v>
      </c>
    </row>
    <row r="48728">
      <c r="H48728" s="8" t="s">
        <v>364</v>
      </c>
    </row>
    <row r="48729">
      <c r="H48729" s="8" t="s">
        <v>364</v>
      </c>
    </row>
    <row r="48730">
      <c r="H48730" s="8" t="s">
        <v>364</v>
      </c>
    </row>
    <row r="48731">
      <c r="H48731" s="8" t="s">
        <v>364</v>
      </c>
    </row>
    <row r="48732">
      <c r="H48732" s="8" t="s">
        <v>364</v>
      </c>
    </row>
    <row r="48733">
      <c r="H48733" s="8" t="s">
        <v>364</v>
      </c>
    </row>
    <row r="48734">
      <c r="H48734" s="8" t="s">
        <v>364</v>
      </c>
    </row>
    <row r="48735">
      <c r="H48735" s="8" t="s">
        <v>364</v>
      </c>
    </row>
    <row r="48736">
      <c r="H48736" s="8" t="s">
        <v>364</v>
      </c>
    </row>
    <row r="48737">
      <c r="H48737" s="8" t="s">
        <v>364</v>
      </c>
    </row>
    <row r="48738">
      <c r="H48738" s="8" t="s">
        <v>364</v>
      </c>
    </row>
    <row r="48739">
      <c r="H48739" s="8" t="s">
        <v>364</v>
      </c>
    </row>
    <row r="48740">
      <c r="H48740" s="8" t="s">
        <v>364</v>
      </c>
    </row>
    <row r="48741">
      <c r="H48741" s="8" t="s">
        <v>364</v>
      </c>
    </row>
    <row r="48742">
      <c r="H48742" s="8" t="s">
        <v>364</v>
      </c>
    </row>
    <row r="48743">
      <c r="H48743" s="8" t="s">
        <v>364</v>
      </c>
    </row>
    <row r="48744">
      <c r="H48744" s="8" t="s">
        <v>364</v>
      </c>
    </row>
    <row r="48745">
      <c r="H48745" s="8" t="s">
        <v>364</v>
      </c>
    </row>
    <row r="48746">
      <c r="H48746" s="8" t="s">
        <v>364</v>
      </c>
    </row>
    <row r="48747">
      <c r="H48747" s="8" t="s">
        <v>364</v>
      </c>
    </row>
    <row r="48748">
      <c r="H48748" s="8" t="s">
        <v>364</v>
      </c>
    </row>
    <row r="48749">
      <c r="H48749" s="8" t="s">
        <v>364</v>
      </c>
    </row>
    <row r="48750">
      <c r="H48750" s="8" t="s">
        <v>364</v>
      </c>
    </row>
    <row r="48751">
      <c r="H48751" s="8" t="s">
        <v>364</v>
      </c>
    </row>
    <row r="48752">
      <c r="H48752" s="8" t="s">
        <v>364</v>
      </c>
    </row>
    <row r="48753">
      <c r="H48753" s="8" t="s">
        <v>364</v>
      </c>
    </row>
    <row r="48754">
      <c r="H48754" s="8" t="s">
        <v>364</v>
      </c>
    </row>
    <row r="48755">
      <c r="H48755" s="8" t="s">
        <v>364</v>
      </c>
    </row>
    <row r="48756">
      <c r="H48756" s="8" t="s">
        <v>364</v>
      </c>
    </row>
    <row r="48757">
      <c r="H48757" s="8" t="s">
        <v>364</v>
      </c>
    </row>
    <row r="48758">
      <c r="H48758" s="8" t="s">
        <v>364</v>
      </c>
    </row>
    <row r="48759">
      <c r="H48759" s="8" t="s">
        <v>364</v>
      </c>
    </row>
    <row r="48760">
      <c r="H48760" s="8" t="s">
        <v>364</v>
      </c>
    </row>
    <row r="48761">
      <c r="H48761" s="8" t="s">
        <v>364</v>
      </c>
    </row>
    <row r="48762">
      <c r="H48762" s="8" t="s">
        <v>364</v>
      </c>
    </row>
    <row r="48763">
      <c r="H48763" s="8" t="s">
        <v>364</v>
      </c>
    </row>
    <row r="48764">
      <c r="H48764" s="8" t="s">
        <v>364</v>
      </c>
    </row>
    <row r="48765">
      <c r="H48765" s="8" t="s">
        <v>364</v>
      </c>
    </row>
    <row r="48766">
      <c r="H48766" s="8" t="s">
        <v>364</v>
      </c>
    </row>
    <row r="48767">
      <c r="H48767" s="8" t="s">
        <v>364</v>
      </c>
    </row>
    <row r="48768">
      <c r="H48768" s="8" t="s">
        <v>364</v>
      </c>
    </row>
    <row r="48769">
      <c r="H48769" s="8" t="s">
        <v>364</v>
      </c>
    </row>
    <row r="48770">
      <c r="H48770" s="8" t="s">
        <v>364</v>
      </c>
    </row>
    <row r="48771">
      <c r="H48771" s="8" t="s">
        <v>364</v>
      </c>
    </row>
    <row r="48772">
      <c r="H48772" s="8" t="s">
        <v>364</v>
      </c>
    </row>
    <row r="48773">
      <c r="H48773" s="8" t="s">
        <v>364</v>
      </c>
    </row>
    <row r="48774">
      <c r="H48774" s="8" t="s">
        <v>364</v>
      </c>
    </row>
    <row r="48775">
      <c r="H48775" s="8" t="s">
        <v>364</v>
      </c>
    </row>
    <row r="48776">
      <c r="H48776" s="8" t="s">
        <v>364</v>
      </c>
    </row>
    <row r="48777">
      <c r="H48777" s="8" t="s">
        <v>364</v>
      </c>
    </row>
    <row r="48778">
      <c r="H48778" s="8" t="s">
        <v>364</v>
      </c>
    </row>
    <row r="48779">
      <c r="H48779" s="8" t="s">
        <v>364</v>
      </c>
    </row>
    <row r="48780">
      <c r="H48780" s="8" t="s">
        <v>364</v>
      </c>
    </row>
    <row r="48781">
      <c r="H48781" s="8" t="s">
        <v>364</v>
      </c>
    </row>
    <row r="48782">
      <c r="H48782" s="8" t="s">
        <v>364</v>
      </c>
    </row>
    <row r="48783">
      <c r="H48783" s="8" t="s">
        <v>364</v>
      </c>
    </row>
    <row r="48784">
      <c r="H48784" s="8" t="s">
        <v>364</v>
      </c>
    </row>
    <row r="48785">
      <c r="H48785" s="8" t="s">
        <v>364</v>
      </c>
    </row>
    <row r="48786">
      <c r="H48786" s="8" t="s">
        <v>364</v>
      </c>
    </row>
    <row r="48787">
      <c r="H48787" s="8" t="s">
        <v>364</v>
      </c>
    </row>
    <row r="48788">
      <c r="H48788" s="8" t="s">
        <v>364</v>
      </c>
    </row>
    <row r="48789">
      <c r="H48789" s="8" t="s">
        <v>364</v>
      </c>
    </row>
    <row r="48790">
      <c r="H48790" s="8" t="s">
        <v>364</v>
      </c>
    </row>
    <row r="48791">
      <c r="H48791" s="8" t="s">
        <v>364</v>
      </c>
    </row>
    <row r="48792">
      <c r="H48792" s="8" t="s">
        <v>364</v>
      </c>
    </row>
    <row r="48793">
      <c r="H48793" s="8" t="s">
        <v>364</v>
      </c>
    </row>
    <row r="48794">
      <c r="H48794" s="8" t="s">
        <v>364</v>
      </c>
    </row>
    <row r="48795">
      <c r="H48795" s="8" t="s">
        <v>364</v>
      </c>
    </row>
    <row r="48796">
      <c r="H48796" s="8" t="s">
        <v>364</v>
      </c>
    </row>
    <row r="48797">
      <c r="H48797" s="8" t="s">
        <v>364</v>
      </c>
    </row>
    <row r="48798">
      <c r="H48798" s="8" t="s">
        <v>364</v>
      </c>
    </row>
    <row r="48799">
      <c r="H48799" s="8" t="s">
        <v>364</v>
      </c>
    </row>
    <row r="48800">
      <c r="H48800" s="8" t="s">
        <v>364</v>
      </c>
    </row>
    <row r="48801">
      <c r="H48801" s="8" t="s">
        <v>364</v>
      </c>
    </row>
    <row r="48802">
      <c r="H48802" s="8" t="s">
        <v>364</v>
      </c>
    </row>
    <row r="48803">
      <c r="H48803" s="8" t="s">
        <v>364</v>
      </c>
    </row>
    <row r="48804">
      <c r="H48804" s="8" t="s">
        <v>364</v>
      </c>
    </row>
    <row r="48805">
      <c r="H48805" s="8" t="s">
        <v>364</v>
      </c>
    </row>
    <row r="48806">
      <c r="H48806" s="8" t="s">
        <v>364</v>
      </c>
    </row>
    <row r="48807">
      <c r="H48807" s="8" t="s">
        <v>364</v>
      </c>
    </row>
    <row r="48808">
      <c r="H48808" s="8" t="s">
        <v>364</v>
      </c>
    </row>
    <row r="48809">
      <c r="H48809" s="8" t="s">
        <v>364</v>
      </c>
    </row>
    <row r="48810">
      <c r="H48810" s="8" t="s">
        <v>364</v>
      </c>
    </row>
    <row r="48811">
      <c r="H48811" s="8" t="s">
        <v>364</v>
      </c>
    </row>
    <row r="48812">
      <c r="H48812" s="8" t="s">
        <v>364</v>
      </c>
    </row>
    <row r="48813">
      <c r="H48813" s="8" t="s">
        <v>364</v>
      </c>
    </row>
    <row r="48814">
      <c r="H48814" s="8" t="s">
        <v>364</v>
      </c>
    </row>
    <row r="48815">
      <c r="H48815" s="8" t="s">
        <v>364</v>
      </c>
    </row>
    <row r="48816">
      <c r="H48816" s="8" t="s">
        <v>364</v>
      </c>
    </row>
    <row r="48817">
      <c r="H48817" s="8" t="s">
        <v>364</v>
      </c>
    </row>
    <row r="48818">
      <c r="H48818" s="8" t="s">
        <v>364</v>
      </c>
    </row>
    <row r="48819">
      <c r="H48819" s="8" t="s">
        <v>364</v>
      </c>
    </row>
    <row r="48820">
      <c r="H48820" s="8" t="s">
        <v>364</v>
      </c>
    </row>
    <row r="48821">
      <c r="H48821" s="8" t="s">
        <v>364</v>
      </c>
    </row>
    <row r="48822">
      <c r="H48822" s="8" t="s">
        <v>364</v>
      </c>
    </row>
    <row r="48823">
      <c r="H48823" s="8" t="s">
        <v>364</v>
      </c>
    </row>
    <row r="48824">
      <c r="H48824" s="8" t="s">
        <v>364</v>
      </c>
    </row>
    <row r="48825">
      <c r="H48825" s="8" t="s">
        <v>364</v>
      </c>
    </row>
    <row r="48826">
      <c r="H48826" s="8" t="s">
        <v>364</v>
      </c>
    </row>
    <row r="48827">
      <c r="H48827" s="8" t="s">
        <v>364</v>
      </c>
    </row>
    <row r="48828">
      <c r="H48828" s="8" t="s">
        <v>364</v>
      </c>
    </row>
    <row r="48829">
      <c r="H48829" s="8" t="s">
        <v>364</v>
      </c>
    </row>
    <row r="48830">
      <c r="H48830" s="8" t="s">
        <v>364</v>
      </c>
    </row>
    <row r="48831">
      <c r="H48831" s="8" t="s">
        <v>364</v>
      </c>
    </row>
    <row r="48832">
      <c r="H48832" s="8" t="s">
        <v>364</v>
      </c>
    </row>
    <row r="48833">
      <c r="H48833" s="8" t="s">
        <v>364</v>
      </c>
    </row>
    <row r="48834">
      <c r="H48834" s="8" t="s">
        <v>364</v>
      </c>
    </row>
    <row r="48835">
      <c r="H48835" s="8" t="s">
        <v>364</v>
      </c>
    </row>
    <row r="48836">
      <c r="H48836" s="8" t="s">
        <v>364</v>
      </c>
    </row>
    <row r="48837">
      <c r="H48837" s="8" t="s">
        <v>364</v>
      </c>
    </row>
    <row r="48838">
      <c r="H48838" s="8" t="s">
        <v>364</v>
      </c>
    </row>
    <row r="48839">
      <c r="H48839" s="8" t="s">
        <v>364</v>
      </c>
    </row>
    <row r="48840">
      <c r="H48840" s="8" t="s">
        <v>364</v>
      </c>
    </row>
    <row r="48841">
      <c r="H48841" s="8" t="s">
        <v>364</v>
      </c>
    </row>
    <row r="48842">
      <c r="H48842" s="8" t="s">
        <v>364</v>
      </c>
    </row>
    <row r="48843">
      <c r="H48843" s="8" t="s">
        <v>364</v>
      </c>
    </row>
    <row r="48844">
      <c r="H48844" s="8" t="s">
        <v>364</v>
      </c>
    </row>
    <row r="48845">
      <c r="H48845" s="8" t="s">
        <v>364</v>
      </c>
    </row>
    <row r="48846">
      <c r="H48846" s="8" t="s">
        <v>364</v>
      </c>
    </row>
    <row r="48847">
      <c r="H48847" s="8" t="s">
        <v>364</v>
      </c>
    </row>
    <row r="48848">
      <c r="H48848" s="8" t="s">
        <v>364</v>
      </c>
    </row>
    <row r="48849">
      <c r="H48849" s="8" t="s">
        <v>364</v>
      </c>
    </row>
    <row r="48850">
      <c r="H48850" s="8" t="s">
        <v>364</v>
      </c>
    </row>
    <row r="48851">
      <c r="H48851" s="8" t="s">
        <v>364</v>
      </c>
    </row>
    <row r="48852">
      <c r="H48852" s="8" t="s">
        <v>364</v>
      </c>
    </row>
    <row r="48853">
      <c r="H48853" s="8" t="s">
        <v>364</v>
      </c>
    </row>
    <row r="48854">
      <c r="H48854" s="8" t="s">
        <v>364</v>
      </c>
    </row>
    <row r="48855">
      <c r="H48855" s="8" t="s">
        <v>364</v>
      </c>
    </row>
    <row r="48856">
      <c r="H48856" s="8" t="s">
        <v>364</v>
      </c>
    </row>
    <row r="48857">
      <c r="H48857" s="8" t="s">
        <v>364</v>
      </c>
    </row>
    <row r="48858">
      <c r="H48858" s="8" t="s">
        <v>364</v>
      </c>
    </row>
    <row r="48859">
      <c r="H48859" s="8" t="s">
        <v>364</v>
      </c>
    </row>
    <row r="48860">
      <c r="H48860" s="8" t="s">
        <v>364</v>
      </c>
    </row>
    <row r="48861">
      <c r="H48861" s="8" t="s">
        <v>364</v>
      </c>
    </row>
    <row r="48862">
      <c r="H48862" s="8" t="s">
        <v>364</v>
      </c>
    </row>
    <row r="48863">
      <c r="H48863" s="8" t="s">
        <v>364</v>
      </c>
    </row>
    <row r="48864">
      <c r="H48864" s="8" t="s">
        <v>364</v>
      </c>
    </row>
    <row r="48865">
      <c r="H48865" s="8" t="s">
        <v>364</v>
      </c>
    </row>
    <row r="48866">
      <c r="H48866" s="8" t="s">
        <v>364</v>
      </c>
    </row>
    <row r="48867">
      <c r="H48867" s="8" t="s">
        <v>364</v>
      </c>
    </row>
    <row r="48868">
      <c r="H48868" s="8" t="s">
        <v>364</v>
      </c>
    </row>
    <row r="48869">
      <c r="H48869" s="8" t="s">
        <v>364</v>
      </c>
    </row>
    <row r="48870">
      <c r="H48870" s="8" t="s">
        <v>364</v>
      </c>
    </row>
    <row r="48871">
      <c r="H48871" s="8" t="s">
        <v>364</v>
      </c>
    </row>
    <row r="48872">
      <c r="H48872" s="8" t="s">
        <v>364</v>
      </c>
    </row>
    <row r="48873">
      <c r="H48873" s="8" t="s">
        <v>364</v>
      </c>
    </row>
    <row r="48874">
      <c r="H48874" s="8" t="s">
        <v>364</v>
      </c>
    </row>
    <row r="48875">
      <c r="H48875" s="8" t="s">
        <v>364</v>
      </c>
    </row>
    <row r="48876">
      <c r="H48876" s="8" t="s">
        <v>364</v>
      </c>
    </row>
    <row r="48877">
      <c r="H48877" s="8" t="s">
        <v>364</v>
      </c>
    </row>
    <row r="48878">
      <c r="H48878" s="8" t="s">
        <v>364</v>
      </c>
    </row>
    <row r="48879">
      <c r="H48879" s="8" t="s">
        <v>364</v>
      </c>
    </row>
    <row r="48880">
      <c r="H48880" s="8" t="s">
        <v>364</v>
      </c>
    </row>
    <row r="48881">
      <c r="H48881" s="8" t="s">
        <v>364</v>
      </c>
    </row>
    <row r="48882">
      <c r="H48882" s="8" t="s">
        <v>364</v>
      </c>
    </row>
    <row r="48883">
      <c r="H48883" s="8" t="s">
        <v>364</v>
      </c>
    </row>
    <row r="48884">
      <c r="H48884" s="8" t="s">
        <v>364</v>
      </c>
    </row>
    <row r="48885">
      <c r="H48885" s="8" t="s">
        <v>364</v>
      </c>
    </row>
    <row r="48886">
      <c r="H48886" s="8" t="s">
        <v>364</v>
      </c>
    </row>
    <row r="48887">
      <c r="H48887" s="8" t="s">
        <v>364</v>
      </c>
    </row>
    <row r="48888">
      <c r="H48888" s="8" t="s">
        <v>364</v>
      </c>
    </row>
    <row r="48889">
      <c r="H48889" s="8" t="s">
        <v>364</v>
      </c>
    </row>
    <row r="48890">
      <c r="H48890" s="8" t="s">
        <v>364</v>
      </c>
    </row>
    <row r="48891">
      <c r="H48891" s="8" t="s">
        <v>364</v>
      </c>
    </row>
    <row r="48892">
      <c r="H48892" s="8" t="s">
        <v>364</v>
      </c>
    </row>
    <row r="48893">
      <c r="H48893" s="8" t="s">
        <v>364</v>
      </c>
    </row>
    <row r="48894">
      <c r="H48894" s="8" t="s">
        <v>364</v>
      </c>
    </row>
    <row r="48895">
      <c r="H48895" s="8" t="s">
        <v>364</v>
      </c>
    </row>
    <row r="48896">
      <c r="H48896" s="8" t="s">
        <v>364</v>
      </c>
    </row>
    <row r="48897">
      <c r="H48897" s="8" t="s">
        <v>364</v>
      </c>
    </row>
    <row r="48898">
      <c r="H48898" s="8" t="s">
        <v>364</v>
      </c>
    </row>
    <row r="48899">
      <c r="H48899" s="8" t="s">
        <v>364</v>
      </c>
    </row>
    <row r="48900">
      <c r="H48900" s="8" t="s">
        <v>364</v>
      </c>
    </row>
    <row r="48901">
      <c r="H48901" s="8" t="s">
        <v>364</v>
      </c>
    </row>
    <row r="48902">
      <c r="H48902" s="8" t="s">
        <v>364</v>
      </c>
    </row>
    <row r="48903">
      <c r="H48903" s="8" t="s">
        <v>364</v>
      </c>
    </row>
    <row r="48904">
      <c r="H48904" s="8" t="s">
        <v>364</v>
      </c>
    </row>
    <row r="48905">
      <c r="H48905" s="8" t="s">
        <v>364</v>
      </c>
    </row>
    <row r="48906">
      <c r="H48906" s="8" t="s">
        <v>364</v>
      </c>
    </row>
    <row r="48907">
      <c r="H48907" s="8" t="s">
        <v>364</v>
      </c>
    </row>
    <row r="48908">
      <c r="H48908" s="8" t="s">
        <v>364</v>
      </c>
    </row>
    <row r="48909">
      <c r="H48909" s="8" t="s">
        <v>364</v>
      </c>
    </row>
    <row r="48910">
      <c r="H48910" s="8" t="s">
        <v>364</v>
      </c>
    </row>
    <row r="48911">
      <c r="H48911" s="8" t="s">
        <v>364</v>
      </c>
    </row>
    <row r="48912">
      <c r="H48912" s="8" t="s">
        <v>364</v>
      </c>
    </row>
    <row r="48913">
      <c r="H48913" s="8" t="s">
        <v>364</v>
      </c>
    </row>
    <row r="48914">
      <c r="H48914" s="8" t="s">
        <v>364</v>
      </c>
    </row>
    <row r="48915">
      <c r="H48915" s="8" t="s">
        <v>364</v>
      </c>
    </row>
    <row r="48916">
      <c r="H48916" s="8" t="s">
        <v>364</v>
      </c>
    </row>
    <row r="48917">
      <c r="H48917" s="8" t="s">
        <v>364</v>
      </c>
    </row>
    <row r="48918">
      <c r="H48918" s="8" t="s">
        <v>364</v>
      </c>
    </row>
    <row r="48919">
      <c r="H48919" s="8" t="s">
        <v>364</v>
      </c>
    </row>
    <row r="48920">
      <c r="H48920" s="8" t="s">
        <v>364</v>
      </c>
    </row>
    <row r="48921">
      <c r="H48921" s="8" t="s">
        <v>364</v>
      </c>
    </row>
    <row r="48922">
      <c r="H48922" s="8" t="s">
        <v>364</v>
      </c>
    </row>
    <row r="48923">
      <c r="H48923" s="8" t="s">
        <v>364</v>
      </c>
    </row>
    <row r="48924">
      <c r="H48924" s="8" t="s">
        <v>364</v>
      </c>
    </row>
    <row r="48925">
      <c r="H48925" s="8" t="s">
        <v>364</v>
      </c>
    </row>
    <row r="48926">
      <c r="H48926" s="8" t="s">
        <v>364</v>
      </c>
    </row>
    <row r="48927">
      <c r="H48927" s="8" t="s">
        <v>364</v>
      </c>
    </row>
    <row r="48928">
      <c r="H48928" s="8" t="s">
        <v>364</v>
      </c>
    </row>
    <row r="48929">
      <c r="H48929" s="8" t="s">
        <v>364</v>
      </c>
    </row>
    <row r="48930">
      <c r="H48930" s="8" t="s">
        <v>364</v>
      </c>
    </row>
    <row r="48931">
      <c r="H48931" s="8" t="s">
        <v>364</v>
      </c>
    </row>
    <row r="48932">
      <c r="H48932" s="8" t="s">
        <v>364</v>
      </c>
    </row>
    <row r="48933">
      <c r="H48933" s="8" t="s">
        <v>364</v>
      </c>
    </row>
    <row r="48934">
      <c r="H48934" s="8" t="s">
        <v>364</v>
      </c>
    </row>
    <row r="48935">
      <c r="H48935" s="8" t="s">
        <v>364</v>
      </c>
    </row>
    <row r="48936">
      <c r="H48936" s="8" t="s">
        <v>364</v>
      </c>
    </row>
    <row r="48937">
      <c r="H48937" s="8" t="s">
        <v>364</v>
      </c>
    </row>
    <row r="48938">
      <c r="H48938" s="8" t="s">
        <v>364</v>
      </c>
    </row>
    <row r="48939">
      <c r="H48939" s="8" t="s">
        <v>364</v>
      </c>
    </row>
    <row r="48940">
      <c r="H48940" s="8" t="s">
        <v>364</v>
      </c>
    </row>
    <row r="48941">
      <c r="H48941" s="8" t="s">
        <v>364</v>
      </c>
    </row>
    <row r="48942">
      <c r="H48942" s="8" t="s">
        <v>364</v>
      </c>
    </row>
    <row r="48943">
      <c r="H48943" s="8" t="s">
        <v>364</v>
      </c>
    </row>
    <row r="48944">
      <c r="H48944" s="8" t="s">
        <v>364</v>
      </c>
    </row>
    <row r="48945">
      <c r="H48945" s="8" t="s">
        <v>364</v>
      </c>
    </row>
    <row r="48946">
      <c r="H48946" s="8" t="s">
        <v>364</v>
      </c>
    </row>
    <row r="48947">
      <c r="H48947" s="8" t="s">
        <v>364</v>
      </c>
    </row>
    <row r="48948">
      <c r="H48948" s="8" t="s">
        <v>364</v>
      </c>
    </row>
    <row r="48949">
      <c r="H48949" s="8" t="s">
        <v>364</v>
      </c>
    </row>
    <row r="48950">
      <c r="H48950" s="8" t="s">
        <v>364</v>
      </c>
    </row>
    <row r="48951">
      <c r="H48951" s="8" t="s">
        <v>364</v>
      </c>
    </row>
    <row r="48952">
      <c r="H48952" s="8" t="s">
        <v>364</v>
      </c>
    </row>
    <row r="48953">
      <c r="H48953" s="8" t="s">
        <v>364</v>
      </c>
    </row>
    <row r="48954">
      <c r="H48954" s="8" t="s">
        <v>364</v>
      </c>
    </row>
    <row r="48955">
      <c r="H48955" s="8" t="s">
        <v>364</v>
      </c>
    </row>
    <row r="48956">
      <c r="H48956" s="8" t="s">
        <v>364</v>
      </c>
    </row>
    <row r="48957">
      <c r="H48957" s="8" t="s">
        <v>364</v>
      </c>
    </row>
    <row r="48958">
      <c r="H48958" s="8" t="s">
        <v>364</v>
      </c>
    </row>
    <row r="48959">
      <c r="H48959" s="8" t="s">
        <v>364</v>
      </c>
    </row>
    <row r="48960">
      <c r="H48960" s="8" t="s">
        <v>364</v>
      </c>
    </row>
    <row r="48961">
      <c r="H48961" s="8" t="s">
        <v>364</v>
      </c>
    </row>
    <row r="48962">
      <c r="H48962" s="8" t="s">
        <v>364</v>
      </c>
    </row>
    <row r="48963">
      <c r="H48963" s="8" t="s">
        <v>364</v>
      </c>
    </row>
    <row r="48964">
      <c r="H48964" s="8" t="s">
        <v>364</v>
      </c>
    </row>
    <row r="48965">
      <c r="H48965" s="8" t="s">
        <v>364</v>
      </c>
    </row>
    <row r="48966">
      <c r="H48966" s="8" t="s">
        <v>364</v>
      </c>
    </row>
    <row r="48967">
      <c r="H48967" s="8" t="s">
        <v>364</v>
      </c>
    </row>
    <row r="48968">
      <c r="H48968" s="8" t="s">
        <v>364</v>
      </c>
    </row>
    <row r="48969">
      <c r="H48969" s="8" t="s">
        <v>364</v>
      </c>
    </row>
    <row r="48970">
      <c r="H48970" s="8" t="s">
        <v>364</v>
      </c>
    </row>
    <row r="48971">
      <c r="H48971" s="8" t="s">
        <v>364</v>
      </c>
    </row>
    <row r="48972">
      <c r="H48972" s="8" t="s">
        <v>364</v>
      </c>
    </row>
    <row r="48973">
      <c r="H48973" s="8" t="s">
        <v>364</v>
      </c>
    </row>
    <row r="48974">
      <c r="H48974" s="8" t="s">
        <v>364</v>
      </c>
    </row>
    <row r="48975">
      <c r="H48975" s="8" t="s">
        <v>364</v>
      </c>
    </row>
    <row r="48976">
      <c r="H48976" s="8" t="s">
        <v>364</v>
      </c>
    </row>
    <row r="48977">
      <c r="H48977" s="8" t="s">
        <v>364</v>
      </c>
    </row>
    <row r="48978">
      <c r="H48978" s="8" t="s">
        <v>364</v>
      </c>
    </row>
    <row r="48979">
      <c r="H48979" s="8" t="s">
        <v>364</v>
      </c>
    </row>
    <row r="48980">
      <c r="H48980" s="8" t="s">
        <v>364</v>
      </c>
    </row>
    <row r="48981">
      <c r="H48981" s="8" t="s">
        <v>364</v>
      </c>
    </row>
    <row r="48982">
      <c r="H48982" s="8" t="s">
        <v>364</v>
      </c>
    </row>
    <row r="48983">
      <c r="H48983" s="8" t="s">
        <v>364</v>
      </c>
    </row>
    <row r="48984">
      <c r="H48984" s="8" t="s">
        <v>364</v>
      </c>
    </row>
    <row r="48985">
      <c r="H48985" s="8" t="s">
        <v>364</v>
      </c>
    </row>
    <row r="48986">
      <c r="H48986" s="8" t="s">
        <v>364</v>
      </c>
    </row>
    <row r="48987">
      <c r="H48987" s="8" t="s">
        <v>364</v>
      </c>
    </row>
    <row r="48988">
      <c r="H48988" s="8" t="s">
        <v>364</v>
      </c>
    </row>
    <row r="48989">
      <c r="H48989" s="8" t="s">
        <v>364</v>
      </c>
    </row>
    <row r="48990">
      <c r="H48990" s="8" t="s">
        <v>364</v>
      </c>
    </row>
    <row r="48991">
      <c r="H48991" s="8" t="s">
        <v>364</v>
      </c>
    </row>
    <row r="48992">
      <c r="H48992" s="8" t="s">
        <v>364</v>
      </c>
    </row>
    <row r="48993">
      <c r="H48993" s="8" t="s">
        <v>364</v>
      </c>
    </row>
    <row r="48994">
      <c r="H48994" s="8" t="s">
        <v>364</v>
      </c>
    </row>
    <row r="48995">
      <c r="H48995" s="8" t="s">
        <v>364</v>
      </c>
    </row>
    <row r="48996">
      <c r="H48996" s="8" t="s">
        <v>364</v>
      </c>
    </row>
    <row r="48997">
      <c r="H48997" s="8" t="s">
        <v>364</v>
      </c>
    </row>
    <row r="48998">
      <c r="H48998" s="8" t="s">
        <v>364</v>
      </c>
    </row>
    <row r="48999">
      <c r="H48999" s="8" t="s">
        <v>364</v>
      </c>
    </row>
    <row r="49000">
      <c r="H49000" s="8" t="s">
        <v>364</v>
      </c>
    </row>
    <row r="49001">
      <c r="H49001" s="8" t="s">
        <v>364</v>
      </c>
    </row>
    <row r="49002">
      <c r="H49002" s="8" t="s">
        <v>364</v>
      </c>
    </row>
    <row r="49003">
      <c r="H49003" s="8" t="s">
        <v>364</v>
      </c>
    </row>
    <row r="49004">
      <c r="H49004" s="8" t="s">
        <v>364</v>
      </c>
    </row>
    <row r="49005">
      <c r="H49005" s="8" t="s">
        <v>364</v>
      </c>
    </row>
    <row r="49006">
      <c r="H49006" s="8" t="s">
        <v>364</v>
      </c>
    </row>
    <row r="49007">
      <c r="H49007" s="8" t="s">
        <v>364</v>
      </c>
    </row>
    <row r="49008">
      <c r="H49008" s="8" t="s">
        <v>364</v>
      </c>
    </row>
    <row r="49009">
      <c r="H49009" s="8" t="s">
        <v>364</v>
      </c>
    </row>
    <row r="49010">
      <c r="H49010" s="8" t="s">
        <v>364</v>
      </c>
    </row>
    <row r="49011">
      <c r="H49011" s="8" t="s">
        <v>364</v>
      </c>
    </row>
    <row r="49012">
      <c r="H49012" s="8" t="s">
        <v>364</v>
      </c>
    </row>
    <row r="49013">
      <c r="H49013" s="8" t="s">
        <v>364</v>
      </c>
    </row>
    <row r="49014">
      <c r="H49014" s="8" t="s">
        <v>364</v>
      </c>
    </row>
    <row r="49015">
      <c r="H49015" s="8" t="s">
        <v>364</v>
      </c>
    </row>
    <row r="49016">
      <c r="H49016" s="8" t="s">
        <v>364</v>
      </c>
    </row>
    <row r="49017">
      <c r="H49017" s="8" t="s">
        <v>364</v>
      </c>
    </row>
    <row r="49018">
      <c r="H49018" s="8" t="s">
        <v>364</v>
      </c>
    </row>
    <row r="49019">
      <c r="H49019" s="8" t="s">
        <v>364</v>
      </c>
    </row>
    <row r="49020">
      <c r="H49020" s="8" t="s">
        <v>364</v>
      </c>
    </row>
    <row r="49021">
      <c r="H49021" s="8" t="s">
        <v>364</v>
      </c>
    </row>
    <row r="49022">
      <c r="H49022" s="8" t="s">
        <v>364</v>
      </c>
    </row>
    <row r="49023">
      <c r="H49023" s="8" t="s">
        <v>364</v>
      </c>
    </row>
    <row r="49024">
      <c r="H49024" s="8" t="s">
        <v>364</v>
      </c>
    </row>
    <row r="49025">
      <c r="H49025" s="8" t="s">
        <v>364</v>
      </c>
    </row>
    <row r="49026">
      <c r="H49026" s="8" t="s">
        <v>364</v>
      </c>
    </row>
    <row r="49027">
      <c r="H49027" s="8" t="s">
        <v>364</v>
      </c>
    </row>
    <row r="49028">
      <c r="H49028" s="8" t="s">
        <v>364</v>
      </c>
    </row>
    <row r="49029">
      <c r="H49029" s="8" t="s">
        <v>364</v>
      </c>
    </row>
    <row r="49030">
      <c r="H49030" s="8" t="s">
        <v>364</v>
      </c>
    </row>
    <row r="49031">
      <c r="H49031" s="8" t="s">
        <v>364</v>
      </c>
    </row>
    <row r="49032">
      <c r="H49032" s="8" t="s">
        <v>364</v>
      </c>
    </row>
    <row r="49033">
      <c r="H49033" s="8" t="s">
        <v>364</v>
      </c>
    </row>
    <row r="49034">
      <c r="H49034" s="8" t="s">
        <v>364</v>
      </c>
    </row>
    <row r="49035">
      <c r="H49035" s="8" t="s">
        <v>364</v>
      </c>
    </row>
    <row r="49036">
      <c r="H49036" s="8" t="s">
        <v>364</v>
      </c>
    </row>
    <row r="49037">
      <c r="H49037" s="8" t="s">
        <v>364</v>
      </c>
    </row>
    <row r="49038">
      <c r="H49038" s="8" t="s">
        <v>364</v>
      </c>
    </row>
    <row r="49039">
      <c r="H49039" s="8" t="s">
        <v>364</v>
      </c>
    </row>
    <row r="49040">
      <c r="H49040" s="8" t="s">
        <v>364</v>
      </c>
    </row>
    <row r="49041">
      <c r="H49041" s="8" t="s">
        <v>364</v>
      </c>
    </row>
    <row r="49042">
      <c r="H49042" s="8" t="s">
        <v>364</v>
      </c>
    </row>
    <row r="49043">
      <c r="H49043" s="8" t="s">
        <v>364</v>
      </c>
    </row>
    <row r="49044">
      <c r="H49044" s="8" t="s">
        <v>364</v>
      </c>
    </row>
    <row r="49045">
      <c r="H49045" s="8" t="s">
        <v>364</v>
      </c>
    </row>
    <row r="49046">
      <c r="H49046" s="8" t="s">
        <v>364</v>
      </c>
    </row>
    <row r="49047">
      <c r="H49047" s="8" t="s">
        <v>364</v>
      </c>
    </row>
    <row r="49048">
      <c r="H49048" s="8" t="s">
        <v>364</v>
      </c>
    </row>
    <row r="49049">
      <c r="H49049" s="8" t="s">
        <v>364</v>
      </c>
    </row>
    <row r="49050">
      <c r="H49050" s="8" t="s">
        <v>364</v>
      </c>
    </row>
    <row r="49051">
      <c r="H49051" s="8" t="s">
        <v>364</v>
      </c>
    </row>
    <row r="49052">
      <c r="H49052" s="8" t="s">
        <v>364</v>
      </c>
    </row>
    <row r="49053">
      <c r="H49053" s="8" t="s">
        <v>364</v>
      </c>
    </row>
    <row r="49054">
      <c r="H49054" s="8" t="s">
        <v>364</v>
      </c>
    </row>
    <row r="49055">
      <c r="H49055" s="8" t="s">
        <v>364</v>
      </c>
    </row>
    <row r="49056">
      <c r="H49056" s="8" t="s">
        <v>364</v>
      </c>
    </row>
    <row r="49057">
      <c r="H49057" s="8" t="s">
        <v>364</v>
      </c>
    </row>
    <row r="49058">
      <c r="H49058" s="8" t="s">
        <v>364</v>
      </c>
    </row>
    <row r="49059">
      <c r="H49059" s="8" t="s">
        <v>364</v>
      </c>
    </row>
    <row r="49060">
      <c r="H49060" s="8" t="s">
        <v>364</v>
      </c>
    </row>
    <row r="49061">
      <c r="H49061" s="8" t="s">
        <v>364</v>
      </c>
    </row>
    <row r="49062">
      <c r="H49062" s="8" t="s">
        <v>364</v>
      </c>
    </row>
    <row r="49063">
      <c r="H49063" s="8" t="s">
        <v>364</v>
      </c>
    </row>
    <row r="49064">
      <c r="H49064" s="8" t="s">
        <v>364</v>
      </c>
    </row>
    <row r="49065">
      <c r="H49065" s="8" t="s">
        <v>364</v>
      </c>
    </row>
    <row r="49066">
      <c r="H49066" s="8" t="s">
        <v>364</v>
      </c>
    </row>
    <row r="49067">
      <c r="H49067" s="8" t="s">
        <v>364</v>
      </c>
    </row>
    <row r="49068">
      <c r="H49068" s="8" t="s">
        <v>364</v>
      </c>
    </row>
    <row r="49069">
      <c r="H49069" s="8" t="s">
        <v>364</v>
      </c>
    </row>
    <row r="49070">
      <c r="H49070" s="8" t="s">
        <v>364</v>
      </c>
    </row>
    <row r="49071">
      <c r="H49071" s="8" t="s">
        <v>364</v>
      </c>
    </row>
    <row r="49072">
      <c r="H49072" s="8" t="s">
        <v>364</v>
      </c>
    </row>
    <row r="49073">
      <c r="H49073" s="8" t="s">
        <v>364</v>
      </c>
    </row>
    <row r="49074">
      <c r="H49074" s="8" t="s">
        <v>364</v>
      </c>
    </row>
    <row r="49075">
      <c r="H49075" s="8" t="s">
        <v>364</v>
      </c>
    </row>
    <row r="49076">
      <c r="H49076" s="8" t="s">
        <v>364</v>
      </c>
    </row>
    <row r="49077">
      <c r="H49077" s="8" t="s">
        <v>364</v>
      </c>
    </row>
    <row r="49078">
      <c r="H49078" s="8" t="s">
        <v>364</v>
      </c>
    </row>
    <row r="49079">
      <c r="H49079" s="8" t="s">
        <v>364</v>
      </c>
    </row>
    <row r="49080">
      <c r="H49080" s="8" t="s">
        <v>364</v>
      </c>
    </row>
    <row r="49081">
      <c r="H49081" s="8" t="s">
        <v>364</v>
      </c>
    </row>
    <row r="49082">
      <c r="H49082" s="8" t="s">
        <v>364</v>
      </c>
    </row>
    <row r="49083">
      <c r="H49083" s="8" t="s">
        <v>364</v>
      </c>
    </row>
    <row r="49084">
      <c r="H49084" s="8" t="s">
        <v>364</v>
      </c>
    </row>
    <row r="49085">
      <c r="H49085" s="8" t="s">
        <v>364</v>
      </c>
    </row>
    <row r="49086">
      <c r="H49086" s="8" t="s">
        <v>364</v>
      </c>
    </row>
    <row r="49087">
      <c r="H49087" s="8" t="s">
        <v>364</v>
      </c>
    </row>
    <row r="49088">
      <c r="H49088" s="8" t="s">
        <v>364</v>
      </c>
    </row>
    <row r="49089">
      <c r="H49089" s="8" t="s">
        <v>364</v>
      </c>
    </row>
    <row r="49090">
      <c r="H49090" s="8" t="s">
        <v>364</v>
      </c>
    </row>
    <row r="49091">
      <c r="H49091" s="8" t="s">
        <v>364</v>
      </c>
    </row>
    <row r="49092">
      <c r="H49092" s="8" t="s">
        <v>364</v>
      </c>
    </row>
    <row r="49093">
      <c r="H49093" s="8" t="s">
        <v>364</v>
      </c>
    </row>
    <row r="49094">
      <c r="H49094" s="8" t="s">
        <v>364</v>
      </c>
    </row>
    <row r="49095">
      <c r="H49095" s="8" t="s">
        <v>364</v>
      </c>
    </row>
    <row r="49096">
      <c r="H49096" s="8" t="s">
        <v>364</v>
      </c>
    </row>
    <row r="49097">
      <c r="H49097" s="8" t="s">
        <v>364</v>
      </c>
    </row>
    <row r="49098">
      <c r="H49098" s="8" t="s">
        <v>364</v>
      </c>
    </row>
    <row r="49099">
      <c r="H49099" s="8" t="s">
        <v>364</v>
      </c>
    </row>
    <row r="49100">
      <c r="H49100" s="8" t="s">
        <v>364</v>
      </c>
    </row>
    <row r="49101">
      <c r="H49101" s="8" t="s">
        <v>364</v>
      </c>
    </row>
    <row r="49102">
      <c r="H49102" s="8" t="s">
        <v>364</v>
      </c>
    </row>
    <row r="49103">
      <c r="H49103" s="8" t="s">
        <v>364</v>
      </c>
    </row>
    <row r="49104">
      <c r="H49104" s="8" t="s">
        <v>364</v>
      </c>
    </row>
    <row r="49105">
      <c r="H49105" s="8" t="s">
        <v>364</v>
      </c>
    </row>
    <row r="49106">
      <c r="H49106" s="8" t="s">
        <v>364</v>
      </c>
    </row>
    <row r="49107">
      <c r="H49107" s="8" t="s">
        <v>364</v>
      </c>
    </row>
    <row r="49108">
      <c r="H49108" s="8" t="s">
        <v>364</v>
      </c>
    </row>
    <row r="49109">
      <c r="H49109" s="8" t="s">
        <v>364</v>
      </c>
    </row>
    <row r="49110">
      <c r="H49110" s="8" t="s">
        <v>364</v>
      </c>
    </row>
    <row r="49111">
      <c r="H49111" s="8" t="s">
        <v>364</v>
      </c>
    </row>
    <row r="49112">
      <c r="H49112" s="8" t="s">
        <v>364</v>
      </c>
    </row>
    <row r="49113">
      <c r="H49113" s="8" t="s">
        <v>364</v>
      </c>
    </row>
    <row r="49114">
      <c r="H49114" s="8" t="s">
        <v>364</v>
      </c>
    </row>
    <row r="49115">
      <c r="H49115" s="8" t="s">
        <v>364</v>
      </c>
    </row>
    <row r="49116">
      <c r="H49116" s="8" t="s">
        <v>364</v>
      </c>
    </row>
    <row r="49117">
      <c r="H49117" s="8" t="s">
        <v>364</v>
      </c>
    </row>
    <row r="49118">
      <c r="H49118" s="8" t="s">
        <v>364</v>
      </c>
    </row>
    <row r="49119">
      <c r="H49119" s="8" t="s">
        <v>364</v>
      </c>
    </row>
    <row r="49120">
      <c r="H49120" s="8" t="s">
        <v>364</v>
      </c>
    </row>
    <row r="49121">
      <c r="H49121" s="8" t="s">
        <v>364</v>
      </c>
    </row>
    <row r="49122">
      <c r="H49122" s="8" t="s">
        <v>364</v>
      </c>
    </row>
    <row r="49123">
      <c r="H49123" s="8" t="s">
        <v>364</v>
      </c>
    </row>
    <row r="49124">
      <c r="H49124" s="8" t="s">
        <v>364</v>
      </c>
    </row>
    <row r="49125">
      <c r="H49125" s="8" t="s">
        <v>364</v>
      </c>
    </row>
    <row r="49126">
      <c r="H49126" s="8" t="s">
        <v>364</v>
      </c>
    </row>
    <row r="49127">
      <c r="H49127" s="8" t="s">
        <v>364</v>
      </c>
    </row>
    <row r="49128">
      <c r="H49128" s="8" t="s">
        <v>364</v>
      </c>
    </row>
    <row r="49129">
      <c r="H49129" s="8" t="s">
        <v>364</v>
      </c>
    </row>
    <row r="49130">
      <c r="H49130" s="8" t="s">
        <v>364</v>
      </c>
    </row>
    <row r="49131">
      <c r="H49131" s="8" t="s">
        <v>364</v>
      </c>
    </row>
    <row r="49132">
      <c r="H49132" s="8" t="s">
        <v>364</v>
      </c>
    </row>
    <row r="49133">
      <c r="H49133" s="8" t="s">
        <v>364</v>
      </c>
    </row>
    <row r="49134">
      <c r="H49134" s="8" t="s">
        <v>364</v>
      </c>
    </row>
    <row r="49135">
      <c r="H49135" s="8" t="s">
        <v>364</v>
      </c>
    </row>
    <row r="49136">
      <c r="H49136" s="8" t="s">
        <v>364</v>
      </c>
    </row>
    <row r="49137">
      <c r="H49137" s="8" t="s">
        <v>364</v>
      </c>
    </row>
    <row r="49138">
      <c r="H49138" s="8" t="s">
        <v>364</v>
      </c>
    </row>
    <row r="49139">
      <c r="H49139" s="8" t="s">
        <v>364</v>
      </c>
    </row>
    <row r="49140">
      <c r="H49140" s="8" t="s">
        <v>364</v>
      </c>
    </row>
    <row r="49141">
      <c r="H49141" s="8" t="s">
        <v>364</v>
      </c>
    </row>
    <row r="49142">
      <c r="H49142" s="8" t="s">
        <v>364</v>
      </c>
    </row>
    <row r="49143">
      <c r="H49143" s="8" t="s">
        <v>364</v>
      </c>
    </row>
    <row r="49144">
      <c r="H49144" s="8" t="s">
        <v>364</v>
      </c>
    </row>
    <row r="49145">
      <c r="H49145" s="8" t="s">
        <v>364</v>
      </c>
    </row>
    <row r="49146">
      <c r="H49146" s="8" t="s">
        <v>364</v>
      </c>
    </row>
    <row r="49147">
      <c r="H49147" s="8" t="s">
        <v>364</v>
      </c>
    </row>
    <row r="49148">
      <c r="H49148" s="8" t="s">
        <v>364</v>
      </c>
    </row>
    <row r="49149">
      <c r="H49149" s="8" t="s">
        <v>364</v>
      </c>
    </row>
    <row r="49150">
      <c r="H49150" s="8" t="s">
        <v>364</v>
      </c>
    </row>
    <row r="49151">
      <c r="H49151" s="8" t="s">
        <v>364</v>
      </c>
    </row>
    <row r="49152">
      <c r="H49152" s="8" t="s">
        <v>364</v>
      </c>
    </row>
    <row r="49153">
      <c r="H49153" s="8" t="s">
        <v>364</v>
      </c>
    </row>
    <row r="49154">
      <c r="H49154" s="8" t="s">
        <v>364</v>
      </c>
    </row>
    <row r="49155">
      <c r="H49155" s="8" t="s">
        <v>364</v>
      </c>
    </row>
    <row r="49156">
      <c r="H49156" s="8" t="s">
        <v>364</v>
      </c>
    </row>
    <row r="49157">
      <c r="H49157" s="8" t="s">
        <v>364</v>
      </c>
    </row>
    <row r="49158">
      <c r="H49158" s="8" t="s">
        <v>364</v>
      </c>
    </row>
    <row r="49159">
      <c r="H49159" s="8" t="s">
        <v>364</v>
      </c>
    </row>
    <row r="49160">
      <c r="H49160" s="8" t="s">
        <v>364</v>
      </c>
    </row>
    <row r="49161">
      <c r="H49161" s="8" t="s">
        <v>364</v>
      </c>
    </row>
    <row r="49162">
      <c r="H49162" s="8" t="s">
        <v>364</v>
      </c>
    </row>
    <row r="49163">
      <c r="H49163" s="8" t="s">
        <v>364</v>
      </c>
    </row>
    <row r="49164">
      <c r="H49164" s="8" t="s">
        <v>364</v>
      </c>
    </row>
    <row r="49165">
      <c r="H49165" s="8" t="s">
        <v>364</v>
      </c>
    </row>
    <row r="49166">
      <c r="H49166" s="8" t="s">
        <v>364</v>
      </c>
    </row>
    <row r="49167">
      <c r="H49167" s="8" t="s">
        <v>364</v>
      </c>
    </row>
    <row r="49168">
      <c r="H49168" s="8" t="s">
        <v>364</v>
      </c>
    </row>
    <row r="49169">
      <c r="H49169" s="8" t="s">
        <v>364</v>
      </c>
    </row>
    <row r="49170">
      <c r="H49170" s="8" t="s">
        <v>364</v>
      </c>
    </row>
    <row r="49171">
      <c r="H49171" s="8" t="s">
        <v>364</v>
      </c>
    </row>
    <row r="49172">
      <c r="H49172" s="8" t="s">
        <v>364</v>
      </c>
    </row>
    <row r="49173">
      <c r="H49173" s="8" t="s">
        <v>364</v>
      </c>
    </row>
    <row r="49174">
      <c r="H49174" s="8" t="s">
        <v>364</v>
      </c>
    </row>
    <row r="49175">
      <c r="H49175" s="8" t="s">
        <v>364</v>
      </c>
    </row>
    <row r="49176">
      <c r="H49176" s="8" t="s">
        <v>364</v>
      </c>
    </row>
    <row r="49177">
      <c r="H49177" s="8" t="s">
        <v>364</v>
      </c>
    </row>
    <row r="49178">
      <c r="H49178" s="8" t="s">
        <v>364</v>
      </c>
    </row>
    <row r="49179">
      <c r="H49179" s="8" t="s">
        <v>364</v>
      </c>
    </row>
    <row r="49180">
      <c r="H49180" s="8" t="s">
        <v>364</v>
      </c>
    </row>
    <row r="49181">
      <c r="H49181" s="8" t="s">
        <v>364</v>
      </c>
    </row>
    <row r="49182">
      <c r="H49182" s="8" t="s">
        <v>364</v>
      </c>
    </row>
    <row r="49183">
      <c r="H49183" s="8" t="s">
        <v>364</v>
      </c>
    </row>
    <row r="49184">
      <c r="H49184" s="8" t="s">
        <v>364</v>
      </c>
    </row>
    <row r="49185">
      <c r="H49185" s="8" t="s">
        <v>364</v>
      </c>
    </row>
    <row r="49186">
      <c r="H49186" s="8" t="s">
        <v>364</v>
      </c>
    </row>
    <row r="49187">
      <c r="H49187" s="8" t="s">
        <v>364</v>
      </c>
    </row>
    <row r="49188">
      <c r="H49188" s="8" t="s">
        <v>364</v>
      </c>
    </row>
    <row r="49189">
      <c r="H49189" s="8" t="s">
        <v>364</v>
      </c>
    </row>
    <row r="49190">
      <c r="H49190" s="8" t="s">
        <v>364</v>
      </c>
    </row>
    <row r="49191">
      <c r="H49191" s="8" t="s">
        <v>364</v>
      </c>
    </row>
    <row r="49192">
      <c r="H49192" s="8" t="s">
        <v>364</v>
      </c>
    </row>
    <row r="49193">
      <c r="H49193" s="8" t="s">
        <v>364</v>
      </c>
    </row>
    <row r="49194">
      <c r="H49194" s="8" t="s">
        <v>364</v>
      </c>
    </row>
    <row r="49195">
      <c r="H49195" s="8" t="s">
        <v>364</v>
      </c>
    </row>
    <row r="49196">
      <c r="H49196" s="8" t="s">
        <v>364</v>
      </c>
    </row>
    <row r="49197">
      <c r="H49197" s="8" t="s">
        <v>364</v>
      </c>
    </row>
    <row r="49198">
      <c r="H49198" s="8" t="s">
        <v>364</v>
      </c>
    </row>
    <row r="49199">
      <c r="H49199" s="8" t="s">
        <v>364</v>
      </c>
    </row>
    <row r="49200">
      <c r="H49200" s="8" t="s">
        <v>364</v>
      </c>
    </row>
    <row r="49201">
      <c r="H49201" s="8" t="s">
        <v>364</v>
      </c>
    </row>
    <row r="49202">
      <c r="H49202" s="8" t="s">
        <v>364</v>
      </c>
    </row>
    <row r="49203">
      <c r="H49203" s="8" t="s">
        <v>364</v>
      </c>
    </row>
    <row r="49204">
      <c r="H49204" s="8" t="s">
        <v>364</v>
      </c>
    </row>
    <row r="49205">
      <c r="H49205" s="8" t="s">
        <v>364</v>
      </c>
    </row>
    <row r="49206">
      <c r="H49206" s="8" t="s">
        <v>364</v>
      </c>
    </row>
    <row r="49207">
      <c r="H49207" s="8" t="s">
        <v>364</v>
      </c>
    </row>
    <row r="49208">
      <c r="H49208" s="8" t="s">
        <v>364</v>
      </c>
    </row>
    <row r="49209">
      <c r="H49209" s="8" t="s">
        <v>364</v>
      </c>
    </row>
    <row r="49210">
      <c r="H49210" s="8" t="s">
        <v>364</v>
      </c>
    </row>
    <row r="49211">
      <c r="H49211" s="8" t="s">
        <v>364</v>
      </c>
    </row>
    <row r="49212">
      <c r="H49212" s="8" t="s">
        <v>364</v>
      </c>
    </row>
    <row r="49213">
      <c r="H49213" s="8" t="s">
        <v>364</v>
      </c>
    </row>
    <row r="49214">
      <c r="H49214" s="8" t="s">
        <v>364</v>
      </c>
    </row>
    <row r="49215">
      <c r="H49215" s="8" t="s">
        <v>364</v>
      </c>
    </row>
    <row r="49216">
      <c r="H49216" s="8" t="s">
        <v>364</v>
      </c>
    </row>
    <row r="49217">
      <c r="H49217" s="8" t="s">
        <v>364</v>
      </c>
    </row>
    <row r="49218">
      <c r="H49218" s="8" t="s">
        <v>364</v>
      </c>
    </row>
    <row r="49219">
      <c r="H49219" s="8" t="s">
        <v>364</v>
      </c>
    </row>
    <row r="49220">
      <c r="H49220" s="8" t="s">
        <v>364</v>
      </c>
    </row>
    <row r="49221">
      <c r="H49221" s="8" t="s">
        <v>364</v>
      </c>
    </row>
    <row r="49222">
      <c r="H49222" s="8" t="s">
        <v>364</v>
      </c>
    </row>
    <row r="49223">
      <c r="H49223" s="8" t="s">
        <v>364</v>
      </c>
    </row>
    <row r="49224">
      <c r="H49224" s="8" t="s">
        <v>364</v>
      </c>
    </row>
    <row r="49225">
      <c r="H49225" s="8" t="s">
        <v>364</v>
      </c>
    </row>
    <row r="49226">
      <c r="H49226" s="8" t="s">
        <v>364</v>
      </c>
    </row>
    <row r="49227">
      <c r="H49227" s="8" t="s">
        <v>364</v>
      </c>
    </row>
    <row r="49228">
      <c r="H49228" s="8" t="s">
        <v>364</v>
      </c>
    </row>
    <row r="49229">
      <c r="H49229" s="8" t="s">
        <v>364</v>
      </c>
    </row>
    <row r="49230">
      <c r="H49230" s="8" t="s">
        <v>364</v>
      </c>
    </row>
    <row r="49231">
      <c r="H49231" s="8" t="s">
        <v>364</v>
      </c>
    </row>
    <row r="49232">
      <c r="H49232" s="8" t="s">
        <v>364</v>
      </c>
    </row>
    <row r="49233">
      <c r="H49233" s="8" t="s">
        <v>364</v>
      </c>
    </row>
    <row r="49234">
      <c r="H49234" s="8" t="s">
        <v>364</v>
      </c>
    </row>
    <row r="49235">
      <c r="H49235" s="8" t="s">
        <v>364</v>
      </c>
    </row>
    <row r="49236">
      <c r="H49236" s="8" t="s">
        <v>364</v>
      </c>
    </row>
    <row r="49237">
      <c r="H49237" s="8" t="s">
        <v>364</v>
      </c>
    </row>
    <row r="49238">
      <c r="H49238" s="8" t="s">
        <v>364</v>
      </c>
    </row>
    <row r="49239">
      <c r="H49239" s="8" t="s">
        <v>364</v>
      </c>
    </row>
    <row r="49240">
      <c r="H49240" s="8" t="s">
        <v>364</v>
      </c>
    </row>
    <row r="49241">
      <c r="H49241" s="8" t="s">
        <v>364</v>
      </c>
    </row>
    <row r="49242">
      <c r="H49242" s="8" t="s">
        <v>364</v>
      </c>
    </row>
    <row r="49243">
      <c r="H49243" s="8" t="s">
        <v>364</v>
      </c>
    </row>
    <row r="49244">
      <c r="H49244" s="8" t="s">
        <v>364</v>
      </c>
    </row>
    <row r="49245">
      <c r="H49245" s="8" t="s">
        <v>364</v>
      </c>
    </row>
    <row r="49246">
      <c r="H49246" s="8" t="s">
        <v>364</v>
      </c>
    </row>
    <row r="49247">
      <c r="H49247" s="8" t="s">
        <v>364</v>
      </c>
    </row>
    <row r="49248">
      <c r="H49248" s="8" t="s">
        <v>364</v>
      </c>
    </row>
    <row r="49249">
      <c r="H49249" s="8" t="s">
        <v>364</v>
      </c>
    </row>
    <row r="49250">
      <c r="H49250" s="8" t="s">
        <v>364</v>
      </c>
    </row>
    <row r="49251">
      <c r="H49251" s="8" t="s">
        <v>364</v>
      </c>
    </row>
    <row r="49252">
      <c r="H49252" s="8" t="s">
        <v>364</v>
      </c>
    </row>
    <row r="49253">
      <c r="H49253" s="8" t="s">
        <v>364</v>
      </c>
    </row>
    <row r="49254">
      <c r="H49254" s="8" t="s">
        <v>364</v>
      </c>
    </row>
    <row r="49255">
      <c r="H49255" s="8" t="s">
        <v>364</v>
      </c>
    </row>
    <row r="49256">
      <c r="H49256" s="8" t="s">
        <v>364</v>
      </c>
    </row>
    <row r="49257">
      <c r="H49257" s="8" t="s">
        <v>364</v>
      </c>
    </row>
    <row r="49258">
      <c r="H49258" s="8" t="s">
        <v>364</v>
      </c>
    </row>
    <row r="49259">
      <c r="H49259" s="8" t="s">
        <v>364</v>
      </c>
    </row>
    <row r="49260">
      <c r="H49260" s="8" t="s">
        <v>364</v>
      </c>
    </row>
    <row r="49261">
      <c r="H49261" s="8" t="s">
        <v>364</v>
      </c>
    </row>
    <row r="49262">
      <c r="H49262" s="8" t="s">
        <v>364</v>
      </c>
    </row>
    <row r="49263">
      <c r="H49263" s="8" t="s">
        <v>364</v>
      </c>
    </row>
    <row r="49264">
      <c r="H49264" s="8" t="s">
        <v>364</v>
      </c>
    </row>
    <row r="49265">
      <c r="H49265" s="8" t="s">
        <v>364</v>
      </c>
    </row>
    <row r="49266">
      <c r="H49266" s="8" t="s">
        <v>364</v>
      </c>
    </row>
    <row r="49267">
      <c r="H49267" s="8" t="s">
        <v>364</v>
      </c>
    </row>
    <row r="49268">
      <c r="H49268" s="8" t="s">
        <v>364</v>
      </c>
    </row>
    <row r="49269">
      <c r="H49269" s="8" t="s">
        <v>364</v>
      </c>
    </row>
    <row r="49270">
      <c r="H49270" s="8" t="s">
        <v>364</v>
      </c>
    </row>
    <row r="49271">
      <c r="H49271" s="8" t="s">
        <v>364</v>
      </c>
    </row>
    <row r="49272">
      <c r="H49272" s="8" t="s">
        <v>364</v>
      </c>
    </row>
    <row r="49273">
      <c r="H49273" s="8" t="s">
        <v>364</v>
      </c>
    </row>
    <row r="49274">
      <c r="H49274" s="8" t="s">
        <v>364</v>
      </c>
    </row>
    <row r="49275">
      <c r="H49275" s="8" t="s">
        <v>364</v>
      </c>
    </row>
    <row r="49276">
      <c r="H49276" s="8" t="s">
        <v>364</v>
      </c>
    </row>
    <row r="49277">
      <c r="H49277" s="8" t="s">
        <v>364</v>
      </c>
    </row>
    <row r="49278">
      <c r="H49278" s="8" t="s">
        <v>364</v>
      </c>
    </row>
    <row r="49279">
      <c r="H49279" s="8" t="s">
        <v>364</v>
      </c>
    </row>
    <row r="49280">
      <c r="H49280" s="8" t="s">
        <v>364</v>
      </c>
    </row>
    <row r="49281">
      <c r="H49281" s="8" t="s">
        <v>364</v>
      </c>
    </row>
    <row r="49282">
      <c r="H49282" s="8" t="s">
        <v>364</v>
      </c>
    </row>
    <row r="49283">
      <c r="H49283" s="8" t="s">
        <v>364</v>
      </c>
    </row>
    <row r="49284">
      <c r="H49284" s="8" t="s">
        <v>364</v>
      </c>
    </row>
    <row r="49285">
      <c r="H49285" s="8" t="s">
        <v>364</v>
      </c>
    </row>
    <row r="49286">
      <c r="H49286" s="8" t="s">
        <v>364</v>
      </c>
    </row>
    <row r="49287">
      <c r="H49287" s="8" t="s">
        <v>364</v>
      </c>
    </row>
    <row r="49288">
      <c r="H49288" s="8" t="s">
        <v>364</v>
      </c>
    </row>
    <row r="49289">
      <c r="H49289" s="8" t="s">
        <v>364</v>
      </c>
    </row>
    <row r="49290">
      <c r="H49290" s="8" t="s">
        <v>364</v>
      </c>
    </row>
    <row r="49291">
      <c r="H49291" s="8" t="s">
        <v>364</v>
      </c>
    </row>
    <row r="49292">
      <c r="H49292" s="8" t="s">
        <v>364</v>
      </c>
    </row>
    <row r="49293">
      <c r="H49293" s="8" t="s">
        <v>364</v>
      </c>
    </row>
    <row r="49294">
      <c r="H49294" s="8" t="s">
        <v>364</v>
      </c>
    </row>
    <row r="49295">
      <c r="H49295" s="8" t="s">
        <v>364</v>
      </c>
    </row>
    <row r="49296">
      <c r="H49296" s="8" t="s">
        <v>364</v>
      </c>
    </row>
    <row r="49297">
      <c r="H49297" s="8" t="s">
        <v>364</v>
      </c>
    </row>
    <row r="49298">
      <c r="H49298" s="8" t="s">
        <v>364</v>
      </c>
    </row>
    <row r="49299">
      <c r="H49299" s="8" t="s">
        <v>364</v>
      </c>
    </row>
    <row r="49300">
      <c r="H49300" s="8" t="s">
        <v>364</v>
      </c>
    </row>
    <row r="49301">
      <c r="H49301" s="8" t="s">
        <v>364</v>
      </c>
    </row>
    <row r="49302">
      <c r="H49302" s="8" t="s">
        <v>364</v>
      </c>
    </row>
    <row r="49303">
      <c r="H49303" s="8" t="s">
        <v>364</v>
      </c>
    </row>
    <row r="49304">
      <c r="H49304" s="8" t="s">
        <v>364</v>
      </c>
    </row>
    <row r="49305">
      <c r="H49305" s="8" t="s">
        <v>364</v>
      </c>
    </row>
    <row r="49306">
      <c r="H49306" s="8" t="s">
        <v>364</v>
      </c>
    </row>
    <row r="49307">
      <c r="H49307" s="8" t="s">
        <v>364</v>
      </c>
    </row>
    <row r="49308">
      <c r="H49308" s="8" t="s">
        <v>364</v>
      </c>
    </row>
    <row r="49309">
      <c r="H49309" s="8" t="s">
        <v>364</v>
      </c>
    </row>
    <row r="49310">
      <c r="H49310" s="8" t="s">
        <v>364</v>
      </c>
    </row>
    <row r="49311">
      <c r="H49311" s="8" t="s">
        <v>364</v>
      </c>
    </row>
    <row r="49312">
      <c r="H49312" s="8" t="s">
        <v>364</v>
      </c>
    </row>
    <row r="49313">
      <c r="H49313" s="8" t="s">
        <v>364</v>
      </c>
    </row>
    <row r="49314">
      <c r="H49314" s="8" t="s">
        <v>364</v>
      </c>
    </row>
    <row r="49315">
      <c r="H49315" s="8" t="s">
        <v>364</v>
      </c>
    </row>
    <row r="49316">
      <c r="H49316" s="8" t="s">
        <v>364</v>
      </c>
    </row>
    <row r="49317">
      <c r="H49317" s="8" t="s">
        <v>364</v>
      </c>
    </row>
    <row r="49318">
      <c r="H49318" s="8" t="s">
        <v>364</v>
      </c>
    </row>
    <row r="49319">
      <c r="H49319" s="8" t="s">
        <v>364</v>
      </c>
    </row>
    <row r="49320">
      <c r="H49320" s="8" t="s">
        <v>364</v>
      </c>
    </row>
    <row r="49321">
      <c r="H49321" s="8" t="s">
        <v>364</v>
      </c>
    </row>
    <row r="49322">
      <c r="H49322" s="8" t="s">
        <v>364</v>
      </c>
    </row>
    <row r="49323">
      <c r="H49323" s="8" t="s">
        <v>364</v>
      </c>
    </row>
    <row r="49324">
      <c r="H49324" s="8" t="s">
        <v>364</v>
      </c>
    </row>
    <row r="49325">
      <c r="H49325" s="8" t="s">
        <v>364</v>
      </c>
    </row>
    <row r="49326">
      <c r="H49326" s="8" t="s">
        <v>364</v>
      </c>
    </row>
    <row r="49327">
      <c r="H49327" s="8" t="s">
        <v>364</v>
      </c>
    </row>
    <row r="49328">
      <c r="H49328" s="8" t="s">
        <v>364</v>
      </c>
    </row>
    <row r="49329">
      <c r="H49329" s="8" t="s">
        <v>364</v>
      </c>
    </row>
    <row r="49330">
      <c r="H49330" s="8" t="s">
        <v>364</v>
      </c>
    </row>
    <row r="49331">
      <c r="H49331" s="8" t="s">
        <v>364</v>
      </c>
    </row>
    <row r="49332">
      <c r="H49332" s="8" t="s">
        <v>364</v>
      </c>
    </row>
    <row r="49333">
      <c r="H49333" s="8" t="s">
        <v>364</v>
      </c>
    </row>
    <row r="49334">
      <c r="H49334" s="8" t="s">
        <v>364</v>
      </c>
    </row>
    <row r="49335">
      <c r="H49335" s="8" t="s">
        <v>364</v>
      </c>
    </row>
    <row r="49336">
      <c r="H49336" s="8" t="s">
        <v>364</v>
      </c>
    </row>
    <row r="49337">
      <c r="H49337" s="8" t="s">
        <v>364</v>
      </c>
    </row>
    <row r="49338">
      <c r="H49338" s="8" t="s">
        <v>364</v>
      </c>
    </row>
    <row r="49339">
      <c r="H49339" s="8" t="s">
        <v>364</v>
      </c>
    </row>
    <row r="49340">
      <c r="H49340" s="8" t="s">
        <v>364</v>
      </c>
    </row>
    <row r="49341">
      <c r="H49341" s="8" t="s">
        <v>364</v>
      </c>
    </row>
    <row r="49342">
      <c r="H49342" s="8" t="s">
        <v>364</v>
      </c>
    </row>
    <row r="49343">
      <c r="H49343" s="8" t="s">
        <v>364</v>
      </c>
    </row>
    <row r="49344">
      <c r="H49344" s="8" t="s">
        <v>364</v>
      </c>
    </row>
    <row r="49345">
      <c r="H49345" s="8" t="s">
        <v>364</v>
      </c>
    </row>
    <row r="49346">
      <c r="H49346" s="8" t="s">
        <v>364</v>
      </c>
    </row>
    <row r="49347">
      <c r="H49347" s="8" t="s">
        <v>364</v>
      </c>
    </row>
    <row r="49348">
      <c r="H49348" s="8" t="s">
        <v>364</v>
      </c>
    </row>
    <row r="49349">
      <c r="H49349" s="8" t="s">
        <v>364</v>
      </c>
    </row>
    <row r="49350">
      <c r="H49350" s="8" t="s">
        <v>364</v>
      </c>
    </row>
    <row r="49351">
      <c r="H49351" s="8" t="s">
        <v>364</v>
      </c>
    </row>
    <row r="49352">
      <c r="H49352" s="8" t="s">
        <v>364</v>
      </c>
    </row>
    <row r="49353">
      <c r="H49353" s="8" t="s">
        <v>364</v>
      </c>
    </row>
    <row r="49354">
      <c r="H49354" s="8" t="s">
        <v>364</v>
      </c>
    </row>
    <row r="49355">
      <c r="H49355" s="8" t="s">
        <v>364</v>
      </c>
    </row>
    <row r="49356">
      <c r="H49356" s="8" t="s">
        <v>364</v>
      </c>
    </row>
    <row r="49357">
      <c r="H49357" s="8" t="s">
        <v>364</v>
      </c>
    </row>
    <row r="49358">
      <c r="H49358" s="8" t="s">
        <v>364</v>
      </c>
    </row>
    <row r="49359">
      <c r="H49359" s="8" t="s">
        <v>364</v>
      </c>
    </row>
    <row r="49360">
      <c r="H49360" s="8" t="s">
        <v>364</v>
      </c>
    </row>
    <row r="49361">
      <c r="H49361" s="8" t="s">
        <v>364</v>
      </c>
    </row>
    <row r="49362">
      <c r="H49362" s="8" t="s">
        <v>364</v>
      </c>
    </row>
    <row r="49363">
      <c r="H49363" s="8" t="s">
        <v>364</v>
      </c>
    </row>
    <row r="49364">
      <c r="H49364" s="8" t="s">
        <v>364</v>
      </c>
    </row>
    <row r="49365">
      <c r="H49365" s="8" t="s">
        <v>364</v>
      </c>
    </row>
    <row r="49366">
      <c r="H49366" s="8" t="s">
        <v>364</v>
      </c>
    </row>
    <row r="49367">
      <c r="H49367" s="8" t="s">
        <v>364</v>
      </c>
    </row>
    <row r="49368">
      <c r="H49368" s="8" t="s">
        <v>364</v>
      </c>
    </row>
    <row r="49369">
      <c r="H49369" s="8" t="s">
        <v>364</v>
      </c>
    </row>
    <row r="49370">
      <c r="H49370" s="8" t="s">
        <v>364</v>
      </c>
    </row>
    <row r="49371">
      <c r="H49371" s="8" t="s">
        <v>364</v>
      </c>
    </row>
    <row r="49372">
      <c r="H49372" s="8" t="s">
        <v>364</v>
      </c>
    </row>
    <row r="49373">
      <c r="H49373" s="8" t="s">
        <v>364</v>
      </c>
    </row>
    <row r="49374">
      <c r="H49374" s="8" t="s">
        <v>364</v>
      </c>
    </row>
    <row r="49375">
      <c r="H49375" s="8" t="s">
        <v>364</v>
      </c>
    </row>
    <row r="49376">
      <c r="H49376" s="8" t="s">
        <v>364</v>
      </c>
    </row>
    <row r="49377">
      <c r="H49377" s="8" t="s">
        <v>364</v>
      </c>
    </row>
    <row r="49378">
      <c r="H49378" s="8" t="s">
        <v>364</v>
      </c>
    </row>
    <row r="49379">
      <c r="H49379" s="8" t="s">
        <v>364</v>
      </c>
    </row>
    <row r="49380">
      <c r="H49380" s="8" t="s">
        <v>364</v>
      </c>
    </row>
    <row r="49381">
      <c r="H49381" s="8" t="s">
        <v>364</v>
      </c>
    </row>
    <row r="49382">
      <c r="H49382" s="8" t="s">
        <v>364</v>
      </c>
    </row>
    <row r="49383">
      <c r="H49383" s="8" t="s">
        <v>364</v>
      </c>
    </row>
    <row r="49384">
      <c r="H49384" s="8" t="s">
        <v>364</v>
      </c>
    </row>
    <row r="49385">
      <c r="H49385" s="8" t="s">
        <v>364</v>
      </c>
    </row>
    <row r="49386">
      <c r="H49386" s="8" t="s">
        <v>364</v>
      </c>
    </row>
    <row r="49387">
      <c r="H49387" s="8" t="s">
        <v>364</v>
      </c>
    </row>
    <row r="49388">
      <c r="H49388" s="8" t="s">
        <v>364</v>
      </c>
    </row>
    <row r="49389">
      <c r="H49389" s="8" t="s">
        <v>364</v>
      </c>
    </row>
    <row r="49390">
      <c r="H49390" s="8" t="s">
        <v>364</v>
      </c>
    </row>
    <row r="49391">
      <c r="H49391" s="8" t="s">
        <v>364</v>
      </c>
    </row>
    <row r="49392">
      <c r="H49392" s="8" t="s">
        <v>364</v>
      </c>
    </row>
    <row r="49393">
      <c r="H49393" s="8" t="s">
        <v>364</v>
      </c>
    </row>
    <row r="49394">
      <c r="H49394" s="8" t="s">
        <v>364</v>
      </c>
    </row>
    <row r="49395">
      <c r="H49395" s="8" t="s">
        <v>364</v>
      </c>
    </row>
    <row r="49396">
      <c r="H49396" s="8" t="s">
        <v>364</v>
      </c>
    </row>
    <row r="49397">
      <c r="H49397" s="8" t="s">
        <v>364</v>
      </c>
    </row>
    <row r="49398">
      <c r="H49398" s="8" t="s">
        <v>364</v>
      </c>
    </row>
    <row r="49399">
      <c r="H49399" s="8" t="s">
        <v>364</v>
      </c>
    </row>
    <row r="49400">
      <c r="H49400" s="8" t="s">
        <v>364</v>
      </c>
    </row>
    <row r="49401">
      <c r="H49401" s="8" t="s">
        <v>364</v>
      </c>
    </row>
    <row r="49402">
      <c r="H49402" s="8" t="s">
        <v>364</v>
      </c>
    </row>
    <row r="49403">
      <c r="H49403" s="8" t="s">
        <v>364</v>
      </c>
    </row>
    <row r="49404">
      <c r="H49404" s="8" t="s">
        <v>364</v>
      </c>
    </row>
    <row r="49405">
      <c r="H49405" s="8" t="s">
        <v>364</v>
      </c>
    </row>
    <row r="49406">
      <c r="H49406" s="8" t="s">
        <v>364</v>
      </c>
    </row>
    <row r="49407">
      <c r="H49407" s="8" t="s">
        <v>364</v>
      </c>
    </row>
    <row r="49408">
      <c r="H49408" s="8" t="s">
        <v>364</v>
      </c>
    </row>
    <row r="49409">
      <c r="H49409" s="8" t="s">
        <v>364</v>
      </c>
    </row>
    <row r="49410">
      <c r="H49410" s="8" t="s">
        <v>364</v>
      </c>
    </row>
    <row r="49411">
      <c r="H49411" s="8" t="s">
        <v>364</v>
      </c>
    </row>
    <row r="49412">
      <c r="H49412" s="8" t="s">
        <v>364</v>
      </c>
    </row>
    <row r="49413">
      <c r="H49413" s="8" t="s">
        <v>364</v>
      </c>
    </row>
    <row r="49414">
      <c r="H49414" s="8" t="s">
        <v>364</v>
      </c>
    </row>
    <row r="49415">
      <c r="H49415" s="8" t="s">
        <v>364</v>
      </c>
    </row>
    <row r="49416">
      <c r="H49416" s="8" t="s">
        <v>364</v>
      </c>
    </row>
    <row r="49417">
      <c r="H49417" s="8" t="s">
        <v>364</v>
      </c>
    </row>
    <row r="49418">
      <c r="H49418" s="8" t="s">
        <v>364</v>
      </c>
    </row>
    <row r="49419">
      <c r="H49419" s="8" t="s">
        <v>364</v>
      </c>
    </row>
    <row r="49420">
      <c r="H49420" s="8" t="s">
        <v>364</v>
      </c>
    </row>
    <row r="49421">
      <c r="H49421" s="8" t="s">
        <v>364</v>
      </c>
    </row>
    <row r="49422">
      <c r="H49422" s="8" t="s">
        <v>364</v>
      </c>
    </row>
    <row r="49423">
      <c r="H49423" s="8" t="s">
        <v>364</v>
      </c>
    </row>
    <row r="49424">
      <c r="H49424" s="8" t="s">
        <v>364</v>
      </c>
    </row>
    <row r="49425">
      <c r="H49425" s="8" t="s">
        <v>364</v>
      </c>
    </row>
    <row r="49426">
      <c r="H49426" s="8" t="s">
        <v>364</v>
      </c>
    </row>
    <row r="49427">
      <c r="H49427" s="8" t="s">
        <v>364</v>
      </c>
    </row>
    <row r="49428">
      <c r="H49428" s="8" t="s">
        <v>364</v>
      </c>
    </row>
    <row r="49429">
      <c r="H49429" s="8" t="s">
        <v>364</v>
      </c>
    </row>
    <row r="49430">
      <c r="H49430" s="8" t="s">
        <v>364</v>
      </c>
    </row>
    <row r="49431">
      <c r="H49431" s="8" t="s">
        <v>364</v>
      </c>
    </row>
    <row r="49432">
      <c r="H49432" s="8" t="s">
        <v>364</v>
      </c>
    </row>
    <row r="49433">
      <c r="H49433" s="8" t="s">
        <v>364</v>
      </c>
    </row>
    <row r="49434">
      <c r="H49434" s="8" t="s">
        <v>364</v>
      </c>
    </row>
    <row r="49435">
      <c r="H49435" s="8" t="s">
        <v>364</v>
      </c>
    </row>
    <row r="49436">
      <c r="H49436" s="8" t="s">
        <v>364</v>
      </c>
    </row>
    <row r="49437">
      <c r="H49437" s="8" t="s">
        <v>364</v>
      </c>
    </row>
    <row r="49438">
      <c r="H49438" s="8" t="s">
        <v>364</v>
      </c>
    </row>
    <row r="49439">
      <c r="H49439" s="8" t="s">
        <v>364</v>
      </c>
    </row>
    <row r="49440">
      <c r="H49440" s="8" t="s">
        <v>364</v>
      </c>
    </row>
    <row r="49441">
      <c r="H49441" s="8" t="s">
        <v>364</v>
      </c>
    </row>
    <row r="49442">
      <c r="H49442" s="8" t="s">
        <v>364</v>
      </c>
    </row>
    <row r="49443">
      <c r="H49443" s="8" t="s">
        <v>364</v>
      </c>
    </row>
    <row r="49444">
      <c r="H49444" s="8" t="s">
        <v>364</v>
      </c>
    </row>
    <row r="49445">
      <c r="H49445" s="8" t="s">
        <v>364</v>
      </c>
    </row>
    <row r="49446">
      <c r="H49446" s="8" t="s">
        <v>364</v>
      </c>
    </row>
    <row r="49447">
      <c r="H49447" s="8" t="s">
        <v>364</v>
      </c>
    </row>
    <row r="49448">
      <c r="H49448" s="8" t="s">
        <v>364</v>
      </c>
    </row>
    <row r="49449">
      <c r="H49449" s="8" t="s">
        <v>364</v>
      </c>
    </row>
    <row r="49450">
      <c r="H49450" s="8" t="s">
        <v>364</v>
      </c>
    </row>
    <row r="49451">
      <c r="H49451" s="8" t="s">
        <v>364</v>
      </c>
    </row>
    <row r="49452">
      <c r="H49452" s="8" t="s">
        <v>364</v>
      </c>
    </row>
    <row r="49453">
      <c r="H49453" s="8" t="s">
        <v>364</v>
      </c>
    </row>
    <row r="49454">
      <c r="H49454" s="8" t="s">
        <v>364</v>
      </c>
    </row>
    <row r="49455">
      <c r="H49455" s="8" t="s">
        <v>364</v>
      </c>
    </row>
    <row r="49456">
      <c r="H49456" s="8" t="s">
        <v>364</v>
      </c>
    </row>
    <row r="49457">
      <c r="H49457" s="8" t="s">
        <v>364</v>
      </c>
    </row>
    <row r="49458">
      <c r="H49458" s="8" t="s">
        <v>364</v>
      </c>
    </row>
    <row r="49459">
      <c r="H49459" s="8" t="s">
        <v>364</v>
      </c>
    </row>
    <row r="49460">
      <c r="H49460" s="8" t="s">
        <v>364</v>
      </c>
    </row>
    <row r="49461">
      <c r="H49461" s="8" t="s">
        <v>364</v>
      </c>
    </row>
    <row r="49462">
      <c r="H49462" s="8" t="s">
        <v>364</v>
      </c>
    </row>
    <row r="49463">
      <c r="H49463" s="8" t="s">
        <v>364</v>
      </c>
    </row>
    <row r="49464">
      <c r="H49464" s="8" t="s">
        <v>364</v>
      </c>
    </row>
    <row r="49465">
      <c r="H49465" s="8" t="s">
        <v>364</v>
      </c>
    </row>
    <row r="49466">
      <c r="H49466" s="8" t="s">
        <v>364</v>
      </c>
    </row>
    <row r="49467">
      <c r="H49467" s="8" t="s">
        <v>364</v>
      </c>
    </row>
    <row r="49468">
      <c r="H49468" s="8" t="s">
        <v>364</v>
      </c>
    </row>
    <row r="49469">
      <c r="H49469" s="8" t="s">
        <v>364</v>
      </c>
    </row>
    <row r="49470">
      <c r="H49470" s="8" t="s">
        <v>364</v>
      </c>
    </row>
    <row r="49471">
      <c r="H49471" s="8" t="s">
        <v>364</v>
      </c>
    </row>
    <row r="49472">
      <c r="H49472" s="8" t="s">
        <v>364</v>
      </c>
    </row>
    <row r="49473">
      <c r="H49473" s="8" t="s">
        <v>364</v>
      </c>
    </row>
    <row r="49474">
      <c r="H49474" s="8" t="s">
        <v>364</v>
      </c>
    </row>
    <row r="49475">
      <c r="H49475" s="8" t="s">
        <v>364</v>
      </c>
    </row>
    <row r="49476">
      <c r="H49476" s="8" t="s">
        <v>364</v>
      </c>
    </row>
    <row r="49477">
      <c r="H49477" s="8" t="s">
        <v>364</v>
      </c>
    </row>
    <row r="49478">
      <c r="H49478" s="8" t="s">
        <v>364</v>
      </c>
    </row>
    <row r="49479">
      <c r="H49479" s="8" t="s">
        <v>364</v>
      </c>
    </row>
    <row r="49480">
      <c r="H49480" s="8" t="s">
        <v>364</v>
      </c>
    </row>
    <row r="49481">
      <c r="H49481" s="8" t="s">
        <v>364</v>
      </c>
    </row>
    <row r="49482">
      <c r="H49482" s="8" t="s">
        <v>364</v>
      </c>
    </row>
    <row r="49483">
      <c r="H49483" s="8" t="s">
        <v>364</v>
      </c>
    </row>
    <row r="49484">
      <c r="H49484" s="8" t="s">
        <v>364</v>
      </c>
    </row>
    <row r="49485">
      <c r="H49485" s="8" t="s">
        <v>364</v>
      </c>
    </row>
    <row r="49486">
      <c r="H49486" s="8" t="s">
        <v>364</v>
      </c>
    </row>
    <row r="49487">
      <c r="H49487" s="8" t="s">
        <v>364</v>
      </c>
    </row>
    <row r="49488">
      <c r="H49488" s="8" t="s">
        <v>364</v>
      </c>
    </row>
    <row r="49489">
      <c r="H49489" s="8" t="s">
        <v>364</v>
      </c>
    </row>
    <row r="49490">
      <c r="H49490" s="8" t="s">
        <v>364</v>
      </c>
    </row>
    <row r="49491">
      <c r="H49491" s="8" t="s">
        <v>364</v>
      </c>
    </row>
    <row r="49492">
      <c r="H49492" s="8" t="s">
        <v>364</v>
      </c>
    </row>
    <row r="49493">
      <c r="H49493" s="8" t="s">
        <v>364</v>
      </c>
    </row>
    <row r="49494">
      <c r="H49494" s="8" t="s">
        <v>364</v>
      </c>
    </row>
    <row r="49495">
      <c r="H49495" s="8" t="s">
        <v>364</v>
      </c>
    </row>
    <row r="49496">
      <c r="H49496" s="8" t="s">
        <v>364</v>
      </c>
    </row>
    <row r="49497">
      <c r="H49497" s="8" t="s">
        <v>364</v>
      </c>
    </row>
    <row r="49498">
      <c r="H49498" s="8" t="s">
        <v>364</v>
      </c>
    </row>
    <row r="49499">
      <c r="H49499" s="8" t="s">
        <v>364</v>
      </c>
    </row>
    <row r="49500">
      <c r="H49500" s="8" t="s">
        <v>364</v>
      </c>
    </row>
    <row r="49501">
      <c r="H49501" s="8" t="s">
        <v>364</v>
      </c>
    </row>
    <row r="49502">
      <c r="H49502" s="8" t="s">
        <v>364</v>
      </c>
    </row>
    <row r="49503">
      <c r="H49503" s="8" t="s">
        <v>364</v>
      </c>
    </row>
    <row r="49504">
      <c r="H49504" s="8" t="s">
        <v>364</v>
      </c>
    </row>
    <row r="49505">
      <c r="H49505" s="8" t="s">
        <v>364</v>
      </c>
    </row>
    <row r="49506">
      <c r="H49506" s="8" t="s">
        <v>364</v>
      </c>
    </row>
    <row r="49507">
      <c r="H49507" s="8" t="s">
        <v>364</v>
      </c>
    </row>
    <row r="49508">
      <c r="H49508" s="8" t="s">
        <v>364</v>
      </c>
    </row>
    <row r="49509">
      <c r="H49509" s="8" t="s">
        <v>364</v>
      </c>
    </row>
    <row r="49510">
      <c r="H49510" s="8" t="s">
        <v>364</v>
      </c>
    </row>
    <row r="49511">
      <c r="H49511" s="8" t="s">
        <v>364</v>
      </c>
    </row>
    <row r="49512">
      <c r="H49512" s="8" t="s">
        <v>364</v>
      </c>
    </row>
    <row r="49513">
      <c r="H49513" s="8" t="s">
        <v>364</v>
      </c>
    </row>
    <row r="49514">
      <c r="H49514" s="8" t="s">
        <v>364</v>
      </c>
    </row>
    <row r="49515">
      <c r="H49515" s="8" t="s">
        <v>364</v>
      </c>
    </row>
    <row r="49516">
      <c r="H49516" s="8" t="s">
        <v>364</v>
      </c>
    </row>
    <row r="49517">
      <c r="H49517" s="8" t="s">
        <v>364</v>
      </c>
    </row>
    <row r="49518">
      <c r="H49518" s="8" t="s">
        <v>364</v>
      </c>
    </row>
    <row r="49519">
      <c r="H49519" s="8" t="s">
        <v>364</v>
      </c>
    </row>
    <row r="49520">
      <c r="H49520" s="8" t="s">
        <v>364</v>
      </c>
    </row>
    <row r="49521">
      <c r="H49521" s="8" t="s">
        <v>364</v>
      </c>
    </row>
    <row r="49522">
      <c r="H49522" s="8" t="s">
        <v>364</v>
      </c>
    </row>
    <row r="49523">
      <c r="H49523" s="8" t="s">
        <v>364</v>
      </c>
    </row>
    <row r="49524">
      <c r="H49524" s="8" t="s">
        <v>364</v>
      </c>
    </row>
    <row r="49525">
      <c r="H49525" s="8" t="s">
        <v>364</v>
      </c>
    </row>
    <row r="49526">
      <c r="H49526" s="8" t="s">
        <v>364</v>
      </c>
    </row>
    <row r="49527">
      <c r="H49527" s="8" t="s">
        <v>364</v>
      </c>
    </row>
    <row r="49528">
      <c r="H49528" s="8" t="s">
        <v>364</v>
      </c>
    </row>
    <row r="49529">
      <c r="H49529" s="8" t="s">
        <v>364</v>
      </c>
    </row>
    <row r="49530">
      <c r="H49530" s="8" t="s">
        <v>364</v>
      </c>
    </row>
    <row r="49531">
      <c r="H49531" s="8" t="s">
        <v>364</v>
      </c>
    </row>
    <row r="49532">
      <c r="H49532" s="8" t="s">
        <v>364</v>
      </c>
    </row>
    <row r="49533">
      <c r="H49533" s="8" t="s">
        <v>364</v>
      </c>
    </row>
    <row r="49534">
      <c r="H49534" s="8" t="s">
        <v>364</v>
      </c>
    </row>
    <row r="49535">
      <c r="H49535" s="8" t="s">
        <v>364</v>
      </c>
    </row>
    <row r="49536">
      <c r="H49536" s="8" t="s">
        <v>364</v>
      </c>
    </row>
    <row r="49537">
      <c r="H49537" s="8" t="s">
        <v>364</v>
      </c>
    </row>
    <row r="49538">
      <c r="H49538" s="8" t="s">
        <v>364</v>
      </c>
    </row>
    <row r="49539">
      <c r="H49539" s="8" t="s">
        <v>364</v>
      </c>
    </row>
    <row r="49540">
      <c r="H49540" s="8" t="s">
        <v>364</v>
      </c>
    </row>
    <row r="49541">
      <c r="H49541" s="8" t="s">
        <v>364</v>
      </c>
    </row>
    <row r="49542">
      <c r="H49542" s="8" t="s">
        <v>364</v>
      </c>
    </row>
    <row r="49543">
      <c r="H49543" s="8" t="s">
        <v>364</v>
      </c>
    </row>
    <row r="49544">
      <c r="H49544" s="8" t="s">
        <v>364</v>
      </c>
    </row>
    <row r="49545">
      <c r="H49545" s="8" t="s">
        <v>364</v>
      </c>
    </row>
    <row r="49546">
      <c r="H49546" s="8" t="s">
        <v>364</v>
      </c>
    </row>
    <row r="49547">
      <c r="H49547" s="8" t="s">
        <v>364</v>
      </c>
    </row>
    <row r="49548">
      <c r="H49548" s="8" t="s">
        <v>364</v>
      </c>
    </row>
    <row r="49549">
      <c r="H49549" s="8" t="s">
        <v>364</v>
      </c>
    </row>
    <row r="49550">
      <c r="H49550" s="8" t="s">
        <v>364</v>
      </c>
    </row>
    <row r="49551">
      <c r="H49551" s="8" t="s">
        <v>364</v>
      </c>
    </row>
    <row r="49552">
      <c r="H49552" s="8" t="s">
        <v>364</v>
      </c>
    </row>
    <row r="49553">
      <c r="H49553" s="8" t="s">
        <v>364</v>
      </c>
    </row>
    <row r="49554">
      <c r="H49554" s="8" t="s">
        <v>364</v>
      </c>
    </row>
    <row r="49555">
      <c r="H49555" s="8" t="s">
        <v>364</v>
      </c>
    </row>
    <row r="49556">
      <c r="H49556" s="8" t="s">
        <v>364</v>
      </c>
    </row>
    <row r="49557">
      <c r="H49557" s="8" t="s">
        <v>364</v>
      </c>
    </row>
    <row r="49558">
      <c r="H49558" s="8" t="s">
        <v>364</v>
      </c>
    </row>
    <row r="49559">
      <c r="H49559" s="8" t="s">
        <v>364</v>
      </c>
    </row>
    <row r="49560">
      <c r="H49560" s="8" t="s">
        <v>364</v>
      </c>
    </row>
    <row r="49561">
      <c r="H49561" s="8" t="s">
        <v>364</v>
      </c>
    </row>
    <row r="49562">
      <c r="H49562" s="8" t="s">
        <v>364</v>
      </c>
    </row>
    <row r="49563">
      <c r="H49563" s="8" t="s">
        <v>364</v>
      </c>
    </row>
    <row r="49564">
      <c r="H49564" s="8" t="s">
        <v>364</v>
      </c>
    </row>
    <row r="49565">
      <c r="H49565" s="8" t="s">
        <v>364</v>
      </c>
    </row>
    <row r="49566">
      <c r="H49566" s="8" t="s">
        <v>364</v>
      </c>
    </row>
    <row r="49567">
      <c r="H49567" s="8" t="s">
        <v>364</v>
      </c>
    </row>
    <row r="49568">
      <c r="H49568" s="8" t="s">
        <v>364</v>
      </c>
    </row>
    <row r="49569">
      <c r="H49569" s="8" t="s">
        <v>364</v>
      </c>
    </row>
    <row r="49570">
      <c r="H49570" s="8" t="s">
        <v>364</v>
      </c>
    </row>
    <row r="49571">
      <c r="H49571" s="8" t="s">
        <v>364</v>
      </c>
    </row>
    <row r="49572">
      <c r="H49572" s="8" t="s">
        <v>364</v>
      </c>
    </row>
    <row r="49573">
      <c r="H49573" s="8" t="s">
        <v>364</v>
      </c>
    </row>
    <row r="49574">
      <c r="H49574" s="8" t="s">
        <v>364</v>
      </c>
    </row>
    <row r="49575">
      <c r="H49575" s="8" t="s">
        <v>364</v>
      </c>
    </row>
    <row r="49576">
      <c r="H49576" s="8" t="s">
        <v>364</v>
      </c>
    </row>
    <row r="49577">
      <c r="H49577" s="8" t="s">
        <v>364</v>
      </c>
    </row>
    <row r="49578">
      <c r="H49578" s="8" t="s">
        <v>364</v>
      </c>
    </row>
    <row r="49579">
      <c r="H49579" s="8" t="s">
        <v>364</v>
      </c>
    </row>
    <row r="49580">
      <c r="H49580" s="8" t="s">
        <v>364</v>
      </c>
    </row>
    <row r="49581">
      <c r="H49581" s="8" t="s">
        <v>364</v>
      </c>
    </row>
    <row r="49582">
      <c r="H49582" s="8" t="s">
        <v>364</v>
      </c>
    </row>
    <row r="49583">
      <c r="H49583" s="8" t="s">
        <v>364</v>
      </c>
    </row>
    <row r="49584">
      <c r="H49584" s="8" t="s">
        <v>364</v>
      </c>
    </row>
    <row r="49585">
      <c r="H49585" s="8" t="s">
        <v>364</v>
      </c>
    </row>
    <row r="49586">
      <c r="H49586" s="8" t="s">
        <v>364</v>
      </c>
    </row>
    <row r="49587">
      <c r="H49587" s="8" t="s">
        <v>364</v>
      </c>
    </row>
    <row r="49588">
      <c r="H49588" s="8" t="s">
        <v>364</v>
      </c>
    </row>
    <row r="49589">
      <c r="H49589" s="8" t="s">
        <v>364</v>
      </c>
    </row>
    <row r="49590">
      <c r="H49590" s="8" t="s">
        <v>364</v>
      </c>
    </row>
    <row r="49591">
      <c r="H49591" s="8" t="s">
        <v>364</v>
      </c>
    </row>
    <row r="49592">
      <c r="H49592" s="8" t="s">
        <v>364</v>
      </c>
    </row>
    <row r="49593">
      <c r="H49593" s="8" t="s">
        <v>364</v>
      </c>
    </row>
    <row r="49594">
      <c r="H49594" s="8" t="s">
        <v>364</v>
      </c>
    </row>
    <row r="49595">
      <c r="H49595" s="8" t="s">
        <v>364</v>
      </c>
    </row>
    <row r="49596">
      <c r="H49596" s="8" t="s">
        <v>364</v>
      </c>
    </row>
    <row r="49597">
      <c r="H49597" s="8" t="s">
        <v>364</v>
      </c>
    </row>
    <row r="49598">
      <c r="H49598" s="8" t="s">
        <v>364</v>
      </c>
    </row>
    <row r="49599">
      <c r="H49599" s="8" t="s">
        <v>364</v>
      </c>
    </row>
    <row r="49600">
      <c r="H49600" s="8" t="s">
        <v>364</v>
      </c>
    </row>
    <row r="49601">
      <c r="H49601" s="8" t="s">
        <v>364</v>
      </c>
    </row>
    <row r="49602">
      <c r="H49602" s="8" t="s">
        <v>364</v>
      </c>
    </row>
    <row r="49603">
      <c r="H49603" s="8" t="s">
        <v>364</v>
      </c>
    </row>
    <row r="49604">
      <c r="H49604" s="8" t="s">
        <v>364</v>
      </c>
    </row>
    <row r="49605">
      <c r="H49605" s="8" t="s">
        <v>364</v>
      </c>
    </row>
    <row r="49606">
      <c r="H49606" s="8" t="s">
        <v>364</v>
      </c>
    </row>
    <row r="49607">
      <c r="H49607" s="8" t="s">
        <v>364</v>
      </c>
    </row>
    <row r="49608">
      <c r="H49608" s="8" t="s">
        <v>364</v>
      </c>
    </row>
    <row r="49609">
      <c r="H49609" s="8" t="s">
        <v>364</v>
      </c>
    </row>
    <row r="49610">
      <c r="H49610" s="8" t="s">
        <v>364</v>
      </c>
    </row>
    <row r="49611">
      <c r="H49611" s="8" t="s">
        <v>364</v>
      </c>
    </row>
    <row r="49612">
      <c r="H49612" s="8" t="s">
        <v>364</v>
      </c>
    </row>
    <row r="49613">
      <c r="H49613" s="8" t="s">
        <v>364</v>
      </c>
    </row>
    <row r="49614">
      <c r="H49614" s="8" t="s">
        <v>364</v>
      </c>
    </row>
    <row r="49615">
      <c r="H49615" s="8" t="s">
        <v>364</v>
      </c>
    </row>
    <row r="49616">
      <c r="H49616" s="8" t="s">
        <v>364</v>
      </c>
    </row>
    <row r="49617">
      <c r="H49617" s="8" t="s">
        <v>364</v>
      </c>
    </row>
    <row r="49618">
      <c r="H49618" s="8" t="s">
        <v>364</v>
      </c>
    </row>
    <row r="49619">
      <c r="H49619" s="8" t="s">
        <v>364</v>
      </c>
    </row>
    <row r="49620">
      <c r="H49620" s="8" t="s">
        <v>364</v>
      </c>
    </row>
    <row r="49621">
      <c r="H49621" s="8" t="s">
        <v>364</v>
      </c>
    </row>
    <row r="49622">
      <c r="H49622" s="8" t="s">
        <v>364</v>
      </c>
    </row>
    <row r="49623">
      <c r="H49623" s="8" t="s">
        <v>364</v>
      </c>
    </row>
    <row r="49624">
      <c r="H49624" s="8" t="s">
        <v>364</v>
      </c>
    </row>
    <row r="49625">
      <c r="H49625" s="8" t="s">
        <v>364</v>
      </c>
    </row>
    <row r="49626">
      <c r="H49626" s="8" t="s">
        <v>364</v>
      </c>
    </row>
    <row r="49627">
      <c r="H49627" s="8" t="s">
        <v>364</v>
      </c>
    </row>
    <row r="49628">
      <c r="H49628" s="8" t="s">
        <v>364</v>
      </c>
    </row>
    <row r="49629">
      <c r="H49629" s="8" t="s">
        <v>364</v>
      </c>
    </row>
    <row r="49630">
      <c r="H49630" s="8" t="s">
        <v>364</v>
      </c>
    </row>
    <row r="49631">
      <c r="H49631" s="8" t="s">
        <v>364</v>
      </c>
    </row>
    <row r="49632">
      <c r="H49632" s="8" t="s">
        <v>364</v>
      </c>
    </row>
    <row r="49633">
      <c r="H49633" s="8" t="s">
        <v>364</v>
      </c>
    </row>
    <row r="49634">
      <c r="H49634" s="8" t="s">
        <v>364</v>
      </c>
    </row>
    <row r="49635">
      <c r="H49635" s="8" t="s">
        <v>364</v>
      </c>
    </row>
    <row r="49636">
      <c r="H49636" s="8" t="s">
        <v>364</v>
      </c>
    </row>
    <row r="49637">
      <c r="H49637" s="8" t="s">
        <v>364</v>
      </c>
    </row>
    <row r="49638">
      <c r="H49638" s="8" t="s">
        <v>364</v>
      </c>
    </row>
    <row r="49639">
      <c r="H49639" s="8" t="s">
        <v>364</v>
      </c>
    </row>
    <row r="49640">
      <c r="H49640" s="8" t="s">
        <v>364</v>
      </c>
    </row>
    <row r="49641">
      <c r="H49641" s="8" t="s">
        <v>364</v>
      </c>
    </row>
    <row r="49642">
      <c r="H49642" s="8" t="s">
        <v>364</v>
      </c>
    </row>
    <row r="49643">
      <c r="H49643" s="8" t="s">
        <v>364</v>
      </c>
    </row>
    <row r="49644">
      <c r="H49644" s="8" t="s">
        <v>364</v>
      </c>
    </row>
    <row r="49645">
      <c r="H49645" s="8" t="s">
        <v>364</v>
      </c>
    </row>
    <row r="49646">
      <c r="H49646" s="8" t="s">
        <v>364</v>
      </c>
    </row>
    <row r="49647">
      <c r="H49647" s="8" t="s">
        <v>364</v>
      </c>
    </row>
    <row r="49648">
      <c r="H49648" s="8" t="s">
        <v>364</v>
      </c>
    </row>
    <row r="49649">
      <c r="H49649" s="8" t="s">
        <v>364</v>
      </c>
    </row>
    <row r="49650">
      <c r="H49650" s="8" t="s">
        <v>364</v>
      </c>
    </row>
    <row r="49651">
      <c r="H49651" s="8" t="s">
        <v>364</v>
      </c>
    </row>
    <row r="49652">
      <c r="H49652" s="8" t="s">
        <v>364</v>
      </c>
    </row>
    <row r="49653">
      <c r="H49653" s="8" t="s">
        <v>364</v>
      </c>
    </row>
    <row r="49654">
      <c r="H49654" s="8" t="s">
        <v>364</v>
      </c>
    </row>
    <row r="49655">
      <c r="H49655" s="8" t="s">
        <v>364</v>
      </c>
    </row>
    <row r="49656">
      <c r="H49656" s="8" t="s">
        <v>364</v>
      </c>
    </row>
    <row r="49657">
      <c r="H49657" s="8" t="s">
        <v>364</v>
      </c>
    </row>
    <row r="49658">
      <c r="H49658" s="8" t="s">
        <v>364</v>
      </c>
    </row>
    <row r="49659">
      <c r="H49659" s="8" t="s">
        <v>364</v>
      </c>
    </row>
    <row r="49660">
      <c r="H49660" s="8" t="s">
        <v>364</v>
      </c>
    </row>
    <row r="49661">
      <c r="H49661" s="8" t="s">
        <v>364</v>
      </c>
    </row>
    <row r="49662">
      <c r="H49662" s="8" t="s">
        <v>364</v>
      </c>
    </row>
    <row r="49663">
      <c r="H49663" s="8" t="s">
        <v>364</v>
      </c>
    </row>
    <row r="49664">
      <c r="H49664" s="8" t="s">
        <v>364</v>
      </c>
    </row>
    <row r="49665">
      <c r="H49665" s="8" t="s">
        <v>364</v>
      </c>
    </row>
    <row r="49666">
      <c r="H49666" s="8" t="s">
        <v>364</v>
      </c>
    </row>
    <row r="49667">
      <c r="H49667" s="8" t="s">
        <v>364</v>
      </c>
    </row>
    <row r="49668">
      <c r="H49668" s="8" t="s">
        <v>364</v>
      </c>
    </row>
    <row r="49669">
      <c r="H49669" s="8" t="s">
        <v>364</v>
      </c>
    </row>
    <row r="49670">
      <c r="H49670" s="8" t="s">
        <v>364</v>
      </c>
    </row>
    <row r="49671">
      <c r="H49671" s="8" t="s">
        <v>364</v>
      </c>
    </row>
    <row r="49672">
      <c r="H49672" s="8" t="s">
        <v>364</v>
      </c>
    </row>
    <row r="49673">
      <c r="H49673" s="8" t="s">
        <v>364</v>
      </c>
    </row>
    <row r="49674">
      <c r="H49674" s="8" t="s">
        <v>364</v>
      </c>
    </row>
    <row r="49675">
      <c r="H49675" s="8" t="s">
        <v>364</v>
      </c>
    </row>
    <row r="49676">
      <c r="H49676" s="8" t="s">
        <v>364</v>
      </c>
    </row>
    <row r="49677">
      <c r="H49677" s="8" t="s">
        <v>364</v>
      </c>
    </row>
    <row r="49678">
      <c r="H49678" s="8" t="s">
        <v>364</v>
      </c>
    </row>
    <row r="49679">
      <c r="H49679" s="8" t="s">
        <v>364</v>
      </c>
    </row>
    <row r="49680">
      <c r="H49680" s="8" t="s">
        <v>364</v>
      </c>
    </row>
    <row r="49681">
      <c r="H49681" s="8" t="s">
        <v>364</v>
      </c>
    </row>
    <row r="49682">
      <c r="H49682" s="8" t="s">
        <v>364</v>
      </c>
    </row>
    <row r="49683">
      <c r="H49683" s="8" t="s">
        <v>364</v>
      </c>
    </row>
    <row r="49684">
      <c r="H49684" s="8" t="s">
        <v>364</v>
      </c>
    </row>
    <row r="49685">
      <c r="H49685" s="8" t="s">
        <v>364</v>
      </c>
    </row>
    <row r="49686">
      <c r="H49686" s="8" t="s">
        <v>364</v>
      </c>
    </row>
    <row r="49687">
      <c r="H49687" s="8" t="s">
        <v>364</v>
      </c>
    </row>
    <row r="49688">
      <c r="H49688" s="8" t="s">
        <v>364</v>
      </c>
    </row>
    <row r="49689">
      <c r="H49689" s="8" t="s">
        <v>364</v>
      </c>
    </row>
    <row r="49690">
      <c r="H49690" s="8" t="s">
        <v>364</v>
      </c>
    </row>
    <row r="49691">
      <c r="H49691" s="8" t="s">
        <v>364</v>
      </c>
    </row>
    <row r="49692">
      <c r="H49692" s="8" t="s">
        <v>364</v>
      </c>
    </row>
    <row r="49693">
      <c r="H49693" s="8" t="s">
        <v>364</v>
      </c>
    </row>
    <row r="49694">
      <c r="H49694" s="8" t="s">
        <v>364</v>
      </c>
    </row>
    <row r="49695">
      <c r="H49695" s="8" t="s">
        <v>364</v>
      </c>
    </row>
    <row r="49696">
      <c r="H49696" s="8" t="s">
        <v>364</v>
      </c>
    </row>
    <row r="49697">
      <c r="H49697" s="8" t="s">
        <v>364</v>
      </c>
    </row>
    <row r="49698">
      <c r="H49698" s="8" t="s">
        <v>364</v>
      </c>
    </row>
    <row r="49699">
      <c r="H49699" s="8" t="s">
        <v>364</v>
      </c>
    </row>
    <row r="49700">
      <c r="H49700" s="8" t="s">
        <v>364</v>
      </c>
    </row>
    <row r="49701">
      <c r="H49701" s="8" t="s">
        <v>364</v>
      </c>
    </row>
    <row r="49702">
      <c r="H49702" s="8" t="s">
        <v>364</v>
      </c>
    </row>
    <row r="49703">
      <c r="H49703" s="8" t="s">
        <v>364</v>
      </c>
    </row>
    <row r="49704">
      <c r="H49704" s="8" t="s">
        <v>364</v>
      </c>
    </row>
    <row r="49705">
      <c r="H49705" s="8" t="s">
        <v>364</v>
      </c>
    </row>
    <row r="49706">
      <c r="H49706" s="8" t="s">
        <v>364</v>
      </c>
    </row>
    <row r="49707">
      <c r="H49707" s="8" t="s">
        <v>364</v>
      </c>
    </row>
    <row r="49708">
      <c r="H49708" s="8" t="s">
        <v>364</v>
      </c>
    </row>
    <row r="49709">
      <c r="H49709" s="8" t="s">
        <v>364</v>
      </c>
    </row>
    <row r="49710">
      <c r="H49710" s="8" t="s">
        <v>364</v>
      </c>
    </row>
    <row r="49711">
      <c r="H49711" s="8" t="s">
        <v>364</v>
      </c>
    </row>
    <row r="49712">
      <c r="H49712" s="8" t="s">
        <v>364</v>
      </c>
    </row>
    <row r="49713">
      <c r="H49713" s="8" t="s">
        <v>364</v>
      </c>
    </row>
    <row r="49714">
      <c r="H49714" s="8" t="s">
        <v>364</v>
      </c>
    </row>
    <row r="49715">
      <c r="H49715" s="8" t="s">
        <v>364</v>
      </c>
    </row>
    <row r="49716">
      <c r="H49716" s="8" t="s">
        <v>364</v>
      </c>
    </row>
    <row r="49717">
      <c r="H49717" s="8" t="s">
        <v>364</v>
      </c>
    </row>
    <row r="49718">
      <c r="H49718" s="8" t="s">
        <v>364</v>
      </c>
    </row>
    <row r="49719">
      <c r="H49719" s="8" t="s">
        <v>364</v>
      </c>
    </row>
    <row r="49720">
      <c r="H49720" s="8" t="s">
        <v>364</v>
      </c>
    </row>
    <row r="49721">
      <c r="H49721" s="8" t="s">
        <v>364</v>
      </c>
    </row>
    <row r="49722">
      <c r="H49722" s="8" t="s">
        <v>364</v>
      </c>
    </row>
    <row r="49723">
      <c r="H49723" s="8" t="s">
        <v>364</v>
      </c>
    </row>
    <row r="49724">
      <c r="H49724" s="8" t="s">
        <v>364</v>
      </c>
    </row>
    <row r="49725">
      <c r="H49725" s="8" t="s">
        <v>364</v>
      </c>
    </row>
    <row r="49726">
      <c r="H49726" s="8" t="s">
        <v>364</v>
      </c>
    </row>
    <row r="49727">
      <c r="H49727" s="8" t="s">
        <v>364</v>
      </c>
    </row>
    <row r="49728">
      <c r="H49728" s="8" t="s">
        <v>364</v>
      </c>
    </row>
    <row r="49729">
      <c r="H49729" s="8" t="s">
        <v>364</v>
      </c>
    </row>
    <row r="49730">
      <c r="H49730" s="8" t="s">
        <v>364</v>
      </c>
    </row>
    <row r="49731">
      <c r="H49731" s="8" t="s">
        <v>364</v>
      </c>
    </row>
    <row r="49732">
      <c r="H49732" s="8" t="s">
        <v>364</v>
      </c>
    </row>
    <row r="49733">
      <c r="H49733" s="8" t="s">
        <v>364</v>
      </c>
    </row>
    <row r="49734">
      <c r="H49734" s="8" t="s">
        <v>364</v>
      </c>
    </row>
    <row r="49735">
      <c r="H49735" s="8" t="s">
        <v>364</v>
      </c>
    </row>
    <row r="49736">
      <c r="H49736" s="8" t="s">
        <v>364</v>
      </c>
    </row>
    <row r="49737">
      <c r="H49737" s="8" t="s">
        <v>364</v>
      </c>
    </row>
    <row r="49738">
      <c r="H49738" s="8" t="s">
        <v>364</v>
      </c>
    </row>
    <row r="49739">
      <c r="H49739" s="8" t="s">
        <v>364</v>
      </c>
    </row>
    <row r="49740">
      <c r="H49740" s="8" t="s">
        <v>364</v>
      </c>
    </row>
    <row r="49741">
      <c r="H49741" s="8" t="s">
        <v>364</v>
      </c>
    </row>
    <row r="49742">
      <c r="H49742" s="8" t="s">
        <v>364</v>
      </c>
    </row>
    <row r="49743">
      <c r="H49743" s="8" t="s">
        <v>364</v>
      </c>
    </row>
    <row r="49744">
      <c r="H49744" s="8" t="s">
        <v>364</v>
      </c>
    </row>
    <row r="49745">
      <c r="H49745" s="8" t="s">
        <v>364</v>
      </c>
    </row>
    <row r="49746">
      <c r="H49746" s="8" t="s">
        <v>364</v>
      </c>
    </row>
    <row r="49747">
      <c r="H49747" s="8" t="s">
        <v>364</v>
      </c>
    </row>
    <row r="49748">
      <c r="H49748" s="8" t="s">
        <v>364</v>
      </c>
    </row>
    <row r="49749">
      <c r="H49749" s="8" t="s">
        <v>364</v>
      </c>
    </row>
    <row r="49750">
      <c r="H49750" s="8" t="s">
        <v>364</v>
      </c>
    </row>
    <row r="49751">
      <c r="H49751" s="8" t="s">
        <v>364</v>
      </c>
    </row>
    <row r="49752">
      <c r="H49752" s="8" t="s">
        <v>364</v>
      </c>
    </row>
    <row r="49753">
      <c r="H49753" s="8" t="s">
        <v>364</v>
      </c>
    </row>
    <row r="49754">
      <c r="H49754" s="8" t="s">
        <v>364</v>
      </c>
    </row>
    <row r="49755">
      <c r="H49755" s="8" t="s">
        <v>364</v>
      </c>
    </row>
    <row r="49756">
      <c r="H49756" s="8" t="s">
        <v>364</v>
      </c>
    </row>
    <row r="49757">
      <c r="H49757" s="8" t="s">
        <v>364</v>
      </c>
    </row>
    <row r="49758">
      <c r="H49758" s="8" t="s">
        <v>364</v>
      </c>
    </row>
    <row r="49759">
      <c r="H49759" s="8" t="s">
        <v>364</v>
      </c>
    </row>
    <row r="49760">
      <c r="H49760" s="8" t="s">
        <v>364</v>
      </c>
    </row>
    <row r="49761">
      <c r="H49761" s="8" t="s">
        <v>364</v>
      </c>
    </row>
    <row r="49762">
      <c r="H49762" s="8" t="s">
        <v>364</v>
      </c>
    </row>
    <row r="49763">
      <c r="H49763" s="8" t="s">
        <v>364</v>
      </c>
    </row>
    <row r="49764">
      <c r="H49764" s="8" t="s">
        <v>364</v>
      </c>
    </row>
    <row r="49765">
      <c r="H49765" s="8" t="s">
        <v>364</v>
      </c>
    </row>
    <row r="49766">
      <c r="H49766" s="8" t="s">
        <v>364</v>
      </c>
    </row>
    <row r="49767">
      <c r="H49767" s="8" t="s">
        <v>364</v>
      </c>
    </row>
    <row r="49768">
      <c r="H49768" s="8" t="s">
        <v>364</v>
      </c>
    </row>
    <row r="49769">
      <c r="H49769" s="8" t="s">
        <v>364</v>
      </c>
    </row>
    <row r="49770">
      <c r="H49770" s="8" t="s">
        <v>364</v>
      </c>
    </row>
    <row r="49771">
      <c r="H49771" s="8" t="s">
        <v>364</v>
      </c>
    </row>
    <row r="49772">
      <c r="H49772" s="8" t="s">
        <v>364</v>
      </c>
    </row>
    <row r="49773">
      <c r="H49773" s="8" t="s">
        <v>364</v>
      </c>
    </row>
    <row r="49774">
      <c r="H49774" s="8" t="s">
        <v>364</v>
      </c>
    </row>
    <row r="49775">
      <c r="H49775" s="8" t="s">
        <v>364</v>
      </c>
    </row>
    <row r="49776">
      <c r="H49776" s="8" t="s">
        <v>364</v>
      </c>
    </row>
    <row r="49777">
      <c r="H49777" s="8" t="s">
        <v>364</v>
      </c>
    </row>
    <row r="49778">
      <c r="H49778" s="8" t="s">
        <v>364</v>
      </c>
    </row>
    <row r="49779">
      <c r="H49779" s="8" t="s">
        <v>364</v>
      </c>
    </row>
    <row r="49780">
      <c r="H49780" s="8" t="s">
        <v>364</v>
      </c>
    </row>
    <row r="49781">
      <c r="H49781" s="8" t="s">
        <v>364</v>
      </c>
    </row>
    <row r="49782">
      <c r="H49782" s="8" t="s">
        <v>364</v>
      </c>
    </row>
    <row r="49783">
      <c r="H49783" s="8" t="s">
        <v>364</v>
      </c>
    </row>
    <row r="49784">
      <c r="H49784" s="8" t="s">
        <v>364</v>
      </c>
    </row>
    <row r="49785">
      <c r="H49785" s="8" t="s">
        <v>364</v>
      </c>
    </row>
    <row r="49786">
      <c r="H49786" s="8" t="s">
        <v>364</v>
      </c>
    </row>
    <row r="49787">
      <c r="H49787" s="8" t="s">
        <v>364</v>
      </c>
    </row>
    <row r="49788">
      <c r="H49788" s="8" t="s">
        <v>364</v>
      </c>
    </row>
    <row r="49789">
      <c r="H49789" s="8" t="s">
        <v>364</v>
      </c>
    </row>
    <row r="49790">
      <c r="H49790" s="8" t="s">
        <v>364</v>
      </c>
    </row>
    <row r="49791">
      <c r="H49791" s="8" t="s">
        <v>364</v>
      </c>
    </row>
    <row r="49792">
      <c r="H49792" s="8" t="s">
        <v>364</v>
      </c>
    </row>
    <row r="49793">
      <c r="H49793" s="8" t="s">
        <v>364</v>
      </c>
    </row>
    <row r="49794">
      <c r="H49794" s="8" t="s">
        <v>364</v>
      </c>
    </row>
    <row r="49795">
      <c r="H49795" s="8" t="s">
        <v>364</v>
      </c>
    </row>
    <row r="49796">
      <c r="H49796" s="8" t="s">
        <v>364</v>
      </c>
    </row>
    <row r="49797">
      <c r="H49797" s="8" t="s">
        <v>364</v>
      </c>
    </row>
    <row r="49798">
      <c r="H49798" s="8" t="s">
        <v>364</v>
      </c>
    </row>
    <row r="49799">
      <c r="H49799" s="8" t="s">
        <v>364</v>
      </c>
    </row>
    <row r="49800">
      <c r="H49800" s="8" t="s">
        <v>364</v>
      </c>
    </row>
    <row r="49801">
      <c r="H49801" s="8" t="s">
        <v>364</v>
      </c>
    </row>
    <row r="49802">
      <c r="H49802" s="8" t="s">
        <v>364</v>
      </c>
    </row>
    <row r="49803">
      <c r="H49803" s="8" t="s">
        <v>364</v>
      </c>
    </row>
    <row r="49804">
      <c r="H49804" s="8" t="s">
        <v>364</v>
      </c>
    </row>
    <row r="49805">
      <c r="H49805" s="8" t="s">
        <v>364</v>
      </c>
    </row>
    <row r="49806">
      <c r="H49806" s="8" t="s">
        <v>364</v>
      </c>
    </row>
    <row r="49807">
      <c r="H49807" s="8" t="s">
        <v>364</v>
      </c>
    </row>
    <row r="49808">
      <c r="H49808" s="8" t="s">
        <v>364</v>
      </c>
    </row>
    <row r="49809">
      <c r="H49809" s="8" t="s">
        <v>364</v>
      </c>
    </row>
    <row r="49810">
      <c r="H49810" s="8" t="s">
        <v>364</v>
      </c>
    </row>
    <row r="49811">
      <c r="H49811" s="8" t="s">
        <v>364</v>
      </c>
    </row>
    <row r="49812">
      <c r="H49812" s="8" t="s">
        <v>364</v>
      </c>
    </row>
    <row r="49813">
      <c r="H49813" s="8" t="s">
        <v>364</v>
      </c>
    </row>
    <row r="49814">
      <c r="H49814" s="8" t="s">
        <v>364</v>
      </c>
    </row>
    <row r="49815">
      <c r="H49815" s="8" t="s">
        <v>364</v>
      </c>
    </row>
    <row r="49816">
      <c r="H49816" s="8" t="s">
        <v>364</v>
      </c>
    </row>
    <row r="49817">
      <c r="H49817" s="8" t="s">
        <v>364</v>
      </c>
    </row>
    <row r="49818">
      <c r="H49818" s="8" t="s">
        <v>364</v>
      </c>
    </row>
    <row r="49819">
      <c r="H49819" s="8" t="s">
        <v>364</v>
      </c>
    </row>
    <row r="49820">
      <c r="H49820" s="8" t="s">
        <v>364</v>
      </c>
    </row>
    <row r="49821">
      <c r="H49821" s="8" t="s">
        <v>364</v>
      </c>
    </row>
    <row r="49822">
      <c r="H49822" s="8" t="s">
        <v>364</v>
      </c>
    </row>
    <row r="49823">
      <c r="H49823" s="8" t="s">
        <v>364</v>
      </c>
    </row>
    <row r="49824">
      <c r="H49824" s="8" t="s">
        <v>364</v>
      </c>
    </row>
    <row r="49825">
      <c r="H49825" s="8" t="s">
        <v>364</v>
      </c>
    </row>
    <row r="49826">
      <c r="H49826" s="8" t="s">
        <v>364</v>
      </c>
    </row>
    <row r="49827">
      <c r="H49827" s="8" t="s">
        <v>364</v>
      </c>
    </row>
    <row r="49828">
      <c r="H49828" s="8" t="s">
        <v>364</v>
      </c>
    </row>
    <row r="49829">
      <c r="H49829" s="8" t="s">
        <v>364</v>
      </c>
    </row>
    <row r="49830">
      <c r="H49830" s="8" t="s">
        <v>364</v>
      </c>
    </row>
    <row r="49831">
      <c r="H49831" s="8" t="s">
        <v>364</v>
      </c>
    </row>
    <row r="49832">
      <c r="H49832" s="8" t="s">
        <v>364</v>
      </c>
    </row>
    <row r="49833">
      <c r="H49833" s="8" t="s">
        <v>364</v>
      </c>
    </row>
    <row r="49834">
      <c r="H49834" s="8" t="s">
        <v>364</v>
      </c>
    </row>
    <row r="49835">
      <c r="H49835" s="8" t="s">
        <v>364</v>
      </c>
    </row>
    <row r="49836">
      <c r="H49836" s="8" t="s">
        <v>364</v>
      </c>
    </row>
    <row r="49837">
      <c r="H49837" s="8" t="s">
        <v>364</v>
      </c>
    </row>
    <row r="49838">
      <c r="H49838" s="8" t="s">
        <v>364</v>
      </c>
    </row>
    <row r="49839">
      <c r="H49839" s="8" t="s">
        <v>364</v>
      </c>
    </row>
    <row r="49840">
      <c r="H49840" s="8" t="s">
        <v>364</v>
      </c>
    </row>
    <row r="49841">
      <c r="H49841" s="8" t="s">
        <v>364</v>
      </c>
    </row>
    <row r="49842">
      <c r="H49842" s="8" t="s">
        <v>364</v>
      </c>
    </row>
    <row r="49843">
      <c r="H49843" s="8" t="s">
        <v>364</v>
      </c>
    </row>
    <row r="49844">
      <c r="H49844" s="8" t="s">
        <v>364</v>
      </c>
    </row>
    <row r="49845">
      <c r="H49845" s="8" t="s">
        <v>364</v>
      </c>
    </row>
    <row r="49846">
      <c r="H49846" s="8" t="s">
        <v>364</v>
      </c>
    </row>
    <row r="49847">
      <c r="H49847" s="8" t="s">
        <v>364</v>
      </c>
    </row>
    <row r="49848">
      <c r="H49848" s="8" t="s">
        <v>364</v>
      </c>
    </row>
    <row r="49849">
      <c r="H49849" s="8" t="s">
        <v>364</v>
      </c>
    </row>
    <row r="49850">
      <c r="H49850" s="8" t="s">
        <v>364</v>
      </c>
    </row>
    <row r="49851">
      <c r="H49851" s="8" t="s">
        <v>364</v>
      </c>
    </row>
    <row r="49852">
      <c r="H49852" s="8" t="s">
        <v>364</v>
      </c>
    </row>
    <row r="49853">
      <c r="H49853" s="8" t="s">
        <v>364</v>
      </c>
    </row>
    <row r="49854">
      <c r="H49854" s="8" t="s">
        <v>364</v>
      </c>
    </row>
    <row r="49855">
      <c r="H49855" s="8" t="s">
        <v>364</v>
      </c>
    </row>
    <row r="49856">
      <c r="H49856" s="8" t="s">
        <v>364</v>
      </c>
    </row>
    <row r="49857">
      <c r="H49857" s="8" t="s">
        <v>364</v>
      </c>
    </row>
    <row r="49858">
      <c r="H49858" s="8" t="s">
        <v>364</v>
      </c>
    </row>
    <row r="49859">
      <c r="H49859" s="8" t="s">
        <v>364</v>
      </c>
    </row>
    <row r="49860">
      <c r="H49860" s="8" t="s">
        <v>364</v>
      </c>
    </row>
    <row r="49861">
      <c r="H49861" s="8" t="s">
        <v>364</v>
      </c>
    </row>
    <row r="49862">
      <c r="H49862" s="8" t="s">
        <v>364</v>
      </c>
    </row>
    <row r="49863">
      <c r="H49863" s="8" t="s">
        <v>364</v>
      </c>
    </row>
    <row r="49864">
      <c r="H49864" s="8" t="s">
        <v>364</v>
      </c>
    </row>
    <row r="49865">
      <c r="H49865" s="8" t="s">
        <v>364</v>
      </c>
    </row>
    <row r="49866">
      <c r="H49866" s="8" t="s">
        <v>364</v>
      </c>
    </row>
    <row r="49867">
      <c r="H49867" s="8" t="s">
        <v>364</v>
      </c>
    </row>
    <row r="49868">
      <c r="H49868" s="8" t="s">
        <v>364</v>
      </c>
    </row>
    <row r="49869">
      <c r="H49869" s="8" t="s">
        <v>364</v>
      </c>
    </row>
    <row r="49870">
      <c r="H49870" s="8" t="s">
        <v>364</v>
      </c>
    </row>
    <row r="49871">
      <c r="H49871" s="8" t="s">
        <v>364</v>
      </c>
    </row>
    <row r="49872">
      <c r="H49872" s="8" t="s">
        <v>364</v>
      </c>
    </row>
    <row r="49873">
      <c r="H49873" s="8" t="s">
        <v>364</v>
      </c>
    </row>
    <row r="49874">
      <c r="H49874" s="8" t="s">
        <v>364</v>
      </c>
    </row>
    <row r="49875">
      <c r="H49875" s="8" t="s">
        <v>364</v>
      </c>
    </row>
    <row r="49876">
      <c r="H49876" s="8" t="s">
        <v>364</v>
      </c>
    </row>
    <row r="49877">
      <c r="H49877" s="8" t="s">
        <v>364</v>
      </c>
    </row>
    <row r="49878">
      <c r="H49878" s="8" t="s">
        <v>364</v>
      </c>
    </row>
    <row r="49879">
      <c r="H49879" s="8" t="s">
        <v>364</v>
      </c>
    </row>
    <row r="49880">
      <c r="H49880" s="8" t="s">
        <v>364</v>
      </c>
    </row>
    <row r="49881">
      <c r="H49881" s="8" t="s">
        <v>364</v>
      </c>
    </row>
    <row r="49882">
      <c r="H49882" s="8" t="s">
        <v>364</v>
      </c>
    </row>
    <row r="49883">
      <c r="H49883" s="8" t="s">
        <v>364</v>
      </c>
    </row>
    <row r="49884">
      <c r="H49884" s="8" t="s">
        <v>364</v>
      </c>
    </row>
    <row r="49885">
      <c r="H49885" s="8" t="s">
        <v>364</v>
      </c>
    </row>
    <row r="49886">
      <c r="H49886" s="8" t="s">
        <v>364</v>
      </c>
    </row>
    <row r="49887">
      <c r="H49887" s="8" t="s">
        <v>364</v>
      </c>
    </row>
    <row r="49888">
      <c r="H49888" s="8" t="s">
        <v>364</v>
      </c>
    </row>
    <row r="49889">
      <c r="H49889" s="8" t="s">
        <v>364</v>
      </c>
    </row>
    <row r="49890">
      <c r="H49890" s="8" t="s">
        <v>364</v>
      </c>
    </row>
    <row r="49891">
      <c r="H49891" s="8" t="s">
        <v>364</v>
      </c>
    </row>
    <row r="49892">
      <c r="H49892" s="8" t="s">
        <v>364</v>
      </c>
    </row>
    <row r="49893">
      <c r="H49893" s="8" t="s">
        <v>364</v>
      </c>
    </row>
    <row r="49894">
      <c r="H49894" s="8" t="s">
        <v>364</v>
      </c>
    </row>
    <row r="49895">
      <c r="H49895" s="8" t="s">
        <v>364</v>
      </c>
    </row>
    <row r="49896">
      <c r="H49896" s="8" t="s">
        <v>364</v>
      </c>
    </row>
    <row r="49897">
      <c r="H49897" s="8" t="s">
        <v>364</v>
      </c>
    </row>
    <row r="49898">
      <c r="H49898" s="8" t="s">
        <v>364</v>
      </c>
    </row>
    <row r="49899">
      <c r="H49899" s="8" t="s">
        <v>364</v>
      </c>
    </row>
    <row r="49900">
      <c r="H49900" s="8" t="s">
        <v>364</v>
      </c>
    </row>
    <row r="49901">
      <c r="H49901" s="8" t="s">
        <v>364</v>
      </c>
    </row>
    <row r="49902">
      <c r="H49902" s="8" t="s">
        <v>364</v>
      </c>
    </row>
    <row r="49903">
      <c r="H49903" s="8" t="s">
        <v>364</v>
      </c>
    </row>
    <row r="49904">
      <c r="H49904" s="8" t="s">
        <v>364</v>
      </c>
    </row>
    <row r="49905">
      <c r="H49905" s="8" t="s">
        <v>364</v>
      </c>
    </row>
    <row r="49906">
      <c r="H49906" s="8" t="s">
        <v>364</v>
      </c>
    </row>
    <row r="49907">
      <c r="H49907" s="8" t="s">
        <v>364</v>
      </c>
    </row>
    <row r="49908">
      <c r="H49908" s="8" t="s">
        <v>364</v>
      </c>
    </row>
    <row r="49909">
      <c r="H49909" s="8" t="s">
        <v>364</v>
      </c>
    </row>
    <row r="49910">
      <c r="H49910" s="8" t="s">
        <v>364</v>
      </c>
    </row>
    <row r="49911">
      <c r="H49911" s="8" t="s">
        <v>364</v>
      </c>
    </row>
    <row r="49912">
      <c r="H49912" s="8" t="s">
        <v>364</v>
      </c>
    </row>
    <row r="49913">
      <c r="H49913" s="8" t="s">
        <v>364</v>
      </c>
    </row>
    <row r="49914">
      <c r="H49914" s="8" t="s">
        <v>364</v>
      </c>
    </row>
    <row r="49915">
      <c r="H49915" s="8" t="s">
        <v>364</v>
      </c>
    </row>
    <row r="49916">
      <c r="H49916" s="8" t="s">
        <v>364</v>
      </c>
    </row>
    <row r="49917">
      <c r="H49917" s="8" t="s">
        <v>364</v>
      </c>
    </row>
    <row r="49918">
      <c r="H49918" s="8" t="s">
        <v>364</v>
      </c>
    </row>
    <row r="49919">
      <c r="H49919" s="8" t="s">
        <v>364</v>
      </c>
    </row>
    <row r="49920">
      <c r="H49920" s="8" t="s">
        <v>364</v>
      </c>
    </row>
    <row r="49921">
      <c r="H49921" s="8" t="s">
        <v>364</v>
      </c>
    </row>
    <row r="49922">
      <c r="H49922" s="8" t="s">
        <v>364</v>
      </c>
    </row>
    <row r="49923">
      <c r="H49923" s="8" t="s">
        <v>364</v>
      </c>
    </row>
    <row r="49924">
      <c r="H49924" s="8" t="s">
        <v>364</v>
      </c>
    </row>
    <row r="49925">
      <c r="H49925" s="8" t="s">
        <v>364</v>
      </c>
    </row>
    <row r="49926">
      <c r="H49926" s="8" t="s">
        <v>364</v>
      </c>
    </row>
    <row r="49927">
      <c r="H49927" s="8" t="s">
        <v>364</v>
      </c>
    </row>
    <row r="49928">
      <c r="H49928" s="8" t="s">
        <v>364</v>
      </c>
    </row>
    <row r="49929">
      <c r="H49929" s="8" t="s">
        <v>364</v>
      </c>
    </row>
    <row r="49930">
      <c r="H49930" s="8" t="s">
        <v>364</v>
      </c>
    </row>
    <row r="49931">
      <c r="H49931" s="8" t="s">
        <v>364</v>
      </c>
    </row>
    <row r="49932">
      <c r="H49932" s="8" t="s">
        <v>364</v>
      </c>
    </row>
    <row r="49933">
      <c r="H49933" s="8" t="s">
        <v>364</v>
      </c>
    </row>
    <row r="49934">
      <c r="H49934" s="8" t="s">
        <v>364</v>
      </c>
    </row>
    <row r="49935">
      <c r="H49935" s="8" t="s">
        <v>364</v>
      </c>
    </row>
    <row r="49936">
      <c r="H49936" s="8" t="s">
        <v>364</v>
      </c>
    </row>
    <row r="49937">
      <c r="H49937" s="8" t="s">
        <v>364</v>
      </c>
    </row>
    <row r="49938">
      <c r="H49938" s="8" t="s">
        <v>364</v>
      </c>
    </row>
    <row r="49939">
      <c r="H49939" s="8" t="s">
        <v>364</v>
      </c>
    </row>
    <row r="49940">
      <c r="H49940" s="8" t="s">
        <v>364</v>
      </c>
    </row>
    <row r="49941">
      <c r="H49941" s="8" t="s">
        <v>364</v>
      </c>
    </row>
    <row r="49942">
      <c r="H49942" s="8" t="s">
        <v>364</v>
      </c>
    </row>
    <row r="49943">
      <c r="H49943" s="8" t="s">
        <v>364</v>
      </c>
    </row>
    <row r="49944">
      <c r="H49944" s="8" t="s">
        <v>364</v>
      </c>
    </row>
    <row r="49945">
      <c r="H49945" s="8" t="s">
        <v>364</v>
      </c>
    </row>
    <row r="49946">
      <c r="H49946" s="8" t="s">
        <v>364</v>
      </c>
    </row>
    <row r="49947">
      <c r="H49947" s="8" t="s">
        <v>364</v>
      </c>
    </row>
    <row r="49948">
      <c r="H49948" s="8" t="s">
        <v>364</v>
      </c>
    </row>
    <row r="49949">
      <c r="H49949" s="8" t="s">
        <v>364</v>
      </c>
    </row>
    <row r="49950">
      <c r="H49950" s="8" t="s">
        <v>364</v>
      </c>
    </row>
    <row r="49951">
      <c r="H49951" s="8" t="s">
        <v>364</v>
      </c>
    </row>
    <row r="49952">
      <c r="H49952" s="8" t="s">
        <v>364</v>
      </c>
    </row>
    <row r="49953">
      <c r="H49953" s="8" t="s">
        <v>364</v>
      </c>
    </row>
    <row r="49954">
      <c r="H49954" s="8" t="s">
        <v>364</v>
      </c>
    </row>
    <row r="49955">
      <c r="H49955" s="8" t="s">
        <v>364</v>
      </c>
    </row>
    <row r="49956">
      <c r="H49956" s="8" t="s">
        <v>364</v>
      </c>
    </row>
    <row r="49957">
      <c r="H49957" s="8" t="s">
        <v>364</v>
      </c>
    </row>
    <row r="49958">
      <c r="H49958" s="8" t="s">
        <v>364</v>
      </c>
    </row>
    <row r="49959">
      <c r="H49959" s="8" t="s">
        <v>364</v>
      </c>
    </row>
    <row r="49960">
      <c r="H49960" s="8" t="s">
        <v>364</v>
      </c>
    </row>
    <row r="49961">
      <c r="H49961" s="8" t="s">
        <v>364</v>
      </c>
    </row>
    <row r="49962">
      <c r="H49962" s="8" t="s">
        <v>364</v>
      </c>
    </row>
    <row r="49963">
      <c r="H49963" s="8" t="s">
        <v>364</v>
      </c>
    </row>
    <row r="49964">
      <c r="H49964" s="8" t="s">
        <v>364</v>
      </c>
    </row>
    <row r="49965">
      <c r="H49965" s="8" t="s">
        <v>364</v>
      </c>
    </row>
    <row r="49966">
      <c r="H49966" s="8" t="s">
        <v>364</v>
      </c>
    </row>
    <row r="49967">
      <c r="H49967" s="8" t="s">
        <v>364</v>
      </c>
    </row>
    <row r="49968">
      <c r="H49968" s="8" t="s">
        <v>364</v>
      </c>
    </row>
    <row r="49969">
      <c r="H49969" s="8" t="s">
        <v>364</v>
      </c>
    </row>
    <row r="49970">
      <c r="H49970" s="8" t="s">
        <v>364</v>
      </c>
    </row>
    <row r="49971">
      <c r="H49971" s="8" t="s">
        <v>364</v>
      </c>
    </row>
    <row r="49972">
      <c r="H49972" s="8" t="s">
        <v>364</v>
      </c>
    </row>
    <row r="49973">
      <c r="H49973" s="8" t="s">
        <v>364</v>
      </c>
    </row>
    <row r="49974">
      <c r="H49974" s="8" t="s">
        <v>364</v>
      </c>
    </row>
    <row r="49975">
      <c r="H49975" s="8" t="s">
        <v>364</v>
      </c>
    </row>
    <row r="49976">
      <c r="H49976" s="8" t="s">
        <v>364</v>
      </c>
    </row>
    <row r="49977">
      <c r="H49977" s="8" t="s">
        <v>364</v>
      </c>
    </row>
    <row r="49978">
      <c r="H49978" s="8" t="s">
        <v>364</v>
      </c>
    </row>
    <row r="49979">
      <c r="H49979" s="8" t="s">
        <v>364</v>
      </c>
    </row>
    <row r="49980">
      <c r="H49980" s="8" t="s">
        <v>364</v>
      </c>
    </row>
    <row r="49981">
      <c r="H49981" s="8" t="s">
        <v>364</v>
      </c>
    </row>
    <row r="49982">
      <c r="H49982" s="8" t="s">
        <v>364</v>
      </c>
    </row>
    <row r="49983">
      <c r="H49983" s="8" t="s">
        <v>364</v>
      </c>
    </row>
    <row r="49984">
      <c r="H49984" s="8" t="s">
        <v>364</v>
      </c>
    </row>
    <row r="49985">
      <c r="H49985" s="8" t="s">
        <v>364</v>
      </c>
    </row>
    <row r="49986">
      <c r="H49986" s="8" t="s">
        <v>364</v>
      </c>
    </row>
    <row r="49987">
      <c r="H49987" s="8" t="s">
        <v>364</v>
      </c>
    </row>
    <row r="49988">
      <c r="H49988" s="8" t="s">
        <v>364</v>
      </c>
    </row>
    <row r="49989">
      <c r="H49989" s="8" t="s">
        <v>364</v>
      </c>
    </row>
    <row r="49990">
      <c r="H49990" s="8" t="s">
        <v>364</v>
      </c>
    </row>
    <row r="49991">
      <c r="H49991" s="8" t="s">
        <v>364</v>
      </c>
    </row>
    <row r="49992">
      <c r="H49992" s="8" t="s">
        <v>364</v>
      </c>
    </row>
    <row r="49993">
      <c r="H49993" s="8" t="s">
        <v>364</v>
      </c>
    </row>
    <row r="49994">
      <c r="H49994" s="8" t="s">
        <v>364</v>
      </c>
    </row>
    <row r="49995">
      <c r="H49995" s="8" t="s">
        <v>364</v>
      </c>
    </row>
    <row r="49996">
      <c r="H49996" s="8" t="s">
        <v>364</v>
      </c>
    </row>
    <row r="49997">
      <c r="H49997" s="8" t="s">
        <v>364</v>
      </c>
    </row>
    <row r="49998">
      <c r="H49998" s="8" t="s">
        <v>364</v>
      </c>
    </row>
    <row r="49999">
      <c r="H49999" s="8" t="s">
        <v>364</v>
      </c>
    </row>
    <row r="50000">
      <c r="H50000" s="8" t="s">
        <v>364</v>
      </c>
    </row>
    <row r="50001">
      <c r="H50001" s="8" t="s">
        <v>364</v>
      </c>
    </row>
    <row r="50002">
      <c r="H50002" s="8" t="s">
        <v>364</v>
      </c>
    </row>
    <row r="50003">
      <c r="H50003" s="8" t="s">
        <v>364</v>
      </c>
    </row>
    <row r="50004">
      <c r="H50004" s="8" t="s">
        <v>364</v>
      </c>
    </row>
    <row r="50005">
      <c r="H50005" s="8" t="s">
        <v>364</v>
      </c>
    </row>
    <row r="50006">
      <c r="H50006" s="8" t="s">
        <v>364</v>
      </c>
    </row>
    <row r="50007">
      <c r="H50007" s="8" t="s">
        <v>364</v>
      </c>
    </row>
    <row r="50008">
      <c r="H50008" s="8" t="s">
        <v>364</v>
      </c>
    </row>
    <row r="50009">
      <c r="H50009" s="8" t="s">
        <v>364</v>
      </c>
    </row>
    <row r="50010">
      <c r="H50010" s="8" t="s">
        <v>364</v>
      </c>
    </row>
    <row r="50011">
      <c r="H50011" s="8" t="s">
        <v>364</v>
      </c>
    </row>
    <row r="50012">
      <c r="H50012" s="8" t="s">
        <v>364</v>
      </c>
    </row>
    <row r="50013">
      <c r="H50013" s="8" t="s">
        <v>364</v>
      </c>
    </row>
    <row r="50014">
      <c r="H50014" s="8" t="s">
        <v>364</v>
      </c>
    </row>
    <row r="50015">
      <c r="H50015" s="8" t="s">
        <v>364</v>
      </c>
    </row>
    <row r="50016">
      <c r="H50016" s="8" t="s">
        <v>364</v>
      </c>
    </row>
    <row r="50017">
      <c r="H50017" s="8" t="s">
        <v>364</v>
      </c>
    </row>
    <row r="50018">
      <c r="H50018" s="8" t="s">
        <v>364</v>
      </c>
    </row>
    <row r="50019">
      <c r="H50019" s="8" t="s">
        <v>364</v>
      </c>
    </row>
    <row r="50020">
      <c r="H50020" s="8" t="s">
        <v>364</v>
      </c>
    </row>
    <row r="50021">
      <c r="H50021" s="8" t="s">
        <v>364</v>
      </c>
    </row>
    <row r="50022">
      <c r="H50022" s="8" t="s">
        <v>364</v>
      </c>
    </row>
    <row r="50023">
      <c r="H50023" s="8" t="s">
        <v>364</v>
      </c>
    </row>
    <row r="50024">
      <c r="H50024" s="8" t="s">
        <v>364</v>
      </c>
    </row>
    <row r="50025">
      <c r="H50025" s="8" t="s">
        <v>364</v>
      </c>
    </row>
    <row r="50026">
      <c r="H50026" s="8" t="s">
        <v>364</v>
      </c>
    </row>
    <row r="50027">
      <c r="H50027" s="8" t="s">
        <v>364</v>
      </c>
    </row>
    <row r="50028">
      <c r="H50028" s="8" t="s">
        <v>364</v>
      </c>
    </row>
    <row r="50029">
      <c r="H50029" s="8" t="s">
        <v>364</v>
      </c>
    </row>
    <row r="50030">
      <c r="H50030" s="8" t="s">
        <v>364</v>
      </c>
    </row>
    <row r="50031">
      <c r="H50031" s="8" t="s">
        <v>364</v>
      </c>
    </row>
    <row r="50032">
      <c r="H50032" s="8" t="s">
        <v>364</v>
      </c>
    </row>
    <row r="50033">
      <c r="H50033" s="8" t="s">
        <v>364</v>
      </c>
    </row>
    <row r="50034">
      <c r="H50034" s="8" t="s">
        <v>364</v>
      </c>
    </row>
    <row r="50035">
      <c r="H50035" s="8" t="s">
        <v>364</v>
      </c>
    </row>
    <row r="50036">
      <c r="H50036" s="8" t="s">
        <v>364</v>
      </c>
    </row>
    <row r="50037">
      <c r="H50037" s="8" t="s">
        <v>364</v>
      </c>
    </row>
    <row r="50038">
      <c r="H50038" s="8" t="s">
        <v>364</v>
      </c>
    </row>
    <row r="50039">
      <c r="H50039" s="8" t="s">
        <v>364</v>
      </c>
    </row>
    <row r="50040">
      <c r="H50040" s="8" t="s">
        <v>364</v>
      </c>
    </row>
    <row r="50041">
      <c r="H50041" s="8" t="s">
        <v>364</v>
      </c>
    </row>
    <row r="50042">
      <c r="H50042" s="8" t="s">
        <v>364</v>
      </c>
    </row>
    <row r="50043">
      <c r="H50043" s="8" t="s">
        <v>364</v>
      </c>
    </row>
    <row r="50044">
      <c r="H50044" s="8" t="s">
        <v>364</v>
      </c>
    </row>
    <row r="50045">
      <c r="H50045" s="8" t="s">
        <v>364</v>
      </c>
    </row>
    <row r="50046">
      <c r="H50046" s="8" t="s">
        <v>364</v>
      </c>
    </row>
    <row r="50047">
      <c r="H50047" s="8" t="s">
        <v>364</v>
      </c>
    </row>
    <row r="50048">
      <c r="H50048" s="8" t="s">
        <v>364</v>
      </c>
    </row>
    <row r="50049">
      <c r="H50049" s="8" t="s">
        <v>364</v>
      </c>
    </row>
    <row r="50050">
      <c r="H50050" s="8" t="s">
        <v>364</v>
      </c>
    </row>
    <row r="50051">
      <c r="H50051" s="8" t="s">
        <v>364</v>
      </c>
    </row>
    <row r="50052">
      <c r="H50052" s="8" t="s">
        <v>364</v>
      </c>
    </row>
    <row r="50053">
      <c r="H50053" s="8" t="s">
        <v>364</v>
      </c>
    </row>
    <row r="50054">
      <c r="H50054" s="8" t="s">
        <v>364</v>
      </c>
    </row>
    <row r="50055">
      <c r="H50055" s="8" t="s">
        <v>364</v>
      </c>
    </row>
    <row r="50056">
      <c r="H50056" s="8" t="s">
        <v>364</v>
      </c>
    </row>
    <row r="50057">
      <c r="H50057" s="8" t="s">
        <v>364</v>
      </c>
    </row>
    <row r="50058">
      <c r="H50058" s="8" t="s">
        <v>364</v>
      </c>
    </row>
    <row r="50059">
      <c r="H50059" s="8" t="s">
        <v>364</v>
      </c>
    </row>
    <row r="50060">
      <c r="H50060" s="8" t="s">
        <v>364</v>
      </c>
    </row>
    <row r="50061">
      <c r="H50061" s="8" t="s">
        <v>364</v>
      </c>
    </row>
    <row r="50062">
      <c r="H50062" s="8" t="s">
        <v>364</v>
      </c>
    </row>
    <row r="50063">
      <c r="H50063" s="8" t="s">
        <v>364</v>
      </c>
    </row>
    <row r="50064">
      <c r="H50064" s="8" t="s">
        <v>364</v>
      </c>
    </row>
    <row r="50065">
      <c r="H50065" s="8" t="s">
        <v>364</v>
      </c>
    </row>
    <row r="50066">
      <c r="H50066" s="8" t="s">
        <v>364</v>
      </c>
    </row>
    <row r="50067">
      <c r="H50067" s="8" t="s">
        <v>364</v>
      </c>
    </row>
    <row r="50068">
      <c r="H50068" s="8" t="s">
        <v>364</v>
      </c>
    </row>
    <row r="50069">
      <c r="H50069" s="8" t="s">
        <v>364</v>
      </c>
    </row>
    <row r="50070">
      <c r="H50070" s="8" t="s">
        <v>364</v>
      </c>
    </row>
    <row r="50071">
      <c r="H50071" s="8" t="s">
        <v>364</v>
      </c>
    </row>
    <row r="50072">
      <c r="H50072" s="8" t="s">
        <v>364</v>
      </c>
    </row>
    <row r="50073">
      <c r="H50073" s="8" t="s">
        <v>364</v>
      </c>
    </row>
    <row r="50074">
      <c r="H50074" s="8" t="s">
        <v>364</v>
      </c>
    </row>
    <row r="50075">
      <c r="H50075" s="8" t="s">
        <v>364</v>
      </c>
    </row>
    <row r="50076">
      <c r="H50076" s="8" t="s">
        <v>364</v>
      </c>
    </row>
    <row r="50077">
      <c r="H50077" s="8" t="s">
        <v>364</v>
      </c>
    </row>
    <row r="50078">
      <c r="H50078" s="8" t="s">
        <v>364</v>
      </c>
    </row>
    <row r="50079">
      <c r="H50079" s="8" t="s">
        <v>364</v>
      </c>
    </row>
    <row r="50080">
      <c r="H50080" s="8" t="s">
        <v>364</v>
      </c>
    </row>
    <row r="50081">
      <c r="H50081" s="8" t="s">
        <v>364</v>
      </c>
    </row>
    <row r="50082">
      <c r="H50082" s="8" t="s">
        <v>364</v>
      </c>
    </row>
    <row r="50083">
      <c r="H50083" s="8" t="s">
        <v>364</v>
      </c>
    </row>
    <row r="50084">
      <c r="H50084" s="8" t="s">
        <v>364</v>
      </c>
    </row>
    <row r="50085">
      <c r="H50085" s="8" t="s">
        <v>364</v>
      </c>
    </row>
    <row r="50086">
      <c r="H50086" s="8" t="s">
        <v>364</v>
      </c>
    </row>
    <row r="50087">
      <c r="H50087" s="8" t="s">
        <v>364</v>
      </c>
    </row>
    <row r="50088">
      <c r="H50088" s="8" t="s">
        <v>364</v>
      </c>
    </row>
    <row r="50089">
      <c r="H50089" s="8" t="s">
        <v>364</v>
      </c>
    </row>
    <row r="50090">
      <c r="H50090" s="8" t="s">
        <v>364</v>
      </c>
    </row>
    <row r="50091">
      <c r="H50091" s="8" t="s">
        <v>364</v>
      </c>
    </row>
    <row r="50092">
      <c r="H50092" s="8" t="s">
        <v>364</v>
      </c>
    </row>
    <row r="50093">
      <c r="H50093" s="8" t="s">
        <v>364</v>
      </c>
    </row>
    <row r="50094">
      <c r="H50094" s="8" t="s">
        <v>364</v>
      </c>
    </row>
    <row r="50095">
      <c r="H50095" s="8" t="s">
        <v>364</v>
      </c>
    </row>
    <row r="50096">
      <c r="H50096" s="8" t="s">
        <v>364</v>
      </c>
    </row>
    <row r="50097">
      <c r="H50097" s="8" t="s">
        <v>364</v>
      </c>
    </row>
    <row r="50098">
      <c r="H50098" s="8" t="s">
        <v>364</v>
      </c>
    </row>
    <row r="50099">
      <c r="H50099" s="8" t="s">
        <v>364</v>
      </c>
    </row>
    <row r="50100">
      <c r="H50100" s="8" t="s">
        <v>364</v>
      </c>
    </row>
    <row r="50101">
      <c r="H50101" s="8" t="s">
        <v>364</v>
      </c>
    </row>
    <row r="50102">
      <c r="H50102" s="8" t="s">
        <v>364</v>
      </c>
    </row>
    <row r="50103">
      <c r="H50103" s="8" t="s">
        <v>364</v>
      </c>
    </row>
    <row r="50104">
      <c r="H50104" s="8" t="s">
        <v>364</v>
      </c>
    </row>
    <row r="50105">
      <c r="H50105" s="8" t="s">
        <v>364</v>
      </c>
    </row>
    <row r="50106">
      <c r="H50106" s="8" t="s">
        <v>364</v>
      </c>
    </row>
    <row r="50107">
      <c r="H50107" s="8" t="s">
        <v>364</v>
      </c>
    </row>
    <row r="50108">
      <c r="H50108" s="8" t="s">
        <v>364</v>
      </c>
    </row>
    <row r="50109">
      <c r="H50109" s="8" t="s">
        <v>364</v>
      </c>
    </row>
    <row r="50110">
      <c r="H50110" s="8" t="s">
        <v>364</v>
      </c>
    </row>
    <row r="50111">
      <c r="H50111" s="8" t="s">
        <v>364</v>
      </c>
    </row>
    <row r="50112">
      <c r="H50112" s="8" t="s">
        <v>364</v>
      </c>
    </row>
    <row r="50113">
      <c r="H50113" s="8" t="s">
        <v>364</v>
      </c>
    </row>
    <row r="50114">
      <c r="H50114" s="8" t="s">
        <v>364</v>
      </c>
    </row>
    <row r="50115">
      <c r="H50115" s="8" t="s">
        <v>364</v>
      </c>
    </row>
    <row r="50116">
      <c r="H50116" s="8" t="s">
        <v>364</v>
      </c>
    </row>
    <row r="50117">
      <c r="H50117" s="8" t="s">
        <v>364</v>
      </c>
    </row>
    <row r="50118">
      <c r="H50118" s="8" t="s">
        <v>364</v>
      </c>
    </row>
    <row r="50119">
      <c r="H50119" s="8" t="s">
        <v>364</v>
      </c>
    </row>
    <row r="50120">
      <c r="H50120" s="8" t="s">
        <v>364</v>
      </c>
    </row>
    <row r="50121">
      <c r="H50121" s="8" t="s">
        <v>364</v>
      </c>
    </row>
    <row r="50122">
      <c r="H50122" s="8" t="s">
        <v>364</v>
      </c>
    </row>
    <row r="50123">
      <c r="H50123" s="8" t="s">
        <v>364</v>
      </c>
    </row>
    <row r="50124">
      <c r="H50124" s="8" t="s">
        <v>364</v>
      </c>
    </row>
    <row r="50125">
      <c r="H50125" s="8" t="s">
        <v>364</v>
      </c>
    </row>
    <row r="50126">
      <c r="H50126" s="8" t="s">
        <v>364</v>
      </c>
    </row>
    <row r="50127">
      <c r="H50127" s="8" t="s">
        <v>364</v>
      </c>
    </row>
    <row r="50128">
      <c r="H50128" s="8" t="s">
        <v>364</v>
      </c>
    </row>
    <row r="50129">
      <c r="H50129" s="8" t="s">
        <v>364</v>
      </c>
    </row>
    <row r="50130">
      <c r="H50130" s="8" t="s">
        <v>364</v>
      </c>
    </row>
    <row r="50131">
      <c r="H50131" s="8" t="s">
        <v>364</v>
      </c>
    </row>
    <row r="50132">
      <c r="H50132" s="8" t="s">
        <v>364</v>
      </c>
    </row>
    <row r="50133">
      <c r="H50133" s="8" t="s">
        <v>364</v>
      </c>
    </row>
    <row r="50134">
      <c r="H50134" s="8" t="s">
        <v>364</v>
      </c>
    </row>
    <row r="50135">
      <c r="H50135" s="8" t="s">
        <v>364</v>
      </c>
    </row>
    <row r="50136">
      <c r="H50136" s="8" t="s">
        <v>364</v>
      </c>
    </row>
    <row r="50137">
      <c r="H50137" s="8" t="s">
        <v>364</v>
      </c>
    </row>
    <row r="50138">
      <c r="H50138" s="8" t="s">
        <v>364</v>
      </c>
    </row>
    <row r="50139">
      <c r="H50139" s="8" t="s">
        <v>364</v>
      </c>
    </row>
    <row r="50140">
      <c r="H50140" s="8" t="s">
        <v>364</v>
      </c>
    </row>
    <row r="50141">
      <c r="H50141" s="8" t="s">
        <v>364</v>
      </c>
    </row>
    <row r="50142">
      <c r="H50142" s="8" t="s">
        <v>364</v>
      </c>
    </row>
    <row r="50143">
      <c r="H50143" s="8" t="s">
        <v>364</v>
      </c>
    </row>
    <row r="50144">
      <c r="H50144" s="8" t="s">
        <v>364</v>
      </c>
    </row>
    <row r="50145">
      <c r="H50145" s="8" t="s">
        <v>364</v>
      </c>
    </row>
    <row r="50146">
      <c r="H50146" s="8" t="s">
        <v>364</v>
      </c>
    </row>
    <row r="50147">
      <c r="H50147" s="8" t="s">
        <v>364</v>
      </c>
    </row>
    <row r="50148">
      <c r="H50148" s="8" t="s">
        <v>364</v>
      </c>
    </row>
    <row r="50149">
      <c r="H50149" s="8" t="s">
        <v>364</v>
      </c>
    </row>
    <row r="50150">
      <c r="H50150" s="8" t="s">
        <v>364</v>
      </c>
    </row>
    <row r="50151">
      <c r="H50151" s="8" t="s">
        <v>364</v>
      </c>
    </row>
    <row r="50152">
      <c r="H50152" s="8" t="s">
        <v>364</v>
      </c>
    </row>
    <row r="50153">
      <c r="H50153" s="8" t="s">
        <v>364</v>
      </c>
    </row>
    <row r="50154">
      <c r="H50154" s="8" t="s">
        <v>364</v>
      </c>
    </row>
    <row r="50155">
      <c r="H50155" s="8" t="s">
        <v>364</v>
      </c>
    </row>
    <row r="50156">
      <c r="H50156" s="8" t="s">
        <v>364</v>
      </c>
    </row>
    <row r="50157">
      <c r="H50157" s="8" t="s">
        <v>364</v>
      </c>
    </row>
    <row r="50158">
      <c r="H50158" s="8" t="s">
        <v>364</v>
      </c>
    </row>
    <row r="50159">
      <c r="H50159" s="8" t="s">
        <v>364</v>
      </c>
    </row>
    <row r="50160">
      <c r="H50160" s="8" t="s">
        <v>364</v>
      </c>
    </row>
    <row r="50161">
      <c r="H50161" s="8" t="s">
        <v>364</v>
      </c>
    </row>
    <row r="50162">
      <c r="H50162" s="8" t="s">
        <v>364</v>
      </c>
    </row>
    <row r="50163">
      <c r="H50163" s="8" t="s">
        <v>364</v>
      </c>
    </row>
    <row r="50164">
      <c r="H50164" s="8" t="s">
        <v>364</v>
      </c>
    </row>
    <row r="50165">
      <c r="H50165" s="8" t="s">
        <v>364</v>
      </c>
    </row>
    <row r="50166">
      <c r="H50166" s="8" t="s">
        <v>364</v>
      </c>
    </row>
    <row r="50167">
      <c r="H50167" s="8" t="s">
        <v>364</v>
      </c>
    </row>
    <row r="50168">
      <c r="H50168" s="8" t="s">
        <v>364</v>
      </c>
    </row>
    <row r="50169">
      <c r="H50169" s="8" t="s">
        <v>364</v>
      </c>
    </row>
    <row r="50170">
      <c r="H50170" s="8" t="s">
        <v>364</v>
      </c>
    </row>
    <row r="50171">
      <c r="H50171" s="8" t="s">
        <v>364</v>
      </c>
    </row>
    <row r="50172">
      <c r="H50172" s="8" t="s">
        <v>364</v>
      </c>
    </row>
    <row r="50173">
      <c r="H50173" s="8" t="s">
        <v>364</v>
      </c>
    </row>
    <row r="50174">
      <c r="H50174" s="8" t="s">
        <v>364</v>
      </c>
    </row>
    <row r="50175">
      <c r="H50175" s="8" t="s">
        <v>364</v>
      </c>
    </row>
    <row r="50176">
      <c r="H50176" s="8" t="s">
        <v>364</v>
      </c>
    </row>
    <row r="50177">
      <c r="H50177" s="8" t="s">
        <v>364</v>
      </c>
    </row>
    <row r="50178">
      <c r="H50178" s="8" t="s">
        <v>364</v>
      </c>
    </row>
    <row r="50179">
      <c r="H50179" s="8" t="s">
        <v>364</v>
      </c>
    </row>
    <row r="50180">
      <c r="H50180" s="8" t="s">
        <v>364</v>
      </c>
    </row>
    <row r="50181">
      <c r="H50181" s="8" t="s">
        <v>364</v>
      </c>
    </row>
    <row r="50182">
      <c r="H50182" s="8" t="s">
        <v>364</v>
      </c>
    </row>
    <row r="50183">
      <c r="H50183" s="8" t="s">
        <v>364</v>
      </c>
    </row>
    <row r="50184">
      <c r="H50184" s="8" t="s">
        <v>364</v>
      </c>
    </row>
    <row r="50185">
      <c r="H50185" s="8" t="s">
        <v>364</v>
      </c>
    </row>
    <row r="50186">
      <c r="H50186" s="8" t="s">
        <v>364</v>
      </c>
    </row>
    <row r="50187">
      <c r="H50187" s="8" t="s">
        <v>364</v>
      </c>
    </row>
    <row r="50188">
      <c r="H50188" s="8" t="s">
        <v>364</v>
      </c>
    </row>
    <row r="50189">
      <c r="H50189" s="8" t="s">
        <v>364</v>
      </c>
    </row>
    <row r="50190">
      <c r="H50190" s="8" t="s">
        <v>364</v>
      </c>
    </row>
    <row r="50191">
      <c r="H50191" s="8" t="s">
        <v>364</v>
      </c>
    </row>
    <row r="50192">
      <c r="H50192" s="8" t="s">
        <v>364</v>
      </c>
    </row>
    <row r="50193">
      <c r="H50193" s="8" t="s">
        <v>364</v>
      </c>
    </row>
    <row r="50194">
      <c r="H50194" s="8" t="s">
        <v>364</v>
      </c>
    </row>
    <row r="50195">
      <c r="H50195" s="8" t="s">
        <v>364</v>
      </c>
    </row>
    <row r="50196">
      <c r="H50196" s="8" t="s">
        <v>364</v>
      </c>
    </row>
    <row r="50197">
      <c r="H50197" s="8" t="s">
        <v>364</v>
      </c>
    </row>
    <row r="50198">
      <c r="H50198" s="8" t="s">
        <v>364</v>
      </c>
    </row>
    <row r="50199">
      <c r="H50199" s="8" t="s">
        <v>364</v>
      </c>
    </row>
    <row r="50200">
      <c r="H50200" s="8" t="s">
        <v>364</v>
      </c>
    </row>
    <row r="50201">
      <c r="H50201" s="8" t="s">
        <v>364</v>
      </c>
    </row>
    <row r="50202">
      <c r="H50202" s="8" t="s">
        <v>364</v>
      </c>
    </row>
    <row r="50203">
      <c r="H50203" s="8" t="s">
        <v>364</v>
      </c>
    </row>
    <row r="50204">
      <c r="H50204" s="8" t="s">
        <v>364</v>
      </c>
    </row>
    <row r="50205">
      <c r="H50205" s="8" t="s">
        <v>364</v>
      </c>
    </row>
    <row r="50206">
      <c r="H50206" s="8" t="s">
        <v>364</v>
      </c>
    </row>
    <row r="50207">
      <c r="H50207" s="8" t="s">
        <v>364</v>
      </c>
    </row>
    <row r="50208">
      <c r="H50208" s="8" t="s">
        <v>364</v>
      </c>
    </row>
    <row r="50209">
      <c r="H50209" s="8" t="s">
        <v>364</v>
      </c>
    </row>
    <row r="50210">
      <c r="H50210" s="8" t="s">
        <v>364</v>
      </c>
    </row>
    <row r="50211">
      <c r="H50211" s="8" t="s">
        <v>364</v>
      </c>
    </row>
    <row r="50212">
      <c r="H50212" s="8" t="s">
        <v>364</v>
      </c>
    </row>
    <row r="50213">
      <c r="H50213" s="8" t="s">
        <v>364</v>
      </c>
    </row>
    <row r="50214">
      <c r="H50214" s="8" t="s">
        <v>364</v>
      </c>
    </row>
    <row r="50215">
      <c r="H50215" s="8" t="s">
        <v>364</v>
      </c>
    </row>
    <row r="50216">
      <c r="H50216" s="8" t="s">
        <v>364</v>
      </c>
    </row>
    <row r="50217">
      <c r="H50217" s="8" t="s">
        <v>364</v>
      </c>
    </row>
    <row r="50218">
      <c r="H50218" s="8" t="s">
        <v>364</v>
      </c>
    </row>
    <row r="50219">
      <c r="H50219" s="8" t="s">
        <v>364</v>
      </c>
    </row>
    <row r="50220">
      <c r="H50220" s="8" t="s">
        <v>364</v>
      </c>
    </row>
    <row r="50221">
      <c r="H50221" s="8" t="s">
        <v>364</v>
      </c>
    </row>
    <row r="50222">
      <c r="H50222" s="8" t="s">
        <v>364</v>
      </c>
    </row>
    <row r="50223">
      <c r="H50223" s="8" t="s">
        <v>364</v>
      </c>
    </row>
    <row r="50224">
      <c r="H50224" s="8" t="s">
        <v>364</v>
      </c>
    </row>
    <row r="50225">
      <c r="H50225" s="8" t="s">
        <v>364</v>
      </c>
    </row>
    <row r="50226">
      <c r="H50226" s="8" t="s">
        <v>364</v>
      </c>
    </row>
    <row r="50227">
      <c r="H50227" s="8" t="s">
        <v>364</v>
      </c>
    </row>
    <row r="50228">
      <c r="H50228" s="8" t="s">
        <v>364</v>
      </c>
    </row>
    <row r="50229">
      <c r="H50229" s="8" t="s">
        <v>364</v>
      </c>
    </row>
    <row r="50230">
      <c r="H50230" s="8" t="s">
        <v>364</v>
      </c>
    </row>
    <row r="50231">
      <c r="H50231" s="8" t="s">
        <v>364</v>
      </c>
    </row>
    <row r="50232">
      <c r="H50232" s="8" t="s">
        <v>364</v>
      </c>
    </row>
    <row r="50233">
      <c r="H50233" s="8" t="s">
        <v>364</v>
      </c>
    </row>
    <row r="50234">
      <c r="H50234" s="8" t="s">
        <v>364</v>
      </c>
    </row>
    <row r="50235">
      <c r="H50235" s="8" t="s">
        <v>364</v>
      </c>
    </row>
    <row r="50236">
      <c r="H50236" s="8" t="s">
        <v>364</v>
      </c>
    </row>
    <row r="50237">
      <c r="H50237" s="8" t="s">
        <v>364</v>
      </c>
    </row>
    <row r="50238">
      <c r="H50238" s="8" t="s">
        <v>364</v>
      </c>
    </row>
    <row r="50239">
      <c r="H50239" s="8" t="s">
        <v>364</v>
      </c>
    </row>
    <row r="50240">
      <c r="H50240" s="8" t="s">
        <v>364</v>
      </c>
    </row>
    <row r="50241">
      <c r="H50241" s="8" t="s">
        <v>364</v>
      </c>
    </row>
    <row r="50242">
      <c r="H50242" s="8" t="s">
        <v>364</v>
      </c>
    </row>
    <row r="50243">
      <c r="H50243" s="8" t="s">
        <v>364</v>
      </c>
    </row>
    <row r="50244">
      <c r="H50244" s="8" t="s">
        <v>364</v>
      </c>
    </row>
    <row r="50245">
      <c r="H50245" s="8" t="s">
        <v>364</v>
      </c>
    </row>
    <row r="50246">
      <c r="H50246" s="8" t="s">
        <v>364</v>
      </c>
    </row>
    <row r="50247">
      <c r="H50247" s="8" t="s">
        <v>364</v>
      </c>
    </row>
    <row r="50248">
      <c r="H50248" s="8" t="s">
        <v>364</v>
      </c>
    </row>
    <row r="50249">
      <c r="H50249" s="8" t="s">
        <v>364</v>
      </c>
    </row>
    <row r="50250">
      <c r="H50250" s="8" t="s">
        <v>364</v>
      </c>
    </row>
    <row r="50251">
      <c r="H50251" s="8" t="s">
        <v>364</v>
      </c>
    </row>
    <row r="50252">
      <c r="H50252" s="8" t="s">
        <v>364</v>
      </c>
    </row>
    <row r="50253">
      <c r="H50253" s="8" t="s">
        <v>364</v>
      </c>
    </row>
    <row r="50254">
      <c r="H50254" s="8" t="s">
        <v>364</v>
      </c>
    </row>
    <row r="50255">
      <c r="H50255" s="8" t="s">
        <v>364</v>
      </c>
    </row>
    <row r="50256">
      <c r="H50256" s="8" t="s">
        <v>364</v>
      </c>
    </row>
    <row r="50257">
      <c r="H50257" s="8" t="s">
        <v>364</v>
      </c>
    </row>
    <row r="50258">
      <c r="H50258" s="8" t="s">
        <v>364</v>
      </c>
    </row>
    <row r="50259">
      <c r="H50259" s="8" t="s">
        <v>364</v>
      </c>
    </row>
    <row r="50260">
      <c r="H50260" s="8" t="s">
        <v>364</v>
      </c>
    </row>
    <row r="50261">
      <c r="H50261" s="8" t="s">
        <v>364</v>
      </c>
    </row>
    <row r="50262">
      <c r="H50262" s="8" t="s">
        <v>364</v>
      </c>
    </row>
    <row r="50263">
      <c r="H50263" s="8" t="s">
        <v>364</v>
      </c>
    </row>
    <row r="50264">
      <c r="H50264" s="8" t="s">
        <v>364</v>
      </c>
    </row>
    <row r="50265">
      <c r="H50265" s="8" t="s">
        <v>364</v>
      </c>
    </row>
    <row r="50266">
      <c r="H50266" s="8" t="s">
        <v>364</v>
      </c>
    </row>
    <row r="50267">
      <c r="H50267" s="8" t="s">
        <v>364</v>
      </c>
    </row>
    <row r="50268">
      <c r="H50268" s="8" t="s">
        <v>364</v>
      </c>
    </row>
    <row r="50269">
      <c r="H50269" s="8" t="s">
        <v>364</v>
      </c>
    </row>
    <row r="50270">
      <c r="H50270" s="8" t="s">
        <v>364</v>
      </c>
    </row>
    <row r="50271">
      <c r="H50271" s="8" t="s">
        <v>364</v>
      </c>
    </row>
    <row r="50272">
      <c r="H50272" s="8" t="s">
        <v>364</v>
      </c>
    </row>
    <row r="50273">
      <c r="H50273" s="8" t="s">
        <v>364</v>
      </c>
    </row>
    <row r="50274">
      <c r="H50274" s="8" t="s">
        <v>364</v>
      </c>
    </row>
    <row r="50275">
      <c r="H50275" s="8" t="s">
        <v>364</v>
      </c>
    </row>
    <row r="50276">
      <c r="H50276" s="8" t="s">
        <v>364</v>
      </c>
    </row>
    <row r="50277">
      <c r="H50277" s="8" t="s">
        <v>364</v>
      </c>
    </row>
    <row r="50278">
      <c r="H50278" s="8" t="s">
        <v>364</v>
      </c>
    </row>
    <row r="50279">
      <c r="H50279" s="8" t="s">
        <v>364</v>
      </c>
    </row>
    <row r="50280">
      <c r="H50280" s="8" t="s">
        <v>364</v>
      </c>
    </row>
    <row r="50281">
      <c r="H50281" s="8" t="s">
        <v>364</v>
      </c>
    </row>
    <row r="50282">
      <c r="H50282" s="8" t="s">
        <v>364</v>
      </c>
    </row>
    <row r="50283">
      <c r="H50283" s="8" t="s">
        <v>364</v>
      </c>
    </row>
    <row r="50284">
      <c r="H50284" s="8" t="s">
        <v>364</v>
      </c>
    </row>
    <row r="50285">
      <c r="H50285" s="8" t="s">
        <v>364</v>
      </c>
    </row>
    <row r="50286">
      <c r="H50286" s="8" t="s">
        <v>364</v>
      </c>
    </row>
    <row r="50287">
      <c r="H50287" s="8" t="s">
        <v>364</v>
      </c>
    </row>
    <row r="50288">
      <c r="H50288" s="8" t="s">
        <v>364</v>
      </c>
    </row>
    <row r="50289">
      <c r="H50289" s="8" t="s">
        <v>364</v>
      </c>
    </row>
    <row r="50290">
      <c r="H50290" s="8" t="s">
        <v>364</v>
      </c>
    </row>
    <row r="50291">
      <c r="H50291" s="8" t="s">
        <v>364</v>
      </c>
    </row>
    <row r="50292">
      <c r="H50292" s="8" t="s">
        <v>364</v>
      </c>
    </row>
    <row r="50293">
      <c r="H50293" s="8" t="s">
        <v>364</v>
      </c>
    </row>
    <row r="50294">
      <c r="H50294" s="8" t="s">
        <v>364</v>
      </c>
    </row>
    <row r="50295">
      <c r="H50295" s="8" t="s">
        <v>364</v>
      </c>
    </row>
    <row r="50296">
      <c r="H50296" s="8" t="s">
        <v>364</v>
      </c>
    </row>
    <row r="50297">
      <c r="H50297" s="8" t="s">
        <v>364</v>
      </c>
    </row>
    <row r="50298">
      <c r="H50298" s="8" t="s">
        <v>364</v>
      </c>
    </row>
    <row r="50299">
      <c r="H50299" s="8" t="s">
        <v>364</v>
      </c>
    </row>
    <row r="50300">
      <c r="H50300" s="8" t="s">
        <v>364</v>
      </c>
    </row>
    <row r="50301">
      <c r="H50301" s="8" t="s">
        <v>364</v>
      </c>
    </row>
    <row r="50302">
      <c r="H50302" s="8" t="s">
        <v>364</v>
      </c>
    </row>
    <row r="50303">
      <c r="H50303" s="8" t="s">
        <v>364</v>
      </c>
    </row>
    <row r="50304">
      <c r="H50304" s="8" t="s">
        <v>364</v>
      </c>
    </row>
    <row r="50305">
      <c r="H50305" s="8" t="s">
        <v>364</v>
      </c>
    </row>
    <row r="50306">
      <c r="H50306" s="8" t="s">
        <v>364</v>
      </c>
    </row>
    <row r="50307">
      <c r="H50307" s="8" t="s">
        <v>364</v>
      </c>
    </row>
    <row r="50308">
      <c r="H50308" s="8" t="s">
        <v>364</v>
      </c>
    </row>
    <row r="50309">
      <c r="H50309" s="8" t="s">
        <v>364</v>
      </c>
    </row>
    <row r="50310">
      <c r="H50310" s="8" t="s">
        <v>364</v>
      </c>
    </row>
    <row r="50311">
      <c r="H50311" s="8" t="s">
        <v>364</v>
      </c>
    </row>
    <row r="50312">
      <c r="H50312" s="8" t="s">
        <v>364</v>
      </c>
    </row>
    <row r="50313">
      <c r="H50313" s="8" t="s">
        <v>364</v>
      </c>
    </row>
    <row r="50314">
      <c r="H50314" s="8" t="s">
        <v>364</v>
      </c>
    </row>
    <row r="50315">
      <c r="H50315" s="8" t="s">
        <v>364</v>
      </c>
    </row>
    <row r="50316">
      <c r="H50316" s="8" t="s">
        <v>364</v>
      </c>
    </row>
    <row r="50317">
      <c r="H50317" s="8" t="s">
        <v>364</v>
      </c>
    </row>
    <row r="50318">
      <c r="H50318" s="8" t="s">
        <v>364</v>
      </c>
    </row>
    <row r="50319">
      <c r="H50319" s="8" t="s">
        <v>364</v>
      </c>
    </row>
    <row r="50320">
      <c r="H50320" s="8" t="s">
        <v>364</v>
      </c>
    </row>
    <row r="50321">
      <c r="H50321" s="8" t="s">
        <v>364</v>
      </c>
    </row>
    <row r="50322">
      <c r="H50322" s="8" t="s">
        <v>364</v>
      </c>
    </row>
    <row r="50323">
      <c r="H50323" s="8" t="s">
        <v>364</v>
      </c>
    </row>
    <row r="50324">
      <c r="H50324" s="8" t="s">
        <v>364</v>
      </c>
    </row>
    <row r="50325">
      <c r="H50325" s="8" t="s">
        <v>364</v>
      </c>
    </row>
    <row r="50326">
      <c r="H50326" s="8" t="s">
        <v>364</v>
      </c>
    </row>
    <row r="50327">
      <c r="H50327" s="8" t="s">
        <v>364</v>
      </c>
    </row>
    <row r="50328">
      <c r="H50328" s="8" t="s">
        <v>364</v>
      </c>
    </row>
    <row r="50329">
      <c r="H50329" s="8" t="s">
        <v>364</v>
      </c>
    </row>
    <row r="50330">
      <c r="H50330" s="8" t="s">
        <v>364</v>
      </c>
    </row>
    <row r="50331">
      <c r="H50331" s="8" t="s">
        <v>364</v>
      </c>
    </row>
    <row r="50332">
      <c r="H50332" s="8" t="s">
        <v>364</v>
      </c>
    </row>
    <row r="50333">
      <c r="H50333" s="8" t="s">
        <v>364</v>
      </c>
    </row>
    <row r="50334">
      <c r="H50334" s="8" t="s">
        <v>364</v>
      </c>
    </row>
    <row r="50335">
      <c r="H50335" s="8" t="s">
        <v>364</v>
      </c>
    </row>
    <row r="50336">
      <c r="H50336" s="8" t="s">
        <v>364</v>
      </c>
    </row>
    <row r="50337">
      <c r="H50337" s="8" t="s">
        <v>364</v>
      </c>
    </row>
    <row r="50338">
      <c r="H50338" s="8" t="s">
        <v>364</v>
      </c>
    </row>
    <row r="50339">
      <c r="H50339" s="8" t="s">
        <v>364</v>
      </c>
    </row>
    <row r="50340">
      <c r="H50340" s="8" t="s">
        <v>364</v>
      </c>
    </row>
    <row r="50341">
      <c r="H50341" s="8" t="s">
        <v>364</v>
      </c>
    </row>
    <row r="50342">
      <c r="H50342" s="8" t="s">
        <v>364</v>
      </c>
    </row>
    <row r="50343">
      <c r="H50343" s="8" t="s">
        <v>364</v>
      </c>
    </row>
    <row r="50344">
      <c r="H50344" s="8" t="s">
        <v>364</v>
      </c>
    </row>
    <row r="50345">
      <c r="H50345" s="8" t="s">
        <v>364</v>
      </c>
    </row>
    <row r="50346">
      <c r="H50346" s="8" t="s">
        <v>364</v>
      </c>
    </row>
    <row r="50347">
      <c r="H50347" s="8" t="s">
        <v>364</v>
      </c>
    </row>
    <row r="50348">
      <c r="H50348" s="8" t="s">
        <v>364</v>
      </c>
    </row>
    <row r="50349">
      <c r="H50349" s="8" t="s">
        <v>364</v>
      </c>
    </row>
    <row r="50350">
      <c r="H50350" s="8" t="s">
        <v>364</v>
      </c>
    </row>
    <row r="50351">
      <c r="H50351" s="8" t="s">
        <v>364</v>
      </c>
    </row>
    <row r="50352">
      <c r="H50352" s="8" t="s">
        <v>364</v>
      </c>
    </row>
    <row r="50353">
      <c r="H50353" s="8" t="s">
        <v>364</v>
      </c>
    </row>
    <row r="50354">
      <c r="H50354" s="8" t="s">
        <v>364</v>
      </c>
    </row>
    <row r="50355">
      <c r="H50355" s="8" t="s">
        <v>364</v>
      </c>
    </row>
    <row r="50356">
      <c r="H50356" s="8" t="s">
        <v>364</v>
      </c>
    </row>
    <row r="50357">
      <c r="H50357" s="8" t="s">
        <v>364</v>
      </c>
    </row>
    <row r="50358">
      <c r="H50358" s="8" t="s">
        <v>364</v>
      </c>
    </row>
    <row r="50359">
      <c r="H50359" s="8" t="s">
        <v>364</v>
      </c>
    </row>
    <row r="50360">
      <c r="H50360" s="8" t="s">
        <v>364</v>
      </c>
    </row>
    <row r="50361">
      <c r="H50361" s="8" t="s">
        <v>364</v>
      </c>
    </row>
    <row r="50362">
      <c r="H50362" s="8" t="s">
        <v>364</v>
      </c>
    </row>
    <row r="50363">
      <c r="H50363" s="8" t="s">
        <v>364</v>
      </c>
    </row>
    <row r="50364">
      <c r="H50364" s="8" t="s">
        <v>364</v>
      </c>
    </row>
    <row r="50365">
      <c r="H50365" s="8" t="s">
        <v>364</v>
      </c>
    </row>
    <row r="50366">
      <c r="H50366" s="8" t="s">
        <v>364</v>
      </c>
    </row>
    <row r="50367">
      <c r="H50367" s="8" t="s">
        <v>364</v>
      </c>
    </row>
    <row r="50368">
      <c r="H50368" s="8" t="s">
        <v>364</v>
      </c>
    </row>
    <row r="50369">
      <c r="H50369" s="8" t="s">
        <v>364</v>
      </c>
    </row>
    <row r="50370">
      <c r="H50370" s="8" t="s">
        <v>364</v>
      </c>
    </row>
    <row r="50371">
      <c r="H50371" s="8" t="s">
        <v>364</v>
      </c>
    </row>
    <row r="50372">
      <c r="H50372" s="8" t="s">
        <v>364</v>
      </c>
    </row>
    <row r="50373">
      <c r="H50373" s="8" t="s">
        <v>364</v>
      </c>
    </row>
    <row r="50374">
      <c r="H50374" s="8" t="s">
        <v>364</v>
      </c>
    </row>
    <row r="50375">
      <c r="H50375" s="8" t="s">
        <v>364</v>
      </c>
    </row>
    <row r="50376">
      <c r="H50376" s="8" t="s">
        <v>364</v>
      </c>
    </row>
    <row r="50377">
      <c r="H50377" s="8" t="s">
        <v>364</v>
      </c>
    </row>
    <row r="50378">
      <c r="H50378" s="8" t="s">
        <v>364</v>
      </c>
    </row>
    <row r="50379">
      <c r="H50379" s="8" t="s">
        <v>364</v>
      </c>
    </row>
    <row r="50380">
      <c r="H50380" s="8" t="s">
        <v>364</v>
      </c>
    </row>
    <row r="50381">
      <c r="H50381" s="8" t="s">
        <v>364</v>
      </c>
    </row>
    <row r="50382">
      <c r="H50382" s="8" t="s">
        <v>364</v>
      </c>
    </row>
    <row r="50383">
      <c r="H50383" s="8" t="s">
        <v>364</v>
      </c>
    </row>
    <row r="50384">
      <c r="H50384" s="8" t="s">
        <v>364</v>
      </c>
    </row>
    <row r="50385">
      <c r="H50385" s="8" t="s">
        <v>364</v>
      </c>
    </row>
    <row r="50386">
      <c r="H50386" s="8" t="s">
        <v>364</v>
      </c>
    </row>
    <row r="50387">
      <c r="H50387" s="8" t="s">
        <v>364</v>
      </c>
    </row>
    <row r="50388">
      <c r="H50388" s="8" t="s">
        <v>364</v>
      </c>
    </row>
    <row r="50389">
      <c r="H50389" s="8" t="s">
        <v>364</v>
      </c>
    </row>
    <row r="50390">
      <c r="H50390" s="8" t="s">
        <v>364</v>
      </c>
    </row>
    <row r="50391">
      <c r="H50391" s="8" t="s">
        <v>364</v>
      </c>
    </row>
    <row r="50392">
      <c r="H50392" s="8" t="s">
        <v>364</v>
      </c>
    </row>
    <row r="50393">
      <c r="H50393" s="8" t="s">
        <v>364</v>
      </c>
    </row>
    <row r="50394">
      <c r="H50394" s="8" t="s">
        <v>364</v>
      </c>
    </row>
    <row r="50395">
      <c r="H50395" s="8" t="s">
        <v>364</v>
      </c>
    </row>
    <row r="50396">
      <c r="H50396" s="8" t="s">
        <v>364</v>
      </c>
    </row>
    <row r="50397">
      <c r="H50397" s="8" t="s">
        <v>364</v>
      </c>
    </row>
    <row r="50398">
      <c r="H50398" s="8" t="s">
        <v>364</v>
      </c>
    </row>
    <row r="50399">
      <c r="H50399" s="8" t="s">
        <v>364</v>
      </c>
    </row>
    <row r="50400">
      <c r="H50400" s="8" t="s">
        <v>364</v>
      </c>
    </row>
    <row r="50401">
      <c r="H50401" s="8" t="s">
        <v>364</v>
      </c>
    </row>
    <row r="50402">
      <c r="H50402" s="8" t="s">
        <v>364</v>
      </c>
    </row>
    <row r="50403">
      <c r="H50403" s="8" t="s">
        <v>364</v>
      </c>
    </row>
    <row r="50404">
      <c r="H50404" s="8" t="s">
        <v>364</v>
      </c>
    </row>
    <row r="50405">
      <c r="H50405" s="8" t="s">
        <v>364</v>
      </c>
    </row>
    <row r="50406">
      <c r="H50406" s="8" t="s">
        <v>364</v>
      </c>
    </row>
    <row r="50407">
      <c r="H50407" s="8" t="s">
        <v>364</v>
      </c>
    </row>
    <row r="50408">
      <c r="H50408" s="8" t="s">
        <v>364</v>
      </c>
    </row>
    <row r="50409">
      <c r="H50409" s="8" t="s">
        <v>364</v>
      </c>
    </row>
    <row r="50410">
      <c r="H50410" s="8" t="s">
        <v>364</v>
      </c>
    </row>
    <row r="50411">
      <c r="H50411" s="8" t="s">
        <v>364</v>
      </c>
    </row>
    <row r="50412">
      <c r="H50412" s="8" t="s">
        <v>364</v>
      </c>
    </row>
    <row r="50413">
      <c r="H50413" s="8" t="s">
        <v>364</v>
      </c>
    </row>
    <row r="50414">
      <c r="H50414" s="8" t="s">
        <v>364</v>
      </c>
    </row>
    <row r="50415">
      <c r="H50415" s="8" t="s">
        <v>364</v>
      </c>
    </row>
    <row r="50416">
      <c r="H50416" s="8" t="s">
        <v>364</v>
      </c>
    </row>
    <row r="50417">
      <c r="H50417" s="8" t="s">
        <v>364</v>
      </c>
    </row>
    <row r="50418">
      <c r="H50418" s="8" t="s">
        <v>364</v>
      </c>
    </row>
    <row r="50419">
      <c r="H50419" s="8" t="s">
        <v>364</v>
      </c>
    </row>
    <row r="50420">
      <c r="H50420" s="8" t="s">
        <v>364</v>
      </c>
    </row>
    <row r="50421">
      <c r="H50421" s="8" t="s">
        <v>364</v>
      </c>
    </row>
    <row r="50422">
      <c r="H50422" s="8" t="s">
        <v>364</v>
      </c>
    </row>
    <row r="50423">
      <c r="H50423" s="8" t="s">
        <v>364</v>
      </c>
    </row>
    <row r="50424">
      <c r="H50424" s="8" t="s">
        <v>364</v>
      </c>
    </row>
    <row r="50425">
      <c r="H50425" s="8" t="s">
        <v>364</v>
      </c>
    </row>
    <row r="50426">
      <c r="H50426" s="8" t="s">
        <v>364</v>
      </c>
    </row>
    <row r="50427">
      <c r="H50427" s="8" t="s">
        <v>364</v>
      </c>
    </row>
    <row r="50428">
      <c r="H50428" s="8" t="s">
        <v>364</v>
      </c>
    </row>
    <row r="50429">
      <c r="H50429" s="8" t="s">
        <v>364</v>
      </c>
    </row>
    <row r="50430">
      <c r="H50430" s="8" t="s">
        <v>364</v>
      </c>
    </row>
    <row r="50431">
      <c r="H50431" s="8" t="s">
        <v>364</v>
      </c>
    </row>
    <row r="50432">
      <c r="H50432" s="8" t="s">
        <v>364</v>
      </c>
    </row>
    <row r="50433">
      <c r="H50433" s="8" t="s">
        <v>364</v>
      </c>
    </row>
    <row r="50434">
      <c r="H50434" s="8" t="s">
        <v>364</v>
      </c>
    </row>
    <row r="50435">
      <c r="H50435" s="8" t="s">
        <v>364</v>
      </c>
    </row>
    <row r="50436">
      <c r="H50436" s="8" t="s">
        <v>364</v>
      </c>
    </row>
    <row r="50437">
      <c r="H50437" s="8" t="s">
        <v>364</v>
      </c>
    </row>
    <row r="50438">
      <c r="H50438" s="8" t="s">
        <v>364</v>
      </c>
    </row>
    <row r="50439">
      <c r="H50439" s="8" t="s">
        <v>364</v>
      </c>
    </row>
    <row r="50440">
      <c r="H50440" s="8" t="s">
        <v>364</v>
      </c>
    </row>
    <row r="50441">
      <c r="H50441" s="8" t="s">
        <v>364</v>
      </c>
    </row>
    <row r="50442">
      <c r="H50442" s="8" t="s">
        <v>364</v>
      </c>
    </row>
    <row r="50443">
      <c r="H50443" s="8" t="s">
        <v>364</v>
      </c>
    </row>
    <row r="50444">
      <c r="H50444" s="8" t="s">
        <v>364</v>
      </c>
    </row>
    <row r="50445">
      <c r="H50445" s="8" t="s">
        <v>364</v>
      </c>
    </row>
    <row r="50446">
      <c r="H50446" s="8" t="s">
        <v>364</v>
      </c>
    </row>
    <row r="50447">
      <c r="H50447" s="8" t="s">
        <v>364</v>
      </c>
    </row>
    <row r="50448">
      <c r="H50448" s="8" t="s">
        <v>364</v>
      </c>
    </row>
    <row r="50449">
      <c r="H50449" s="8" t="s">
        <v>364</v>
      </c>
    </row>
    <row r="50450">
      <c r="H50450" s="8" t="s">
        <v>364</v>
      </c>
    </row>
    <row r="50451">
      <c r="H50451" s="8" t="s">
        <v>364</v>
      </c>
    </row>
    <row r="50452">
      <c r="H50452" s="8" t="s">
        <v>364</v>
      </c>
    </row>
    <row r="50453">
      <c r="H50453" s="8" t="s">
        <v>364</v>
      </c>
    </row>
    <row r="50454">
      <c r="H50454" s="8" t="s">
        <v>364</v>
      </c>
    </row>
    <row r="50455">
      <c r="H50455" s="8" t="s">
        <v>364</v>
      </c>
    </row>
    <row r="50456">
      <c r="H50456" s="8" t="s">
        <v>364</v>
      </c>
    </row>
    <row r="50457">
      <c r="H50457" s="8" t="s">
        <v>364</v>
      </c>
    </row>
    <row r="50458">
      <c r="H50458" s="8" t="s">
        <v>364</v>
      </c>
    </row>
    <row r="50459">
      <c r="H50459" s="8" t="s">
        <v>364</v>
      </c>
    </row>
    <row r="50460">
      <c r="H50460" s="8" t="s">
        <v>364</v>
      </c>
    </row>
    <row r="50461">
      <c r="H50461" s="8" t="s">
        <v>364</v>
      </c>
    </row>
    <row r="50462">
      <c r="H50462" s="8" t="s">
        <v>364</v>
      </c>
    </row>
    <row r="50463">
      <c r="H50463" s="8" t="s">
        <v>364</v>
      </c>
    </row>
    <row r="50464">
      <c r="H50464" s="8" t="s">
        <v>364</v>
      </c>
    </row>
    <row r="50465">
      <c r="H50465" s="8" t="s">
        <v>364</v>
      </c>
    </row>
    <row r="50466">
      <c r="H50466" s="8" t="s">
        <v>364</v>
      </c>
    </row>
    <row r="50467">
      <c r="H50467" s="8" t="s">
        <v>364</v>
      </c>
    </row>
    <row r="50468">
      <c r="H50468" s="8" t="s">
        <v>364</v>
      </c>
    </row>
    <row r="50469">
      <c r="H50469" s="8" t="s">
        <v>364</v>
      </c>
    </row>
    <row r="50470">
      <c r="H50470" s="8" t="s">
        <v>364</v>
      </c>
    </row>
    <row r="50471">
      <c r="H50471" s="8" t="s">
        <v>364</v>
      </c>
    </row>
    <row r="50472">
      <c r="H50472" s="8" t="s">
        <v>364</v>
      </c>
    </row>
    <row r="50473">
      <c r="H50473" s="8" t="s">
        <v>364</v>
      </c>
    </row>
    <row r="50474">
      <c r="H50474" s="8" t="s">
        <v>364</v>
      </c>
    </row>
    <row r="50475">
      <c r="H50475" s="8" t="s">
        <v>364</v>
      </c>
    </row>
    <row r="50476">
      <c r="H50476" s="8" t="s">
        <v>364</v>
      </c>
    </row>
    <row r="50477">
      <c r="H50477" s="8" t="s">
        <v>364</v>
      </c>
    </row>
    <row r="50478">
      <c r="H50478" s="8" t="s">
        <v>364</v>
      </c>
    </row>
    <row r="50479">
      <c r="H50479" s="8" t="s">
        <v>364</v>
      </c>
    </row>
    <row r="50480">
      <c r="H50480" s="8" t="s">
        <v>364</v>
      </c>
    </row>
    <row r="50481">
      <c r="H50481" s="8" t="s">
        <v>364</v>
      </c>
    </row>
    <row r="50482">
      <c r="H50482" s="8" t="s">
        <v>364</v>
      </c>
    </row>
    <row r="50483">
      <c r="H50483" s="8" t="s">
        <v>364</v>
      </c>
    </row>
    <row r="50484">
      <c r="H50484" s="8" t="s">
        <v>364</v>
      </c>
    </row>
    <row r="50485">
      <c r="H50485" s="8" t="s">
        <v>364</v>
      </c>
    </row>
    <row r="50486">
      <c r="H50486" s="8" t="s">
        <v>364</v>
      </c>
    </row>
    <row r="50487">
      <c r="H50487" s="8" t="s">
        <v>364</v>
      </c>
    </row>
    <row r="50488">
      <c r="H50488" s="8" t="s">
        <v>364</v>
      </c>
    </row>
    <row r="50489">
      <c r="H50489" s="8" t="s">
        <v>364</v>
      </c>
    </row>
    <row r="50490">
      <c r="H50490" s="8" t="s">
        <v>364</v>
      </c>
    </row>
    <row r="50491">
      <c r="H50491" s="8" t="s">
        <v>364</v>
      </c>
    </row>
    <row r="50492">
      <c r="H50492" s="8" t="s">
        <v>364</v>
      </c>
    </row>
    <row r="50493">
      <c r="H50493" s="8" t="s">
        <v>364</v>
      </c>
    </row>
    <row r="50494">
      <c r="H50494" s="8" t="s">
        <v>364</v>
      </c>
    </row>
    <row r="50495">
      <c r="H50495" s="8" t="s">
        <v>364</v>
      </c>
    </row>
    <row r="50496">
      <c r="H50496" s="8" t="s">
        <v>364</v>
      </c>
    </row>
    <row r="50497">
      <c r="H50497" s="8" t="s">
        <v>364</v>
      </c>
    </row>
    <row r="50498">
      <c r="H50498" s="8" t="s">
        <v>364</v>
      </c>
    </row>
    <row r="50499">
      <c r="H50499" s="8" t="s">
        <v>364</v>
      </c>
    </row>
    <row r="50500">
      <c r="H50500" s="8" t="s">
        <v>364</v>
      </c>
    </row>
  </sheetData>
  <dataValidations>
    <dataValidation type="list" allowBlank="1" showDropDown="1" showErrorMessage="1" sqref="A2:A81">
      <formula1>"chon_wua_2.jpg,chon_wua_3.jpg,chon_wua_7.jpg,chon_wua_10.jpg,chon_wua_15.jpg,chon_wua_20.jpg,chon_wua_23.jpg,chon_wua_34.jpg,chon_wua_39.jpg,chon_wua_42.jpg,chon_wua_44.jpg,chon_wua_50.jpg,chon_wua_52.jpg,chon_wua_55.jpg,chon_wua_59.jpg,chon_wua_76.jpg"</formula1>
    </dataValidation>
    <dataValidation type="custom" allowBlank="1" showDropDown="1" sqref="B2:B81">
      <formula1>AND(ISNUMBER(B2),(NOT(OR(NOT(ISERROR(DATEVALUE(B2))), AND(ISNUMBER(B2), LEFT(CELL("format", B2))="D")))))</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2.88"/>
    <col customWidth="1" min="3" max="3" width="37.63"/>
    <col customWidth="1" min="4" max="4" width="31.0"/>
    <col customWidth="1" min="5" max="9" width="37.63"/>
    <col customWidth="1" min="10" max="10" width="17.75"/>
    <col customWidth="1" min="12" max="12" width="15.25"/>
    <col customWidth="1" min="13" max="13" width="12.88"/>
    <col customWidth="1" min="19" max="19" width="17.0"/>
    <col customWidth="1" min="20" max="20" width="13.88"/>
  </cols>
  <sheetData>
    <row r="1" ht="22.5" customHeight="1">
      <c r="A1" s="1" t="s">
        <v>0</v>
      </c>
      <c r="B1" s="1" t="s">
        <v>1</v>
      </c>
      <c r="C1" s="1" t="s">
        <v>2</v>
      </c>
      <c r="D1" s="1" t="s">
        <v>3</v>
      </c>
      <c r="E1" s="1" t="s">
        <v>4</v>
      </c>
      <c r="F1" s="1" t="s">
        <v>5</v>
      </c>
      <c r="G1" s="1" t="s">
        <v>6</v>
      </c>
      <c r="H1" s="1" t="s">
        <v>7</v>
      </c>
      <c r="I1" s="1" t="s">
        <v>8</v>
      </c>
      <c r="J1" s="1" t="s">
        <v>9</v>
      </c>
      <c r="M1" s="1" t="s">
        <v>10</v>
      </c>
      <c r="N1" s="1" t="s">
        <v>11</v>
      </c>
      <c r="O1" s="1" t="s">
        <v>12</v>
      </c>
      <c r="P1" s="1" t="s">
        <v>13</v>
      </c>
      <c r="Q1" s="1" t="s">
        <v>14</v>
      </c>
      <c r="R1" s="1" t="s">
        <v>15</v>
      </c>
      <c r="S1" s="1" t="s">
        <v>16</v>
      </c>
      <c r="T1" s="1" t="s">
        <v>17</v>
      </c>
      <c r="U1" s="1" t="s">
        <v>18</v>
      </c>
      <c r="V1" s="1" t="s">
        <v>19</v>
      </c>
    </row>
    <row r="2" ht="22.5" customHeight="1">
      <c r="A2" s="4" t="s">
        <v>365</v>
      </c>
      <c r="B2" s="5">
        <v>1.0</v>
      </c>
      <c r="C2" s="4" t="s">
        <v>366</v>
      </c>
      <c r="D2" s="4" t="s">
        <v>367</v>
      </c>
      <c r="E2" s="4" t="s">
        <v>368</v>
      </c>
      <c r="F2" s="4" t="s">
        <v>369</v>
      </c>
      <c r="G2" s="4" t="s">
        <v>370</v>
      </c>
      <c r="H2" s="4" t="str">
        <f t="array" ref="H2:H999">TRIM("(A) " &amp; D2:D999 &amp; " (B) " &amp; E2:E999 &amp; " (C) " &amp; F2:F999 &amp; " (D) " &amp; G2:G999)</f>
        <v>(A) A rowing competition (B) A fishing trip (C) A canoe race (D) A Kaeng Ruer (boat race)</v>
      </c>
      <c r="I2" s="4" t="s">
        <v>370</v>
      </c>
      <c r="J2" s="4" t="s">
        <v>371</v>
      </c>
      <c r="M2" s="4" t="s">
        <v>365</v>
      </c>
      <c r="N2" s="5">
        <v>1.0</v>
      </c>
      <c r="O2" s="6" t="str">
        <f>IFERROR(__xludf.DUMMYFUNCTION("GOOGLETRANSLATE(C2,""en"",""th"")"),"เหตุการณ์หลักที่แสดงในภาพคืออะไร?")</f>
        <v>เหตุการณ์หลักที่แสดงในภาพคืออะไร?</v>
      </c>
      <c r="P2" s="6" t="str">
        <f>IFERROR(__xludf.DUMMYFUNCTION("GOOGLETRANSLATE(D2,""en"",""th"")"),"การแข่งขันพายเรือ")</f>
        <v>การแข่งขันพายเรือ</v>
      </c>
      <c r="Q2" s="6" t="str">
        <f>IFERROR(__xludf.DUMMYFUNCTION("GOOGLETRANSLATE(E2,""en"",""th"")"),"ทริปตกปลา")</f>
        <v>ทริปตกปลา</v>
      </c>
      <c r="R2" s="6" t="str">
        <f>IFERROR(__xludf.DUMMYFUNCTION("GOOGLETRANSLATE(F2,""en"",""th"")"),"การแข่งขันเรือแคนู")</f>
        <v>การแข่งขันเรือแคนู</v>
      </c>
      <c r="S2" s="6" t="str">
        <f>IFERROR(__xludf.DUMMYFUNCTION("GOOGLETRANSLATE(G2,""en"",""th"")"),"แก่งเรือ")</f>
        <v>แก่งเรือ</v>
      </c>
      <c r="T2" s="6" t="str">
        <f t="array" ref="T2:T81">TRIM(" (A) " &amp; P2:P81 &amp; " (B) " &amp; Q2:Q81 &amp; " (C) " &amp; R2:R81 &amp; " (D) " &amp; S2:S81)</f>
        <v>(A) การแข่งขันพายเรือ (B) ทริปตกปลา (C) การแข่งขันเรือแคนู (D) แก่งเรือ</v>
      </c>
      <c r="U2" s="6" t="str">
        <f>IFERROR(__xludf.DUMMYFUNCTION("GOOGLETRANSLATE(I2,""en"",""th"")"),"แก่งเรือ")</f>
        <v>แก่งเรือ</v>
      </c>
      <c r="V2" s="6" t="str">
        <f>IFERROR(__xludf.DUMMYFUNCTION("GOOGLETRANSLATE(J2,""en"",""th"")"),"ภาพนี้แสดงให้เห็นเรือยาวหลายลำพร้อมทีมพายจำนวนมากและฝูงชนที่รื่นเริงบนฝั่ง ซึ่งเป็นลักษณะเฉพาะของงานแข่งเรือแบบไทยดั้งเดิม")</f>
        <v>ภาพนี้แสดงให้เห็นเรือยาวหลายลำพร้อมทีมพายจำนวนมากและฝูงชนที่รื่นเริงบนฝั่ง ซึ่งเป็นลักษณะเฉพาะของงานแข่งเรือแบบไทยดั้งเดิม</v>
      </c>
    </row>
    <row r="3" ht="22.5" customHeight="1">
      <c r="A3" s="4" t="s">
        <v>365</v>
      </c>
      <c r="B3" s="5">
        <v>2.0</v>
      </c>
      <c r="C3" s="4" t="s">
        <v>372</v>
      </c>
      <c r="D3" s="4" t="s">
        <v>373</v>
      </c>
      <c r="E3" s="4" t="s">
        <v>374</v>
      </c>
      <c r="F3" s="4" t="s">
        <v>375</v>
      </c>
      <c r="G3" s="4" t="s">
        <v>376</v>
      </c>
      <c r="H3" s="4" t="s">
        <v>377</v>
      </c>
      <c r="I3" s="4" t="s">
        <v>374</v>
      </c>
      <c r="J3" s="4" t="s">
        <v>378</v>
      </c>
      <c r="M3" s="4" t="s">
        <v>365</v>
      </c>
      <c r="N3" s="5">
        <v>2.0</v>
      </c>
      <c r="O3" s="6" t="str">
        <f>IFERROR(__xludf.DUMMYFUNCTION("GOOGLETRANSLATE(C3,""en"",""th"")"),"คนที่อยู่หัวเรือมีจุดประสงค์อะไร?")</f>
        <v>คนที่อยู่หัวเรือมีจุดประสงค์อะไร?</v>
      </c>
      <c r="P3" s="6" t="str">
        <f>IFERROR(__xludf.DUMMYFUNCTION("GOOGLETRANSLATE(D3,""en"",""th"")"),"เพื่อความบันเทิงแก่ฝูงชน")</f>
        <v>เพื่อความบันเทิงแก่ฝูงชน</v>
      </c>
      <c r="Q3" s="6" t="str">
        <f>IFERROR(__xludf.DUMMYFUNCTION("GOOGLETRANSLATE(E3,""en"",""th"")"),"เพื่อรักษาเวลาและประสานจังหวะการพายของนักพาย")</f>
        <v>เพื่อรักษาเวลาและประสานจังหวะการพายของนักพาย</v>
      </c>
      <c r="R3" s="6" t="str">
        <f>IFERROR(__xludf.DUMMYFUNCTION("GOOGLETRANSLATE(F3,""en"",""th"")"),"เพื่อเป็นสัญญาณเริ่มต้นการแข่งขัน")</f>
        <v>เพื่อเป็นสัญญาณเริ่มต้นการแข่งขัน</v>
      </c>
      <c r="S3" s="6" t="str">
        <f>IFERROR(__xludf.DUMMYFUNCTION("GOOGLETRANSLATE(G3,""en"",""th"")"),"การบังคับเรือ")</f>
        <v>การบังคับเรือ</v>
      </c>
      <c r="T3" s="6" t="s">
        <v>379</v>
      </c>
      <c r="U3" s="6" t="str">
        <f>IFERROR(__xludf.DUMMYFUNCTION("GOOGLETRANSLATE(I3,""en"",""th"")"),"เพื่อรักษาเวลาและประสานจังหวะการพายของนักพาย")</f>
        <v>เพื่อรักษาเวลาและประสานจังหวะการพายของนักพาย</v>
      </c>
      <c r="V3" s="6" t="str">
        <f>IFERROR(__xludf.DUMMYFUNCTION("GOOGLETRANSLATE(J3,""en"",""th"")"),"ผู้ที่อยู่ด้านหน้าเรือจะถือไม้และอยู่ในตำแหน่งที่จะตีกลองซึ่งใช้ในการกำหนดจังหวะให้กับนักพาย")</f>
        <v>ผู้ที่อยู่ด้านหน้าเรือจะถือไม้และอยู่ในตำแหน่งที่จะตีกลองซึ่งใช้ในการกำหนดจังหวะให้กับนักพาย</v>
      </c>
    </row>
    <row r="4" ht="22.5" customHeight="1">
      <c r="A4" s="4" t="s">
        <v>365</v>
      </c>
      <c r="B4" s="5">
        <v>3.0</v>
      </c>
      <c r="C4" s="4" t="s">
        <v>380</v>
      </c>
      <c r="D4" s="4" t="s">
        <v>381</v>
      </c>
      <c r="E4" s="4" t="s">
        <v>382</v>
      </c>
      <c r="F4" s="4" t="s">
        <v>383</v>
      </c>
      <c r="G4" s="4" t="s">
        <v>384</v>
      </c>
      <c r="H4" s="4" t="s">
        <v>385</v>
      </c>
      <c r="I4" s="4" t="s">
        <v>382</v>
      </c>
      <c r="J4" s="4" t="s">
        <v>386</v>
      </c>
      <c r="M4" s="4" t="s">
        <v>365</v>
      </c>
      <c r="N4" s="5">
        <v>3.0</v>
      </c>
      <c r="O4" s="6" t="str">
        <f>IFERROR(__xludf.DUMMYFUNCTION("GOOGLETRANSLATE(C4,""en"",""th"")"),"ลักษณะเด่นของการออกแบบเรือคืออะไร?")</f>
        <v>ลักษณะเด่นของการออกแบบเรือคืออะไร?</v>
      </c>
      <c r="P4" s="6" t="str">
        <f>IFERROR(__xludf.DUMMYFUNCTION("GOOGLETRANSLATE(D4,""en"",""th"")"),"มันทำจากพลาสติก")</f>
        <v>มันทำจากพลาสติก</v>
      </c>
      <c r="Q4" s="6" t="str">
        <f>IFERROR(__xludf.DUMMYFUNCTION("GOOGLETRANSLATE(E4,""en"",""th"")"),"พวกมันมีหัวและหางมังกรแบบดั้งเดิม")</f>
        <v>พวกมันมีหัวและหางมังกรแบบดั้งเดิม</v>
      </c>
      <c r="R4" s="6" t="str">
        <f>IFERROR(__xludf.DUMMYFUNCTION("GOOGLETRANSLATE(F4,""en"",""th"")"),"มันมีขนาดเล็กและมีน้ำหนักเบา")</f>
        <v>มันมีขนาดเล็กและมีน้ำหนักเบา</v>
      </c>
      <c r="S4" s="6" t="str">
        <f>IFERROR(__xludf.DUMMYFUNCTION("GOOGLETRANSLATE(G4,""en"",""th"")"),"พวกมันขับเคลื่อนด้วยเครื่องยนต์")</f>
        <v>พวกมันขับเคลื่อนด้วยเครื่องยนต์</v>
      </c>
      <c r="T4" s="6" t="s">
        <v>387</v>
      </c>
      <c r="U4" s="6" t="str">
        <f>IFERROR(__xludf.DUMMYFUNCTION("GOOGLETRANSLATE(I4,""en"",""th"")"),"พวกมันมีหัวและหางมังกรแบบดั้งเดิม")</f>
        <v>พวกมันมีหัวและหางมังกรแบบดั้งเดิม</v>
      </c>
      <c r="V4" s="6" t="str">
        <f>IFERROR(__xludf.DUMMYFUNCTION("GOOGLETRANSLATE(J4,""en"",""th"")"),"เรือมีการแกะสลักและทาสีหัวมังกรอย่างประณีตที่ด้านหน้าและหางที่ด้านหลัง ซึ่งเป็นคุณลักษณะแบบดั้งเดิมและพิธีกรรมของเรือเหล่านี้")</f>
        <v>เรือมีการแกะสลักและทาสีหัวมังกรอย่างประณีตที่ด้านหน้าและหางที่ด้านหลัง ซึ่งเป็นคุณลักษณะแบบดั้งเดิมและพิธีกรรมของเรือเหล่านี้</v>
      </c>
    </row>
    <row r="5" ht="22.5" customHeight="1">
      <c r="A5" s="4" t="s">
        <v>365</v>
      </c>
      <c r="B5" s="5">
        <v>4.0</v>
      </c>
      <c r="C5" s="4" t="s">
        <v>388</v>
      </c>
      <c r="D5" s="4" t="s">
        <v>389</v>
      </c>
      <c r="E5" s="4" t="s">
        <v>390</v>
      </c>
      <c r="F5" s="4" t="s">
        <v>391</v>
      </c>
      <c r="G5" s="4" t="s">
        <v>392</v>
      </c>
      <c r="H5" s="4" t="s">
        <v>393</v>
      </c>
      <c r="I5" s="4" t="s">
        <v>391</v>
      </c>
      <c r="J5" s="4" t="s">
        <v>394</v>
      </c>
      <c r="M5" s="4" t="s">
        <v>365</v>
      </c>
      <c r="N5" s="5">
        <v>4.0</v>
      </c>
      <c r="O5" s="6" t="str">
        <f>IFERROR(__xludf.DUMMYFUNCTION("GOOGLETRANSLATE(C5,""en"",""th"")"),"แต่ละทีมจะใส่ชุดแบบไหน?")</f>
        <v>แต่ละทีมจะใส่ชุดแบบไหน?</v>
      </c>
      <c r="P5" s="6" t="str">
        <f>IFERROR(__xludf.DUMMYFUNCTION("GOOGLETRANSLATE(D5,""en"",""th"")"),"เสื้อผ้าลำลอง")</f>
        <v>เสื้อผ้าลำลอง</v>
      </c>
      <c r="Q5" s="6" t="str">
        <f>IFERROR(__xludf.DUMMYFUNCTION("GOOGLETRANSLATE(E5,""en"",""th"")"),"เครื่องแบบทางการ")</f>
        <v>เครื่องแบบทางการ</v>
      </c>
      <c r="R5" s="6" t="str">
        <f>IFERROR(__xludf.DUMMYFUNCTION("GOOGLETRANSLATE(F5,""en"",""th"")"),"เสื้อชูชีพและเสื้อกีฬา")</f>
        <v>เสื้อชูชีพและเสื้อกีฬา</v>
      </c>
      <c r="S5" s="6" t="str">
        <f>IFERROR(__xludf.DUMMYFUNCTION("GOOGLETRANSLATE(G5,""en"",""th"")"),"ชุดดำน้ำ")</f>
        <v>ชุดดำน้ำ</v>
      </c>
      <c r="T5" s="6" t="s">
        <v>395</v>
      </c>
      <c r="U5" s="6" t="str">
        <f>IFERROR(__xludf.DUMMYFUNCTION("GOOGLETRANSLATE(I5,""en"",""th"")"),"เสื้อชูชีพและเสื้อกีฬา")</f>
        <v>เสื้อชูชีพและเสื้อกีฬา</v>
      </c>
      <c r="V5" s="6" t="str">
        <f>IFERROR(__xludf.DUMMYFUNCTION("GOOGLETRANSLATE(J5,""en"",""th"")"),"นักพายเรือสวมเสื้อกีฬาและเสื้อชูชีพสีสันสดใสซึ่งสวมใส่เพื่อความปลอดภัยและเพื่อแสดงถึงความเป็นทีม")</f>
        <v>นักพายเรือสวมเสื้อกีฬาและเสื้อชูชีพสีสันสดใสซึ่งสวมใส่เพื่อความปลอดภัยและเพื่อแสดงถึงความเป็นทีม</v>
      </c>
    </row>
    <row r="6" ht="22.5" customHeight="1">
      <c r="A6" s="4" t="s">
        <v>365</v>
      </c>
      <c r="B6" s="5">
        <v>5.0</v>
      </c>
      <c r="C6" s="4" t="s">
        <v>396</v>
      </c>
      <c r="D6" s="4" t="s">
        <v>397</v>
      </c>
      <c r="E6" s="4" t="s">
        <v>398</v>
      </c>
      <c r="F6" s="4" t="s">
        <v>399</v>
      </c>
      <c r="G6" s="4" t="s">
        <v>400</v>
      </c>
      <c r="H6" s="4" t="s">
        <v>401</v>
      </c>
      <c r="I6" s="4" t="s">
        <v>398</v>
      </c>
      <c r="J6" s="4" t="s">
        <v>402</v>
      </c>
      <c r="M6" s="4" t="s">
        <v>365</v>
      </c>
      <c r="N6" s="5">
        <v>5.0</v>
      </c>
      <c r="O6" s="6" t="str">
        <f>IFERROR(__xludf.DUMMYFUNCTION("GOOGLETRANSLATE(C6,""en"",""th"")"),"ความพยายามอันเข้มข้นของนักพายเรือบ่งบอกอะไรเกี่ยวกับการแข่งขัน?")</f>
        <v>ความพยายามอันเข้มข้นของนักพายเรือบ่งบอกอะไรเกี่ยวกับการแข่งขัน?</v>
      </c>
      <c r="P6" s="6" t="str">
        <f>IFERROR(__xludf.DUMMYFUNCTION("GOOGLETRANSLATE(D6,""en"",""th"")"),"เป็นกิจกรรมยามว่าง")</f>
        <v>เป็นกิจกรรมยามว่าง</v>
      </c>
      <c r="Q6" s="6" t="str">
        <f>IFERROR(__xludf.DUMMYFUNCTION("GOOGLETRANSLATE(E6,""en"",""th"")"),"มันเป็นกีฬาที่มีการแข่งขันสูงและต้องใช้กำลังกายมาก")</f>
        <v>มันเป็นกีฬาที่มีการแข่งขันสูงและต้องใช้กำลังกายมาก</v>
      </c>
      <c r="R6" s="6" t="str">
        <f>IFERROR(__xludf.DUMMYFUNCTION("GOOGLETRANSLATE(F6,""en"",""th"")"),"เป็นขบวนแห่แบบช้าๆ ตามพิธีกรรม")</f>
        <v>เป็นขบวนแห่แบบช้าๆ ตามพิธีกรรม</v>
      </c>
      <c r="S6" s="6" t="str">
        <f>IFERROR(__xludf.DUMMYFUNCTION("GOOGLETRANSLATE(G6,""en"",""th"")"),"เป็นกิจกรรมเสริมสร้างการทำงานเป็นทีม")</f>
        <v>เป็นกิจกรรมเสริมสร้างการทำงานเป็นทีม</v>
      </c>
      <c r="T6" s="6" t="s">
        <v>403</v>
      </c>
      <c r="U6" s="6" t="str">
        <f>IFERROR(__xludf.DUMMYFUNCTION("GOOGLETRANSLATE(I6,""en"",""th"")"),"มันเป็นกีฬาที่มีการแข่งขันสูงและต้องใช้กำลังกายมาก")</f>
        <v>มันเป็นกีฬาที่มีการแข่งขันสูงและต้องใช้กำลังกายมาก</v>
      </c>
      <c r="V6" s="6" t="str">
        <f>IFERROR(__xludf.DUMMYFUNCTION("GOOGLETRANSLATE(J6,""en"",""th"")"),"การพายที่ทรงพลัง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f>
        <v>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v>
      </c>
    </row>
    <row r="7" ht="22.5" customHeight="1">
      <c r="A7" s="4" t="s">
        <v>404</v>
      </c>
      <c r="B7" s="5">
        <v>6.0</v>
      </c>
      <c r="C7" s="4" t="s">
        <v>21</v>
      </c>
      <c r="D7" s="4" t="s">
        <v>405</v>
      </c>
      <c r="E7" s="4" t="s">
        <v>406</v>
      </c>
      <c r="F7" s="4" t="s">
        <v>407</v>
      </c>
      <c r="G7" s="4" t="s">
        <v>408</v>
      </c>
      <c r="H7" s="4" t="s">
        <v>409</v>
      </c>
      <c r="I7" s="4" t="s">
        <v>405</v>
      </c>
      <c r="J7" s="4" t="s">
        <v>410</v>
      </c>
      <c r="M7" s="4" t="s">
        <v>404</v>
      </c>
      <c r="N7" s="5">
        <v>6.0</v>
      </c>
      <c r="O7" s="6" t="str">
        <f>IFERROR(__xludf.DUMMYFUNCTION("GOOGLETRANSLATE(C7,""en"",""th"")"),"ภาพที่แสดงเป็นกิจกรรมหลักอะไร?")</f>
        <v>ภาพที่แสดงเป็นกิจกรรมหลักอะไร?</v>
      </c>
      <c r="P7" s="6" t="str">
        <f>IFERROR(__xludf.DUMMYFUNCTION("GOOGLETRANSLATE(D7,""en"",""th"")"),"เรือยาวสองลำกำลังแข่งกัน")</f>
        <v>เรือยาวสองลำกำลังแข่งกัน</v>
      </c>
      <c r="Q7" s="6" t="str">
        <f>IFERROR(__xludf.DUMMYFUNCTION("GOOGLETRANSLATE(E7,""en"",""th"")"),"เรือยาวสองลำกำลังจอดพัก")</f>
        <v>เรือยาวสองลำกำลังจอดพัก</v>
      </c>
      <c r="R7" s="6" t="str">
        <f>IFERROR(__xludf.DUMMYFUNCTION("GOOGLETRANSLATE(F7,""en"",""th"")"),"เรือยาวที่กำลังฝึกหัด")</f>
        <v>เรือยาวที่กำลังฝึกหัด</v>
      </c>
      <c r="S7" s="6" t="str">
        <f>IFERROR(__xludf.DUMMYFUNCTION("GOOGLETRANSLATE(G7,""en"",""th"")"),"เรือยาวที่ถูกนำพา")</f>
        <v>เรือยาวที่ถูกนำพา</v>
      </c>
      <c r="T7" s="6" t="s">
        <v>411</v>
      </c>
      <c r="U7" s="6" t="str">
        <f>IFERROR(__xludf.DUMMYFUNCTION("GOOGLETRANSLATE(I7,""en"",""th"")"),"เรือยาวสองลำกำลังแข่งกัน")</f>
        <v>เรือยาวสองลำกำลังแข่งกัน</v>
      </c>
      <c r="V7" s="6" t="str">
        <f>IFERROR(__xludf.DUMMYFUNCTION("GOOGLETRANSLATE(J7,""en"",""th"")"),"ภาพนี้แสดงให้เห็นเรือยาว 2 ลำพร้อมฝีพายที่กำลังแข่งขันกัน ซึ่งเป็นกิจกรรมสำคัญของการแข่งเรือแก่งเรือ ซึ่งเป็นประเพณีของไทย")</f>
        <v>ภาพนี้แสดงให้เห็นเรือยาว 2 ลำพร้อมฝีพายที่กำลังแข่งขันกัน ซึ่งเป็นกิจกรรมสำคัญของการแข่งเรือแก่งเรือ ซึ่งเป็นประเพณีของไทย</v>
      </c>
    </row>
    <row r="8" ht="22.5" customHeight="1">
      <c r="A8" s="4" t="s">
        <v>404</v>
      </c>
      <c r="B8" s="5">
        <v>7.0</v>
      </c>
      <c r="C8" s="4" t="s">
        <v>380</v>
      </c>
      <c r="D8" s="4" t="s">
        <v>381</v>
      </c>
      <c r="E8" s="4" t="s">
        <v>382</v>
      </c>
      <c r="F8" s="4" t="s">
        <v>383</v>
      </c>
      <c r="G8" s="4" t="s">
        <v>384</v>
      </c>
      <c r="H8" s="4" t="s">
        <v>385</v>
      </c>
      <c r="I8" s="4" t="s">
        <v>382</v>
      </c>
      <c r="J8" s="4" t="s">
        <v>386</v>
      </c>
      <c r="M8" s="4" t="s">
        <v>404</v>
      </c>
      <c r="N8" s="5">
        <v>7.0</v>
      </c>
      <c r="O8" s="6" t="str">
        <f>IFERROR(__xludf.DUMMYFUNCTION("GOOGLETRANSLATE(C8,""en"",""th"")"),"ลักษณะเด่นของการออกแบบเรือคืออะไร?")</f>
        <v>ลักษณะเด่นของการออกแบบเรือคืออะไร?</v>
      </c>
      <c r="P8" s="6" t="str">
        <f>IFERROR(__xludf.DUMMYFUNCTION("GOOGLETRANSLATE(D8,""en"",""th"")"),"มันทำจากพลาสติก")</f>
        <v>มันทำจากพลาสติก</v>
      </c>
      <c r="Q8" s="6" t="str">
        <f>IFERROR(__xludf.DUMMYFUNCTION("GOOGLETRANSLATE(E8,""en"",""th"")"),"พวกมันมีหัวและหางมังกรแบบดั้งเดิม")</f>
        <v>พวกมันมีหัวและหางมังกรแบบดั้งเดิม</v>
      </c>
      <c r="R8" s="6" t="str">
        <f>IFERROR(__xludf.DUMMYFUNCTION("GOOGLETRANSLATE(F8,""en"",""th"")"),"มันมีขนาดเล็กและมีน้ำหนักเบา")</f>
        <v>มันมีขนาดเล็กและมีน้ำหนักเบา</v>
      </c>
      <c r="S8" s="6" t="str">
        <f>IFERROR(__xludf.DUMMYFUNCTION("GOOGLETRANSLATE(G8,""en"",""th"")"),"พวกมันขับเคลื่อนด้วยเครื่องยนต์")</f>
        <v>พวกมันขับเคลื่อนด้วยเครื่องยนต์</v>
      </c>
      <c r="T8" s="6" t="s">
        <v>387</v>
      </c>
      <c r="U8" s="6" t="str">
        <f>IFERROR(__xludf.DUMMYFUNCTION("GOOGLETRANSLATE(I8,""en"",""th"")"),"พวกมันมีหัวและหางมังกรแบบดั้งเดิม")</f>
        <v>พวกมันมีหัวและหางมังกรแบบดั้งเดิม</v>
      </c>
      <c r="V8" s="6" t="str">
        <f>IFERROR(__xludf.DUMMYFUNCTION("GOOGLETRANSLATE(J8,""en"",""th"")"),"เรือมีการแกะสลักและทาสีหัวมังกรอย่างประณีตที่ด้านหน้าและหางที่ด้านหลัง ซึ่งเป็นคุณลักษณะแบบดั้งเดิมและพิธีกรรมของเรือเหล่านี้")</f>
        <v>เรือมีการแกะสลักและทาสีหัวมังกรอย่างประณีตที่ด้านหน้าและหางที่ด้านหลัง ซึ่งเป็นคุณลักษณะแบบดั้งเดิมและพิธีกรรมของเรือเหล่านี้</v>
      </c>
    </row>
    <row r="9" ht="22.5" customHeight="1">
      <c r="A9" s="4" t="s">
        <v>404</v>
      </c>
      <c r="B9" s="5">
        <v>8.0</v>
      </c>
      <c r="C9" s="4" t="s">
        <v>412</v>
      </c>
      <c r="D9" s="4" t="s">
        <v>413</v>
      </c>
      <c r="E9" s="4" t="s">
        <v>414</v>
      </c>
      <c r="F9" s="4" t="s">
        <v>415</v>
      </c>
      <c r="G9" s="4" t="s">
        <v>416</v>
      </c>
      <c r="H9" s="4" t="s">
        <v>417</v>
      </c>
      <c r="I9" s="4" t="s">
        <v>416</v>
      </c>
      <c r="J9" s="4" t="s">
        <v>418</v>
      </c>
      <c r="M9" s="4" t="s">
        <v>404</v>
      </c>
      <c r="N9" s="5">
        <v>8.0</v>
      </c>
      <c r="O9" s="6" t="str">
        <f>IFERROR(__xludf.DUMMYFUNCTION("GOOGLETRANSLATE(C9,""en"",""th"")"),"คนท้ายเรือมีจุดประสงค์อะไร?")</f>
        <v>คนท้ายเรือมีจุดประสงค์อะไร?</v>
      </c>
      <c r="P9" s="6" t="str">
        <f>IFERROR(__xludf.DUMMYFUNCTION("GOOGLETRANSLATE(D9,""en"",""th"")"),"เพื่อสร้างความบันเทิงให้กับฝูงชน")</f>
        <v>เพื่อสร้างความบันเทิงให้กับฝูงชน</v>
      </c>
      <c r="Q9" s="6" t="str">
        <f>IFERROR(__xludf.DUMMYFUNCTION("GOOGLETRANSLATE(E9,""en"",""th"")"),"เพื่อรักษาเวลาและจังหวะการพายของนักพายให้ตรงกัน")</f>
        <v>เพื่อรักษาเวลาและจังหวะการพายของนักพายให้ตรงกัน</v>
      </c>
      <c r="R9" s="6" t="str">
        <f>IFERROR(__xludf.DUMMYFUNCTION("GOOGLETRANSLATE(F9,""en"",""th"")"),"เพื่อเป็นสัญญาณเริ่มต้นการแข่งขัน")</f>
        <v>เพื่อเป็นสัญญาณเริ่มต้นการแข่งขัน</v>
      </c>
      <c r="S9" s="6" t="str">
        <f>IFERROR(__xludf.DUMMYFUNCTION("GOOGLETRANSLATE(G9,""en"",""th"")"),"การบังคับเรือ")</f>
        <v>การบังคับเรือ</v>
      </c>
      <c r="T9" s="6" t="s">
        <v>419</v>
      </c>
      <c r="U9" s="6" t="str">
        <f>IFERROR(__xludf.DUMMYFUNCTION("GOOGLETRANSLATE(I9,""en"",""th"")"),"การบังคับเรือ")</f>
        <v>การบังคับเรือ</v>
      </c>
      <c r="V9" s="6" t="str">
        <f>IFERROR(__xludf.DUMMYFUNCTION("GOOGLETRANSLATE(J9,""en"",""th"")"),"ผู้ที่นั่งอยู่ท้ายเรือจะใช้เสาไม้ยาวในการบังคับเรือ ซึ่งมีบทบาทสำคัญในการแข่งขันเพื่อให้แน่ใจว่าเรือจะยังคงอยู่ในเส้นทาง")</f>
        <v>ผู้ที่นั่งอยู่ท้ายเรือจะใช้เสาไม้ยาวในการบังคับเรือ ซึ่งมีบทบาทสำคัญในการแข่งขันเพื่อให้แน่ใจว่าเรือจะยังคงอยู่ในเส้นทาง</v>
      </c>
    </row>
    <row r="10" ht="22.5" customHeight="1">
      <c r="A10" s="4" t="s">
        <v>404</v>
      </c>
      <c r="B10" s="5">
        <v>9.0</v>
      </c>
      <c r="C10" s="4" t="s">
        <v>420</v>
      </c>
      <c r="D10" s="4" t="s">
        <v>421</v>
      </c>
      <c r="E10" s="4" t="s">
        <v>422</v>
      </c>
      <c r="F10" s="4" t="s">
        <v>423</v>
      </c>
      <c r="G10" s="4" t="s">
        <v>424</v>
      </c>
      <c r="H10" s="4" t="s">
        <v>425</v>
      </c>
      <c r="I10" s="4" t="s">
        <v>422</v>
      </c>
      <c r="J10" s="4" t="s">
        <v>426</v>
      </c>
      <c r="M10" s="4" t="s">
        <v>404</v>
      </c>
      <c r="N10" s="5">
        <v>9.0</v>
      </c>
      <c r="O10" s="6" t="str">
        <f>IFERROR(__xludf.DUMMYFUNCTION("GOOGLETRANSLATE(C10,""en"",""th"")"),"ธงบนฝั่งเป็นจุดเด่นที่น่าสนใจ ธงเหล่านี้หมายถึงอะไร?")</f>
        <v>ธงบนฝั่งเป็นจุดเด่นที่น่าสนใจ ธงเหล่านี้หมายถึงอะไร?</v>
      </c>
      <c r="P10" s="6" t="str">
        <f>IFERROR(__xludf.DUMMYFUNCTION("GOOGLETRANSLATE(D10,""en"",""th"")"),"พวกเขาเป็นสัญลักษณ์ของเทศกาล")</f>
        <v>พวกเขาเป็นสัญลักษณ์ของเทศกาล</v>
      </c>
      <c r="Q10" s="6" t="str">
        <f>IFERROR(__xludf.DUMMYFUNCTION("GOOGLETRANSLATE(E10,""en"",""th"")"),"พวกมันเป็นธงของประเทศต่างๆ")</f>
        <v>พวกมันเป็นธงของประเทศต่างๆ</v>
      </c>
      <c r="R10" s="6" t="str">
        <f>IFERROR(__xludf.DUMMYFUNCTION("GOOGLETRANSLATE(F10,""en"",""th"")"),"พวกนั้นเป็นธงสำหรับเจ้าหน้าที่การแข่งขัน")</f>
        <v>พวกนั้นเป็นธงสำหรับเจ้าหน้าที่การแข่งขัน</v>
      </c>
      <c r="S10" s="6" t="str">
        <f>IFERROR(__xludf.DUMMYFUNCTION("GOOGLETRANSLATE(G10,""en"",""th"")"),"พวกเขาทำเครื่องหมายเส้นทางการแข่งขันและเส้นชัย")</f>
        <v>พวกเขาทำเครื่องหมายเส้นทางการแข่งขันและเส้นชัย</v>
      </c>
      <c r="T10" s="6" t="s">
        <v>427</v>
      </c>
      <c r="U10" s="6" t="str">
        <f>IFERROR(__xludf.DUMMYFUNCTION("GOOGLETRANSLATE(I10,""en"",""th"")"),"พวกมันเป็นธงของประเทศต่างๆ")</f>
        <v>พวกมันเป็นธงของประเทศต่างๆ</v>
      </c>
      <c r="V10" s="6" t="str">
        <f>IFERROR(__xludf.DUMMYFUNCTION("GOOGLETRANSLATE(J10,""en"",""th"")"),"ธงบนเสาตามแนวชายฝั่งแสดงถึงประเทศต่างๆ แสดงให้เห็นว่างานดังกล่าวเป็นการแข่งขันระดับนานาชาติ")</f>
        <v>ธงบนเสาตามแนวชายฝั่งแสดงถึงประเทศต่างๆ แสดงให้เห็นว่างานดังกล่าวเป็นการแข่งขันระดับนานาชาติ</v>
      </c>
    </row>
    <row r="11" ht="22.5" customHeight="1">
      <c r="A11" s="4" t="s">
        <v>404</v>
      </c>
      <c r="B11" s="5">
        <v>10.0</v>
      </c>
      <c r="C11" s="4" t="s">
        <v>154</v>
      </c>
      <c r="D11" s="4" t="s">
        <v>124</v>
      </c>
      <c r="E11" s="4" t="s">
        <v>125</v>
      </c>
      <c r="F11" s="4" t="s">
        <v>126</v>
      </c>
      <c r="G11" s="4" t="s">
        <v>127</v>
      </c>
      <c r="H11" s="4" t="s">
        <v>128</v>
      </c>
      <c r="I11" s="4" t="s">
        <v>125</v>
      </c>
      <c r="J11" s="4" t="s">
        <v>428</v>
      </c>
      <c r="M11" s="4" t="s">
        <v>404</v>
      </c>
      <c r="N11" s="5">
        <v>10.0</v>
      </c>
      <c r="O11" s="6" t="str">
        <f>IFERROR(__xludf.DUMMYFUNCTION("GOOGLETRANSLATE(C11,""en"",""th"")"),"บรรยากาศโดยรวมของภาพเป็นอย่างไร?")</f>
        <v>บรรยากาศโดยรวมของภาพเป็นอย่างไร?</v>
      </c>
      <c r="P11" s="6" t="str">
        <f>IFERROR(__xludf.DUMMYFUNCTION("GOOGLETRANSLATE(D11,""en"",""th"")"),"เป็นที่เงียบสงบและสันติ")</f>
        <v>เป็นที่เงียบสงบและสันติ</v>
      </c>
      <c r="Q11" s="6" t="str">
        <f>IFERROR(__xludf.DUMMYFUNCTION("GOOGLETRANSLATE(E11,""en"",""th"")"),"แบบตึงเครียดและมีสมาธิ")</f>
        <v>แบบตึงเครียดและมีสมาธิ</v>
      </c>
      <c r="R11" s="6" t="str">
        <f>IFERROR(__xludf.DUMMYFUNCTION("GOOGLETRANSLATE(F11,""en"",""th"")"),"แบบเฉลิมฉลองและรื่นเริง")</f>
        <v>แบบเฉลิมฉลองและรื่นเริง</v>
      </c>
      <c r="S11" s="6" t="str">
        <f>IFERROR(__xludf.DUMMYFUNCTION("GOOGLETRANSLATE(G11,""en"",""th"")"),"แบบสบายๆ และผ่อนคลาย")</f>
        <v>แบบสบายๆ และผ่อนคลาย</v>
      </c>
      <c r="T11" s="6" t="s">
        <v>130</v>
      </c>
      <c r="U11" s="6" t="str">
        <f>IFERROR(__xludf.DUMMYFUNCTION("GOOGLETRANSLATE(I11,""en"",""th"")"),"แบบตึงเครียดและมีสมาธิ")</f>
        <v>แบบตึงเครียดและมีสมาธิ</v>
      </c>
      <c r="V11" s="6" t="str">
        <f>IFERROR(__xludf.DUMMYFUNCTION("GOOGLETRANSLATE(J11,""en"",""th"")"),"การแสดงออกที่เข้มข้นของทีมและการแข่งขันแบบเคียงข้างกันสร้างบรรยากาศที่ตึงเครียดและมีสมาธิ ซึ่งเป็นลักษณะเฉพาะของการแข่งขันที่มีเดิมพันสูง")</f>
        <v>การแสดงออกที่เข้มข้นของทีมและการแข่งขันแบบเคียงข้างกันสร้างบรรยากาศที่ตึงเครียดและมีสมาธิ ซึ่งเป็นลักษณะเฉพาะของการแข่งขันที่มีเดิมพันสูง</v>
      </c>
    </row>
    <row r="12" ht="22.5" customHeight="1">
      <c r="A12" s="4" t="s">
        <v>429</v>
      </c>
      <c r="B12" s="5">
        <v>11.0</v>
      </c>
      <c r="C12" s="4" t="s">
        <v>430</v>
      </c>
      <c r="D12" s="4" t="s">
        <v>431</v>
      </c>
      <c r="E12" s="4" t="s">
        <v>432</v>
      </c>
      <c r="F12" s="4" t="s">
        <v>433</v>
      </c>
      <c r="G12" s="4" t="s">
        <v>434</v>
      </c>
      <c r="H12" s="4" t="s">
        <v>435</v>
      </c>
      <c r="I12" s="4" t="s">
        <v>433</v>
      </c>
      <c r="J12" s="4" t="s">
        <v>436</v>
      </c>
      <c r="M12" s="4" t="s">
        <v>429</v>
      </c>
      <c r="N12" s="5">
        <v>11.0</v>
      </c>
      <c r="O12" s="6" t="str">
        <f>IFERROR(__xludf.DUMMYFUNCTION("GOOGLETRANSLATE(C12,""en"",""th"")"),"การกระทำหลักที่แสดงอยู่ในภาพคืออะไร?")</f>
        <v>การกระทำหลักที่แสดงอยู่ในภาพคืออะไร?</v>
      </c>
      <c r="P12" s="6" t="str">
        <f>IFERROR(__xludf.DUMMYFUNCTION("GOOGLETRANSLATE(D12,""en"",""th"")"),"การถือไม้พายไว้เหนือน้ำ")</f>
        <v>การถือไม้พายไว้เหนือน้ำ</v>
      </c>
      <c r="Q12" s="6" t="str">
        <f>IFERROR(__xludf.DUMMYFUNCTION("GOOGLETRANSLATE(E12,""en"",""th"")"),"มีการใช้ไม้พายในการบังคับเรือ")</f>
        <v>มีการใช้ไม้พายในการบังคับเรือ</v>
      </c>
      <c r="R12" s="6" t="str">
        <f>IFERROR(__xludf.DUMMYFUNCTION("GOOGLETRANSLATE(F12,""en"",""th"")"),"การพายเข้าสู่ผิวน้ำอย่างสอดประสานกัน")</f>
        <v>การพายเข้าสู่ผิวน้ำอย่างสอดประสานกัน</v>
      </c>
      <c r="S12" s="6" t="str">
        <f>IFERROR(__xludf.DUMMYFUNCTION("GOOGLETRANSLATE(G12,""en"",""th"")"),"พายถูกนำมาใช้เป็นเบรก")</f>
        <v>พายถูกนำมาใช้เป็นเบรก</v>
      </c>
      <c r="T12" s="6" t="s">
        <v>437</v>
      </c>
      <c r="U12" s="6" t="str">
        <f>IFERROR(__xludf.DUMMYFUNCTION("GOOGLETRANSLATE(I12,""en"",""th"")"),"การพายเข้าสู่ผิวน้ำอย่างสอดประสานกัน")</f>
        <v>การพายเข้าสู่ผิวน้ำอย่างสอดประสานกัน</v>
      </c>
      <c r="V12" s="6" t="str">
        <f>IFERROR(__xludf.DUMMYFUNCTION("GOOGLETRANSLATE(J12,""en"",""th"")"),"ภาพนี้จับภาพช่วงเวลาที่ไม้พายของนักพายหลายคนเข้าสู่ผิวน้ำพร้อมๆ กัน ซึ่งถือเป็นกุญแจสำคัญในการสร้างแรงส่งไปข้างหน้า")</f>
        <v>ภาพนี้จับภาพช่วงเวลาที่ไม้พายของนักพายหลายคนเข้าสู่ผิวน้ำพร้อมๆ กัน ซึ่งถือเป็นกุญแจสำคัญในการสร้างแรงส่งไปข้างหน้า</v>
      </c>
    </row>
    <row r="13" ht="22.5" customHeight="1">
      <c r="A13" s="4" t="s">
        <v>429</v>
      </c>
      <c r="B13" s="5">
        <v>12.0</v>
      </c>
      <c r="C13" s="4" t="s">
        <v>438</v>
      </c>
      <c r="D13" s="4" t="s">
        <v>439</v>
      </c>
      <c r="E13" s="4" t="s">
        <v>440</v>
      </c>
      <c r="F13" s="4" t="s">
        <v>441</v>
      </c>
      <c r="G13" s="4" t="s">
        <v>442</v>
      </c>
      <c r="H13" s="4" t="s">
        <v>443</v>
      </c>
      <c r="I13" s="4" t="s">
        <v>440</v>
      </c>
      <c r="J13" s="4" t="s">
        <v>444</v>
      </c>
      <c r="M13" s="4" t="s">
        <v>429</v>
      </c>
      <c r="N13" s="5">
        <v>12.0</v>
      </c>
      <c r="O13" s="6" t="str">
        <f>IFERROR(__xludf.DUMMYFUNCTION("GOOGLETRANSLATE(C13,""en"",""th"")"),"น้ำที่กระเซ็นอยู่ข้างเรือหมายถึงอะไร?")</f>
        <v>น้ำที่กระเซ็นอยู่ข้างเรือหมายถึงอะไร?</v>
      </c>
      <c r="P13" s="6" t="str">
        <f>IFERROR(__xludf.DUMMYFUNCTION("GOOGLETRANSLATE(D13,""en"",""th"")"),"เรือกำลังจะจม")</f>
        <v>เรือกำลังจะจม</v>
      </c>
      <c r="Q13" s="6" t="str">
        <f>IFERROR(__xludf.DUMMYFUNCTION("GOOGLETRANSLATE(E13,""en"",""th"")"),"เรือกำลังเคลื่อนที่ด้วยความเร็วสูง")</f>
        <v>เรือกำลังเคลื่อนที่ด้วยความเร็วสูง</v>
      </c>
      <c r="R13" s="6" t="str">
        <f>IFERROR(__xludf.DUMMYFUNCTION("GOOGLETRANSLATE(F13,""en"",""th"")"),"เรือจอดนิ่งอยู่")</f>
        <v>เรือจอดนิ่งอยู่</v>
      </c>
      <c r="S13" s="6" t="str">
        <f>IFERROR(__xludf.DUMMYFUNCTION("GOOGLETRANSLATE(G13,""en"",""th"")"),"น้ำมีคลื่นมาก")</f>
        <v>น้ำมีคลื่นมาก</v>
      </c>
      <c r="T13" s="6" t="s">
        <v>445</v>
      </c>
      <c r="U13" s="6" t="str">
        <f>IFERROR(__xludf.DUMMYFUNCTION("GOOGLETRANSLATE(I13,""en"",""th"")"),"เรือกำลังเคลื่อนที่ด้วยความเร็วสูง")</f>
        <v>เรือกำลังเคลื่อนที่ด้วยความเร็วสูง</v>
      </c>
      <c r="V13" s="6" t="str">
        <f>IFERROR(__xludf.DUMMYFUNCTION("GOOGLETRANSLATE(J13,""en"",""th"")"),"ละอองน้ำที่มองเห็นได้ที่ด้านข้างของเรือเป็นตัวบ่งชี้ที่มองเห็นได้ถึงจังหวะการพายที่ทรงพลังและสอดประสานกันซึ่งช่วยขับเคลื่อนเรือไปข้างหน้าด้วยความเร็วสูง")</f>
        <v>ละอองน้ำที่มองเห็นได้ที่ด้านข้างของเรือเป็นตัวบ่งชี้ที่มองเห็นได้ถึงจังหวะการพายที่ทรงพลังและสอดประสานกันซึ่งช่วยขับเคลื่อนเรือไปข้างหน้าด้วยความเร็วสูง</v>
      </c>
    </row>
    <row r="14" ht="22.5" customHeight="1">
      <c r="A14" s="4" t="s">
        <v>429</v>
      </c>
      <c r="B14" s="5">
        <v>13.0</v>
      </c>
      <c r="C14" s="4" t="s">
        <v>446</v>
      </c>
      <c r="D14" s="4" t="s">
        <v>447</v>
      </c>
      <c r="E14" s="4" t="s">
        <v>448</v>
      </c>
      <c r="F14" s="4" t="s">
        <v>449</v>
      </c>
      <c r="G14" s="4" t="s">
        <v>450</v>
      </c>
      <c r="H14" s="4" t="s">
        <v>451</v>
      </c>
      <c r="I14" s="4" t="s">
        <v>449</v>
      </c>
      <c r="J14" s="4" t="s">
        <v>452</v>
      </c>
      <c r="M14" s="4" t="s">
        <v>429</v>
      </c>
      <c r="N14" s="5">
        <v>13.0</v>
      </c>
      <c r="O14" s="6" t="str">
        <f>IFERROR(__xludf.DUMMYFUNCTION("GOOGLETRANSLATE(C14,""en"",""th"")"),"นักพายโน้มตัวไปข้างหน้ามาก ท่านี้เป็นเพราะอะไร?")</f>
        <v>นักพายโน้มตัวไปข้างหน้ามาก ท่านี้เป็นเพราะอะไร?</v>
      </c>
      <c r="P14" s="6" t="str">
        <f>IFERROR(__xludf.DUMMYFUNCTION("GOOGLETRANSLATE(D14,""en"",""th"")"),"เพื่อพักแขนของพวกเขา")</f>
        <v>เพื่อพักแขนของพวกเขา</v>
      </c>
      <c r="Q14" s="6" t="str">
        <f>IFERROR(__xludf.DUMMYFUNCTION("GOOGLETRANSLATE(E14,""en"",""th"")"),"เพื่อยืดหลังของพวกเขา")</f>
        <v>เพื่อยืดหลังของพวกเขา</v>
      </c>
      <c r="R14" s="6" t="str">
        <f>IFERROR(__xludf.DUMMYFUNCTION("GOOGLETRANSLATE(F14,""en"",""th"")"),"เพื่อให้ได้จังหวะที่ลึกและทรงพลังยิ่งขึ้น")</f>
        <v>เพื่อให้ได้จังหวะที่ลึกและทรงพลังยิ่งขึ้น</v>
      </c>
      <c r="S14" s="6" t="str">
        <f>IFERROR(__xludf.DUMMYFUNCTION("GOOGLETRANSLATE(G14,""en"",""th"")"),"เพื่อทำให้ตนเองเย็นลง")</f>
        <v>เพื่อทำให้ตนเองเย็นลง</v>
      </c>
      <c r="T14" s="6" t="s">
        <v>453</v>
      </c>
      <c r="U14" s="6" t="str">
        <f>IFERROR(__xludf.DUMMYFUNCTION("GOOGLETRANSLATE(I14,""en"",""th"")"),"เพื่อให้ได้จังหวะที่ลึกและทรงพลังยิ่งขึ้น")</f>
        <v>เพื่อให้ได้จังหวะที่ลึกและทรงพลังยิ่งขึ้น</v>
      </c>
      <c r="V14" s="6" t="str">
        <f>IFERROR(__xludf.DUMMYFUNCTION("GOOGLETRANSLATE(J14,""en"",""th"")"),"การโน้มตัวไปข้างหน้าช่วยให้ผู้พายเอื้อมได้ไกลขึ้น โดยวางไม้พายให้ลึกลงไปในน้ำในช่วงเริ่มต้นของการพายเพื่อสร้างแรงที่มากขึ้น")</f>
        <v>การโน้มตัวไปข้างหน้าช่วยให้ผู้พายเอื้อมได้ไกลขึ้น โดยวางไม้พายให้ลึกลงไปในน้ำในช่วงเริ่มต้นของการพายเพื่อสร้างแรงที่มากขึ้น</v>
      </c>
    </row>
    <row r="15" ht="22.5" customHeight="1">
      <c r="A15" s="4" t="s">
        <v>429</v>
      </c>
      <c r="B15" s="5">
        <v>14.0</v>
      </c>
      <c r="C15" s="4" t="s">
        <v>454</v>
      </c>
      <c r="D15" s="4" t="s">
        <v>455</v>
      </c>
      <c r="E15" s="4" t="s">
        <v>456</v>
      </c>
      <c r="F15" s="4" t="s">
        <v>457</v>
      </c>
      <c r="G15" s="4" t="s">
        <v>458</v>
      </c>
      <c r="H15" s="4" t="s">
        <v>459</v>
      </c>
      <c r="I15" s="4" t="s">
        <v>457</v>
      </c>
      <c r="J15" s="4" t="s">
        <v>460</v>
      </c>
      <c r="M15" s="4" t="s">
        <v>429</v>
      </c>
      <c r="N15" s="5">
        <v>14.0</v>
      </c>
      <c r="O15" s="6" t="str">
        <f>IFERROR(__xludf.DUMMYFUNCTION("GOOGLETRANSLATE(C15,""en"",""th"")"),"เครื่องแบบนักพายเรือมีจุดประสงค์อะไร?")</f>
        <v>เครื่องแบบนักพายเรือมีจุดประสงค์อะไร?</v>
      </c>
      <c r="P15" s="6" t="str">
        <f>IFERROR(__xludf.DUMMYFUNCTION("GOOGLETRANSLATE(D15,""en"",""th"")"),"เพื่อให้ดูเป็นมืออาชีพ")</f>
        <v>เพื่อให้ดูเป็นมืออาชีพ</v>
      </c>
      <c r="Q15" s="6" t="str">
        <f>IFERROR(__xludf.DUMMYFUNCTION("GOOGLETRANSLATE(E15,""en"",""th"")"),"เพื่อให้พวกเขาอบอุ่น")</f>
        <v>เพื่อให้พวกเขาอบอุ่น</v>
      </c>
      <c r="R15" s="6" t="str">
        <f>IFERROR(__xludf.DUMMYFUNCTION("GOOGLETRANSLATE(F15,""en"",""th"")"),"เพื่อระบุทีมของพวกเขา")</f>
        <v>เพื่อระบุทีมของพวกเขา</v>
      </c>
      <c r="S15" s="6" t="str">
        <f>IFERROR(__xludf.DUMMYFUNCTION("GOOGLETRANSLATE(G15,""en"",""th"")"),"เพื่อความปลอดภัย")</f>
        <v>เพื่อความปลอดภัย</v>
      </c>
      <c r="T15" s="6" t="s">
        <v>461</v>
      </c>
      <c r="U15" s="6" t="str">
        <f>IFERROR(__xludf.DUMMYFUNCTION("GOOGLETRANSLATE(I15,""en"",""th"")"),"เพื่อระบุทีมของพวกเขา")</f>
        <v>เพื่อระบุทีมของพวกเขา</v>
      </c>
      <c r="V15" s="6" t="str">
        <f>IFERROR(__xludf.DUMMYFUNCTION("GOOGLETRANSLATE(J15,""en"",""th"")"),"นักพายเรือทุกคนสวมชุดที่เหมือนกัน ซึ่งเป็นวิธีมาตรฐานในการระบุทีมต่างๆ ในการแข่งขัน")</f>
        <v>นักพายเรือทุกคนสวมชุดที่เหมือนกัน ซึ่งเป็นวิธีมาตรฐานในการระบุทีมต่างๆ ในการแข่งขัน</v>
      </c>
    </row>
    <row r="16" ht="22.5" customHeight="1">
      <c r="A16" s="4" t="s">
        <v>429</v>
      </c>
      <c r="B16" s="5">
        <v>15.0</v>
      </c>
      <c r="C16" s="4" t="s">
        <v>462</v>
      </c>
      <c r="D16" s="4" t="s">
        <v>463</v>
      </c>
      <c r="E16" s="4" t="s">
        <v>464</v>
      </c>
      <c r="F16" s="4" t="s">
        <v>465</v>
      </c>
      <c r="G16" s="4" t="s">
        <v>466</v>
      </c>
      <c r="H16" s="4" t="s">
        <v>467</v>
      </c>
      <c r="I16" s="4" t="s">
        <v>465</v>
      </c>
      <c r="J16" s="4" t="s">
        <v>468</v>
      </c>
      <c r="M16" s="4" t="s">
        <v>429</v>
      </c>
      <c r="N16" s="5">
        <v>15.0</v>
      </c>
      <c r="O16" s="6" t="str">
        <f>IFERROR(__xludf.DUMMYFUNCTION("GOOGLETRANSLATE(C16,""en"",""th"")"),"องค์ประกอบที่สำคัญที่สุดสำหรับความสำเร็จของทีมตามที่เน้นไว้ในภาพนี้คืออะไร?")</f>
        <v>องค์ประกอบที่สำคัญที่สุดสำหรับความสำเร็จของทีมตามที่เน้นไว้ในภาพนี้คืออะไร?</v>
      </c>
      <c r="P16" s="6" t="str">
        <f>IFERROR(__xludf.DUMMYFUNCTION("GOOGLETRANSLATE(D16,""en"",""th"")"),"ความแข็งแกร่งของนักพายเรือแต่ละคน")</f>
        <v>ความแข็งแกร่งของนักพายเรือแต่ละคน</v>
      </c>
      <c r="Q16" s="6" t="str">
        <f>IFERROR(__xludf.DUMMYFUNCTION("GOOGLETRANSLATE(E16,""en"",""th"")"),"การออกแบบเรือ")</f>
        <v>การออกแบบเรือ</v>
      </c>
      <c r="R16" s="6" t="str">
        <f>IFERROR(__xludf.DUMMYFUNCTION("GOOGLETRANSLATE(F16,""en"",""th"")"),"การประสานกันอย่างลงตัวของนักพาย")</f>
        <v>การประสานกันอย่างลงตัวของนักพาย</v>
      </c>
      <c r="S16" s="6" t="str">
        <f>IFERROR(__xludf.DUMMYFUNCTION("GOOGLETRANSLATE(G16,""en"",""th"")"),"สภาพอากาศ")</f>
        <v>สภาพอากาศ</v>
      </c>
      <c r="T16" s="6" t="s">
        <v>469</v>
      </c>
      <c r="U16" s="6" t="str">
        <f>IFERROR(__xludf.DUMMYFUNCTION("GOOGLETRANSLATE(I16,""en"",""th"")"),"การประสานกันอย่างลงตัวของนักพาย")</f>
        <v>การประสานกันอย่างลงตัวของนักพาย</v>
      </c>
      <c r="V16" s="6" t="str">
        <f>IFERROR(__xludf.DUMMYFUNCTION("GOOGLETRANSLATE(J16,""en"",""th"")"),"ภาพนี้เน้นย้ำถึงการพายเรืออย่างสอดประสานของทีม ซึ่งเป็นองค์ประกอบที่สำคัญที่สุดในการสร้างพลังที่จำเป็นในการชนะการแข่งขัน")</f>
        <v>ภาพนี้เน้นย้ำถึงการพายเรืออย่างสอดประสานของทีม ซึ่งเป็นองค์ประกอบที่สำคัญที่สุดในการสร้างพลังที่จำเป็นในการชนะการแข่งขัน</v>
      </c>
    </row>
    <row r="17" ht="22.5" customHeight="1">
      <c r="A17" s="4" t="s">
        <v>470</v>
      </c>
      <c r="B17" s="5">
        <v>16.0</v>
      </c>
      <c r="C17" s="4" t="s">
        <v>366</v>
      </c>
      <c r="D17" s="4" t="s">
        <v>471</v>
      </c>
      <c r="E17" s="4" t="s">
        <v>472</v>
      </c>
      <c r="F17" s="4" t="s">
        <v>473</v>
      </c>
      <c r="G17" s="4" t="s">
        <v>474</v>
      </c>
      <c r="H17" s="4" t="s">
        <v>475</v>
      </c>
      <c r="I17" s="4" t="s">
        <v>472</v>
      </c>
      <c r="J17" s="4" t="s">
        <v>476</v>
      </c>
      <c r="M17" s="4" t="s">
        <v>470</v>
      </c>
      <c r="N17" s="5">
        <v>16.0</v>
      </c>
      <c r="O17" s="6" t="str">
        <f>IFERROR(__xludf.DUMMYFUNCTION("GOOGLETRANSLATE(C17,""en"",""th"")"),"เหตุการณ์หลักที่แสดงในภาพคืออะไร?")</f>
        <v>เหตุการณ์หลักที่แสดงในภาพคืออะไร?</v>
      </c>
      <c r="P17" s="6" t="str">
        <f>IFERROR(__xludf.DUMMYFUNCTION("GOOGLETRANSLATE(D17,""en"",""th"")"),"นิทรรศการกีฬาพายเรือ")</f>
        <v>นิทรรศการกีฬาพายเรือ</v>
      </c>
      <c r="Q17" s="6" t="str">
        <f>IFERROR(__xludf.DUMMYFUNCTION("GOOGLETRANSLATE(E17,""en"",""th"")"),"การแข่งขันเรือยาวแบบมืออาชีพ")</f>
        <v>การแข่งขันเรือยาวแบบมืออาชีพ</v>
      </c>
      <c r="R17" s="6" t="str">
        <f>IFERROR(__xludf.DUMMYFUNCTION("GOOGLETRANSLATE(F17,""en"",""th"")"),"กิจกรรมล่องเรือพักผ่อน")</f>
        <v>กิจกรรมล่องเรือพักผ่อน</v>
      </c>
      <c r="S17" s="6" t="str">
        <f>IFERROR(__xludf.DUMMYFUNCTION("GOOGLETRANSLATE(G17,""en"",""th"")"),"แบบฝึกหัดสร้างทีม")</f>
        <v>แบบฝึกหัดสร้างทีม</v>
      </c>
      <c r="T17" s="6" t="s">
        <v>477</v>
      </c>
      <c r="U17" s="6" t="str">
        <f>IFERROR(__xludf.DUMMYFUNCTION("GOOGLETRANSLATE(I17,""en"",""th"")"),"การแข่งขันเรือยาวแบบมืออาชีพ")</f>
        <v>การแข่งขันเรือยาวแบบมืออาชีพ</v>
      </c>
      <c r="V17" s="6" t="str">
        <f>IFERROR(__xludf.DUMMYFUNCTION("GOOGLETRANSLATE(J17,""en"",""th"")"),"ภาพนี้แสดงให้เห็นทีมขนาดใหญ่ในเรือยาว โดยมีฝูงชนผู้ชมอยู่เบื้องหลัง ชวนให้นึกถึงการแข่งเรือที่เป็นทางการและเป็นระเบียบ")</f>
        <v>ภาพนี้แสดงให้เห็นทีมขนาดใหญ่ในเรือยาว โดยมีฝูงชนผู้ชมอยู่เบื้องหลัง ชวนให้นึกถึงการแข่งเรือที่เป็นทางการและเป็นระเบียบ</v>
      </c>
    </row>
    <row r="18" ht="22.5" customHeight="1">
      <c r="A18" s="4" t="s">
        <v>470</v>
      </c>
      <c r="B18" s="5">
        <v>17.0</v>
      </c>
      <c r="C18" s="4" t="s">
        <v>478</v>
      </c>
      <c r="D18" s="4" t="s">
        <v>479</v>
      </c>
      <c r="E18" s="4" t="s">
        <v>480</v>
      </c>
      <c r="F18" s="4" t="s">
        <v>481</v>
      </c>
      <c r="G18" s="4" t="s">
        <v>482</v>
      </c>
      <c r="H18" s="4" t="s">
        <v>483</v>
      </c>
      <c r="I18" s="4" t="s">
        <v>481</v>
      </c>
      <c r="J18" s="4" t="s">
        <v>484</v>
      </c>
      <c r="M18" s="4" t="s">
        <v>470</v>
      </c>
      <c r="N18" s="5">
        <v>17.0</v>
      </c>
      <c r="O18" s="6" t="str">
        <f>IFERROR(__xludf.DUMMYFUNCTION("GOOGLETRANSLATE(C18,""en"",""th"")"),"คนที่ยืนอยู่หัวเรือสุดมีหน้าที่อะไร?")</f>
        <v>คนที่ยืนอยู่หัวเรือสุดมีหน้าที่อะไร?</v>
      </c>
      <c r="P18" s="6" t="str">
        <f>IFERROR(__xludf.DUMMYFUNCTION("GOOGLETRANSLATE(D18,""en"",""th"")"),"โค้ช")</f>
        <v>โค้ช</v>
      </c>
      <c r="Q18" s="6" t="str">
        <f>IFERROR(__xludf.DUMMYFUNCTION("GOOGLETRANSLATE(E18,""en"",""th"")"),"นายท้ายเรือ")</f>
        <v>นายท้ายเรือ</v>
      </c>
      <c r="R18" s="6" t="str">
        <f>IFERROR(__xludf.DUMMYFUNCTION("GOOGLETRANSLATE(F18,""en"",""th"")"),"กัปตันทีม")</f>
        <v>กัปตันทีม</v>
      </c>
      <c r="S18" s="6" t="str">
        <f>IFERROR(__xludf.DUMMYFUNCTION("GOOGLETRANSLATE(G18,""en"",""th"")"),"นักพายคนนำ")</f>
        <v>นักพายคนนำ</v>
      </c>
      <c r="T18" s="6" t="s">
        <v>485</v>
      </c>
      <c r="U18" s="6" t="str">
        <f>IFERROR(__xludf.DUMMYFUNCTION("GOOGLETRANSLATE(I18,""en"",""th"")"),"กัปตันทีม")</f>
        <v>กัปตันทีม</v>
      </c>
      <c r="V18" s="6" t="str">
        <f>IFERROR(__xludf.DUMMYFUNCTION("GOOGLETRANSLATE(J18,""en"",""th"")"),"บุคคลที่ยืนอยู่ด้านหน้าเรือ มักจะเป็นกัปตันทีมที่คอยกระตุ้นและชี้นำทีม")</f>
        <v>บุคคลที่ยืนอยู่ด้านหน้าเรือ มักจะเป็นกัปตันทีมที่คอยกระตุ้นและชี้นำทีม</v>
      </c>
    </row>
    <row r="19" ht="22.5" customHeight="1">
      <c r="A19" s="4" t="s">
        <v>470</v>
      </c>
      <c r="B19" s="5">
        <v>18.0</v>
      </c>
      <c r="C19" s="4" t="s">
        <v>486</v>
      </c>
      <c r="D19" s="4" t="s">
        <v>487</v>
      </c>
      <c r="E19" s="4" t="s">
        <v>488</v>
      </c>
      <c r="F19" s="4" t="s">
        <v>489</v>
      </c>
      <c r="G19" s="4" t="s">
        <v>490</v>
      </c>
      <c r="H19" s="4" t="s">
        <v>491</v>
      </c>
      <c r="I19" s="4" t="s">
        <v>487</v>
      </c>
      <c r="J19" s="4" t="s">
        <v>492</v>
      </c>
      <c r="M19" s="4" t="s">
        <v>470</v>
      </c>
      <c r="N19" s="5">
        <v>18.0</v>
      </c>
      <c r="O19" s="6" t="str">
        <f>IFERROR(__xludf.DUMMYFUNCTION("GOOGLETRANSLATE(C19,""en"",""th"")"),"ลักษณะเด่นของการออกแบบเรือคืออะไร?")</f>
        <v>ลักษณะเด่นของการออกแบบเรือคืออะไร?</v>
      </c>
      <c r="P19" s="6" t="str">
        <f>IFERROR(__xludf.DUMMYFUNCTION("GOOGLETRANSLATE(D19,""en"",""th"")"),"มันยาวและแคบมาก")</f>
        <v>มันยาวและแคบมาก</v>
      </c>
      <c r="Q19" s="6" t="str">
        <f>IFERROR(__xludf.DUMMYFUNCTION("GOOGLETRANSLATE(E19,""en"",""th"")"),"มันกว้างและสั้นมาก")</f>
        <v>มันกว้างและสั้นมาก</v>
      </c>
      <c r="R19" s="6" t="str">
        <f>IFERROR(__xludf.DUMMYFUNCTION("GOOGLETRANSLATE(F19,""en"",""th"")"),"มันเป็นเรือสมัยใหม่")</f>
        <v>มันเป็นเรือสมัยใหม่</v>
      </c>
      <c r="S19" s="6" t="str">
        <f>IFERROR(__xludf.DUMMYFUNCTION("GOOGLETRANSLATE(G19,""en"",""th"")"),"มันเป็นเรือประมง.")</f>
        <v>มันเป็นเรือประมง.</v>
      </c>
      <c r="T19" s="6" t="s">
        <v>493</v>
      </c>
      <c r="U19" s="6" t="str">
        <f>IFERROR(__xludf.DUMMYFUNCTION("GOOGLETRANSLATE(I19,""en"",""th"")"),"มันยาวและแคบมาก")</f>
        <v>มันยาวและแคบมาก</v>
      </c>
      <c r="V19" s="6" t="str">
        <f>IFERROR(__xludf.DUMMYFUNCTION("GOOGLETRANSLATE(J19,""en"",""th"")"),"เรือลำนี้เป็นเรือหางยาวแบบดั้งเดิมซึ่งมีความยาวและแคบมาก ออกแบบมาให้เหมาะกับความเร็ว")</f>
        <v>เรือลำนี้เป็นเรือหางยาวแบบดั้งเดิมซึ่งมีความยาวและแคบมาก ออกแบบมาให้เหมาะกับความเร็ว</v>
      </c>
    </row>
    <row r="20" ht="22.5" customHeight="1">
      <c r="A20" s="4" t="s">
        <v>470</v>
      </c>
      <c r="B20" s="5">
        <v>19.0</v>
      </c>
      <c r="C20" s="4" t="s">
        <v>494</v>
      </c>
      <c r="D20" s="4" t="s">
        <v>495</v>
      </c>
      <c r="E20" s="4" t="s">
        <v>496</v>
      </c>
      <c r="F20" s="4" t="s">
        <v>497</v>
      </c>
      <c r="G20" s="4" t="s">
        <v>498</v>
      </c>
      <c r="H20" s="4" t="s">
        <v>499</v>
      </c>
      <c r="I20" s="4" t="s">
        <v>496</v>
      </c>
      <c r="J20" s="4" t="s">
        <v>500</v>
      </c>
      <c r="M20" s="4" t="s">
        <v>470</v>
      </c>
      <c r="N20" s="5">
        <v>19.0</v>
      </c>
      <c r="O20" s="6" t="str">
        <f>IFERROR(__xludf.DUMMYFUNCTION("GOOGLETRANSLATE(C20,""en"",""th"")"),"ฝูงชนผู้ชมจำนวนมากบอกอะไรเกี่ยวกับงานนี้ได้บ้าง?")</f>
        <v>ฝูงชนผู้ชมจำนวนมากบอกอะไรเกี่ยวกับงานนี้ได้บ้าง?</v>
      </c>
      <c r="P20" s="6" t="str">
        <f>IFERROR(__xludf.DUMMYFUNCTION("GOOGLETRANSLATE(D20,""en"",""th"")"),"เป็นการรวมตัวเล็กๆ แบบไม่เป็นทางการ")</f>
        <v>เป็นการรวมตัวเล็กๆ แบบไม่เป็นทางการ</v>
      </c>
      <c r="Q20" s="6" t="str">
        <f>IFERROR(__xludf.DUMMYFUNCTION("GOOGLETRANSLATE(E20,""en"",""th"")"),"เป็นการแข่งขันกีฬาที่สำคัญและมีผู้เข้าร่วมเป็นจำนวนมาก")</f>
        <v>เป็นการแข่งขันกีฬาที่สำคัญและมีผู้เข้าร่วมเป็นจำนวนมาก</v>
      </c>
      <c r="R20" s="6" t="str">
        <f>IFERROR(__xludf.DUMMYFUNCTION("GOOGLETRANSLATE(F20,""en"",""th"")"),"เป็นการฝึกปฏิบัติการทางทหาร")</f>
        <v>เป็นการฝึกปฏิบัติการทางทหาร</v>
      </c>
      <c r="S20" s="6" t="str">
        <f>IFERROR(__xludf.DUMMYFUNCTION("GOOGLETRANSLATE(G20,""en"",""th"")"),"เป็นการฝึกซ้อมแบบสบายๆ")</f>
        <v>เป็นการฝึกซ้อมแบบสบายๆ</v>
      </c>
      <c r="T20" s="6" t="s">
        <v>501</v>
      </c>
      <c r="U20" s="6" t="str">
        <f>IFERROR(__xludf.DUMMYFUNCTION("GOOGLETRANSLATE(I20,""en"",""th"")"),"เป็นการแข่งขันกีฬาที่สำคัญและมีผู้เข้าร่วมเป็นจำนวนมาก")</f>
        <v>เป็นการแข่งขันกีฬาที่สำคัญและมีผู้เข้าร่วมเป็นจำนวนมาก</v>
      </c>
      <c r="V20" s="6" t="str">
        <f>IFERROR(__xludf.DUMMYFUNCTION("GOOGLETRANSLATE(J20,""en"",""th"")"),"จำนวนผู้คนจำนวนมากบนชายฝั่งพร้อมกับป้ายและธง บ่งบอกว่านี่คือการแข่งขันกีฬาอย่างเป็นทางการขนาดใหญ่")</f>
        <v>จำนวนผู้คนจำนวนมากบนชายฝั่งพร้อมกับป้ายและธง บ่งบอกว่านี่คือการแข่งขันกีฬาอย่างเป็นทางการขนาดใหญ่</v>
      </c>
    </row>
    <row r="21" ht="22.5" customHeight="1">
      <c r="A21" s="4" t="s">
        <v>470</v>
      </c>
      <c r="B21" s="5">
        <v>20.0</v>
      </c>
      <c r="C21" s="4" t="s">
        <v>502</v>
      </c>
      <c r="D21" s="4" t="s">
        <v>503</v>
      </c>
      <c r="E21" s="4" t="s">
        <v>449</v>
      </c>
      <c r="F21" s="4" t="s">
        <v>504</v>
      </c>
      <c r="G21" s="4" t="s">
        <v>416</v>
      </c>
      <c r="H21" s="4" t="s">
        <v>505</v>
      </c>
      <c r="I21" s="4" t="s">
        <v>449</v>
      </c>
      <c r="J21" s="4" t="s">
        <v>506</v>
      </c>
      <c r="M21" s="4" t="s">
        <v>470</v>
      </c>
      <c r="N21" s="5">
        <v>20.0</v>
      </c>
      <c r="O21" s="6" t="str">
        <f>IFERROR(__xludf.DUMMYFUNCTION("GOOGLETRANSLATE(C21,""en"",""th"")"),"นักพายเรืออยู่ในท่าสควอทต่ำมาก ท่านี้เกิดจากอะไร?")</f>
        <v>นักพายเรืออยู่ในท่าสควอทต่ำมาก ท่านี้เกิดจากอะไร?</v>
      </c>
      <c r="P21" s="6" t="str">
        <f>IFERROR(__xludf.DUMMYFUNCTION("GOOGLETRANSLATE(D21,""en"",""th"")"),"เพื่อพักผ่อน")</f>
        <v>เพื่อพักผ่อน</v>
      </c>
      <c r="Q21" s="6" t="str">
        <f>IFERROR(__xludf.DUMMYFUNCTION("GOOGLETRANSLATE(E21,""en"",""th"")"),"เพื่อให้ได้จังหวะที่ลึกและทรงพลังยิ่งขึ้น")</f>
        <v>เพื่อให้ได้จังหวะที่ลึกและทรงพลังยิ่งขึ้น</v>
      </c>
      <c r="R21" s="6" t="str">
        <f>IFERROR(__xludf.DUMMYFUNCTION("GOOGLETRANSLATE(F21,""en"",""th"")"),"เพื่อหลีกเลี่ยงลม")</f>
        <v>เพื่อหลีกเลี่ยงลม</v>
      </c>
      <c r="S21" s="6" t="str">
        <f>IFERROR(__xludf.DUMMYFUNCTION("GOOGLETRANSLATE(G21,""en"",""th"")"),"การบังคับเรือ")</f>
        <v>การบังคับเรือ</v>
      </c>
      <c r="T21" s="6" t="s">
        <v>507</v>
      </c>
      <c r="U21" s="6" t="str">
        <f>IFERROR(__xludf.DUMMYFUNCTION("GOOGLETRANSLATE(I21,""en"",""th"")"),"เพื่อให้ได้จังหวะที่ลึกและทรงพลังยิ่งขึ้น")</f>
        <v>เพื่อให้ได้จังหวะที่ลึกและทรงพลังยิ่งขึ้น</v>
      </c>
      <c r="V21" s="6" t="str">
        <f>IFERROR(__xludf.DUMMYFUNCTION("GOOGLETRANSLATE(J21,""en"",""th"")"),"ท่าทางการนั่งยองๆ ต่ำๆ ช่วยให้ผู้พายเรือได้ใช้ร่างกายทั้งหมด โดยเฉพาะขาและแกนกลางลำตัว เพื่อสร้างจังหวะการพายที่ทรงพลังและระเบิดพลัง")</f>
        <v>ท่าทางการนั่งยองๆ ต่ำๆ ช่วยให้ผู้พายเรือได้ใช้ร่างกายทั้งหมด โดยเฉพาะขาและแกนกลางลำตัว เพื่อสร้างจังหวะการพายที่ทรงพลังและระเบิดพลัง</v>
      </c>
    </row>
    <row r="22" ht="22.5" customHeight="1">
      <c r="A22" s="4" t="s">
        <v>508</v>
      </c>
      <c r="B22" s="5">
        <v>21.0</v>
      </c>
      <c r="C22" s="4" t="s">
        <v>366</v>
      </c>
      <c r="D22" s="4" t="s">
        <v>509</v>
      </c>
      <c r="E22" s="4" t="s">
        <v>510</v>
      </c>
      <c r="F22" s="4" t="s">
        <v>511</v>
      </c>
      <c r="G22" s="4" t="s">
        <v>370</v>
      </c>
      <c r="H22" s="4" t="s">
        <v>512</v>
      </c>
      <c r="I22" s="4" t="s">
        <v>370</v>
      </c>
      <c r="J22" s="4" t="s">
        <v>513</v>
      </c>
      <c r="M22" s="4" t="s">
        <v>508</v>
      </c>
      <c r="N22" s="5">
        <v>21.0</v>
      </c>
      <c r="O22" s="6" t="str">
        <f>IFERROR(__xludf.DUMMYFUNCTION("GOOGLETRANSLATE(C22,""en"",""th"")"),"เหตุการณ์หลักที่แสดงในภาพคืออะไร?")</f>
        <v>เหตุการณ์หลักที่แสดงในภาพคืออะไร?</v>
      </c>
      <c r="P22" s="6" t="str">
        <f>IFERROR(__xludf.DUMMYFUNCTION("GOOGLETRANSLATE(D22,""en"",""th"")"),"การแข่งขันพายเรือ")</f>
        <v>การแข่งขันพายเรือ</v>
      </c>
      <c r="Q22" s="6" t="str">
        <f>IFERROR(__xludf.DUMMYFUNCTION("GOOGLETRANSLATE(E22,""en"",""th"")"),"ทริปตกปลา")</f>
        <v>ทริปตกปลา</v>
      </c>
      <c r="R22" s="6" t="str">
        <f>IFERROR(__xludf.DUMMYFUNCTION("GOOGLETRANSLATE(F22,""en"",""th"")"),"การแข่งขันเรือแคนู")</f>
        <v>การแข่งขันเรือแคนู</v>
      </c>
      <c r="S22" s="6" t="str">
        <f>IFERROR(__xludf.DUMMYFUNCTION("GOOGLETRANSLATE(G22,""en"",""th"")"),"แก่งเรือ")</f>
        <v>แก่งเรือ</v>
      </c>
      <c r="T22" s="6" t="s">
        <v>514</v>
      </c>
      <c r="U22" s="6" t="str">
        <f>IFERROR(__xludf.DUMMYFUNCTION("GOOGLETRANSLATE(I22,""en"",""th"")"),"แก่งเรือ")</f>
        <v>แก่งเรือ</v>
      </c>
      <c r="V22" s="6" t="str">
        <f>IFERROR(__xludf.DUMMYFUNCTION("GOOGLETRANSLATE(J22,""en"",""th"")"),"ภาพนี้แสดงให้เห็นเรือยาวหลายลำพร้อมทีมฝีพายจำนวนมาก ซึ่งเป็นลักษณะเฉพาะของการแข่งเรือแบบแก่งเรือซึ่งเป็นประเพณีของไทย")</f>
        <v>ภาพนี้แสดงให้เห็นเรือยาวหลายลำพร้อมทีมฝีพายจำนวนมาก ซึ่งเป็นลักษณะเฉพาะของการแข่งเรือแบบแก่งเรือซึ่งเป็นประเพณีของไทย</v>
      </c>
    </row>
    <row r="23" ht="22.5" customHeight="1">
      <c r="A23" s="4" t="s">
        <v>508</v>
      </c>
      <c r="B23" s="5">
        <v>22.0</v>
      </c>
      <c r="C23" s="4" t="s">
        <v>515</v>
      </c>
      <c r="D23" s="4" t="s">
        <v>413</v>
      </c>
      <c r="E23" s="4" t="s">
        <v>414</v>
      </c>
      <c r="F23" s="4" t="s">
        <v>415</v>
      </c>
      <c r="G23" s="4" t="s">
        <v>416</v>
      </c>
      <c r="H23" s="4" t="s">
        <v>417</v>
      </c>
      <c r="I23" s="4" t="s">
        <v>416</v>
      </c>
      <c r="J23" s="4" t="s">
        <v>516</v>
      </c>
      <c r="M23" s="4" t="s">
        <v>508</v>
      </c>
      <c r="N23" s="5">
        <v>22.0</v>
      </c>
      <c r="O23" s="6" t="str">
        <f>IFERROR(__xludf.DUMMYFUNCTION("GOOGLETRANSLATE(C23,""en"",""th"")"),"คนใส่เสื้อดำกางเกงดำมีจุดประสงค์อะไร?")</f>
        <v>คนใส่เสื้อดำกางเกงดำมีจุดประสงค์อะไร?</v>
      </c>
      <c r="P23" s="6" t="str">
        <f>IFERROR(__xludf.DUMMYFUNCTION("GOOGLETRANSLATE(D23,""en"",""th"")"),"เพื่อสร้างความบันเทิงให้กับฝูงชน")</f>
        <v>เพื่อสร้างความบันเทิงให้กับฝูงชน</v>
      </c>
      <c r="Q23" s="6" t="str">
        <f>IFERROR(__xludf.DUMMYFUNCTION("GOOGLETRANSLATE(E23,""en"",""th"")"),"เพื่อรักษาเวลาและจังหวะการพายของนักพายให้ตรงกัน")</f>
        <v>เพื่อรักษาเวลาและจังหวะการพายของนักพายให้ตรงกัน</v>
      </c>
      <c r="R23" s="6" t="str">
        <f>IFERROR(__xludf.DUMMYFUNCTION("GOOGLETRANSLATE(F23,""en"",""th"")"),"เพื่อเป็นสัญญาณเริ่มต้นการแข่งขัน")</f>
        <v>เพื่อเป็นสัญญาณเริ่มต้นการแข่งขัน</v>
      </c>
      <c r="S23" s="6" t="str">
        <f>IFERROR(__xludf.DUMMYFUNCTION("GOOGLETRANSLATE(G23,""en"",""th"")"),"การบังคับเรือ")</f>
        <v>การบังคับเรือ</v>
      </c>
      <c r="T23" s="6" t="s">
        <v>419</v>
      </c>
      <c r="U23" s="6" t="str">
        <f>IFERROR(__xludf.DUMMYFUNCTION("GOOGLETRANSLATE(I23,""en"",""th"")"),"การบังคับเรือ")</f>
        <v>การบังคับเรือ</v>
      </c>
      <c r="V23" s="6" t="str">
        <f>IFERROR(__xludf.DUMMYFUNCTION("GOOGLETRANSLATE(J23,""en"",""th"")"),"ผู้สวมเสื้อสีดำและกางเกงขายาวสีดำอยู่ท้ายเรือ โดยใช้ไม้ยาวในการบังคับเรือ ซึ่งมีบทบาทสำคัญในการแข่งขันเพื่อให้แน่ใจว่าเรือจะคงอยู่ในเส้นทาง")</f>
        <v>ผู้สวมเสื้อสีดำและกางเกงขายาวสีดำอยู่ท้ายเรือ โดยใช้ไม้ยาวในการบังคับเรือ ซึ่งมีบทบาทสำคัญในการแข่งขันเพื่อให้แน่ใจว่าเรือจะคงอยู่ในเส้นทาง</v>
      </c>
    </row>
    <row r="24" ht="22.5" customHeight="1">
      <c r="A24" s="4" t="s">
        <v>508</v>
      </c>
      <c r="B24" s="5">
        <v>23.0</v>
      </c>
      <c r="C24" s="4" t="s">
        <v>380</v>
      </c>
      <c r="D24" s="4" t="s">
        <v>381</v>
      </c>
      <c r="E24" s="4" t="s">
        <v>382</v>
      </c>
      <c r="F24" s="4" t="s">
        <v>383</v>
      </c>
      <c r="G24" s="4" t="s">
        <v>384</v>
      </c>
      <c r="H24" s="4" t="s">
        <v>385</v>
      </c>
      <c r="I24" s="4" t="s">
        <v>382</v>
      </c>
      <c r="J24" s="4" t="s">
        <v>386</v>
      </c>
      <c r="M24" s="4" t="s">
        <v>508</v>
      </c>
      <c r="N24" s="5">
        <v>23.0</v>
      </c>
      <c r="O24" s="6" t="str">
        <f>IFERROR(__xludf.DUMMYFUNCTION("GOOGLETRANSLATE(C24,""en"",""th"")"),"ลักษณะเด่นของการออกแบบเรือคืออะไร?")</f>
        <v>ลักษณะเด่นของการออกแบบเรือคืออะไร?</v>
      </c>
      <c r="P24" s="6" t="str">
        <f>IFERROR(__xludf.DUMMYFUNCTION("GOOGLETRANSLATE(D24,""en"",""th"")"),"มันทำจากพลาสติก")</f>
        <v>มันทำจากพลาสติก</v>
      </c>
      <c r="Q24" s="6" t="str">
        <f>IFERROR(__xludf.DUMMYFUNCTION("GOOGLETRANSLATE(E24,""en"",""th"")"),"พวกมันมีหัวและหางมังกรแบบดั้งเดิม")</f>
        <v>พวกมันมีหัวและหางมังกรแบบดั้งเดิม</v>
      </c>
      <c r="R24" s="6" t="str">
        <f>IFERROR(__xludf.DUMMYFUNCTION("GOOGLETRANSLATE(F24,""en"",""th"")"),"มันมีขนาดเล็กและมีน้ำหนักเบา")</f>
        <v>มันมีขนาดเล็กและมีน้ำหนักเบา</v>
      </c>
      <c r="S24" s="6" t="str">
        <f>IFERROR(__xludf.DUMMYFUNCTION("GOOGLETRANSLATE(G24,""en"",""th"")"),"พวกมันขับเคลื่อนด้วยเครื่องยนต์")</f>
        <v>พวกมันขับเคลื่อนด้วยเครื่องยนต์</v>
      </c>
      <c r="T24" s="6" t="s">
        <v>387</v>
      </c>
      <c r="U24" s="6" t="str">
        <f>IFERROR(__xludf.DUMMYFUNCTION("GOOGLETRANSLATE(I24,""en"",""th"")"),"พวกมันมีหัวและหางมังกรแบบดั้งเดิม")</f>
        <v>พวกมันมีหัวและหางมังกรแบบดั้งเดิม</v>
      </c>
      <c r="V24" s="6" t="str">
        <f>IFERROR(__xludf.DUMMYFUNCTION("GOOGLETRANSLATE(J24,""en"",""th"")"),"เรือมีการแกะสลักและทาสีหัวมังกรอย่างประณีตที่ด้านหน้าและหางที่ด้านหลัง ซึ่งเป็นคุณลักษณะแบบดั้งเดิมและพิธีกรรมของเรือเหล่านี้")</f>
        <v>เรือมีการแกะสลักและทาสีหัวมังกรอย่างประณีตที่ด้านหน้าและหางที่ด้านหลัง ซึ่งเป็นคุณลักษณะแบบดั้งเดิมและพิธีกรรมของเรือเหล่านี้</v>
      </c>
    </row>
    <row r="25" ht="22.5" customHeight="1">
      <c r="A25" s="4" t="s">
        <v>508</v>
      </c>
      <c r="B25" s="5">
        <v>24.0</v>
      </c>
      <c r="C25" s="4" t="s">
        <v>388</v>
      </c>
      <c r="D25" s="4" t="s">
        <v>517</v>
      </c>
      <c r="E25" s="4" t="s">
        <v>518</v>
      </c>
      <c r="F25" s="4" t="s">
        <v>519</v>
      </c>
      <c r="G25" s="4" t="s">
        <v>520</v>
      </c>
      <c r="H25" s="4" t="s">
        <v>521</v>
      </c>
      <c r="I25" s="4" t="s">
        <v>519</v>
      </c>
      <c r="J25" s="4" t="s">
        <v>394</v>
      </c>
      <c r="M25" s="4" t="s">
        <v>508</v>
      </c>
      <c r="N25" s="5">
        <v>24.0</v>
      </c>
      <c r="O25" s="6" t="str">
        <f>IFERROR(__xludf.DUMMYFUNCTION("GOOGLETRANSLATE(C25,""en"",""th"")"),"แต่ละทีมจะใส่ชุดแบบไหน?")</f>
        <v>แต่ละทีมจะใส่ชุดแบบไหน?</v>
      </c>
      <c r="P25" s="6" t="str">
        <f>IFERROR(__xludf.DUMMYFUNCTION("GOOGLETRANSLATE(D25,""en"",""th"")"),"เสื้อผ้าลำลอง")</f>
        <v>เสื้อผ้าลำลอง</v>
      </c>
      <c r="Q25" s="6" t="str">
        <f>IFERROR(__xludf.DUMMYFUNCTION("GOOGLETRANSLATE(E25,""en"",""th"")"),"ชุดยูนิฟอร์มทางการ")</f>
        <v>ชุดยูนิฟอร์มทางการ</v>
      </c>
      <c r="R25" s="6" t="str">
        <f>IFERROR(__xludf.DUMMYFUNCTION("GOOGLETRANSLATE(F25,""en"",""th"")"),"เสื้อชูชีพ และ เสื้อกีฬา")</f>
        <v>เสื้อชูชีพ และ เสื้อกีฬา</v>
      </c>
      <c r="S25" s="6" t="str">
        <f>IFERROR(__xludf.DUMMYFUNCTION("GOOGLETRANSLATE(G25,""en"",""th"")"),"ชุดดำน้ำ")</f>
        <v>ชุดดำน้ำ</v>
      </c>
      <c r="T25" s="6" t="s">
        <v>522</v>
      </c>
      <c r="U25" s="6" t="str">
        <f>IFERROR(__xludf.DUMMYFUNCTION("GOOGLETRANSLATE(I25,""en"",""th"")"),"เสื้อชูชีพ และ เสื้อกีฬา")</f>
        <v>เสื้อชูชีพ และ เสื้อกีฬา</v>
      </c>
      <c r="V25" s="6" t="str">
        <f>IFERROR(__xludf.DUMMYFUNCTION("GOOGLETRANSLATE(J25,""en"",""th"")"),"นักพายเรือสวมเสื้อกีฬาและเสื้อชูชีพสีสันสดใสซึ่งสวมใส่เพื่อความปลอดภัยและเพื่อแสดงถึงความเป็นทีม")</f>
        <v>นักพายเรือสวมเสื้อกีฬาและเสื้อชูชีพสีสันสดใสซึ่งสวมใส่เพื่อความปลอดภัยและเพื่อแสดงถึงความเป็นทีม</v>
      </c>
    </row>
    <row r="26" ht="22.5" customHeight="1">
      <c r="A26" s="4" t="s">
        <v>508</v>
      </c>
      <c r="B26" s="5">
        <v>25.0</v>
      </c>
      <c r="C26" s="4" t="s">
        <v>396</v>
      </c>
      <c r="D26" s="4" t="s">
        <v>397</v>
      </c>
      <c r="E26" s="4" t="s">
        <v>398</v>
      </c>
      <c r="F26" s="4" t="s">
        <v>399</v>
      </c>
      <c r="G26" s="4" t="s">
        <v>400</v>
      </c>
      <c r="H26" s="4" t="s">
        <v>401</v>
      </c>
      <c r="I26" s="4" t="s">
        <v>398</v>
      </c>
      <c r="J26" s="4" t="s">
        <v>402</v>
      </c>
      <c r="M26" s="4" t="s">
        <v>508</v>
      </c>
      <c r="N26" s="5">
        <v>25.0</v>
      </c>
      <c r="O26" s="6" t="str">
        <f>IFERROR(__xludf.DUMMYFUNCTION("GOOGLETRANSLATE(C26,""en"",""th"")"),"ความพยายามอันเข้มข้นของนักพายเรือบ่งบอกอะไรเกี่ยวกับการแข่งขัน?")</f>
        <v>ความพยายามอันเข้มข้นของนักพายเรือบ่งบอกอะไรเกี่ยวกับการแข่งขัน?</v>
      </c>
      <c r="P26" s="6" t="str">
        <f>IFERROR(__xludf.DUMMYFUNCTION("GOOGLETRANSLATE(D26,""en"",""th"")"),"เป็นกิจกรรมยามว่าง")</f>
        <v>เป็นกิจกรรมยามว่าง</v>
      </c>
      <c r="Q26" s="6" t="str">
        <f>IFERROR(__xludf.DUMMYFUNCTION("GOOGLETRANSLATE(E26,""en"",""th"")"),"มันเป็นกีฬาที่มีการแข่งขันสูงและต้องใช้กำลังกายมาก")</f>
        <v>มันเป็นกีฬาที่มีการแข่งขันสูงและต้องใช้กำลังกายมาก</v>
      </c>
      <c r="R26" s="6" t="str">
        <f>IFERROR(__xludf.DUMMYFUNCTION("GOOGLETRANSLATE(F26,""en"",""th"")"),"เป็นขบวนแห่แบบช้าๆ ตามพิธีกรรม")</f>
        <v>เป็นขบวนแห่แบบช้าๆ ตามพิธีกรรม</v>
      </c>
      <c r="S26" s="6" t="str">
        <f>IFERROR(__xludf.DUMMYFUNCTION("GOOGLETRANSLATE(G26,""en"",""th"")"),"เป็นกิจกรรมเสริมสร้างการทำงานเป็นทีม")</f>
        <v>เป็นกิจกรรมเสริมสร้างการทำงานเป็นทีม</v>
      </c>
      <c r="T26" s="6" t="s">
        <v>403</v>
      </c>
      <c r="U26" s="6" t="str">
        <f>IFERROR(__xludf.DUMMYFUNCTION("GOOGLETRANSLATE(I26,""en"",""th"")"),"มันเป็นกีฬาที่มีการแข่งขันสูงและต้องใช้กำลังกายมาก")</f>
        <v>มันเป็นกีฬาที่มีการแข่งขันสูงและต้องใช้กำลังกายมาก</v>
      </c>
      <c r="V26" s="6" t="str">
        <f>IFERROR(__xludf.DUMMYFUNCTION("GOOGLETRANSLATE(J26,""en"",""th"")"),"การพายที่ทรงพลัง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f>
        <v>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v>
      </c>
    </row>
    <row r="27" ht="22.5" customHeight="1">
      <c r="A27" s="4" t="s">
        <v>523</v>
      </c>
      <c r="B27" s="5">
        <v>26.0</v>
      </c>
      <c r="C27" s="4" t="s">
        <v>21</v>
      </c>
      <c r="D27" s="4" t="s">
        <v>509</v>
      </c>
      <c r="E27" s="4" t="s">
        <v>510</v>
      </c>
      <c r="F27" s="4" t="s">
        <v>511</v>
      </c>
      <c r="G27" s="4" t="s">
        <v>524</v>
      </c>
      <c r="H27" s="4" t="s">
        <v>525</v>
      </c>
      <c r="I27" s="4" t="s">
        <v>524</v>
      </c>
      <c r="J27" s="4" t="s">
        <v>526</v>
      </c>
      <c r="M27" s="4" t="s">
        <v>523</v>
      </c>
      <c r="N27" s="5">
        <v>26.0</v>
      </c>
      <c r="O27" s="6" t="str">
        <f>IFERROR(__xludf.DUMMYFUNCTION("GOOGLETRANSLATE(C27,""en"",""th"")"),"ภาพที่แสดงเป็นกิจกรรมหลักอะไร?")</f>
        <v>ภาพที่แสดงเป็นกิจกรรมหลักอะไร?</v>
      </c>
      <c r="P27" s="6" t="str">
        <f>IFERROR(__xludf.DUMMYFUNCTION("GOOGLETRANSLATE(D27,""en"",""th"")"),"การแข่งขันพายเรือ")</f>
        <v>การแข่งขันพายเรือ</v>
      </c>
      <c r="Q27" s="6" t="str">
        <f>IFERROR(__xludf.DUMMYFUNCTION("GOOGLETRANSLATE(E27,""en"",""th"")"),"ทริปตกปลา")</f>
        <v>ทริปตกปลา</v>
      </c>
      <c r="R27" s="6" t="str">
        <f>IFERROR(__xludf.DUMMYFUNCTION("GOOGLETRANSLATE(F27,""en"",""th"")"),"การแข่งขันเรือแคนู")</f>
        <v>การแข่งขันเรือแคนู</v>
      </c>
      <c r="S27" s="6" t="str">
        <f>IFERROR(__xludf.DUMMYFUNCTION("GOOGLETRANSLATE(G27,""en"",""th"")"),"การแข่งขันเรือมังกร")</f>
        <v>การแข่งขันเรือมังกร</v>
      </c>
      <c r="T27" s="6" t="s">
        <v>527</v>
      </c>
      <c r="U27" s="6" t="str">
        <f>IFERROR(__xludf.DUMMYFUNCTION("GOOGLETRANSLATE(I27,""en"",""th"")"),"การแข่งขันเรือมังกร")</f>
        <v>การแข่งขันเรือมังกร</v>
      </c>
      <c r="V27" s="6" t="str">
        <f>IFERROR(__xludf.DUMMYFUNCTION("GOOGLETRANSLATE(J27,""en"",""th"")"),"ภาพนี้แสดงให้เห็นเรือหลายลำที่มีหัวเรือเป็นรูปหัวมังกรและนักพายจำนวนมาก ซึ่งล้วนเป็นลักษณะเฉพาะของการแข่งขันเรือมังกร")</f>
        <v>ภาพนี้แสดงให้เห็นเรือหลายลำที่มีหัวเรือเป็นรูปหัวมังกรและนักพายจำนวนมาก ซึ่งล้วนเป็นลักษณะเฉพาะของการแข่งขันเรือมังกร</v>
      </c>
    </row>
    <row r="28" ht="22.5" customHeight="1">
      <c r="A28" s="4" t="s">
        <v>523</v>
      </c>
      <c r="B28" s="5">
        <v>27.0</v>
      </c>
      <c r="C28" s="4" t="s">
        <v>528</v>
      </c>
      <c r="D28" s="4" t="s">
        <v>413</v>
      </c>
      <c r="E28" s="4" t="s">
        <v>414</v>
      </c>
      <c r="F28" s="4" t="s">
        <v>415</v>
      </c>
      <c r="G28" s="4" t="s">
        <v>416</v>
      </c>
      <c r="H28" s="4" t="s">
        <v>417</v>
      </c>
      <c r="I28" s="4" t="s">
        <v>414</v>
      </c>
      <c r="J28" s="4" t="s">
        <v>529</v>
      </c>
      <c r="M28" s="4" t="s">
        <v>523</v>
      </c>
      <c r="N28" s="5">
        <v>27.0</v>
      </c>
      <c r="O28" s="6" t="str">
        <f>IFERROR(__xludf.DUMMYFUNCTION("GOOGLETRANSLATE(C28,""en"",""th"")"),"คนที่ตีกลองใหญ่ในเรือมีจุดประสงค์อะไร?")</f>
        <v>คนที่ตีกลองใหญ่ในเรือมีจุดประสงค์อะไร?</v>
      </c>
      <c r="P28" s="6" t="str">
        <f>IFERROR(__xludf.DUMMYFUNCTION("GOOGLETRANSLATE(D28,""en"",""th"")"),"เพื่อสร้างความบันเทิงให้กับฝูงชน")</f>
        <v>เพื่อสร้างความบันเทิงให้กับฝูงชน</v>
      </c>
      <c r="Q28" s="6" t="str">
        <f>IFERROR(__xludf.DUMMYFUNCTION("GOOGLETRANSLATE(E28,""en"",""th"")"),"เพื่อรักษาเวลาและจังหวะการพายของนักพายให้ตรงกัน")</f>
        <v>เพื่อรักษาเวลาและจังหวะการพายของนักพายให้ตรงกัน</v>
      </c>
      <c r="R28" s="6" t="str">
        <f>IFERROR(__xludf.DUMMYFUNCTION("GOOGLETRANSLATE(F28,""en"",""th"")"),"เพื่อเป็นสัญญาณเริ่มต้นการแข่งขัน")</f>
        <v>เพื่อเป็นสัญญาณเริ่มต้นการแข่งขัน</v>
      </c>
      <c r="S28" s="6" t="str">
        <f>IFERROR(__xludf.DUMMYFUNCTION("GOOGLETRANSLATE(G28,""en"",""th"")"),"การบังคับเรือ")</f>
        <v>การบังคับเรือ</v>
      </c>
      <c r="T28" s="6" t="s">
        <v>419</v>
      </c>
      <c r="U28" s="6" t="str">
        <f>IFERROR(__xludf.DUMMYFUNCTION("GOOGLETRANSLATE(I28,""en"",""th"")"),"เพื่อรักษาเวลาและจังหวะการพายของนักพายให้ตรงกัน")</f>
        <v>เพื่อรักษาเวลาและจังหวะการพายของนักพายให้ตรงกัน</v>
      </c>
      <c r="V28" s="6" t="str">
        <f>IFERROR(__xludf.DUMMYFUNCTION("GOOGLETRANSLATE(J28,""en"",""th"")"),"บทบาทหลักของมือกลองคือการกำหนดจังหวะที่คงที่ให้กับนักพายเรือ โดยให้แน่ใจว่าจังหวะการตีกลองของทั้งทีมสอดประสานกันเพื่อความเร็วและประสิทธิภาพสูงสุด")</f>
        <v>บทบาทหลักของมือกลองคือการกำหนดจังหวะที่คงที่ให้กับนักพายเรือ โดยให้แน่ใจว่าจังหวะการตีกลองของทั้งทีมสอดประสานกันเพื่อความเร็วและประสิทธิภาพสูงสุด</v>
      </c>
    </row>
    <row r="29" ht="22.5" customHeight="1">
      <c r="A29" s="4" t="s">
        <v>523</v>
      </c>
      <c r="B29" s="5">
        <v>28.0</v>
      </c>
      <c r="C29" s="4" t="s">
        <v>380</v>
      </c>
      <c r="D29" s="4" t="s">
        <v>381</v>
      </c>
      <c r="E29" s="4" t="s">
        <v>382</v>
      </c>
      <c r="F29" s="4" t="s">
        <v>383</v>
      </c>
      <c r="G29" s="4" t="s">
        <v>384</v>
      </c>
      <c r="H29" s="4" t="s">
        <v>385</v>
      </c>
      <c r="I29" s="4" t="s">
        <v>382</v>
      </c>
      <c r="J29" s="4" t="s">
        <v>386</v>
      </c>
      <c r="M29" s="4" t="s">
        <v>523</v>
      </c>
      <c r="N29" s="5">
        <v>28.0</v>
      </c>
      <c r="O29" s="6" t="str">
        <f>IFERROR(__xludf.DUMMYFUNCTION("GOOGLETRANSLATE(C29,""en"",""th"")"),"ลักษณะเด่นของการออกแบบเรือคืออะไร?")</f>
        <v>ลักษณะเด่นของการออกแบบเรือคืออะไร?</v>
      </c>
      <c r="P29" s="6" t="str">
        <f>IFERROR(__xludf.DUMMYFUNCTION("GOOGLETRANSLATE(D29,""en"",""th"")"),"มันทำจากพลาสติก")</f>
        <v>มันทำจากพลาสติก</v>
      </c>
      <c r="Q29" s="6" t="str">
        <f>IFERROR(__xludf.DUMMYFUNCTION("GOOGLETRANSLATE(E29,""en"",""th"")"),"พวกมันมีหัวและหางมังกรแบบดั้งเดิม")</f>
        <v>พวกมันมีหัวและหางมังกรแบบดั้งเดิม</v>
      </c>
      <c r="R29" s="6" t="str">
        <f>IFERROR(__xludf.DUMMYFUNCTION("GOOGLETRANSLATE(F29,""en"",""th"")"),"มันมีขนาดเล็กและมีน้ำหนักเบา")</f>
        <v>มันมีขนาดเล็กและมีน้ำหนักเบา</v>
      </c>
      <c r="S29" s="6" t="str">
        <f>IFERROR(__xludf.DUMMYFUNCTION("GOOGLETRANSLATE(G29,""en"",""th"")"),"พวกมันขับเคลื่อนด้วยเครื่องยนต์")</f>
        <v>พวกมันขับเคลื่อนด้วยเครื่องยนต์</v>
      </c>
      <c r="T29" s="6" t="s">
        <v>387</v>
      </c>
      <c r="U29" s="6" t="str">
        <f>IFERROR(__xludf.DUMMYFUNCTION("GOOGLETRANSLATE(I29,""en"",""th"")"),"พวกมันมีหัวและหางมังกรแบบดั้งเดิม")</f>
        <v>พวกมันมีหัวและหางมังกรแบบดั้งเดิม</v>
      </c>
      <c r="V29" s="6" t="str">
        <f>IFERROR(__xludf.DUMMYFUNCTION("GOOGLETRANSLATE(J29,""en"",""th"")"),"เรือมีการแกะสลักและทาสีหัวมังกรอย่างประณีตที่ด้านหน้าและหางที่ด้านหลัง ซึ่งเป็นคุณลักษณะแบบดั้งเดิมและพิธีกรรมของเรือเหล่านี้")</f>
        <v>เรือมีการแกะสลักและทาสีหัวมังกรอย่างประณีตที่ด้านหน้าและหางที่ด้านหลัง ซึ่งเป็นคุณลักษณะแบบดั้งเดิมและพิธีกรรมของเรือเหล่านี้</v>
      </c>
    </row>
    <row r="30" ht="22.5" customHeight="1">
      <c r="A30" s="4" t="s">
        <v>523</v>
      </c>
      <c r="B30" s="5">
        <v>29.0</v>
      </c>
      <c r="C30" s="4" t="s">
        <v>388</v>
      </c>
      <c r="D30" s="4" t="s">
        <v>517</v>
      </c>
      <c r="E30" s="4" t="s">
        <v>518</v>
      </c>
      <c r="F30" s="4" t="s">
        <v>519</v>
      </c>
      <c r="G30" s="4" t="s">
        <v>520</v>
      </c>
      <c r="H30" s="4" t="s">
        <v>521</v>
      </c>
      <c r="I30" s="4" t="s">
        <v>519</v>
      </c>
      <c r="J30" s="4" t="s">
        <v>394</v>
      </c>
      <c r="M30" s="4" t="s">
        <v>523</v>
      </c>
      <c r="N30" s="5">
        <v>29.0</v>
      </c>
      <c r="O30" s="6" t="str">
        <f>IFERROR(__xludf.DUMMYFUNCTION("GOOGLETRANSLATE(C30,""en"",""th"")"),"แต่ละทีมจะใส่ชุดแบบไหน?")</f>
        <v>แต่ละทีมจะใส่ชุดแบบไหน?</v>
      </c>
      <c r="P30" s="6" t="str">
        <f>IFERROR(__xludf.DUMMYFUNCTION("GOOGLETRANSLATE(D30,""en"",""th"")"),"เสื้อผ้าลำลอง")</f>
        <v>เสื้อผ้าลำลอง</v>
      </c>
      <c r="Q30" s="6" t="str">
        <f>IFERROR(__xludf.DUMMYFUNCTION("GOOGLETRANSLATE(E30,""en"",""th"")"),"ชุดยูนิฟอร์มทางการ")</f>
        <v>ชุดยูนิฟอร์มทางการ</v>
      </c>
      <c r="R30" s="6" t="str">
        <f>IFERROR(__xludf.DUMMYFUNCTION("GOOGLETRANSLATE(F30,""en"",""th"")"),"เสื้อชูชีพ และ เสื้อกีฬา")</f>
        <v>เสื้อชูชีพ และ เสื้อกีฬา</v>
      </c>
      <c r="S30" s="6" t="str">
        <f>IFERROR(__xludf.DUMMYFUNCTION("GOOGLETRANSLATE(G30,""en"",""th"")"),"ชุดดำน้ำ")</f>
        <v>ชุดดำน้ำ</v>
      </c>
      <c r="T30" s="6" t="s">
        <v>522</v>
      </c>
      <c r="U30" s="6" t="str">
        <f>IFERROR(__xludf.DUMMYFUNCTION("GOOGLETRANSLATE(I30,""en"",""th"")"),"เสื้อชูชีพ และ เสื้อกีฬา")</f>
        <v>เสื้อชูชีพ และ เสื้อกีฬา</v>
      </c>
      <c r="V30" s="6" t="str">
        <f>IFERROR(__xludf.DUMMYFUNCTION("GOOGLETRANSLATE(J30,""en"",""th"")"),"นักพายเรือสวมเสื้อกีฬาและเสื้อชูชีพสีสันสดใสซึ่งสวมใส่เพื่อความปลอดภัยและเพื่อแสดงถึงความเป็นทีม")</f>
        <v>นักพายเรือสวมเสื้อกีฬาและเสื้อชูชีพสีสันสดใสซึ่งสวมใส่เพื่อความปลอดภัยและเพื่อแสดงถึงความเป็นทีม</v>
      </c>
    </row>
    <row r="31" ht="22.5" customHeight="1">
      <c r="A31" s="4" t="s">
        <v>523</v>
      </c>
      <c r="B31" s="5">
        <v>30.0</v>
      </c>
      <c r="C31" s="4" t="s">
        <v>396</v>
      </c>
      <c r="D31" s="4" t="s">
        <v>397</v>
      </c>
      <c r="E31" s="4" t="s">
        <v>398</v>
      </c>
      <c r="F31" s="4" t="s">
        <v>399</v>
      </c>
      <c r="G31" s="4" t="s">
        <v>400</v>
      </c>
      <c r="H31" s="4" t="s">
        <v>401</v>
      </c>
      <c r="I31" s="4" t="s">
        <v>398</v>
      </c>
      <c r="J31" s="4" t="s">
        <v>402</v>
      </c>
      <c r="M31" s="4" t="s">
        <v>523</v>
      </c>
      <c r="N31" s="5">
        <v>30.0</v>
      </c>
      <c r="O31" s="6" t="str">
        <f>IFERROR(__xludf.DUMMYFUNCTION("GOOGLETRANSLATE(C31,""en"",""th"")"),"ความพยายามอันเข้มข้นของนักพายเรือบ่งบอกอะไรเกี่ยวกับการแข่งขัน?")</f>
        <v>ความพยายามอันเข้มข้นของนักพายเรือบ่งบอกอะไรเกี่ยวกับการแข่งขัน?</v>
      </c>
      <c r="P31" s="6" t="str">
        <f>IFERROR(__xludf.DUMMYFUNCTION("GOOGLETRANSLATE(D31,""en"",""th"")"),"เป็นกิจกรรมยามว่าง")</f>
        <v>เป็นกิจกรรมยามว่าง</v>
      </c>
      <c r="Q31" s="6" t="str">
        <f>IFERROR(__xludf.DUMMYFUNCTION("GOOGLETRANSLATE(E31,""en"",""th"")"),"มันเป็นกีฬาที่มีการแข่งขันสูงและต้องใช้กำลังกายมาก")</f>
        <v>มันเป็นกีฬาที่มีการแข่งขันสูงและต้องใช้กำลังกายมาก</v>
      </c>
      <c r="R31" s="6" t="str">
        <f>IFERROR(__xludf.DUMMYFUNCTION("GOOGLETRANSLATE(F31,""en"",""th"")"),"เป็นขบวนแห่แบบช้าๆ ตามพิธีกรรม")</f>
        <v>เป็นขบวนแห่แบบช้าๆ ตามพิธีกรรม</v>
      </c>
      <c r="S31" s="6" t="str">
        <f>IFERROR(__xludf.DUMMYFUNCTION("GOOGLETRANSLATE(G31,""en"",""th"")"),"เป็นกิจกรรมเสริมสร้างการทำงานเป็นทีม")</f>
        <v>เป็นกิจกรรมเสริมสร้างการทำงานเป็นทีม</v>
      </c>
      <c r="T31" s="6" t="s">
        <v>403</v>
      </c>
      <c r="U31" s="6" t="str">
        <f>IFERROR(__xludf.DUMMYFUNCTION("GOOGLETRANSLATE(I31,""en"",""th"")"),"มันเป็นกีฬาที่มีการแข่งขันสูงและต้องใช้กำลังกายมาก")</f>
        <v>มันเป็นกีฬาที่มีการแข่งขันสูงและต้องใช้กำลังกายมาก</v>
      </c>
      <c r="V31" s="6" t="str">
        <f>IFERROR(__xludf.DUMMYFUNCTION("GOOGLETRANSLATE(J31,""en"",""th"")"),"การพายที่ทรงพลัง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f>
        <v>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v>
      </c>
    </row>
    <row r="32" ht="22.5" customHeight="1">
      <c r="A32" s="4" t="s">
        <v>530</v>
      </c>
      <c r="B32" s="5">
        <v>31.0</v>
      </c>
      <c r="C32" s="4" t="s">
        <v>21</v>
      </c>
      <c r="D32" s="4" t="s">
        <v>531</v>
      </c>
      <c r="E32" s="4" t="s">
        <v>532</v>
      </c>
      <c r="F32" s="4" t="s">
        <v>533</v>
      </c>
      <c r="G32" s="4" t="s">
        <v>534</v>
      </c>
      <c r="H32" s="4" t="s">
        <v>535</v>
      </c>
      <c r="I32" s="4" t="s">
        <v>531</v>
      </c>
      <c r="J32" s="4" t="s">
        <v>536</v>
      </c>
      <c r="M32" s="4" t="s">
        <v>530</v>
      </c>
      <c r="N32" s="5">
        <v>31.0</v>
      </c>
      <c r="O32" s="6" t="str">
        <f>IFERROR(__xludf.DUMMYFUNCTION("GOOGLETRANSLATE(C32,""en"",""th"")"),"ภาพที่แสดงเป็นกิจกรรมหลักอะไร?")</f>
        <v>ภาพที่แสดงเป็นกิจกรรมหลักอะไร?</v>
      </c>
      <c r="P32" s="6" t="str">
        <f>IFERROR(__xludf.DUMMYFUNCTION("GOOGLETRANSLATE(D32,""en"",""th"")"),"การแข่งขันเรือยาว")</f>
        <v>การแข่งขันเรือยาว</v>
      </c>
      <c r="Q32" s="6" t="str">
        <f>IFERROR(__xludf.DUMMYFUNCTION("GOOGLETRANSLATE(E32,""en"",""th"")"),"การฝึกซ้อมก่อนการแข่งขัน")</f>
        <v>การฝึกซ้อมก่อนการแข่งขัน</v>
      </c>
      <c r="R32" s="6" t="str">
        <f>IFERROR(__xludf.DUMMYFUNCTION("GOOGLETRANSLATE(F32,""en"",""th"")"),"ทริปล่องเรือพักผ่อน")</f>
        <v>ทริปล่องเรือพักผ่อน</v>
      </c>
      <c r="S32" s="6" t="str">
        <f>IFERROR(__xludf.DUMMYFUNCTION("GOOGLETRANSLATE(G32,""en"",""th"")"),"ขบวนแห่ริมแม่น้ำ")</f>
        <v>ขบวนแห่ริมแม่น้ำ</v>
      </c>
      <c r="T32" s="6" t="s">
        <v>537</v>
      </c>
      <c r="U32" s="6" t="str">
        <f>IFERROR(__xludf.DUMMYFUNCTION("GOOGLETRANSLATE(I32,""en"",""th"")"),"การแข่งขันเรือยาว")</f>
        <v>การแข่งขันเรือยาว</v>
      </c>
      <c r="V32" s="6" t="str">
        <f>IFERROR(__xludf.DUMMYFUNCTION("GOOGLETRANSLATE(J32,""en"",""th"")"),"ภาพดังกล่าวแสดงให้เห็นทีมต่างๆ หลายทีมอยู่ในเรือของพวกเขา พร้อมด้วยเจ้าหน้าที่และป้ายแบนเนอร์ ซึ่งบ่งชี้ถึงการแข่งขันเรืออย่างเป็นทางการขนาดใหญ่")</f>
        <v>ภาพดังกล่าวแสดงให้เห็นทีมต่างๆ หลายทีมอยู่ในเรือของพวกเขา พร้อมด้วยเจ้าหน้าที่และป้ายแบนเนอร์ ซึ่งบ่งชี้ถึงการแข่งขันเรืออย่างเป็นทางการขนาดใหญ่</v>
      </c>
    </row>
    <row r="33" ht="22.5" customHeight="1">
      <c r="A33" s="4" t="s">
        <v>530</v>
      </c>
      <c r="B33" s="5">
        <v>32.0</v>
      </c>
      <c r="C33" s="4" t="s">
        <v>538</v>
      </c>
      <c r="D33" s="4" t="s">
        <v>539</v>
      </c>
      <c r="E33" s="4" t="s">
        <v>540</v>
      </c>
      <c r="F33" s="4" t="s">
        <v>541</v>
      </c>
      <c r="G33" s="4" t="s">
        <v>542</v>
      </c>
      <c r="H33" s="4" t="s">
        <v>543</v>
      </c>
      <c r="I33" s="4" t="s">
        <v>542</v>
      </c>
      <c r="J33" s="4" t="s">
        <v>544</v>
      </c>
      <c r="M33" s="4" t="s">
        <v>530</v>
      </c>
      <c r="N33" s="5">
        <v>32.0</v>
      </c>
      <c r="O33" s="6" t="str">
        <f>IFERROR(__xludf.DUMMYFUNCTION("GOOGLETRANSLATE(C33,""en"",""th"")"),"เครื่องแต่งกายของนักพายเรือมีลักษณะเด่นอย่างไร?")</f>
        <v>เครื่องแต่งกายของนักพายเรือมีลักษณะเด่นอย่างไร?</v>
      </c>
      <c r="P33" s="6" t="str">
        <f>IFERROR(__xludf.DUMMYFUNCTION("GOOGLETRANSLATE(D33,""en"",""th"")"),"พวกเขาสวมเครื่องแบบทหาร")</f>
        <v>พวกเขาสวมเครื่องแบบทหาร</v>
      </c>
      <c r="Q33" s="6" t="str">
        <f>IFERROR(__xludf.DUMMYFUNCTION("GOOGLETRANSLATE(E33,""en"",""th"")"),"พวกเขากำลังสวมชุดคลุมแบบดั้งเดิม")</f>
        <v>พวกเขากำลังสวมชุดคลุมแบบดั้งเดิม</v>
      </c>
      <c r="R33" s="6" t="str">
        <f>IFERROR(__xludf.DUMMYFUNCTION("GOOGLETRANSLATE(F33,""en"",""th"")"),"พวกเขากำลังสวมเสื้อชูชีพหลากสี")</f>
        <v>พวกเขากำลังสวมเสื้อชูชีพหลากสี</v>
      </c>
      <c r="S33" s="6" t="str">
        <f>IFERROR(__xludf.DUMMYFUNCTION("GOOGLETRANSLATE(G33,""en"",""th"")"),"พวกเขาสวมเสื้อกีฬาและเสื้อชูชีพ")</f>
        <v>พวกเขาสวมเสื้อกีฬาและเสื้อชูชีพ</v>
      </c>
      <c r="T33" s="6" t="s">
        <v>545</v>
      </c>
      <c r="U33" s="6" t="str">
        <f>IFERROR(__xludf.DUMMYFUNCTION("GOOGLETRANSLATE(I33,""en"",""th"")"),"พวกเขาสวมเสื้อกีฬาและเสื้อชูชีพ")</f>
        <v>พวกเขาสวมเสื้อกีฬาและเสื้อชูชีพ</v>
      </c>
      <c r="V33" s="6" t="str">
        <f>IFERROR(__xludf.DUMMYFUNCTION("GOOGLETRANSLATE(J33,""en"",""th"")"),"นักพายเรือสวมเสื้อกีฬาและเสื้อชูชีพสีสันสดใส ซึ่งสวมใส่เพื่อความปลอดภัยและเพื่อแสดงถึงความเป็นทีม")</f>
        <v>นักพายเรือสวมเสื้อกีฬาและเสื้อชูชีพสีสันสดใส ซึ่งสวมใส่เพื่อความปลอดภัยและเพื่อแสดงถึงความเป็นทีม</v>
      </c>
    </row>
    <row r="34" ht="22.5" customHeight="1">
      <c r="A34" s="4" t="s">
        <v>530</v>
      </c>
      <c r="B34" s="5">
        <v>33.0</v>
      </c>
      <c r="C34" s="4" t="s">
        <v>380</v>
      </c>
      <c r="D34" s="4" t="s">
        <v>546</v>
      </c>
      <c r="E34" s="4" t="s">
        <v>547</v>
      </c>
      <c r="F34" s="4" t="s">
        <v>548</v>
      </c>
      <c r="G34" s="4" t="s">
        <v>549</v>
      </c>
      <c r="H34" s="4" t="s">
        <v>550</v>
      </c>
      <c r="I34" s="4" t="s">
        <v>549</v>
      </c>
      <c r="J34" s="4" t="s">
        <v>551</v>
      </c>
      <c r="M34" s="4" t="s">
        <v>530</v>
      </c>
      <c r="N34" s="5">
        <v>33.0</v>
      </c>
      <c r="O34" s="6" t="str">
        <f>IFERROR(__xludf.DUMMYFUNCTION("GOOGLETRANSLATE(C34,""en"",""th"")"),"ลักษณะเด่นของการออกแบบเรือคืออะไร?")</f>
        <v>ลักษณะเด่นของการออกแบบเรือคืออะไร?</v>
      </c>
      <c r="P34" s="6" t="str">
        <f>IFERROR(__xludf.DUMMYFUNCTION("GOOGLETRANSLATE(D34,""en"",""th"")"),"พวกมันมีสีเหมือนกันหมด")</f>
        <v>พวกมันมีสีเหมือนกันหมด</v>
      </c>
      <c r="Q34" s="6" t="str">
        <f>IFERROR(__xludf.DUMMYFUNCTION("GOOGLETRANSLATE(E34,""en"",""th"")"),"มีการวาดลวดลายมังกรไว้ทั้งหมด")</f>
        <v>มีการวาดลวดลายมังกรไว้ทั้งหมด</v>
      </c>
      <c r="R34" s="6" t="str">
        <f>IFERROR(__xludf.DUMMYFUNCTION("GOOGLETRANSLATE(F34,""en"",""th"")"),"มันมีขนาดที่แตกต่างกันออกไป")</f>
        <v>มันมีขนาดที่แตกต่างกันออกไป</v>
      </c>
      <c r="S34" s="6" t="str">
        <f>IFERROR(__xludf.DUMMYFUNCTION("GOOGLETRANSLATE(G34,""en"",""th"")"),"พวกมันมีหัวที่เรียบง่ายและมีสีต่างกัน")</f>
        <v>พวกมันมีหัวที่เรียบง่ายและมีสีต่างกัน</v>
      </c>
      <c r="T34" s="6" t="s">
        <v>552</v>
      </c>
      <c r="U34" s="6" t="str">
        <f>IFERROR(__xludf.DUMMYFUNCTION("GOOGLETRANSLATE(I34,""en"",""th"")"),"พวกมันมีหัวที่เรียบง่ายและมีสีต่างกัน")</f>
        <v>พวกมันมีหัวที่เรียบง่ายและมีสีต่างกัน</v>
      </c>
      <c r="V34" s="6" t="str">
        <f>IFERROR(__xludf.DUMMYFUNCTION("GOOGLETRANSLATE(J34,""en"",""th"")"),"เรือมีหัวเรือสีเดียวแบบเรียบง่ายแทนที่จะเป็นหัวมังกรแบบดั้งเดิมที่มีลวดลายซับซ้อน ซึ่งเป็นเรื่องปกติในเรือแข่งระดับมืออาชีพสมัยใหม่")</f>
        <v>เรือมีหัวเรือสีเดียวแบบเรียบง่ายแทนที่จะเป็นหัวมังกรแบบดั้งเดิมที่มีลวดลายซับซ้อน ซึ่งเป็นเรื่องปกติในเรือแข่งระดับมืออาชีพสมัยใหม่</v>
      </c>
    </row>
    <row r="35" ht="22.5" customHeight="1">
      <c r="A35" s="4" t="s">
        <v>530</v>
      </c>
      <c r="B35" s="5">
        <v>34.0</v>
      </c>
      <c r="C35" s="4" t="s">
        <v>396</v>
      </c>
      <c r="D35" s="4" t="s">
        <v>397</v>
      </c>
      <c r="E35" s="4" t="s">
        <v>398</v>
      </c>
      <c r="F35" s="4" t="s">
        <v>399</v>
      </c>
      <c r="G35" s="4" t="s">
        <v>400</v>
      </c>
      <c r="H35" s="4" t="s">
        <v>401</v>
      </c>
      <c r="I35" s="4" t="s">
        <v>398</v>
      </c>
      <c r="J35" s="4" t="s">
        <v>402</v>
      </c>
      <c r="M35" s="4" t="s">
        <v>530</v>
      </c>
      <c r="N35" s="5">
        <v>34.0</v>
      </c>
      <c r="O35" s="6" t="str">
        <f>IFERROR(__xludf.DUMMYFUNCTION("GOOGLETRANSLATE(C35,""en"",""th"")"),"ความพยายามอันเข้มข้นของนักพายเรือบ่งบอกอะไรเกี่ยวกับการแข่งขัน?")</f>
        <v>ความพยายามอันเข้มข้นของนักพายเรือบ่งบอกอะไรเกี่ยวกับการแข่งขัน?</v>
      </c>
      <c r="P35" s="6" t="str">
        <f>IFERROR(__xludf.DUMMYFUNCTION("GOOGLETRANSLATE(D35,""en"",""th"")"),"เป็นกิจกรรมยามว่าง")</f>
        <v>เป็นกิจกรรมยามว่าง</v>
      </c>
      <c r="Q35" s="6" t="str">
        <f>IFERROR(__xludf.DUMMYFUNCTION("GOOGLETRANSLATE(E35,""en"",""th"")"),"มันเป็นกีฬาที่มีการแข่งขันสูงและต้องใช้กำลังกายมาก")</f>
        <v>มันเป็นกีฬาที่มีการแข่งขันสูงและต้องใช้กำลังกายมาก</v>
      </c>
      <c r="R35" s="6" t="str">
        <f>IFERROR(__xludf.DUMMYFUNCTION("GOOGLETRANSLATE(F35,""en"",""th"")"),"เป็นขบวนแห่แบบช้าๆ ตามพิธีกรรม")</f>
        <v>เป็นขบวนแห่แบบช้าๆ ตามพิธีกรรม</v>
      </c>
      <c r="S35" s="6" t="str">
        <f>IFERROR(__xludf.DUMMYFUNCTION("GOOGLETRANSLATE(G35,""en"",""th"")"),"เป็นกิจกรรมเสริมสร้างการทำงานเป็นทีม")</f>
        <v>เป็นกิจกรรมเสริมสร้างการทำงานเป็นทีม</v>
      </c>
      <c r="T35" s="6" t="s">
        <v>403</v>
      </c>
      <c r="U35" s="6" t="str">
        <f>IFERROR(__xludf.DUMMYFUNCTION("GOOGLETRANSLATE(I35,""en"",""th"")"),"มันเป็นกีฬาที่มีการแข่งขันสูงและต้องใช้กำลังกายมาก")</f>
        <v>มันเป็นกีฬาที่มีการแข่งขันสูงและต้องใช้กำลังกายมาก</v>
      </c>
      <c r="V35" s="6" t="str">
        <f>IFERROR(__xludf.DUMMYFUNCTION("GOOGLETRANSLATE(J35,""en"",""th"")"),"การพายที่ทรงพลัง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f>
        <v>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v>
      </c>
    </row>
    <row r="36" ht="22.5" customHeight="1">
      <c r="A36" s="4" t="s">
        <v>530</v>
      </c>
      <c r="B36" s="5">
        <v>35.0</v>
      </c>
      <c r="C36" s="4" t="s">
        <v>528</v>
      </c>
      <c r="D36" s="4" t="s">
        <v>413</v>
      </c>
      <c r="E36" s="4" t="s">
        <v>414</v>
      </c>
      <c r="F36" s="4" t="s">
        <v>415</v>
      </c>
      <c r="G36" s="4" t="s">
        <v>416</v>
      </c>
      <c r="H36" s="4" t="s">
        <v>417</v>
      </c>
      <c r="I36" s="4" t="s">
        <v>414</v>
      </c>
      <c r="J36" s="4" t="s">
        <v>529</v>
      </c>
      <c r="M36" s="4" t="s">
        <v>530</v>
      </c>
      <c r="N36" s="5">
        <v>35.0</v>
      </c>
      <c r="O36" s="6" t="str">
        <f>IFERROR(__xludf.DUMMYFUNCTION("GOOGLETRANSLATE(C36,""en"",""th"")"),"คนที่ตีกลองใหญ่ในเรือมีจุดประสงค์อะไร?")</f>
        <v>คนที่ตีกลองใหญ่ในเรือมีจุดประสงค์อะไร?</v>
      </c>
      <c r="P36" s="6" t="str">
        <f>IFERROR(__xludf.DUMMYFUNCTION("GOOGLETRANSLATE(D36,""en"",""th"")"),"เพื่อสร้างความบันเทิงให้กับฝูงชน")</f>
        <v>เพื่อสร้างความบันเทิงให้กับฝูงชน</v>
      </c>
      <c r="Q36" s="6" t="str">
        <f>IFERROR(__xludf.DUMMYFUNCTION("GOOGLETRANSLATE(E36,""en"",""th"")"),"เพื่อรักษาเวลาและจังหวะการพายของนักพายให้ตรงกัน")</f>
        <v>เพื่อรักษาเวลาและจังหวะการพายของนักพายให้ตรงกัน</v>
      </c>
      <c r="R36" s="6" t="str">
        <f>IFERROR(__xludf.DUMMYFUNCTION("GOOGLETRANSLATE(F36,""en"",""th"")"),"เพื่อเป็นสัญญาณเริ่มต้นการแข่งขัน")</f>
        <v>เพื่อเป็นสัญญาณเริ่มต้นการแข่งขัน</v>
      </c>
      <c r="S36" s="6" t="str">
        <f>IFERROR(__xludf.DUMMYFUNCTION("GOOGLETRANSLATE(G36,""en"",""th"")"),"การบังคับเรือ")</f>
        <v>การบังคับเรือ</v>
      </c>
      <c r="T36" s="6" t="s">
        <v>419</v>
      </c>
      <c r="U36" s="6" t="str">
        <f>IFERROR(__xludf.DUMMYFUNCTION("GOOGLETRANSLATE(I36,""en"",""th"")"),"เพื่อรักษาเวลาและจังหวะการพายของนักพายให้ตรงกัน")</f>
        <v>เพื่อรักษาเวลาและจังหวะการพายของนักพายให้ตรงกัน</v>
      </c>
      <c r="V36" s="6" t="str">
        <f>IFERROR(__xludf.DUMMYFUNCTION("GOOGLETRANSLATE(J36,""en"",""th"")"),"บทบาทหลักของมือกลองคือการกำหนดจังหวะที่คงที่ให้กับนักพายเรือ โดยให้แน่ใจว่าจังหวะการตีกลองของทั้งทีมสอดประสานกันเพื่อความเร็วและประสิทธิภาพสูงสุด")</f>
        <v>บทบาทหลักของมือกลองคือการกำหนดจังหวะที่คงที่ให้กับนักพายเรือ โดยให้แน่ใจว่าจังหวะการตีกลองของทั้งทีมสอดประสานกันเพื่อความเร็วและประสิทธิภาพสูงสุด</v>
      </c>
    </row>
    <row r="37" ht="22.5" customHeight="1">
      <c r="A37" s="4" t="s">
        <v>553</v>
      </c>
      <c r="B37" s="5">
        <v>36.0</v>
      </c>
      <c r="C37" s="4" t="s">
        <v>21</v>
      </c>
      <c r="D37" s="4" t="s">
        <v>554</v>
      </c>
      <c r="E37" s="4" t="s">
        <v>555</v>
      </c>
      <c r="F37" s="4" t="s">
        <v>556</v>
      </c>
      <c r="G37" s="4" t="s">
        <v>557</v>
      </c>
      <c r="H37" s="4" t="s">
        <v>558</v>
      </c>
      <c r="I37" s="4" t="s">
        <v>557</v>
      </c>
      <c r="J37" s="4" t="s">
        <v>559</v>
      </c>
      <c r="M37" s="4" t="s">
        <v>553</v>
      </c>
      <c r="N37" s="5">
        <v>36.0</v>
      </c>
      <c r="O37" s="6" t="str">
        <f>IFERROR(__xludf.DUMMYFUNCTION("GOOGLETRANSLATE(C37,""en"",""th"")"),"ภาพที่แสดงเป็นกิจกรรมหลักอะไร?")</f>
        <v>ภาพที่แสดงเป็นกิจกรรมหลักอะไร?</v>
      </c>
      <c r="P37" s="6" t="str">
        <f>IFERROR(__xludf.DUMMYFUNCTION("GOOGLETRANSLATE(D37,""en"",""th"")"),"เรือลำหนึ่งกำลังจะจม")</f>
        <v>เรือลำหนึ่งกำลังจะจม</v>
      </c>
      <c r="Q37" s="6" t="str">
        <f>IFERROR(__xludf.DUMMYFUNCTION("GOOGLETRANSLATE(E37,""en"",""th"")"),"เรือลำหนึ่งติดอยู่ในน้ำแข็ง")</f>
        <v>เรือลำหนึ่งติดอยู่ในน้ำแข็ง</v>
      </c>
      <c r="R37" s="6" t="str">
        <f>IFERROR(__xludf.DUMMYFUNCTION("GOOGLETRANSLATE(F37,""en"",""th"")"),"เรือลำหนึ่งกำลังได้รับการช่วยเหลือ")</f>
        <v>เรือลำหนึ่งกำลังได้รับการช่วยเหลือ</v>
      </c>
      <c r="S37" s="6" t="str">
        <f>IFERROR(__xludf.DUMMYFUNCTION("GOOGLETRANSLATE(G37,""en"",""th"")"),"ทีมหนึ่งกำลังแข่งขันเรือในฤดูหนาว")</f>
        <v>ทีมหนึ่งกำลังแข่งขันเรือในฤดูหนาว</v>
      </c>
      <c r="T37" s="6" t="s">
        <v>560</v>
      </c>
      <c r="U37" s="6" t="str">
        <f>IFERROR(__xludf.DUMMYFUNCTION("GOOGLETRANSLATE(I37,""en"",""th"")"),"ทีมหนึ่งกำลังแข่งขันเรือในฤดูหนาว")</f>
        <v>ทีมหนึ่งกำลังแข่งขันเรือในฤดูหนาว</v>
      </c>
      <c r="V37" s="6" t="str">
        <f>IFERROR(__xludf.DUMMYFUNCTION("GOOGLETRANSLATE(J37,""en"",""th"")"),"ภาพนี้แสดงให้เห็นทีมเรือในแม่น้ำที่เป็นน้ำแข็ง ซึ่งเป็นการแข่งเรือในฤดูหนาวประเภทหนึ่งที่มีเอกลักษณ์เฉพาะตัวมาก")</f>
        <v>ภาพนี้แสดงให้เห็นทีมเรือในแม่น้ำที่เป็นน้ำแข็ง ซึ่งเป็นการแข่งเรือในฤดูหนาวประเภทหนึ่งที่มีเอกลักษณ์เฉพาะตัวมาก</v>
      </c>
    </row>
    <row r="38" ht="22.5" customHeight="1">
      <c r="A38" s="4" t="s">
        <v>553</v>
      </c>
      <c r="B38" s="5">
        <v>37.0</v>
      </c>
      <c r="C38" s="4" t="s">
        <v>561</v>
      </c>
      <c r="D38" s="4" t="s">
        <v>562</v>
      </c>
      <c r="E38" s="4" t="s">
        <v>563</v>
      </c>
      <c r="F38" s="4" t="s">
        <v>564</v>
      </c>
      <c r="G38" s="4" t="s">
        <v>565</v>
      </c>
      <c r="H38" s="4" t="s">
        <v>566</v>
      </c>
      <c r="I38" s="4" t="s">
        <v>564</v>
      </c>
      <c r="J38" s="4" t="s">
        <v>567</v>
      </c>
      <c r="M38" s="4" t="s">
        <v>553</v>
      </c>
      <c r="N38" s="5">
        <v>37.0</v>
      </c>
      <c r="O38" s="6" t="str">
        <f>IFERROR(__xludf.DUMMYFUNCTION("GOOGLETRANSLATE(C38,""en"",""th"")"),"ลักษณะเด่นของสภาพแวดล้อมในภาพคืออะไร?")</f>
        <v>ลักษณะเด่นของสภาพแวดล้อมในภาพคืออะไร?</v>
      </c>
      <c r="P38" s="6" t="str">
        <f>IFERROR(__xludf.DUMMYFUNCTION("GOOGLETRANSLATE(D38,""en"",""th"")"),"น้ำนิ่งมาก")</f>
        <v>น้ำนิ่งมาก</v>
      </c>
      <c r="Q38" s="6" t="str">
        <f>IFERROR(__xludf.DUMMYFUNCTION("GOOGLETRANSLATE(E38,""en"",""th"")"),"น้ำค่อนข้างจะขุ่นมาก")</f>
        <v>น้ำค่อนข้างจะขุ่นมาก</v>
      </c>
      <c r="R38" s="6" t="str">
        <f>IFERROR(__xludf.DUMMYFUNCTION("GOOGLETRANSLATE(F38,""en"",""th"")"),"น้ำถูกแช่แข็งด้วยน้ำแข็ง")</f>
        <v>น้ำถูกแช่แข็งด้วยน้ำแข็ง</v>
      </c>
      <c r="S38" s="6" t="str">
        <f>IFERROR(__xludf.DUMMYFUNCTION("GOOGLETRANSLATE(G38,""en"",""th"")"),"น้ำก็ใสมาก")</f>
        <v>น้ำก็ใสมาก</v>
      </c>
      <c r="T38" s="6" t="s">
        <v>568</v>
      </c>
      <c r="U38" s="6" t="str">
        <f>IFERROR(__xludf.DUMMYFUNCTION("GOOGLETRANSLATE(I38,""en"",""th"")"),"น้ำถูกแช่แข็งด้วยน้ำแข็ง")</f>
        <v>น้ำถูกแช่แข็งด้วยน้ำแข็ง</v>
      </c>
      <c r="V38" s="6" t="str">
        <f>IFERROR(__xludf.DUMMYFUNCTION("GOOGLETRANSLATE(J38,""en"",""th"")"),"น้ำในภาพถูกปกคลุมด้วยชั้นน้ำแข็งหนา ซึ่งเป็นสัญญาณชัดเจนว่าการแข่งขันกำลังเกิดขึ้นในสภาพแวดล้อมที่หนาวเย็นมาก")</f>
        <v>น้ำในภาพถูกปกคลุมด้วยชั้นน้ำแข็งหนา ซึ่งเป็นสัญญาณชัดเจนว่าการแข่งขันกำลังเกิดขึ้นในสภาพแวดล้อมที่หนาวเย็นมาก</v>
      </c>
    </row>
    <row r="39" ht="22.5" customHeight="1">
      <c r="A39" s="4" t="s">
        <v>553</v>
      </c>
      <c r="B39" s="5">
        <v>38.0</v>
      </c>
      <c r="C39" s="4" t="s">
        <v>569</v>
      </c>
      <c r="D39" s="4" t="s">
        <v>519</v>
      </c>
      <c r="E39" s="4" t="s">
        <v>570</v>
      </c>
      <c r="F39" s="4" t="s">
        <v>571</v>
      </c>
      <c r="G39" s="4" t="s">
        <v>572</v>
      </c>
      <c r="H39" s="4" t="s">
        <v>573</v>
      </c>
      <c r="I39" s="4" t="s">
        <v>572</v>
      </c>
      <c r="J39" s="4" t="s">
        <v>574</v>
      </c>
      <c r="M39" s="4" t="s">
        <v>553</v>
      </c>
      <c r="N39" s="5">
        <v>38.0</v>
      </c>
      <c r="O39" s="6" t="str">
        <f>IFERROR(__xludf.DUMMYFUNCTION("GOOGLETRANSLATE(C39,""en"",""th"")"),"นักพายเรือสวมเสื้อผ้าประเภทใด?")</f>
        <v>นักพายเรือสวมเสื้อผ้าประเภทใด?</v>
      </c>
      <c r="P39" s="6" t="str">
        <f>IFERROR(__xludf.DUMMYFUNCTION("GOOGLETRANSLATE(D39,""en"",""th"")"),"เสื้อชูชีพ และ เสื้อกีฬา")</f>
        <v>เสื้อชูชีพ และ เสื้อกีฬา</v>
      </c>
      <c r="Q39" s="6" t="str">
        <f>IFERROR(__xludf.DUMMYFUNCTION("GOOGLETRANSLATE(E39,""en"",""th"")"),"ชุดดำน้ำและเสื้อชูชีพ")</f>
        <v>ชุดดำน้ำและเสื้อชูชีพ</v>
      </c>
      <c r="R39" s="6" t="str">
        <f>IFERROR(__xludf.DUMMYFUNCTION("GOOGLETRANSLATE(F39,""en"",""th"")"),"เสื้อชูชีพและหมวกกันหนาว")</f>
        <v>เสื้อชูชีพและหมวกกันหนาว</v>
      </c>
      <c r="S39" s="6" t="str">
        <f>IFERROR(__xludf.DUMMYFUNCTION("GOOGLETRANSLATE(G39,""en"",""th"")"),"ชุดดำน้ำและหมวกฤดูหนาว")</f>
        <v>ชุดดำน้ำและหมวกฤดูหนาว</v>
      </c>
      <c r="T39" s="6" t="s">
        <v>575</v>
      </c>
      <c r="U39" s="6" t="str">
        <f>IFERROR(__xludf.DUMMYFUNCTION("GOOGLETRANSLATE(I39,""en"",""th"")"),"ชุดดำน้ำและหมวกฤดูหนาว")</f>
        <v>ชุดดำน้ำและหมวกฤดูหนาว</v>
      </c>
      <c r="V39" s="6" t="str">
        <f>IFERROR(__xludf.DUMMYFUNCTION("GOOGLETRANSLATE(J39,""en"",""th"")"),"นักพายเรือสวมชุดดำน้ำและหมวกฤดูหนาวซึ่งสวมไว้เพื่อให้ร่างกายอบอุ่นและปลอดภัยในน้ำเย็น")</f>
        <v>นักพายเรือสวมชุดดำน้ำและหมวกฤดูหนาวซึ่งสวมไว้เพื่อให้ร่างกายอบอุ่นและปลอดภัยในน้ำเย็น</v>
      </c>
    </row>
    <row r="40" ht="22.5" customHeight="1">
      <c r="A40" s="4" t="s">
        <v>553</v>
      </c>
      <c r="B40" s="5">
        <v>39.0</v>
      </c>
      <c r="C40" s="4" t="s">
        <v>576</v>
      </c>
      <c r="D40" s="4" t="s">
        <v>577</v>
      </c>
      <c r="E40" s="4" t="s">
        <v>578</v>
      </c>
      <c r="F40" s="4" t="s">
        <v>579</v>
      </c>
      <c r="G40" s="4" t="s">
        <v>580</v>
      </c>
      <c r="H40" s="4" t="s">
        <v>581</v>
      </c>
      <c r="I40" s="4" t="s">
        <v>578</v>
      </c>
      <c r="J40" s="4" t="s">
        <v>582</v>
      </c>
      <c r="M40" s="4" t="s">
        <v>553</v>
      </c>
      <c r="N40" s="5">
        <v>39.0</v>
      </c>
      <c r="O40" s="6" t="str">
        <f>IFERROR(__xludf.DUMMYFUNCTION("GOOGLETRANSLATE(C40,""en"",""th"")"),"จุดประสงค์ในการออกแบบเรือคืออะไร?")</f>
        <v>จุดประสงค์ในการออกแบบเรือคืออะไร?</v>
      </c>
      <c r="P40" s="6" t="str">
        <f>IFERROR(__xludf.DUMMYFUNCTION("GOOGLETRANSLATE(D40,""en"",""th"")"),"จะเป็นเรือที่เร็วมาก")</f>
        <v>จะเป็นเรือที่เร็วมาก</v>
      </c>
      <c r="Q40" s="6" t="str">
        <f>IFERROR(__xludf.DUMMYFUNCTION("GOOGLETRANSLATE(E40,""en"",""th"")"),"จะเป็นเรือที่มั่นคงมาก")</f>
        <v>จะเป็นเรือที่มั่นคงมาก</v>
      </c>
      <c r="R40" s="6" t="str">
        <f>IFERROR(__xludf.DUMMYFUNCTION("GOOGLETRANSLATE(F40,""en"",""th"")"),"จะเป็นเรือที่เบามาก")</f>
        <v>จะเป็นเรือที่เบามาก</v>
      </c>
      <c r="S40" s="6" t="str">
        <f>IFERROR(__xludf.DUMMYFUNCTION("GOOGLETRANSLATE(G40,""en"",""th"")"),"เป็นเรือที่หนักมาก")</f>
        <v>เป็นเรือที่หนักมาก</v>
      </c>
      <c r="T40" s="6" t="s">
        <v>583</v>
      </c>
      <c r="U40" s="6" t="str">
        <f>IFERROR(__xludf.DUMMYFUNCTION("GOOGLETRANSLATE(I40,""en"",""th"")"),"จะเป็นเรือที่มั่นคงมาก")</f>
        <v>จะเป็นเรือที่มั่นคงมาก</v>
      </c>
      <c r="V40" s="6" t="str">
        <f>IFERROR(__xludf.DUMMYFUNCTION("GOOGLETRANSLATE(J40,""en"",""th"")"),"เรือลำนี้เป็นเรือที่มีความเสถียรและหนักมาก ซึ่งออกแบบมาเพื่อทนต่อสภาวะที่เลวร้ายของการแข่งเรือในฤดูหนาว")</f>
        <v>เรือลำนี้เป็นเรือที่มีความเสถียรและหนักมาก ซึ่งออกแบบมาเพื่อทนต่อสภาวะที่เลวร้ายของการแข่งเรือในฤดูหนาว</v>
      </c>
    </row>
    <row r="41" ht="22.5" customHeight="1">
      <c r="A41" s="4" t="s">
        <v>553</v>
      </c>
      <c r="B41" s="5">
        <v>40.0</v>
      </c>
      <c r="C41" s="4" t="s">
        <v>154</v>
      </c>
      <c r="D41" s="4" t="s">
        <v>155</v>
      </c>
      <c r="E41" s="4" t="s">
        <v>156</v>
      </c>
      <c r="F41" s="4" t="s">
        <v>157</v>
      </c>
      <c r="G41" s="4" t="s">
        <v>127</v>
      </c>
      <c r="H41" s="4" t="s">
        <v>158</v>
      </c>
      <c r="I41" s="4" t="s">
        <v>156</v>
      </c>
      <c r="J41" s="4" t="s">
        <v>584</v>
      </c>
      <c r="M41" s="4" t="s">
        <v>553</v>
      </c>
      <c r="N41" s="5">
        <v>40.0</v>
      </c>
      <c r="O41" s="6" t="str">
        <f>IFERROR(__xludf.DUMMYFUNCTION("GOOGLETRANSLATE(C41,""en"",""th"")"),"บรรยากาศโดยรวมของภาพเป็นอย่างไร?")</f>
        <v>บรรยากาศโดยรวมของภาพเป็นอย่างไร?</v>
      </c>
      <c r="P41" s="6" t="str">
        <f>IFERROR(__xludf.DUMMYFUNCTION("GOOGLETRANSLATE(D41,""en"",""th"")"),"แบบสนุกสนานรื่นเริง")</f>
        <v>แบบสนุกสนานรื่นเริง</v>
      </c>
      <c r="Q41" s="6" t="str">
        <f>IFERROR(__xludf.DUMMYFUNCTION("GOOGLETRANSLATE(E41,""en"",""th"")"),"เป็นเรื่องที่จริงจังและตึงเครียด")</f>
        <v>เป็นเรื่องที่จริงจังและตึงเครียด</v>
      </c>
      <c r="R41" s="6" t="str">
        <f>IFERROR(__xludf.DUMMYFUNCTION("GOOGLETRANSLATE(F41,""en"",""th"")"),"เป็นบรรยากาศเงียบสงบและเศร้าหมอง")</f>
        <v>เป็นบรรยากาศเงียบสงบและเศร้าหมอง</v>
      </c>
      <c r="S41" s="6" t="str">
        <f>IFERROR(__xludf.DUMMYFUNCTION("GOOGLETRANSLATE(G41,""en"",""th"")"),"แบบสบายๆ และผ่อนคลาย")</f>
        <v>แบบสบายๆ และผ่อนคลาย</v>
      </c>
      <c r="T41" s="6" t="s">
        <v>160</v>
      </c>
      <c r="U41" s="6" t="str">
        <f>IFERROR(__xludf.DUMMYFUNCTION("GOOGLETRANSLATE(I41,""en"",""th"")"),"เป็นเรื่องที่จริงจังและตึงเครียด")</f>
        <v>เป็นเรื่องที่จริงจังและตึงเครียด</v>
      </c>
      <c r="V41" s="6" t="str">
        <f>IFERROR(__xludf.DUMMYFUNCTION("GOOGLETRANSLATE(J41,""en"",""th"")"),"การแสดงออกที่มุ่งมั่นของนักพายเรือ สภาพแวดล้อมที่โหดร้าย และความยากลำบากของการแข่งขัน ล้วนสร้างบรรยากาศที่จริงจังและตึงเครียด")</f>
        <v>การแสดงออกที่มุ่งมั่นของนักพายเรือ สภาพแวดล้อมที่โหดร้าย และความยากลำบากของการแข่งขัน ล้วนสร้างบรรยากาศที่จริงจังและตึงเครียด</v>
      </c>
    </row>
    <row r="42" ht="22.5" customHeight="1">
      <c r="A42" s="4" t="s">
        <v>585</v>
      </c>
      <c r="B42" s="5">
        <v>41.0</v>
      </c>
      <c r="C42" s="4" t="s">
        <v>366</v>
      </c>
      <c r="D42" s="4" t="s">
        <v>586</v>
      </c>
      <c r="E42" s="4" t="s">
        <v>587</v>
      </c>
      <c r="F42" s="4" t="s">
        <v>588</v>
      </c>
      <c r="G42" s="4" t="s">
        <v>524</v>
      </c>
      <c r="H42" s="4" t="s">
        <v>589</v>
      </c>
      <c r="I42" s="4" t="s">
        <v>586</v>
      </c>
      <c r="J42" s="4" t="s">
        <v>590</v>
      </c>
      <c r="M42" s="4" t="s">
        <v>585</v>
      </c>
      <c r="N42" s="5">
        <v>41.0</v>
      </c>
      <c r="O42" s="6" t="str">
        <f>IFERROR(__xludf.DUMMYFUNCTION("GOOGLETRANSLATE(C42,""en"",""th"")"),"เหตุการณ์หลักที่แสดงในภาพคืออะไร?")</f>
        <v>เหตุการณ์หลักที่แสดงในภาพคืออะไร?</v>
      </c>
      <c r="P42" s="6" t="str">
        <f>IFERROR(__xludf.DUMMYFUNCTION("GOOGLETRANSLATE(D42,""en"",""th"")"),"การแข่งขันพายเรือแบบแข่งขัน")</f>
        <v>การแข่งขันพายเรือแบบแข่งขัน</v>
      </c>
      <c r="Q42" s="6" t="str">
        <f>IFERROR(__xludf.DUMMYFUNCTION("GOOGLETRANSLATE(E42,""en"",""th"")"),"ทริปพายเรือแคนูพักผ่อนหย่อนใจ")</f>
        <v>ทริปพายเรือแคนูพักผ่อนหย่อนใจ</v>
      </c>
      <c r="R42" s="6" t="str">
        <f>IFERROR(__xludf.DUMMYFUNCTION("GOOGLETRANSLATE(F42,""en"",""th"")"),"การแข่งขันเรือคายัค")</f>
        <v>การแข่งขันเรือคายัค</v>
      </c>
      <c r="S42" s="6" t="str">
        <f>IFERROR(__xludf.DUMMYFUNCTION("GOOGLETRANSLATE(G42,""en"",""th"")"),"การแข่งขันเรือมังกร")</f>
        <v>การแข่งขันเรือมังกร</v>
      </c>
      <c r="T42" s="6" t="s">
        <v>591</v>
      </c>
      <c r="U42" s="6" t="str">
        <f>IFERROR(__xludf.DUMMYFUNCTION("GOOGLETRANSLATE(I42,""en"",""th"")"),"การแข่งขันพายเรือแบบแข่งขัน")</f>
        <v>การแข่งขันพายเรือแบบแข่งขัน</v>
      </c>
      <c r="V42" s="6" t="str">
        <f>IFERROR(__xludf.DUMMYFUNCTION("GOOGLETRANSLATE(J42,""en"",""th"")"),"ภาพนี้แสดงให้เห็นเรือลำยาวและแคบพร้อมทีมนักพายที่ใช้ไม้พายแบบสกัลล์ ซึ่งเป็นลักษณะเฉพาะของการแข่งขันพายเรือ")</f>
        <v>ภาพนี้แสดงให้เห็นเรือลำยาวและแคบพร้อมทีมนักพายที่ใช้ไม้พายแบบสกัลล์ ซึ่งเป็นลักษณะเฉพาะของการแข่งขันพายเรือ</v>
      </c>
    </row>
    <row r="43" ht="22.5" customHeight="1">
      <c r="A43" s="4" t="s">
        <v>585</v>
      </c>
      <c r="B43" s="5">
        <v>42.0</v>
      </c>
      <c r="C43" s="4" t="s">
        <v>592</v>
      </c>
      <c r="D43" s="4" t="s">
        <v>593</v>
      </c>
      <c r="E43" s="4" t="s">
        <v>594</v>
      </c>
      <c r="F43" s="4" t="s">
        <v>595</v>
      </c>
      <c r="G43" s="4" t="s">
        <v>596</v>
      </c>
      <c r="H43" s="4" t="s">
        <v>597</v>
      </c>
      <c r="I43" s="4" t="s">
        <v>595</v>
      </c>
      <c r="J43" s="4" t="s">
        <v>598</v>
      </c>
      <c r="M43" s="4" t="s">
        <v>585</v>
      </c>
      <c r="N43" s="5">
        <v>42.0</v>
      </c>
      <c r="O43" s="6" t="str">
        <f>IFERROR(__xludf.DUMMYFUNCTION("GOOGLETRANSLATE(C43,""en"",""th"")"),"งานนี้ต่างจากงานแกงเรือแบบดั้งเดิมอย่างไร?")</f>
        <v>งานนี้ต่างจากงานแกงเรือแบบดั้งเดิมอย่างไร?</v>
      </c>
      <c r="P43" s="6" t="str">
        <f>IFERROR(__xludf.DUMMYFUNCTION("GOOGLETRANSLATE(D43,""en"",""th"")"),"เรือก็ยาวมากขึ้น")</f>
        <v>เรือก็ยาวมากขึ้น</v>
      </c>
      <c r="Q43" s="6" t="str">
        <f>IFERROR(__xludf.DUMMYFUNCTION("GOOGLETRANSLATE(E43,""en"",""th"")"),"เรือจะสั้นลงมาก")</f>
        <v>เรือจะสั้นลงมาก</v>
      </c>
      <c r="R43" s="6" t="str">
        <f>IFERROR(__xludf.DUMMYFUNCTION("GOOGLETRANSLATE(F43,""en"",""th"")"),"เรือมีน้ำหนักเบากว่ามากและเร็วกว่ามาก")</f>
        <v>เรือมีน้ำหนักเบากว่ามากและเร็วกว่ามาก</v>
      </c>
      <c r="S43" s="6" t="str">
        <f>IFERROR(__xludf.DUMMYFUNCTION("GOOGLETRANSLATE(G43,""en"",""th"")"),"เรือจะหนักและช้ากว่ามาก")</f>
        <v>เรือจะหนักและช้ากว่ามาก</v>
      </c>
      <c r="T43" s="6" t="s">
        <v>599</v>
      </c>
      <c r="U43" s="6" t="str">
        <f>IFERROR(__xludf.DUMMYFUNCTION("GOOGLETRANSLATE(I43,""en"",""th"")"),"เรือมีน้ำหนักเบากว่ามากและเร็วกว่ามาก")</f>
        <v>เรือมีน้ำหนักเบากว่ามากและเร็วกว่ามาก</v>
      </c>
      <c r="V43" s="6" t="str">
        <f>IFERROR(__xludf.DUMMYFUNCTION("GOOGLETRANSLATE(J43,""en"",""th"")"),"เรือประเภทนี้เรียกว่าเรือกรรเชียง ได้รับการออกแบบให้มีน้ำหนักเบามากและรวดเร็ว ซึ่งแตกต่างจากเรือแก่งเรือแบบดั้งเดิมที่มีน้ำหนักมากและหนัก")</f>
        <v>เรือประเภทนี้เรียกว่าเรือกรรเชียง ได้รับการออกแบบให้มีน้ำหนักเบามากและรวดเร็ว ซึ่งแตกต่างจากเรือแก่งเรือแบบดั้งเดิมที่มีน้ำหนักมากและหนัก</v>
      </c>
    </row>
    <row r="44" ht="22.5" customHeight="1">
      <c r="A44" s="4" t="s">
        <v>585</v>
      </c>
      <c r="B44" s="5">
        <v>43.0</v>
      </c>
      <c r="C44" s="4" t="s">
        <v>600</v>
      </c>
      <c r="D44" s="4" t="s">
        <v>601</v>
      </c>
      <c r="E44" s="4" t="s">
        <v>602</v>
      </c>
      <c r="F44" s="4" t="s">
        <v>603</v>
      </c>
      <c r="G44" s="4" t="s">
        <v>604</v>
      </c>
      <c r="H44" s="4" t="s">
        <v>605</v>
      </c>
      <c r="I44" s="4" t="s">
        <v>603</v>
      </c>
      <c r="J44" s="4" t="s">
        <v>606</v>
      </c>
      <c r="M44" s="4" t="s">
        <v>585</v>
      </c>
      <c r="N44" s="5">
        <v>43.0</v>
      </c>
      <c r="O44" s="6" t="str">
        <f>IFERROR(__xludf.DUMMYFUNCTION("GOOGLETRANSLATE(C44,""en"",""th"")"),"นักพายใช้ไม้พายคนละแบบกัน เรียกว่าอะไรคะ")</f>
        <v>นักพายใช้ไม้พายคนละแบบกัน เรียกว่าอะไรคะ</v>
      </c>
      <c r="P44" s="6" t="str">
        <f>IFERROR(__xludf.DUMMYFUNCTION("GOOGLETRANSLATE(D44,""en"",""th"")"),"ไม้พาย")</f>
        <v>ไม้พาย</v>
      </c>
      <c r="Q44" s="6" t="str">
        <f>IFERROR(__xludf.DUMMYFUNCTION("GOOGLETRANSLATE(E44,""en"",""th"")"),"ไม้พาย")</f>
        <v>ไม้พาย</v>
      </c>
      <c r="R44" s="6" t="str">
        <f>IFERROR(__xludf.DUMMYFUNCTION("GOOGLETRANSLATE(F44,""en"",""th"")"),"ไม้พายแบบกรรเชียง")</f>
        <v>ไม้พายแบบกรรเชียง</v>
      </c>
      <c r="S44" s="6" t="str">
        <f>IFERROR(__xludf.DUMMYFUNCTION("GOOGLETRANSLATE(G44,""en"",""th"")"),"ไม้พาย")</f>
        <v>ไม้พาย</v>
      </c>
      <c r="T44" s="6" t="s">
        <v>607</v>
      </c>
      <c r="U44" s="6" t="str">
        <f>IFERROR(__xludf.DUMMYFUNCTION("GOOGLETRANSLATE(I44,""en"",""th"")"),"ไม้พายแบบกรรเชียง")</f>
        <v>ไม้พายแบบกรรเชียง</v>
      </c>
      <c r="V44" s="6" t="str">
        <f>IFERROR(__xludf.DUMMYFUNCTION("GOOGLETRANSLATE(J44,""en"",""th"")"),"นักพายเรือจะใช้ไม้พายชนิดพิเศษที่เรียกว่าไม้พายแบบกรรเชียง ซึ่งออกแบบมาให้มีน้ำหนักเบาและมีประสิทธิภาพมาก")</f>
        <v>นักพายเรือจะใช้ไม้พายชนิดพิเศษที่เรียกว่าไม้พายแบบกรรเชียง ซึ่งออกแบบมาให้มีน้ำหนักเบาและมีประสิทธิภาพมาก</v>
      </c>
    </row>
    <row r="45" ht="22.5" customHeight="1">
      <c r="A45" s="4" t="s">
        <v>585</v>
      </c>
      <c r="B45" s="5">
        <v>44.0</v>
      </c>
      <c r="C45" s="4" t="s">
        <v>608</v>
      </c>
      <c r="D45" s="4" t="s">
        <v>609</v>
      </c>
      <c r="E45" s="4" t="s">
        <v>610</v>
      </c>
      <c r="F45" s="4" t="s">
        <v>611</v>
      </c>
      <c r="G45" s="4" t="s">
        <v>612</v>
      </c>
      <c r="H45" s="4" t="s">
        <v>613</v>
      </c>
      <c r="I45" s="4" t="s">
        <v>611</v>
      </c>
      <c r="J45" s="4" t="s">
        <v>614</v>
      </c>
      <c r="M45" s="4" t="s">
        <v>585</v>
      </c>
      <c r="N45" s="5">
        <v>44.0</v>
      </c>
      <c r="O45" s="6" t="str">
        <f>IFERROR(__xludf.DUMMYFUNCTION("GOOGLETRANSLATE(C45,""en"",""th"")"),"นักพายทุกคนหันหน้าไปทางเดียวกัน เหตุผลคืออะไร?")</f>
        <v>นักพายทุกคนหันหน้าไปทางเดียวกัน เหตุผลคืออะไร?</v>
      </c>
      <c r="P45" s="6" t="str">
        <f>IFERROR(__xludf.DUMMYFUNCTION("GOOGLETRANSLATE(D45,""en"",""th"")"),"เพื่อรักษาสมดุลของเรือ")</f>
        <v>เพื่อรักษาสมดุลของเรือ</v>
      </c>
      <c r="Q45" s="6" t="str">
        <f>IFERROR(__xludf.DUMMYFUNCTION("GOOGLETRANSLATE(E45,""en"",""th"")"),"เพื่อให้พายได้เร็วขึ้น")</f>
        <v>เพื่อให้พายได้เร็วขึ้น</v>
      </c>
      <c r="R45" s="6" t="str">
        <f>IFERROR(__xludf.DUMMYFUNCTION("GOOGLETRANSLATE(F45,""en"",""th"")"),"การพายเรือเป็นเส้นตรง")</f>
        <v>การพายเรือเป็นเส้นตรง</v>
      </c>
      <c r="S45" s="6" t="str">
        <f>IFERROR(__xludf.DUMMYFUNCTION("GOOGLETRANSLATE(G45,""en"",""th"")"),"เพื่อให้มองเห็นได้ชัดเจนยิ่งขึ้น")</f>
        <v>เพื่อให้มองเห็นได้ชัดเจนยิ่งขึ้น</v>
      </c>
      <c r="T45" s="6" t="s">
        <v>615</v>
      </c>
      <c r="U45" s="6" t="str">
        <f>IFERROR(__xludf.DUMMYFUNCTION("GOOGLETRANSLATE(I45,""en"",""th"")"),"การพายเรือเป็นเส้นตรง")</f>
        <v>การพายเรือเป็นเส้นตรง</v>
      </c>
      <c r="V45" s="6" t="str">
        <f>IFERROR(__xludf.DUMMYFUNCTION("GOOGLETRANSLATE(J45,""en"",""th"")"),"นักพายเรือทุกคนหันหน้าไปทางทิศทางเดียวกัน ซึ่งเป็นลักษณะเฉพาะของการแข่งขันพายเรือ เพื่อให้แน่ใจว่าทุกคนพายเรือเป็นเส้นตรง")</f>
        <v>นักพายเรือทุกคนหันหน้าไปทางทิศทางเดียวกัน ซึ่งเป็นลักษณะเฉพาะของการแข่งขันพายเรือ เพื่อให้แน่ใจว่าทุกคนพายเรือเป็นเส้นตรง</v>
      </c>
    </row>
    <row r="46" ht="22.5" customHeight="1">
      <c r="A46" s="4" t="s">
        <v>585</v>
      </c>
      <c r="B46" s="5">
        <v>45.0</v>
      </c>
      <c r="C46" s="4" t="s">
        <v>154</v>
      </c>
      <c r="D46" s="4" t="s">
        <v>124</v>
      </c>
      <c r="E46" s="4" t="s">
        <v>125</v>
      </c>
      <c r="F46" s="4" t="s">
        <v>126</v>
      </c>
      <c r="G46" s="4" t="s">
        <v>127</v>
      </c>
      <c r="H46" s="4" t="s">
        <v>128</v>
      </c>
      <c r="I46" s="4" t="s">
        <v>125</v>
      </c>
      <c r="J46" s="4" t="s">
        <v>616</v>
      </c>
      <c r="M46" s="4" t="s">
        <v>585</v>
      </c>
      <c r="N46" s="5">
        <v>45.0</v>
      </c>
      <c r="O46" s="6" t="str">
        <f>IFERROR(__xludf.DUMMYFUNCTION("GOOGLETRANSLATE(C46,""en"",""th"")"),"บรรยากาศโดยรวมของภาพเป็นอย่างไร?")</f>
        <v>บรรยากาศโดยรวมของภาพเป็นอย่างไร?</v>
      </c>
      <c r="P46" s="6" t="str">
        <f>IFERROR(__xludf.DUMMYFUNCTION("GOOGLETRANSLATE(D46,""en"",""th"")"),"เป็นที่เงียบสงบและสันติ")</f>
        <v>เป็นที่เงียบสงบและสันติ</v>
      </c>
      <c r="Q46" s="6" t="str">
        <f>IFERROR(__xludf.DUMMYFUNCTION("GOOGLETRANSLATE(E46,""en"",""th"")"),"แบบตึงเครียดและมีสมาธิ")</f>
        <v>แบบตึงเครียดและมีสมาธิ</v>
      </c>
      <c r="R46" s="6" t="str">
        <f>IFERROR(__xludf.DUMMYFUNCTION("GOOGLETRANSLATE(F46,""en"",""th"")"),"แบบเฉลิมฉลองและรื่นเริง")</f>
        <v>แบบเฉลิมฉลองและรื่นเริง</v>
      </c>
      <c r="S46" s="6" t="str">
        <f>IFERROR(__xludf.DUMMYFUNCTION("GOOGLETRANSLATE(G46,""en"",""th"")"),"แบบสบายๆ และผ่อนคลาย")</f>
        <v>แบบสบายๆ และผ่อนคลาย</v>
      </c>
      <c r="T46" s="6" t="s">
        <v>130</v>
      </c>
      <c r="U46" s="6" t="str">
        <f>IFERROR(__xludf.DUMMYFUNCTION("GOOGLETRANSLATE(I46,""en"",""th"")"),"แบบตึงเครียดและมีสมาธิ")</f>
        <v>แบบตึงเครียดและมีสมาธิ</v>
      </c>
      <c r="V46" s="6" t="str">
        <f>IFERROR(__xludf.DUMMYFUNCTION("GOOGLETRANSLATE(J46,""en"",""th"")"),"การแสดงออกที่มุ่งมั่นของนักพายเรือ ความเร็วของเรือ และน้ำที่กระเซ็น ล้วนสร้างบรรยากาศที่ตึงเครียดและมีสมาธิ")</f>
        <v>การแสดงออกที่มุ่งมั่นของนักพายเรือ ความเร็วของเรือ และน้ำที่กระเซ็น ล้วนสร้างบรรยากาศที่ตึงเครียดและมีสมาธิ</v>
      </c>
    </row>
    <row r="47" ht="22.5" customHeight="1">
      <c r="A47" s="4" t="s">
        <v>617</v>
      </c>
      <c r="B47" s="5">
        <v>46.0</v>
      </c>
      <c r="C47" s="4" t="s">
        <v>366</v>
      </c>
      <c r="D47" s="4" t="s">
        <v>586</v>
      </c>
      <c r="E47" s="4" t="s">
        <v>587</v>
      </c>
      <c r="F47" s="4" t="s">
        <v>588</v>
      </c>
      <c r="G47" s="4" t="s">
        <v>524</v>
      </c>
      <c r="H47" s="4" t="s">
        <v>589</v>
      </c>
      <c r="I47" s="4" t="s">
        <v>586</v>
      </c>
      <c r="J47" s="4" t="s">
        <v>618</v>
      </c>
      <c r="M47" s="4" t="s">
        <v>617</v>
      </c>
      <c r="N47" s="5">
        <v>46.0</v>
      </c>
      <c r="O47" s="6" t="str">
        <f>IFERROR(__xludf.DUMMYFUNCTION("GOOGLETRANSLATE(C47,""en"",""th"")"),"เหตุการณ์หลักที่แสดงในภาพคืออะไร?")</f>
        <v>เหตุการณ์หลักที่แสดงในภาพคืออะไร?</v>
      </c>
      <c r="P47" s="6" t="str">
        <f>IFERROR(__xludf.DUMMYFUNCTION("GOOGLETRANSLATE(D47,""en"",""th"")"),"การแข่งขันพายเรือแบบแข่งขัน")</f>
        <v>การแข่งขันพายเรือแบบแข่งขัน</v>
      </c>
      <c r="Q47" s="6" t="str">
        <f>IFERROR(__xludf.DUMMYFUNCTION("GOOGLETRANSLATE(E47,""en"",""th"")"),"ทริปพายเรือแคนูพักผ่อนหย่อนใจ")</f>
        <v>ทริปพายเรือแคนูพักผ่อนหย่อนใจ</v>
      </c>
      <c r="R47" s="6" t="str">
        <f>IFERROR(__xludf.DUMMYFUNCTION("GOOGLETRANSLATE(F47,""en"",""th"")"),"การแข่งขันเรือคายัค")</f>
        <v>การแข่งขันเรือคายัค</v>
      </c>
      <c r="S47" s="6" t="str">
        <f>IFERROR(__xludf.DUMMYFUNCTION("GOOGLETRANSLATE(G47,""en"",""th"")"),"การแข่งขันเรือมังกร")</f>
        <v>การแข่งขันเรือมังกร</v>
      </c>
      <c r="T47" s="6" t="s">
        <v>591</v>
      </c>
      <c r="U47" s="6" t="str">
        <f>IFERROR(__xludf.DUMMYFUNCTION("GOOGLETRANSLATE(I47,""en"",""th"")"),"การแข่งขันพายเรือแบบแข่งขัน")</f>
        <v>การแข่งขันพายเรือแบบแข่งขัน</v>
      </c>
      <c r="V47" s="6" t="str">
        <f>IFERROR(__xludf.DUMMYFUNCTION("GOOGLETRANSLATE(J47,""en"",""th"")"),"ภาพนี้แสดงให้เห็นกลุ่มคนในเรือแคนู โดยมีตัวเลขบนเสื้อและไม้พายอยู่ในมือ ซึ่งเป็นลักษณะเฉพาะของการแข่งขันพายเรือ")</f>
        <v>ภาพนี้แสดงให้เห็นกลุ่มคนในเรือแคนู โดยมีตัวเลขบนเสื้อและไม้พายอยู่ในมือ ซึ่งเป็นลักษณะเฉพาะของการแข่งขันพายเรือ</v>
      </c>
    </row>
    <row r="48" ht="22.5" customHeight="1">
      <c r="A48" s="4" t="s">
        <v>617</v>
      </c>
      <c r="B48" s="5">
        <v>47.0</v>
      </c>
      <c r="C48" s="4" t="s">
        <v>592</v>
      </c>
      <c r="D48" s="4" t="s">
        <v>593</v>
      </c>
      <c r="E48" s="4" t="s">
        <v>594</v>
      </c>
      <c r="F48" s="4" t="s">
        <v>595</v>
      </c>
      <c r="G48" s="4" t="s">
        <v>596</v>
      </c>
      <c r="H48" s="4" t="s">
        <v>597</v>
      </c>
      <c r="I48" s="4" t="s">
        <v>594</v>
      </c>
      <c r="J48" s="4" t="s">
        <v>619</v>
      </c>
      <c r="M48" s="4" t="s">
        <v>617</v>
      </c>
      <c r="N48" s="5">
        <v>47.0</v>
      </c>
      <c r="O48" s="6" t="str">
        <f>IFERROR(__xludf.DUMMYFUNCTION("GOOGLETRANSLATE(C48,""en"",""th"")"),"งานนี้ต่างจากงานแกงเรือแบบดั้งเดิมอย่างไร?")</f>
        <v>งานนี้ต่างจากงานแกงเรือแบบดั้งเดิมอย่างไร?</v>
      </c>
      <c r="P48" s="6" t="str">
        <f>IFERROR(__xludf.DUMMYFUNCTION("GOOGLETRANSLATE(D48,""en"",""th"")"),"เรือก็ยาวมากขึ้น")</f>
        <v>เรือก็ยาวมากขึ้น</v>
      </c>
      <c r="Q48" s="6" t="str">
        <f>IFERROR(__xludf.DUMMYFUNCTION("GOOGLETRANSLATE(E48,""en"",""th"")"),"เรือจะสั้นลงมาก")</f>
        <v>เรือจะสั้นลงมาก</v>
      </c>
      <c r="R48" s="6" t="str">
        <f>IFERROR(__xludf.DUMMYFUNCTION("GOOGLETRANSLATE(F48,""en"",""th"")"),"เรือมีน้ำหนักเบากว่ามากและเร็วกว่ามาก")</f>
        <v>เรือมีน้ำหนักเบากว่ามากและเร็วกว่ามาก</v>
      </c>
      <c r="S48" s="6" t="str">
        <f>IFERROR(__xludf.DUMMYFUNCTION("GOOGLETRANSLATE(G48,""en"",""th"")"),"เรือจะหนักและช้ากว่ามาก")</f>
        <v>เรือจะหนักและช้ากว่ามาก</v>
      </c>
      <c r="T48" s="6" t="s">
        <v>599</v>
      </c>
      <c r="U48" s="6" t="str">
        <f>IFERROR(__xludf.DUMMYFUNCTION("GOOGLETRANSLATE(I48,""en"",""th"")"),"เรือจะสั้นลงมาก")</f>
        <v>เรือจะสั้นลงมาก</v>
      </c>
      <c r="V48" s="6" t="str">
        <f>IFERROR(__xludf.DUMMYFUNCTION("GOOGLETRANSLATE(J48,""en"",""th"")"),"เรือเป็นเรือแคนูซึ่งจะสั้นและเบากว่าเรือแก่งเรือแบบดั้งเดิมซึ่งยาวมาก")</f>
        <v>เรือเป็นเรือแคนูซึ่งจะสั้นและเบากว่าเรือแก่งเรือแบบดั้งเดิมซึ่งยาวมาก</v>
      </c>
    </row>
    <row r="49" ht="22.5" customHeight="1">
      <c r="A49" s="4" t="s">
        <v>617</v>
      </c>
      <c r="B49" s="5">
        <v>48.0</v>
      </c>
      <c r="C49" s="4" t="s">
        <v>569</v>
      </c>
      <c r="D49" s="4" t="s">
        <v>519</v>
      </c>
      <c r="E49" s="4" t="s">
        <v>570</v>
      </c>
      <c r="F49" s="4" t="s">
        <v>571</v>
      </c>
      <c r="G49" s="4" t="s">
        <v>620</v>
      </c>
      <c r="H49" s="4" t="s">
        <v>621</v>
      </c>
      <c r="I49" s="4" t="s">
        <v>620</v>
      </c>
      <c r="J49" s="4" t="s">
        <v>622</v>
      </c>
      <c r="M49" s="4" t="s">
        <v>617</v>
      </c>
      <c r="N49" s="5">
        <v>48.0</v>
      </c>
      <c r="O49" s="6" t="str">
        <f>IFERROR(__xludf.DUMMYFUNCTION("GOOGLETRANSLATE(C49,""en"",""th"")"),"นักพายเรือสวมเสื้อผ้าประเภทใด?")</f>
        <v>นักพายเรือสวมเสื้อผ้าประเภทใด?</v>
      </c>
      <c r="P49" s="6" t="str">
        <f>IFERROR(__xludf.DUMMYFUNCTION("GOOGLETRANSLATE(D49,""en"",""th"")"),"เสื้อชูชีพ และ เสื้อกีฬา")</f>
        <v>เสื้อชูชีพ และ เสื้อกีฬา</v>
      </c>
      <c r="Q49" s="6" t="str">
        <f>IFERROR(__xludf.DUMMYFUNCTION("GOOGLETRANSLATE(E49,""en"",""th"")"),"ชุดดำน้ำและเสื้อชูชีพ")</f>
        <v>ชุดดำน้ำและเสื้อชูชีพ</v>
      </c>
      <c r="R49" s="6" t="str">
        <f>IFERROR(__xludf.DUMMYFUNCTION("GOOGLETRANSLATE(F49,""en"",""th"")"),"เสื้อชูชีพและหมวกกันหนาว")</f>
        <v>เสื้อชูชีพและหมวกกันหนาว</v>
      </c>
      <c r="S49" s="6" t="str">
        <f>IFERROR(__xludf.DUMMYFUNCTION("GOOGLETRANSLATE(G49,""en"",""th"")"),"เสื้อผ้าลำลองและเสื้อชูชีพ")</f>
        <v>เสื้อผ้าลำลองและเสื้อชูชีพ</v>
      </c>
      <c r="T49" s="6" t="s">
        <v>623</v>
      </c>
      <c r="U49" s="6" t="str">
        <f>IFERROR(__xludf.DUMMYFUNCTION("GOOGLETRANSLATE(I49,""en"",""th"")"),"เสื้อผ้าลำลองและเสื้อชูชีพ")</f>
        <v>เสื้อผ้าลำลองและเสื้อชูชีพ</v>
      </c>
      <c r="V49" s="6" t="str">
        <f>IFERROR(__xludf.DUMMYFUNCTION("GOOGLETRANSLATE(J49,""en"",""th"")"),"นักพายเรือสวมเสื้อผ้าลำลองและเสื้อชูชีพ ซึ่งเป็นสัญญาณว่ากิจกรรมนี้เป็นกิจกรรมที่ผ่อนคลายและไม่เป็นทางการมากขึ้น")</f>
        <v>นักพายเรือสวมเสื้อผ้าลำลองและเสื้อชูชีพ ซึ่งเป็นสัญญาณว่ากิจกรรมนี้เป็นกิจกรรมที่ผ่อนคลายและไม่เป็นทางการมากขึ้น</v>
      </c>
    </row>
    <row r="50" ht="22.5" customHeight="1">
      <c r="A50" s="4" t="s">
        <v>617</v>
      </c>
      <c r="B50" s="5">
        <v>49.0</v>
      </c>
      <c r="C50" s="4" t="s">
        <v>624</v>
      </c>
      <c r="D50" s="4" t="s">
        <v>625</v>
      </c>
      <c r="E50" s="4" t="s">
        <v>626</v>
      </c>
      <c r="F50" s="4" t="s">
        <v>54</v>
      </c>
      <c r="G50" s="4" t="s">
        <v>52</v>
      </c>
      <c r="H50" s="4" t="s">
        <v>627</v>
      </c>
      <c r="I50" s="4" t="s">
        <v>626</v>
      </c>
      <c r="J50" s="4" t="s">
        <v>628</v>
      </c>
      <c r="M50" s="4" t="s">
        <v>617</v>
      </c>
      <c r="N50" s="5">
        <v>49.0</v>
      </c>
      <c r="O50" s="6" t="str">
        <f>IFERROR(__xludf.DUMMYFUNCTION("GOOGLETRANSLATE(C50,""en"",""th"")"),"นักพายเรือมีหมายเลขติดอยู่บนเสื้อ หมายความว่ายังไง?")</f>
        <v>นักพายเรือมีหมายเลขติดอยู่บนเสื้อ หมายความว่ายังไง?</v>
      </c>
      <c r="P50" s="6" t="str">
        <f>IFERROR(__xludf.DUMMYFUNCTION("GOOGLETRANSLATE(D50,""en"",""th"")"),"พวกเขาเป็นทีมเดียวกัน")</f>
        <v>พวกเขาเป็นทีมเดียวกัน</v>
      </c>
      <c r="Q50" s="6" t="str">
        <f>IFERROR(__xludf.DUMMYFUNCTION("GOOGLETRANSLATE(E50,""en"",""th"")"),"พวกเขาเป็นบุคคลที่กำลังแข่งขันกัน")</f>
        <v>พวกเขาเป็นบุคคลที่กำลังแข่งขันกัน</v>
      </c>
      <c r="R50" s="6" t="str">
        <f>IFERROR(__xludf.DUMMYFUNCTION("GOOGLETRANSLATE(F50,""en"",""th"")"),"พวกเขาเป็นผู้พิพากษา")</f>
        <v>พวกเขาเป็นผู้พิพากษา</v>
      </c>
      <c r="S50" s="6" t="str">
        <f>IFERROR(__xludf.DUMMYFUNCTION("GOOGLETRANSLATE(G50,""en"",""th"")"),"พวกเขาเป็นผู้ชม")</f>
        <v>พวกเขาเป็นผู้ชม</v>
      </c>
      <c r="T50" s="6" t="s">
        <v>629</v>
      </c>
      <c r="U50" s="6" t="str">
        <f>IFERROR(__xludf.DUMMYFUNCTION("GOOGLETRANSLATE(I50,""en"",""th"")"),"พวกเขาเป็นบุคคลที่กำลังแข่งขันกัน")</f>
        <v>พวกเขาเป็นบุคคลที่กำลังแข่งขันกัน</v>
      </c>
      <c r="V50" s="6" t="str">
        <f>IFERROR(__xludf.DUMMYFUNCTION("GOOGLETRANSLATE(J50,""en"",""th"")"),"ตัวเลขบนเสื้อของนักพายเรือบ่งบอกว่าพวกเขาเป็นบุคคลแข่งขันกัน ไม่ใช่ทีม")</f>
        <v>ตัวเลขบนเสื้อของนักพายเรือบ่งบอกว่าพวกเขาเป็นบุคคลแข่งขันกัน ไม่ใช่ทีม</v>
      </c>
    </row>
    <row r="51" ht="22.5" customHeight="1">
      <c r="A51" s="4" t="s">
        <v>617</v>
      </c>
      <c r="B51" s="5">
        <v>50.0</v>
      </c>
      <c r="C51" s="4" t="s">
        <v>154</v>
      </c>
      <c r="D51" s="4" t="s">
        <v>124</v>
      </c>
      <c r="E51" s="4" t="s">
        <v>125</v>
      </c>
      <c r="F51" s="4" t="s">
        <v>126</v>
      </c>
      <c r="G51" s="4" t="s">
        <v>127</v>
      </c>
      <c r="H51" s="4" t="s">
        <v>128</v>
      </c>
      <c r="I51" s="4" t="s">
        <v>125</v>
      </c>
      <c r="J51" s="4" t="s">
        <v>630</v>
      </c>
      <c r="M51" s="4" t="s">
        <v>617</v>
      </c>
      <c r="N51" s="5">
        <v>50.0</v>
      </c>
      <c r="O51" s="6" t="str">
        <f>IFERROR(__xludf.DUMMYFUNCTION("GOOGLETRANSLATE(C51,""en"",""th"")"),"บรรยากาศโดยรวมของภาพเป็นอย่างไร?")</f>
        <v>บรรยากาศโดยรวมของภาพเป็นอย่างไร?</v>
      </c>
      <c r="P51" s="6" t="str">
        <f>IFERROR(__xludf.DUMMYFUNCTION("GOOGLETRANSLATE(D51,""en"",""th"")"),"เป็นที่เงียบสงบและสันติ")</f>
        <v>เป็นที่เงียบสงบและสันติ</v>
      </c>
      <c r="Q51" s="6" t="str">
        <f>IFERROR(__xludf.DUMMYFUNCTION("GOOGLETRANSLATE(E51,""en"",""th"")"),"แบบตึงเครียดและมีสมาธิ")</f>
        <v>แบบตึงเครียดและมีสมาธิ</v>
      </c>
      <c r="R51" s="6" t="str">
        <f>IFERROR(__xludf.DUMMYFUNCTION("GOOGLETRANSLATE(F51,""en"",""th"")"),"แบบเฉลิมฉลองและรื่นเริง")</f>
        <v>แบบเฉลิมฉลองและรื่นเริง</v>
      </c>
      <c r="S51" s="6" t="str">
        <f>IFERROR(__xludf.DUMMYFUNCTION("GOOGLETRANSLATE(G51,""en"",""th"")"),"แบบสบายๆ และผ่อนคลาย")</f>
        <v>แบบสบายๆ และผ่อนคลาย</v>
      </c>
      <c r="T51" s="6" t="s">
        <v>130</v>
      </c>
      <c r="U51" s="6" t="str">
        <f>IFERROR(__xludf.DUMMYFUNCTION("GOOGLETRANSLATE(I51,""en"",""th"")"),"แบบตึงเครียดและมีสมาธิ")</f>
        <v>แบบตึงเครียดและมีสมาธิ</v>
      </c>
      <c r="V51" s="6" t="str">
        <f>IFERROR(__xludf.DUMMYFUNCTION("GOOGLETRANSLATE(J51,""en"",""th"")"),"การแสดงออกที่มุ่งมั่นของนักพายเรือ น้ำที่กระเซ็น และการแข่งขันเคียงข้างกัน ล้วนสร้างบรรยากาศที่ตึงเครียดและมีสมาธิ")</f>
        <v>การแสดงออกที่มุ่งมั่นของนักพายเรือ น้ำที่กระเซ็น และการแข่งขันเคียงข้างกัน ล้วนสร้างบรรยากาศที่ตึงเครียดและมีสมาธิ</v>
      </c>
    </row>
    <row r="52" ht="22.5" customHeight="1">
      <c r="A52" s="4" t="s">
        <v>631</v>
      </c>
      <c r="B52" s="5">
        <v>51.0</v>
      </c>
      <c r="C52" s="4" t="s">
        <v>21</v>
      </c>
      <c r="D52" s="4" t="s">
        <v>531</v>
      </c>
      <c r="E52" s="4" t="s">
        <v>632</v>
      </c>
      <c r="F52" s="4" t="s">
        <v>510</v>
      </c>
      <c r="G52" s="4" t="s">
        <v>509</v>
      </c>
      <c r="H52" s="4" t="s">
        <v>633</v>
      </c>
      <c r="I52" s="4" t="s">
        <v>632</v>
      </c>
      <c r="J52" s="4" t="s">
        <v>634</v>
      </c>
      <c r="M52" s="4" t="s">
        <v>631</v>
      </c>
      <c r="N52" s="5">
        <v>51.0</v>
      </c>
      <c r="O52" s="6" t="str">
        <f>IFERROR(__xludf.DUMMYFUNCTION("GOOGLETRANSLATE(C52,""en"",""th"")"),"ภาพที่แสดงเป็นกิจกรรมหลักอะไร?")</f>
        <v>ภาพที่แสดงเป็นกิจกรรมหลักอะไร?</v>
      </c>
      <c r="P52" s="6" t="str">
        <f>IFERROR(__xludf.DUMMYFUNCTION("GOOGLETRANSLATE(D52,""en"",""th"")"),"การแข่งขันเรือยาว")</f>
        <v>การแข่งขันเรือยาว</v>
      </c>
      <c r="Q52" s="6" t="str">
        <f>IFERROR(__xludf.DUMMYFUNCTION("GOOGLETRANSLATE(E52,""en"",""th"")"),"ทริปล่องแพแม่น้ำ")</f>
        <v>ทริปล่องแพแม่น้ำ</v>
      </c>
      <c r="R52" s="6" t="str">
        <f>IFERROR(__xludf.DUMMYFUNCTION("GOOGLETRANSLATE(F52,""en"",""th"")"),"ทริปตกปลา")</f>
        <v>ทริปตกปลา</v>
      </c>
      <c r="S52" s="6" t="str">
        <f>IFERROR(__xludf.DUMMYFUNCTION("GOOGLETRANSLATE(G52,""en"",""th"")"),"การแข่งขันพายเรือ")</f>
        <v>การแข่งขันพายเรือ</v>
      </c>
      <c r="T52" s="6" t="s">
        <v>635</v>
      </c>
      <c r="U52" s="6" t="str">
        <f>IFERROR(__xludf.DUMMYFUNCTION("GOOGLETRANSLATE(I52,""en"",""th"")"),"ทริปล่องแพแม่น้ำ")</f>
        <v>ทริปล่องแพแม่น้ำ</v>
      </c>
      <c r="V52" s="6" t="str">
        <f>IFERROR(__xludf.DUMMYFUNCTION("GOOGLETRANSLATE(J52,""en"",""th"")"),"ภาพนี้แสดงให้เห็นกลุ่มคนบนแพยางพร้อมสวมหมวกกันน็อคและเสื้อชูชีพ ซึ่งเป็นสัญญาณชัดเจนว่าพวกเขากำลังล่องแพอยู่")</f>
        <v>ภาพนี้แสดงให้เห็นกลุ่มคนบนแพยางพร้อมสวมหมวกกันน็อคและเสื้อชูชีพ ซึ่งเป็นสัญญาณชัดเจนว่าพวกเขากำลังล่องแพอยู่</v>
      </c>
    </row>
    <row r="53" ht="22.5" customHeight="1">
      <c r="A53" s="4" t="s">
        <v>631</v>
      </c>
      <c r="B53" s="5">
        <v>52.0</v>
      </c>
      <c r="C53" s="4" t="s">
        <v>592</v>
      </c>
      <c r="D53" s="4" t="s">
        <v>593</v>
      </c>
      <c r="E53" s="4" t="s">
        <v>594</v>
      </c>
      <c r="F53" s="4" t="s">
        <v>595</v>
      </c>
      <c r="G53" s="4" t="s">
        <v>596</v>
      </c>
      <c r="H53" s="4" t="s">
        <v>597</v>
      </c>
      <c r="I53" s="4" t="s">
        <v>596</v>
      </c>
      <c r="J53" s="4" t="s">
        <v>636</v>
      </c>
      <c r="M53" s="4" t="s">
        <v>631</v>
      </c>
      <c r="N53" s="5">
        <v>52.0</v>
      </c>
      <c r="O53" s="6" t="str">
        <f>IFERROR(__xludf.DUMMYFUNCTION("GOOGLETRANSLATE(C53,""en"",""th"")"),"งานนี้ต่างจากงานแกงเรือแบบดั้งเดิมอย่างไร?")</f>
        <v>งานนี้ต่างจากงานแกงเรือแบบดั้งเดิมอย่างไร?</v>
      </c>
      <c r="P53" s="6" t="str">
        <f>IFERROR(__xludf.DUMMYFUNCTION("GOOGLETRANSLATE(D53,""en"",""th"")"),"เรือก็ยาวมากขึ้น")</f>
        <v>เรือก็ยาวมากขึ้น</v>
      </c>
      <c r="Q53" s="6" t="str">
        <f>IFERROR(__xludf.DUMMYFUNCTION("GOOGLETRANSLATE(E53,""en"",""th"")"),"เรือจะสั้นลงมาก")</f>
        <v>เรือจะสั้นลงมาก</v>
      </c>
      <c r="R53" s="6" t="str">
        <f>IFERROR(__xludf.DUMMYFUNCTION("GOOGLETRANSLATE(F53,""en"",""th"")"),"เรือมีน้ำหนักเบากว่ามากและเร็วกว่ามาก")</f>
        <v>เรือมีน้ำหนักเบากว่ามากและเร็วกว่ามาก</v>
      </c>
      <c r="S53" s="6" t="str">
        <f>IFERROR(__xludf.DUMMYFUNCTION("GOOGLETRANSLATE(G53,""en"",""th"")"),"เรือจะหนักและช้ากว่ามาก")</f>
        <v>เรือจะหนักและช้ากว่ามาก</v>
      </c>
      <c r="T53" s="6" t="s">
        <v>599</v>
      </c>
      <c r="U53" s="6" t="str">
        <f>IFERROR(__xludf.DUMMYFUNCTION("GOOGLETRANSLATE(I53,""en"",""th"")"),"เรือจะหนักและช้ากว่ามาก")</f>
        <v>เรือจะหนักและช้ากว่ามาก</v>
      </c>
      <c r="V53" s="6" t="str">
        <f>IFERROR(__xludf.DUMMYFUNCTION("GOOGLETRANSLATE(J53,""en"",""th"")"),"เรือจะเป็นเรือยางที่ออกแบบมาเพื่อการทรงตัวและความปลอดภัย ไม่ได้ออกแบบมาเพื่อความเร็ว ซึ่งแตกต่างจากเรือแก่งเรือที่ยาวและเร็วเป็นหลัก")</f>
        <v>เรือจะเป็นเรือยางที่ออกแบบมาเพื่อการทรงตัวและความปลอดภัย ไม่ได้ออกแบบมาเพื่อความเร็ว ซึ่งแตกต่างจากเรือแก่งเรือที่ยาวและเร็วเป็นหลัก</v>
      </c>
    </row>
    <row r="54" ht="22.5" customHeight="1">
      <c r="A54" s="4" t="s">
        <v>631</v>
      </c>
      <c r="B54" s="5">
        <v>53.0</v>
      </c>
      <c r="C54" s="4" t="s">
        <v>637</v>
      </c>
      <c r="D54" s="4" t="s">
        <v>638</v>
      </c>
      <c r="E54" s="4" t="s">
        <v>639</v>
      </c>
      <c r="F54" s="4" t="s">
        <v>640</v>
      </c>
      <c r="G54" s="4" t="s">
        <v>641</v>
      </c>
      <c r="H54" s="4" t="s">
        <v>642</v>
      </c>
      <c r="I54" s="4" t="s">
        <v>640</v>
      </c>
      <c r="J54" s="4" t="s">
        <v>643</v>
      </c>
      <c r="M54" s="4" t="s">
        <v>631</v>
      </c>
      <c r="N54" s="5">
        <v>53.0</v>
      </c>
      <c r="O54" s="6" t="str">
        <f>IFERROR(__xludf.DUMMYFUNCTION("GOOGLETRANSLATE(C54,""en"",""th"")"),"หมวกกันน็อคและเสื้อชูชีพมีไว้เพื่ออะไร?")</f>
        <v>หมวกกันน็อคและเสื้อชูชีพมีไว้เพื่ออะไร?</v>
      </c>
      <c r="P54" s="6" t="str">
        <f>IFERROR(__xludf.DUMMYFUNCTION("GOOGLETRANSLATE(D54,""en"",""th"")"),"เพื่อให้ผู้พายเรือดูเป็นมืออาชีพ")</f>
        <v>เพื่อให้ผู้พายเรือดูเป็นมืออาชีพ</v>
      </c>
      <c r="Q54" s="6" t="str">
        <f>IFERROR(__xludf.DUMMYFUNCTION("GOOGLETRANSLATE(E54,""en"",""th"")"),"เพื่อให้ผู้พายเรือรู้สึกอบอุ่น")</f>
        <v>เพื่อให้ผู้พายเรือรู้สึกอบอุ่น</v>
      </c>
      <c r="R54" s="6" t="str">
        <f>IFERROR(__xludf.DUMMYFUNCTION("GOOGLETRANSLATE(F54,""en"",""th"")"),"เพื่อความปลอดภัยของผู้เข้าร่วมงาน")</f>
        <v>เพื่อความปลอดภัยของผู้เข้าร่วมงาน</v>
      </c>
      <c r="S54" s="6" t="str">
        <f>IFERROR(__xludf.DUMMYFUNCTION("GOOGLETRANSLATE(G54,""en"",""th"")"),"เพื่อระบุทีม")</f>
        <v>เพื่อระบุทีม</v>
      </c>
      <c r="T54" s="6" t="s">
        <v>644</v>
      </c>
      <c r="U54" s="6" t="str">
        <f>IFERROR(__xludf.DUMMYFUNCTION("GOOGLETRANSLATE(I54,""en"",""th"")"),"เพื่อความปลอดภัยของผู้เข้าร่วมงาน")</f>
        <v>เพื่อความปลอดภัยของผู้เข้าร่วมงาน</v>
      </c>
      <c r="V54" s="6" t="str">
        <f>IFERROR(__xludf.DUMMYFUNCTION("GOOGLETRANSLATE(J54,""en"",""th"")"),"หมวกกันน็อคและเสื้อชูชีพเป็นอุปกรณ์ด้านความปลอดภัยที่จำเป็นสำหรับการล่องแก่ง เนื่องจากจะช่วยปกป้องผู้เข้าร่วมจากการบาดเจ็บร้ายแรงในกรณีที่เกิดการชนกันหรือพลิกคว่ำ")</f>
        <v>หมวกกันน็อคและเสื้อชูชีพเป็นอุปกรณ์ด้านความปลอดภัยที่จำเป็นสำหรับการล่องแก่ง เนื่องจากจะช่วยปกป้องผู้เข้าร่วมจากการบาดเจ็บร้ายแรงในกรณีที่เกิดการชนกันหรือพลิกคว่ำ</v>
      </c>
    </row>
    <row r="55" ht="22.5" customHeight="1">
      <c r="A55" s="4" t="s">
        <v>631</v>
      </c>
      <c r="B55" s="5">
        <v>54.0</v>
      </c>
      <c r="C55" s="4" t="s">
        <v>645</v>
      </c>
      <c r="D55" s="4" t="s">
        <v>646</v>
      </c>
      <c r="E55" s="4" t="s">
        <v>647</v>
      </c>
      <c r="F55" s="4" t="s">
        <v>648</v>
      </c>
      <c r="G55" s="4" t="s">
        <v>649</v>
      </c>
      <c r="H55" s="4" t="s">
        <v>650</v>
      </c>
      <c r="I55" s="4" t="s">
        <v>647</v>
      </c>
      <c r="J55" s="4" t="s">
        <v>651</v>
      </c>
      <c r="M55" s="4" t="s">
        <v>631</v>
      </c>
      <c r="N55" s="5">
        <v>54.0</v>
      </c>
      <c r="O55" s="6" t="str">
        <f>IFERROR(__xludf.DUMMYFUNCTION("GOOGLETRANSLATE(C55,""en"",""th"")"),"นักพายเรืออยู่ในสภาพแวดล้อมประเภทใด?")</f>
        <v>นักพายเรืออยู่ในสภาพแวดล้อมประเภทใด?</v>
      </c>
      <c r="P55" s="6" t="str">
        <f>IFERROR(__xludf.DUMMYFUNCTION("GOOGLETRANSLATE(D55,""en"",""th"")"),"ทะเลสาบที่เงียบสงบและเปิดกว้าง")</f>
        <v>ทะเลสาบที่เงียบสงบและเปิดกว้าง</v>
      </c>
      <c r="Q55" s="6" t="str">
        <f>IFERROR(__xludf.DUMMYFUNCTION("GOOGLETRANSLATE(E55,""en"",""th"")"),"แม่น้ำที่มีกระแสน้ำเชี่ยวและมีแก่งน้ำมาก")</f>
        <v>แม่น้ำที่มีกระแสน้ำเชี่ยวและมีแก่งน้ำมาก</v>
      </c>
      <c r="R55" s="6" t="str">
        <f>IFERROR(__xludf.DUMMYFUNCTION("GOOGLETRANSLATE(F55,""en"",""th"")"),"แม่น้ำที่ไหลช้าๆ")</f>
        <v>แม่น้ำที่ไหลช้าๆ</v>
      </c>
      <c r="S55" s="6" t="str">
        <f>IFERROR(__xludf.DUMMYFUNCTION("GOOGLETRANSLATE(G55,""en"",""th"")"),"คลองที่มนุษย์สร้างขึ้น")</f>
        <v>คลองที่มนุษย์สร้างขึ้น</v>
      </c>
      <c r="T55" s="6" t="s">
        <v>652</v>
      </c>
      <c r="U55" s="6" t="str">
        <f>IFERROR(__xludf.DUMMYFUNCTION("GOOGLETRANSLATE(I55,""en"",""th"")"),"แม่น้ำที่มีกระแสน้ำเชี่ยวและมีแก่งน้ำมาก")</f>
        <v>แม่น้ำที่มีกระแสน้ำเชี่ยวและมีแก่งน้ำมาก</v>
      </c>
      <c r="V55" s="6" t="str">
        <f>IFERROR(__xludf.DUMMYFUNCTION("GOOGLETRANSLATE(J55,""en"",""th"")"),"น้ำสีขาวที่ขรุขระและน้ำกระเซ็นรอบๆ เรือบ่งบอกว่านักพายกำลังอยู่ในแม่น้ำที่มีน้ำเชี่ยวแรง")</f>
        <v>น้ำสีขาวที่ขรุขระและน้ำกระเซ็นรอบๆ เรือบ่งบอกว่านักพายกำลังอยู่ในแม่น้ำที่มีน้ำเชี่ยวแรง</v>
      </c>
    </row>
    <row r="56" ht="22.5" customHeight="1">
      <c r="A56" s="4" t="s">
        <v>631</v>
      </c>
      <c r="B56" s="5">
        <v>55.0</v>
      </c>
      <c r="C56" s="4" t="s">
        <v>154</v>
      </c>
      <c r="D56" s="4" t="s">
        <v>155</v>
      </c>
      <c r="E56" s="4" t="s">
        <v>156</v>
      </c>
      <c r="F56" s="4" t="s">
        <v>157</v>
      </c>
      <c r="G56" s="4" t="s">
        <v>127</v>
      </c>
      <c r="H56" s="4" t="s">
        <v>158</v>
      </c>
      <c r="I56" s="4" t="s">
        <v>125</v>
      </c>
      <c r="J56" s="4" t="s">
        <v>653</v>
      </c>
      <c r="M56" s="4" t="s">
        <v>631</v>
      </c>
      <c r="N56" s="5">
        <v>55.0</v>
      </c>
      <c r="O56" s="6" t="str">
        <f>IFERROR(__xludf.DUMMYFUNCTION("GOOGLETRANSLATE(C56,""en"",""th"")"),"บรรยากาศโดยรวมของภาพเป็นอย่างไร?")</f>
        <v>บรรยากาศโดยรวมของภาพเป็นอย่างไร?</v>
      </c>
      <c r="P56" s="6" t="str">
        <f>IFERROR(__xludf.DUMMYFUNCTION("GOOGLETRANSLATE(D56,""en"",""th"")"),"แบบสนุกสนานรื่นเริง")</f>
        <v>แบบสนุกสนานรื่นเริง</v>
      </c>
      <c r="Q56" s="6" t="str">
        <f>IFERROR(__xludf.DUMMYFUNCTION("GOOGLETRANSLATE(E56,""en"",""th"")"),"เป็นเรื่องที่จริงจังและตึงเครียด")</f>
        <v>เป็นเรื่องที่จริงจังและตึงเครียด</v>
      </c>
      <c r="R56" s="6" t="str">
        <f>IFERROR(__xludf.DUMMYFUNCTION("GOOGLETRANSLATE(F56,""en"",""th"")"),"เป็นบรรยากาศเงียบสงบและเศร้าหมอง")</f>
        <v>เป็นบรรยากาศเงียบสงบและเศร้าหมอง</v>
      </c>
      <c r="S56" s="6" t="str">
        <f>IFERROR(__xludf.DUMMYFUNCTION("GOOGLETRANSLATE(G56,""en"",""th"")"),"แบบสบายๆ และผ่อนคลาย")</f>
        <v>แบบสบายๆ และผ่อนคลาย</v>
      </c>
      <c r="T56" s="6" t="s">
        <v>160</v>
      </c>
      <c r="U56" s="6" t="str">
        <f>IFERROR(__xludf.DUMMYFUNCTION("GOOGLETRANSLATE(I56,""en"",""th"")"),"แบบตึงเครียดและมีสมาธิ")</f>
        <v>แบบตึงเครียดและมีสมาธิ</v>
      </c>
      <c r="V56" s="6" t="str">
        <f>IFERROR(__xludf.DUMMYFUNCTION("GOOGLETRANSLATE(J56,""en"",""th"")"),"การแสดงออกที่มุ่งมั่นของนักพายเรือ น้ำที่ไหลเชี่ยว และน้ำกระเซ็นรอบเรือ ล้วนสร้างบรรยากาศที่ตึงเครียดและมีสมาธิ")</f>
        <v>การแสดงออกที่มุ่งมั่นของนักพายเรือ น้ำที่ไหลเชี่ยว และน้ำกระเซ็นรอบเรือ ล้วนสร้างบรรยากาศที่ตึงเครียดและมีสมาธิ</v>
      </c>
    </row>
    <row r="57" ht="22.5" customHeight="1">
      <c r="A57" s="4" t="s">
        <v>654</v>
      </c>
      <c r="B57" s="5">
        <v>56.0</v>
      </c>
      <c r="C57" s="4" t="s">
        <v>366</v>
      </c>
      <c r="D57" s="4" t="s">
        <v>531</v>
      </c>
      <c r="E57" s="4" t="s">
        <v>532</v>
      </c>
      <c r="F57" s="4" t="s">
        <v>533</v>
      </c>
      <c r="G57" s="4" t="s">
        <v>534</v>
      </c>
      <c r="H57" s="4" t="s">
        <v>535</v>
      </c>
      <c r="I57" s="4" t="s">
        <v>531</v>
      </c>
      <c r="J57" s="4" t="s">
        <v>536</v>
      </c>
      <c r="M57" s="4" t="s">
        <v>654</v>
      </c>
      <c r="N57" s="5">
        <v>56.0</v>
      </c>
      <c r="O57" s="6" t="str">
        <f>IFERROR(__xludf.DUMMYFUNCTION("GOOGLETRANSLATE(C57,""en"",""th"")"),"เหตุการณ์หลักที่แสดงในภาพคืออะไร?")</f>
        <v>เหตุการณ์หลักที่แสดงในภาพคืออะไร?</v>
      </c>
      <c r="P57" s="6" t="str">
        <f>IFERROR(__xludf.DUMMYFUNCTION("GOOGLETRANSLATE(D57,""en"",""th"")"),"การแข่งขันเรือยาว")</f>
        <v>การแข่งขันเรือยาว</v>
      </c>
      <c r="Q57" s="6" t="str">
        <f>IFERROR(__xludf.DUMMYFUNCTION("GOOGLETRANSLATE(E57,""en"",""th"")"),"การฝึกซ้อมก่อนการแข่งขัน")</f>
        <v>การฝึกซ้อมก่อนการแข่งขัน</v>
      </c>
      <c r="R57" s="6" t="str">
        <f>IFERROR(__xludf.DUMMYFUNCTION("GOOGLETRANSLATE(F57,""en"",""th"")"),"ทริปล่องเรือพักผ่อน")</f>
        <v>ทริปล่องเรือพักผ่อน</v>
      </c>
      <c r="S57" s="6" t="str">
        <f>IFERROR(__xludf.DUMMYFUNCTION("GOOGLETRANSLATE(G57,""en"",""th"")"),"ขบวนแห่ริมแม่น้ำ")</f>
        <v>ขบวนแห่ริมแม่น้ำ</v>
      </c>
      <c r="T57" s="6" t="s">
        <v>537</v>
      </c>
      <c r="U57" s="6" t="str">
        <f>IFERROR(__xludf.DUMMYFUNCTION("GOOGLETRANSLATE(I57,""en"",""th"")"),"การแข่งขันเรือยาว")</f>
        <v>การแข่งขันเรือยาว</v>
      </c>
      <c r="V57" s="6" t="str">
        <f>IFERROR(__xludf.DUMMYFUNCTION("GOOGLETRANSLATE(J57,""en"",""th"")"),"ภาพดังกล่าวแสดงให้เห็นทีมต่างๆ หลายทีมอยู่ในเรือของพวกเขา พร้อมด้วยเจ้าหน้าที่และป้ายแบนเนอร์ ซึ่งบ่งชี้ถึงการแข่งขันเรืออย่างเป็นทางการขนาดใหญ่")</f>
        <v>ภาพดังกล่าวแสดงให้เห็นทีมต่างๆ หลายทีมอยู่ในเรือของพวกเขา พร้อมด้วยเจ้าหน้าที่และป้ายแบนเนอร์ ซึ่งบ่งชี้ถึงการแข่งขันเรืออย่างเป็นทางการขนาดใหญ่</v>
      </c>
    </row>
    <row r="58" ht="22.5" customHeight="1">
      <c r="A58" s="4" t="s">
        <v>654</v>
      </c>
      <c r="B58" s="5">
        <v>57.0</v>
      </c>
      <c r="C58" s="4" t="s">
        <v>380</v>
      </c>
      <c r="D58" s="4" t="s">
        <v>546</v>
      </c>
      <c r="E58" s="4" t="s">
        <v>547</v>
      </c>
      <c r="F58" s="4" t="s">
        <v>548</v>
      </c>
      <c r="G58" s="4" t="s">
        <v>549</v>
      </c>
      <c r="H58" s="4" t="s">
        <v>550</v>
      </c>
      <c r="I58" s="4" t="s">
        <v>547</v>
      </c>
      <c r="J58" s="4" t="s">
        <v>386</v>
      </c>
      <c r="M58" s="4" t="s">
        <v>654</v>
      </c>
      <c r="N58" s="5">
        <v>57.0</v>
      </c>
      <c r="O58" s="6" t="str">
        <f>IFERROR(__xludf.DUMMYFUNCTION("GOOGLETRANSLATE(C58,""en"",""th"")"),"ลักษณะเด่นของการออกแบบเรือคืออะไร?")</f>
        <v>ลักษณะเด่นของการออกแบบเรือคืออะไร?</v>
      </c>
      <c r="P58" s="6" t="str">
        <f>IFERROR(__xludf.DUMMYFUNCTION("GOOGLETRANSLATE(D58,""en"",""th"")"),"พวกมันมีสีเหมือนกันหมด")</f>
        <v>พวกมันมีสีเหมือนกันหมด</v>
      </c>
      <c r="Q58" s="6" t="str">
        <f>IFERROR(__xludf.DUMMYFUNCTION("GOOGLETRANSLATE(E58,""en"",""th"")"),"มีการวาดลวดลายมังกรไว้ทั้งหมด")</f>
        <v>มีการวาดลวดลายมังกรไว้ทั้งหมด</v>
      </c>
      <c r="R58" s="6" t="str">
        <f>IFERROR(__xludf.DUMMYFUNCTION("GOOGLETRANSLATE(F58,""en"",""th"")"),"มันมีขนาดที่แตกต่างกันออกไป")</f>
        <v>มันมีขนาดที่แตกต่างกันออกไป</v>
      </c>
      <c r="S58" s="6" t="str">
        <f>IFERROR(__xludf.DUMMYFUNCTION("GOOGLETRANSLATE(G58,""en"",""th"")"),"พวกมันมีหัวที่เรียบง่ายและมีสีต่างกัน")</f>
        <v>พวกมันมีหัวที่เรียบง่ายและมีสีต่างกัน</v>
      </c>
      <c r="T58" s="6" t="s">
        <v>552</v>
      </c>
      <c r="U58" s="6" t="str">
        <f>IFERROR(__xludf.DUMMYFUNCTION("GOOGLETRANSLATE(I58,""en"",""th"")"),"มีการวาดลวดลายมังกรไว้ทั้งหมด")</f>
        <v>มีการวาดลวดลายมังกรไว้ทั้งหมด</v>
      </c>
      <c r="V58" s="6" t="str">
        <f>IFERROR(__xludf.DUMMYFUNCTION("GOOGLETRANSLATE(J58,""en"",""th"")"),"เรือมีการแกะสลักและทาสีหัวมังกรอย่างประณีตที่ด้านหน้าและหางที่ด้านหลัง ซึ่งเป็นคุณลักษณะแบบดั้งเดิมและพิธีกรรมของเรือเหล่านี้")</f>
        <v>เรือมีการแกะสลักและทาสีหัวมังกรอย่างประณีตที่ด้านหน้าและหางที่ด้านหลัง ซึ่งเป็นคุณลักษณะแบบดั้งเดิมและพิธีกรรมของเรือเหล่านี้</v>
      </c>
    </row>
    <row r="59" ht="22.5" customHeight="1">
      <c r="A59" s="4" t="s">
        <v>654</v>
      </c>
      <c r="B59" s="5">
        <v>58.0</v>
      </c>
      <c r="C59" s="4" t="s">
        <v>396</v>
      </c>
      <c r="D59" s="4" t="s">
        <v>397</v>
      </c>
      <c r="E59" s="4" t="s">
        <v>398</v>
      </c>
      <c r="F59" s="4" t="s">
        <v>399</v>
      </c>
      <c r="G59" s="4" t="s">
        <v>400</v>
      </c>
      <c r="H59" s="4" t="s">
        <v>401</v>
      </c>
      <c r="I59" s="4" t="s">
        <v>398</v>
      </c>
      <c r="J59" s="4" t="s">
        <v>402</v>
      </c>
      <c r="M59" s="4" t="s">
        <v>654</v>
      </c>
      <c r="N59" s="5">
        <v>58.0</v>
      </c>
      <c r="O59" s="6" t="str">
        <f>IFERROR(__xludf.DUMMYFUNCTION("GOOGLETRANSLATE(C59,""en"",""th"")"),"ความพยายามอันเข้มข้นของนักพายเรือบ่งบอกอะไรเกี่ยวกับการแข่งขัน?")</f>
        <v>ความพยายามอันเข้มข้นของนักพายเรือบ่งบอกอะไรเกี่ยวกับการแข่งขัน?</v>
      </c>
      <c r="P59" s="6" t="str">
        <f>IFERROR(__xludf.DUMMYFUNCTION("GOOGLETRANSLATE(D59,""en"",""th"")"),"เป็นกิจกรรมยามว่าง")</f>
        <v>เป็นกิจกรรมยามว่าง</v>
      </c>
      <c r="Q59" s="6" t="str">
        <f>IFERROR(__xludf.DUMMYFUNCTION("GOOGLETRANSLATE(E59,""en"",""th"")"),"มันเป็นกีฬาที่มีการแข่งขันสูงและต้องใช้กำลังกายมาก")</f>
        <v>มันเป็นกีฬาที่มีการแข่งขันสูงและต้องใช้กำลังกายมาก</v>
      </c>
      <c r="R59" s="6" t="str">
        <f>IFERROR(__xludf.DUMMYFUNCTION("GOOGLETRANSLATE(F59,""en"",""th"")"),"เป็นขบวนแห่แบบช้าๆ ตามพิธีกรรม")</f>
        <v>เป็นขบวนแห่แบบช้าๆ ตามพิธีกรรม</v>
      </c>
      <c r="S59" s="6" t="str">
        <f>IFERROR(__xludf.DUMMYFUNCTION("GOOGLETRANSLATE(G59,""en"",""th"")"),"เป็นกิจกรรมเสริมสร้างการทำงานเป็นทีม")</f>
        <v>เป็นกิจกรรมเสริมสร้างการทำงานเป็นทีม</v>
      </c>
      <c r="T59" s="6" t="s">
        <v>403</v>
      </c>
      <c r="U59" s="6" t="str">
        <f>IFERROR(__xludf.DUMMYFUNCTION("GOOGLETRANSLATE(I59,""en"",""th"")"),"มันเป็นกีฬาที่มีการแข่งขันสูงและต้องใช้กำลังกายมาก")</f>
        <v>มันเป็นกีฬาที่มีการแข่งขันสูงและต้องใช้กำลังกายมาก</v>
      </c>
      <c r="V59" s="6" t="str">
        <f>IFERROR(__xludf.DUMMYFUNCTION("GOOGLETRANSLATE(J59,""en"",""th"")"),"การพายที่ทรงพลัง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f>
        <v>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v>
      </c>
    </row>
    <row r="60" ht="22.5" customHeight="1">
      <c r="A60" s="4" t="s">
        <v>654</v>
      </c>
      <c r="B60" s="5">
        <v>59.0</v>
      </c>
      <c r="C60" s="4" t="s">
        <v>528</v>
      </c>
      <c r="D60" s="4" t="s">
        <v>413</v>
      </c>
      <c r="E60" s="4" t="s">
        <v>414</v>
      </c>
      <c r="F60" s="4" t="s">
        <v>415</v>
      </c>
      <c r="G60" s="4" t="s">
        <v>416</v>
      </c>
      <c r="H60" s="4" t="s">
        <v>417</v>
      </c>
      <c r="I60" s="4" t="s">
        <v>414</v>
      </c>
      <c r="J60" s="4" t="s">
        <v>529</v>
      </c>
      <c r="M60" s="4" t="s">
        <v>654</v>
      </c>
      <c r="N60" s="5">
        <v>59.0</v>
      </c>
      <c r="O60" s="6" t="str">
        <f>IFERROR(__xludf.DUMMYFUNCTION("GOOGLETRANSLATE(C60,""en"",""th"")"),"คนที่ตีกลองใหญ่ในเรือมีจุดประสงค์อะไร?")</f>
        <v>คนที่ตีกลองใหญ่ในเรือมีจุดประสงค์อะไร?</v>
      </c>
      <c r="P60" s="6" t="str">
        <f>IFERROR(__xludf.DUMMYFUNCTION("GOOGLETRANSLATE(D60,""en"",""th"")"),"เพื่อสร้างความบันเทิงให้กับฝูงชน")</f>
        <v>เพื่อสร้างความบันเทิงให้กับฝูงชน</v>
      </c>
      <c r="Q60" s="6" t="str">
        <f>IFERROR(__xludf.DUMMYFUNCTION("GOOGLETRANSLATE(E60,""en"",""th"")"),"เพื่อรักษาเวลาและจังหวะการพายของนักพายให้ตรงกัน")</f>
        <v>เพื่อรักษาเวลาและจังหวะการพายของนักพายให้ตรงกัน</v>
      </c>
      <c r="R60" s="6" t="str">
        <f>IFERROR(__xludf.DUMMYFUNCTION("GOOGLETRANSLATE(F60,""en"",""th"")"),"เพื่อเป็นสัญญาณเริ่มต้นการแข่งขัน")</f>
        <v>เพื่อเป็นสัญญาณเริ่มต้นการแข่งขัน</v>
      </c>
      <c r="S60" s="6" t="str">
        <f>IFERROR(__xludf.DUMMYFUNCTION("GOOGLETRANSLATE(G60,""en"",""th"")"),"การบังคับเรือ")</f>
        <v>การบังคับเรือ</v>
      </c>
      <c r="T60" s="6" t="s">
        <v>419</v>
      </c>
      <c r="U60" s="6" t="str">
        <f>IFERROR(__xludf.DUMMYFUNCTION("GOOGLETRANSLATE(I60,""en"",""th"")"),"เพื่อรักษาเวลาและจังหวะการพายของนักพายให้ตรงกัน")</f>
        <v>เพื่อรักษาเวลาและจังหวะการพายของนักพายให้ตรงกัน</v>
      </c>
      <c r="V60" s="6" t="str">
        <f>IFERROR(__xludf.DUMMYFUNCTION("GOOGLETRANSLATE(J60,""en"",""th"")"),"บทบาทหลักของมือกลองคือการกำหนดจังหวะที่คงที่ให้กับนักพายเรือ โดยให้แน่ใจว่าจังหวะการตีกลองของทั้งทีมสอดประสานกันเพื่อความเร็วและประสิทธิภาพสูงสุด")</f>
        <v>บทบาทหลักของมือกลองคือการกำหนดจังหวะที่คงที่ให้กับนักพายเรือ โดยให้แน่ใจว่าจังหวะการตีกลองของทั้งทีมสอดประสานกันเพื่อความเร็วและประสิทธิภาพสูงสุด</v>
      </c>
    </row>
    <row r="61" ht="22.5" customHeight="1">
      <c r="A61" s="4" t="s">
        <v>654</v>
      </c>
      <c r="B61" s="5">
        <v>60.0</v>
      </c>
      <c r="C61" s="4" t="s">
        <v>655</v>
      </c>
      <c r="D61" s="4" t="s">
        <v>463</v>
      </c>
      <c r="E61" s="4" t="s">
        <v>464</v>
      </c>
      <c r="F61" s="4" t="s">
        <v>465</v>
      </c>
      <c r="G61" s="4" t="s">
        <v>466</v>
      </c>
      <c r="H61" s="4" t="s">
        <v>467</v>
      </c>
      <c r="I61" s="4" t="s">
        <v>465</v>
      </c>
      <c r="J61" s="4" t="s">
        <v>468</v>
      </c>
      <c r="M61" s="4" t="s">
        <v>654</v>
      </c>
      <c r="N61" s="5">
        <v>60.0</v>
      </c>
      <c r="O61" s="6" t="str">
        <f>IFERROR(__xludf.DUMMYFUNCTION("GOOGLETRANSLATE(C61,""en"",""th"")"),"อะไรคือกุญแจสำคัญในการชนะการแข่งขันเรือ?")</f>
        <v>อะไรคือกุญแจสำคัญในการชนะการแข่งขันเรือ?</v>
      </c>
      <c r="P61" s="6" t="str">
        <f>IFERROR(__xludf.DUMMYFUNCTION("GOOGLETRANSLATE(D61,""en"",""th"")"),"ความแข็งแกร่งของนักพายเรือแต่ละคน")</f>
        <v>ความแข็งแกร่งของนักพายเรือแต่ละคน</v>
      </c>
      <c r="Q61" s="6" t="str">
        <f>IFERROR(__xludf.DUMMYFUNCTION("GOOGLETRANSLATE(E61,""en"",""th"")"),"การออกแบบเรือ")</f>
        <v>การออกแบบเรือ</v>
      </c>
      <c r="R61" s="6" t="str">
        <f>IFERROR(__xludf.DUMMYFUNCTION("GOOGLETRANSLATE(F61,""en"",""th"")"),"การประสานกันอย่างลงตัวของนักพาย")</f>
        <v>การประสานกันอย่างลงตัวของนักพาย</v>
      </c>
      <c r="S61" s="6" t="str">
        <f>IFERROR(__xludf.DUMMYFUNCTION("GOOGLETRANSLATE(G61,""en"",""th"")"),"สภาพอากาศ")</f>
        <v>สภาพอากาศ</v>
      </c>
      <c r="T61" s="6" t="s">
        <v>469</v>
      </c>
      <c r="U61" s="6" t="str">
        <f>IFERROR(__xludf.DUMMYFUNCTION("GOOGLETRANSLATE(I61,""en"",""th"")"),"การประสานกันอย่างลงตัวของนักพาย")</f>
        <v>การประสานกันอย่างลงตัวของนักพาย</v>
      </c>
      <c r="V61" s="6" t="str">
        <f>IFERROR(__xludf.DUMMYFUNCTION("GOOGLETRANSLATE(J61,""en"",""th"")"),"ภาพนี้เน้นย้ำถึงการพายเรืออย่างสอดประสานของทีม ซึ่งเป็นองค์ประกอบที่สำคัญที่สุดในการสร้างพลังที่จำเป็นในการชนะการแข่งขัน")</f>
        <v>ภาพนี้เน้นย้ำถึงการพายเรืออย่างสอดประสานของทีม ซึ่งเป็นองค์ประกอบที่สำคัญที่สุดในการสร้างพลังที่จำเป็นในการชนะการแข่งขัน</v>
      </c>
    </row>
    <row r="62" ht="22.5" customHeight="1">
      <c r="A62" s="4" t="s">
        <v>656</v>
      </c>
      <c r="B62" s="5">
        <v>61.0</v>
      </c>
      <c r="C62" s="4" t="s">
        <v>21</v>
      </c>
      <c r="D62" s="4" t="s">
        <v>531</v>
      </c>
      <c r="E62" s="4" t="s">
        <v>532</v>
      </c>
      <c r="F62" s="4" t="s">
        <v>533</v>
      </c>
      <c r="G62" s="4" t="s">
        <v>534</v>
      </c>
      <c r="H62" s="4" t="s">
        <v>535</v>
      </c>
      <c r="I62" s="4" t="s">
        <v>531</v>
      </c>
      <c r="J62" s="4" t="s">
        <v>657</v>
      </c>
      <c r="M62" s="4" t="s">
        <v>656</v>
      </c>
      <c r="N62" s="5">
        <v>61.0</v>
      </c>
      <c r="O62" s="6" t="str">
        <f>IFERROR(__xludf.DUMMYFUNCTION("GOOGLETRANSLATE(C62,""en"",""th"")"),"ภาพที่แสดงเป็นกิจกรรมหลักอะไร?")</f>
        <v>ภาพที่แสดงเป็นกิจกรรมหลักอะไร?</v>
      </c>
      <c r="P62" s="6" t="str">
        <f>IFERROR(__xludf.DUMMYFUNCTION("GOOGLETRANSLATE(D62,""en"",""th"")"),"การแข่งขันเรือยาว")</f>
        <v>การแข่งขันเรือยาว</v>
      </c>
      <c r="Q62" s="6" t="str">
        <f>IFERROR(__xludf.DUMMYFUNCTION("GOOGLETRANSLATE(E62,""en"",""th"")"),"การฝึกซ้อมก่อนการแข่งขัน")</f>
        <v>การฝึกซ้อมก่อนการแข่งขัน</v>
      </c>
      <c r="R62" s="6" t="str">
        <f>IFERROR(__xludf.DUMMYFUNCTION("GOOGLETRANSLATE(F62,""en"",""th"")"),"ทริปล่องเรือพักผ่อน")</f>
        <v>ทริปล่องเรือพักผ่อน</v>
      </c>
      <c r="S62" s="6" t="str">
        <f>IFERROR(__xludf.DUMMYFUNCTION("GOOGLETRANSLATE(G62,""en"",""th"")"),"ขบวนแห่ริมแม่น้ำ")</f>
        <v>ขบวนแห่ริมแม่น้ำ</v>
      </c>
      <c r="T62" s="6" t="s">
        <v>537</v>
      </c>
      <c r="U62" s="6" t="str">
        <f>IFERROR(__xludf.DUMMYFUNCTION("GOOGLETRANSLATE(I62,""en"",""th"")"),"การแข่งขันเรือยาว")</f>
        <v>การแข่งขันเรือยาว</v>
      </c>
      <c r="V62" s="6" t="str">
        <f>IFERROR(__xludf.DUMMYFUNCTION("GOOGLETRANSLATE(J62,""en"",""th"")"),"ภาพนี้แสดงให้เห็นเรือลำยาวที่มีทีมฝีพายและผู้ชายอยู่ที่หัวเรือ ซึ่งเป็นตัวบ่งชี้ที่ชัดเจนของการแข่งขันเรือ")</f>
        <v>ภาพนี้แสดงให้เห็นเรือลำยาวที่มีทีมฝีพายและผู้ชายอยู่ที่หัวเรือ ซึ่งเป็นตัวบ่งชี้ที่ชัดเจนของการแข่งขันเรือ</v>
      </c>
    </row>
    <row r="63" ht="22.5" customHeight="1">
      <c r="A63" s="4" t="s">
        <v>656</v>
      </c>
      <c r="B63" s="5">
        <v>62.0</v>
      </c>
      <c r="C63" s="4" t="s">
        <v>486</v>
      </c>
      <c r="D63" s="4" t="s">
        <v>487</v>
      </c>
      <c r="E63" s="4" t="s">
        <v>488</v>
      </c>
      <c r="F63" s="4" t="s">
        <v>489</v>
      </c>
      <c r="G63" s="4" t="s">
        <v>490</v>
      </c>
      <c r="H63" s="4" t="s">
        <v>491</v>
      </c>
      <c r="I63" s="4" t="s">
        <v>487</v>
      </c>
      <c r="J63" s="4" t="s">
        <v>492</v>
      </c>
      <c r="M63" s="4" t="s">
        <v>656</v>
      </c>
      <c r="N63" s="5">
        <v>62.0</v>
      </c>
      <c r="O63" s="6" t="str">
        <f>IFERROR(__xludf.DUMMYFUNCTION("GOOGLETRANSLATE(C63,""en"",""th"")"),"ลักษณะเด่นของการออกแบบเรือคืออะไร?")</f>
        <v>ลักษณะเด่นของการออกแบบเรือคืออะไร?</v>
      </c>
      <c r="P63" s="6" t="str">
        <f>IFERROR(__xludf.DUMMYFUNCTION("GOOGLETRANSLATE(D63,""en"",""th"")"),"มันยาวและแคบมาก")</f>
        <v>มันยาวและแคบมาก</v>
      </c>
      <c r="Q63" s="6" t="str">
        <f>IFERROR(__xludf.DUMMYFUNCTION("GOOGLETRANSLATE(E63,""en"",""th"")"),"มันกว้างและสั้นมาก")</f>
        <v>มันกว้างและสั้นมาก</v>
      </c>
      <c r="R63" s="6" t="str">
        <f>IFERROR(__xludf.DUMMYFUNCTION("GOOGLETRANSLATE(F63,""en"",""th"")"),"มันเป็นเรือสมัยใหม่")</f>
        <v>มันเป็นเรือสมัยใหม่</v>
      </c>
      <c r="S63" s="6" t="str">
        <f>IFERROR(__xludf.DUMMYFUNCTION("GOOGLETRANSLATE(G63,""en"",""th"")"),"มันเป็นเรือประมง.")</f>
        <v>มันเป็นเรือประมง.</v>
      </c>
      <c r="T63" s="6" t="s">
        <v>493</v>
      </c>
      <c r="U63" s="6" t="str">
        <f>IFERROR(__xludf.DUMMYFUNCTION("GOOGLETRANSLATE(I63,""en"",""th"")"),"มันยาวและแคบมาก")</f>
        <v>มันยาวและแคบมาก</v>
      </c>
      <c r="V63" s="6" t="str">
        <f>IFERROR(__xludf.DUMMYFUNCTION("GOOGLETRANSLATE(J63,""en"",""th"")"),"เรือลำนี้เป็นเรือหางยาวแบบดั้งเดิมซึ่งมีความยาวและแคบมาก ออกแบบมาให้เหมาะกับความเร็ว")</f>
        <v>เรือลำนี้เป็นเรือหางยาวแบบดั้งเดิมซึ่งมีความยาวและแคบมาก ออกแบบมาให้เหมาะกับความเร็ว</v>
      </c>
    </row>
    <row r="64" ht="22.5" customHeight="1">
      <c r="A64" s="4" t="s">
        <v>656</v>
      </c>
      <c r="B64" s="5">
        <v>63.0</v>
      </c>
      <c r="C64" s="4" t="s">
        <v>658</v>
      </c>
      <c r="D64" s="4" t="s">
        <v>413</v>
      </c>
      <c r="E64" s="4" t="s">
        <v>414</v>
      </c>
      <c r="F64" s="4" t="s">
        <v>415</v>
      </c>
      <c r="G64" s="4" t="s">
        <v>416</v>
      </c>
      <c r="H64" s="4" t="s">
        <v>417</v>
      </c>
      <c r="I64" s="4" t="s">
        <v>414</v>
      </c>
      <c r="J64" s="4" t="s">
        <v>378</v>
      </c>
      <c r="M64" s="4" t="s">
        <v>656</v>
      </c>
      <c r="N64" s="5">
        <v>63.0</v>
      </c>
      <c r="O64" s="6" t="str">
        <f>IFERROR(__xludf.DUMMYFUNCTION("GOOGLETRANSLATE(C64,""en"",""th"")"),"หน้าที่ของคนที่อยู่หัวเรือสุดคือ?")</f>
        <v>หน้าที่ของคนที่อยู่หัวเรือสุดคือ?</v>
      </c>
      <c r="P64" s="6" t="str">
        <f>IFERROR(__xludf.DUMMYFUNCTION("GOOGLETRANSLATE(D64,""en"",""th"")"),"เพื่อสร้างความบันเทิงให้กับฝูงชน")</f>
        <v>เพื่อสร้างความบันเทิงให้กับฝูงชน</v>
      </c>
      <c r="Q64" s="6" t="str">
        <f>IFERROR(__xludf.DUMMYFUNCTION("GOOGLETRANSLATE(E64,""en"",""th"")"),"เพื่อรักษาเวลาและจังหวะการพายของนักพายให้ตรงกัน")</f>
        <v>เพื่อรักษาเวลาและจังหวะการพายของนักพายให้ตรงกัน</v>
      </c>
      <c r="R64" s="6" t="str">
        <f>IFERROR(__xludf.DUMMYFUNCTION("GOOGLETRANSLATE(F64,""en"",""th"")"),"เพื่อเป็นสัญญาณเริ่มต้นการแข่งขัน")</f>
        <v>เพื่อเป็นสัญญาณเริ่มต้นการแข่งขัน</v>
      </c>
      <c r="S64" s="6" t="str">
        <f>IFERROR(__xludf.DUMMYFUNCTION("GOOGLETRANSLATE(G64,""en"",""th"")"),"การบังคับเรือ")</f>
        <v>การบังคับเรือ</v>
      </c>
      <c r="T64" s="6" t="s">
        <v>419</v>
      </c>
      <c r="U64" s="6" t="str">
        <f>IFERROR(__xludf.DUMMYFUNCTION("GOOGLETRANSLATE(I64,""en"",""th"")"),"เพื่อรักษาเวลาและจังหวะการพายของนักพายให้ตรงกัน")</f>
        <v>เพื่อรักษาเวลาและจังหวะการพายของนักพายให้ตรงกัน</v>
      </c>
      <c r="V64" s="6" t="str">
        <f>IFERROR(__xludf.DUMMYFUNCTION("GOOGLETRANSLATE(J64,""en"",""th"")"),"ผู้ที่อยู่ด้านหน้าเรือจะถือไม้และอยู่ในตำแหน่งที่จะตีกลองซึ่งใช้ในการกำหนดจังหวะให้กับนักพาย")</f>
        <v>ผู้ที่อยู่ด้านหน้าเรือจะถือไม้และอยู่ในตำแหน่งที่จะตีกลองซึ่งใช้ในการกำหนดจังหวะให้กับนักพาย</v>
      </c>
    </row>
    <row r="65" ht="22.5" customHeight="1">
      <c r="A65" s="4" t="s">
        <v>656</v>
      </c>
      <c r="B65" s="5">
        <v>64.0</v>
      </c>
      <c r="C65" s="4" t="s">
        <v>659</v>
      </c>
      <c r="D65" s="4" t="s">
        <v>660</v>
      </c>
      <c r="E65" s="4" t="s">
        <v>661</v>
      </c>
      <c r="F65" s="4" t="s">
        <v>662</v>
      </c>
      <c r="G65" s="4" t="s">
        <v>663</v>
      </c>
      <c r="H65" s="4" t="s">
        <v>664</v>
      </c>
      <c r="I65" s="4" t="s">
        <v>661</v>
      </c>
      <c r="J65" s="4" t="s">
        <v>665</v>
      </c>
      <c r="M65" s="4" t="s">
        <v>656</v>
      </c>
      <c r="N65" s="5">
        <v>64.0</v>
      </c>
      <c r="O65" s="6" t="str">
        <f>IFERROR(__xludf.DUMMYFUNCTION("GOOGLETRANSLATE(C65,""en"",""th"")"),"คนที่ห้อยตัวจากเสามีจุดประสงค์อะไร?")</f>
        <v>คนที่ห้อยตัวจากเสามีจุดประสงค์อะไร?</v>
      </c>
      <c r="P65" s="6" t="str">
        <f>IFERROR(__xludf.DUMMYFUNCTION("GOOGLETRANSLATE(D65,""en"",""th"")"),"เพื่อเพิ่มน้ำหนักให้กับเรือ")</f>
        <v>เพื่อเพิ่มน้ำหนักให้กับเรือ</v>
      </c>
      <c r="Q65" s="6" t="str">
        <f>IFERROR(__xludf.DUMMYFUNCTION("GOOGLETRANSLATE(E65,""en"",""th"")"),"เพื่อประกอบพิธีการ")</f>
        <v>เพื่อประกอบพิธีการ</v>
      </c>
      <c r="R65" s="6" t="str">
        <f>IFERROR(__xludf.DUMMYFUNCTION("GOOGLETRANSLATE(F65,""en"",""th"")"),"เพื่อแสดงความสามารถของตัวเอง")</f>
        <v>เพื่อแสดงความสามารถของตัวเอง</v>
      </c>
      <c r="S65" s="6" t="str">
        <f>IFERROR(__xludf.DUMMYFUNCTION("GOOGLETRANSLATE(G65,""en"",""th"")"),"เพื่อทำให้ตัวเองเย็นลง")</f>
        <v>เพื่อทำให้ตัวเองเย็นลง</v>
      </c>
      <c r="T65" s="6" t="s">
        <v>666</v>
      </c>
      <c r="U65" s="6" t="str">
        <f>IFERROR(__xludf.DUMMYFUNCTION("GOOGLETRANSLATE(I65,""en"",""th"")"),"เพื่อประกอบพิธีการ")</f>
        <v>เพื่อประกอบพิธีการ</v>
      </c>
      <c r="V65" s="6" t="str">
        <f>IFERROR(__xludf.DUMMYFUNCTION("GOOGLETRANSLATE(J65,""en"",""th"")"),"ผู้ที่ห้อยตัวจากเสากำลังปฏิบัติพิธีกรรมซึ่งเป็นส่วนที่เป็นเอกลักษณ์และเป็นประเพณีของงานนี้")</f>
        <v>ผู้ที่ห้อยตัวจากเสากำลังปฏิบัติพิธีกรรมซึ่งเป็นส่วนที่เป็นเอกลักษณ์และเป็นประเพณีของงานนี้</v>
      </c>
    </row>
    <row r="66" ht="22.5" customHeight="1">
      <c r="A66" s="4" t="s">
        <v>656</v>
      </c>
      <c r="B66" s="5">
        <v>65.0</v>
      </c>
      <c r="C66" s="4" t="s">
        <v>154</v>
      </c>
      <c r="D66" s="4" t="s">
        <v>124</v>
      </c>
      <c r="E66" s="4" t="s">
        <v>125</v>
      </c>
      <c r="F66" s="4" t="s">
        <v>126</v>
      </c>
      <c r="G66" s="4" t="s">
        <v>127</v>
      </c>
      <c r="H66" s="4" t="s">
        <v>128</v>
      </c>
      <c r="I66" s="4" t="s">
        <v>126</v>
      </c>
      <c r="J66" s="4" t="s">
        <v>667</v>
      </c>
      <c r="M66" s="4" t="s">
        <v>656</v>
      </c>
      <c r="N66" s="5">
        <v>65.0</v>
      </c>
      <c r="O66" s="6" t="str">
        <f>IFERROR(__xludf.DUMMYFUNCTION("GOOGLETRANSLATE(C66,""en"",""th"")"),"บรรยากาศโดยรวมของภาพเป็นอย่างไร?")</f>
        <v>บรรยากาศโดยรวมของภาพเป็นอย่างไร?</v>
      </c>
      <c r="P66" s="6" t="str">
        <f>IFERROR(__xludf.DUMMYFUNCTION("GOOGLETRANSLATE(D66,""en"",""th"")"),"เป็นที่เงียบสงบและสันติ")</f>
        <v>เป็นที่เงียบสงบและสันติ</v>
      </c>
      <c r="Q66" s="6" t="str">
        <f>IFERROR(__xludf.DUMMYFUNCTION("GOOGLETRANSLATE(E66,""en"",""th"")"),"แบบตึงเครียดและมีสมาธิ")</f>
        <v>แบบตึงเครียดและมีสมาธิ</v>
      </c>
      <c r="R66" s="6" t="str">
        <f>IFERROR(__xludf.DUMMYFUNCTION("GOOGLETRANSLATE(F66,""en"",""th"")"),"แบบเฉลิมฉลองและรื่นเริง")</f>
        <v>แบบเฉลิมฉลองและรื่นเริง</v>
      </c>
      <c r="S66" s="6" t="str">
        <f>IFERROR(__xludf.DUMMYFUNCTION("GOOGLETRANSLATE(G66,""en"",""th"")"),"แบบสบายๆ และผ่อนคลาย")</f>
        <v>แบบสบายๆ และผ่อนคลาย</v>
      </c>
      <c r="T66" s="6" t="s">
        <v>130</v>
      </c>
      <c r="U66" s="6" t="str">
        <f>IFERROR(__xludf.DUMMYFUNCTION("GOOGLETRANSLATE(I66,""en"",""th"")"),"แบบเฉลิมฉลองและรื่นเริง")</f>
        <v>แบบเฉลิมฉลองและรื่นเริง</v>
      </c>
      <c r="V66" s="6" t="str">
        <f>IFERROR(__xludf.DUMMYFUNCTION("GOOGLETRANSLATE(J66,""en"",""th"")"),"ฝูงชนจำนวนมากของผู้ชม แบนเนอร์เทศกาล และพิธีการอันเป็นเอกลักษณ์ ล้วนสร้างบรรยากาศแห่งการเฉลิมฉลองและรื่นเริง")</f>
        <v>ฝูงชนจำนวนมากของผู้ชม แบนเนอร์เทศกาล และพิธีการอันเป็นเอกลักษณ์ ล้วนสร้างบรรยากาศแห่งการเฉลิมฉลองและรื่นเริง</v>
      </c>
    </row>
    <row r="67" ht="22.5" customHeight="1">
      <c r="A67" s="4" t="s">
        <v>668</v>
      </c>
      <c r="B67" s="5">
        <v>66.0</v>
      </c>
      <c r="C67" s="4" t="s">
        <v>366</v>
      </c>
      <c r="D67" s="4" t="s">
        <v>531</v>
      </c>
      <c r="E67" s="4" t="s">
        <v>532</v>
      </c>
      <c r="F67" s="4" t="s">
        <v>533</v>
      </c>
      <c r="G67" s="4" t="s">
        <v>534</v>
      </c>
      <c r="H67" s="4" t="s">
        <v>535</v>
      </c>
      <c r="I67" s="4" t="s">
        <v>531</v>
      </c>
      <c r="J67" s="4" t="s">
        <v>536</v>
      </c>
      <c r="M67" s="4" t="s">
        <v>668</v>
      </c>
      <c r="N67" s="5">
        <v>66.0</v>
      </c>
      <c r="O67" s="6" t="str">
        <f>IFERROR(__xludf.DUMMYFUNCTION("GOOGLETRANSLATE(C67,""en"",""th"")"),"เหตุการณ์หลักที่แสดงในภาพคืออะไร?")</f>
        <v>เหตุการณ์หลักที่แสดงในภาพคืออะไร?</v>
      </c>
      <c r="P67" s="6" t="str">
        <f>IFERROR(__xludf.DUMMYFUNCTION("GOOGLETRANSLATE(D67,""en"",""th"")"),"การแข่งขันเรือยาว")</f>
        <v>การแข่งขันเรือยาว</v>
      </c>
      <c r="Q67" s="6" t="str">
        <f>IFERROR(__xludf.DUMMYFUNCTION("GOOGLETRANSLATE(E67,""en"",""th"")"),"การฝึกซ้อมก่อนการแข่งขัน")</f>
        <v>การฝึกซ้อมก่อนการแข่งขัน</v>
      </c>
      <c r="R67" s="6" t="str">
        <f>IFERROR(__xludf.DUMMYFUNCTION("GOOGLETRANSLATE(F67,""en"",""th"")"),"ทริปล่องเรือพักผ่อน")</f>
        <v>ทริปล่องเรือพักผ่อน</v>
      </c>
      <c r="S67" s="6" t="str">
        <f>IFERROR(__xludf.DUMMYFUNCTION("GOOGLETRANSLATE(G67,""en"",""th"")"),"ขบวนแห่ริมแม่น้ำ")</f>
        <v>ขบวนแห่ริมแม่น้ำ</v>
      </c>
      <c r="T67" s="6" t="s">
        <v>537</v>
      </c>
      <c r="U67" s="6" t="str">
        <f>IFERROR(__xludf.DUMMYFUNCTION("GOOGLETRANSLATE(I67,""en"",""th"")"),"การแข่งขันเรือยาว")</f>
        <v>การแข่งขันเรือยาว</v>
      </c>
      <c r="V67" s="6" t="str">
        <f>IFERROR(__xludf.DUMMYFUNCTION("GOOGLETRANSLATE(J67,""en"",""th"")"),"ภาพดังกล่าวแสดงให้เห็นทีมต่างๆ หลายทีมอยู่ในเรือของพวกเขา พร้อมด้วยเจ้าหน้าที่และป้ายแบนเนอร์ ซึ่งบ่งชี้ถึงการแข่งขันเรืออย่างเป็นทางการขนาดใหญ่")</f>
        <v>ภาพดังกล่าวแสดงให้เห็นทีมต่างๆ หลายทีมอยู่ในเรือของพวกเขา พร้อมด้วยเจ้าหน้าที่และป้ายแบนเนอร์ ซึ่งบ่งชี้ถึงการแข่งขันเรืออย่างเป็นทางการขนาดใหญ่</v>
      </c>
    </row>
    <row r="68" ht="22.5" customHeight="1">
      <c r="A68" s="4" t="s">
        <v>668</v>
      </c>
      <c r="B68" s="5">
        <v>67.0</v>
      </c>
      <c r="C68" s="4" t="s">
        <v>380</v>
      </c>
      <c r="D68" s="4" t="s">
        <v>546</v>
      </c>
      <c r="E68" s="4" t="s">
        <v>547</v>
      </c>
      <c r="F68" s="4" t="s">
        <v>548</v>
      </c>
      <c r="G68" s="4" t="s">
        <v>549</v>
      </c>
      <c r="H68" s="4" t="s">
        <v>550</v>
      </c>
      <c r="I68" s="4" t="s">
        <v>549</v>
      </c>
      <c r="J68" s="4" t="s">
        <v>551</v>
      </c>
      <c r="M68" s="4" t="s">
        <v>668</v>
      </c>
      <c r="N68" s="5">
        <v>67.0</v>
      </c>
      <c r="O68" s="6" t="str">
        <f>IFERROR(__xludf.DUMMYFUNCTION("GOOGLETRANSLATE(C68,""en"",""th"")"),"ลักษณะเด่นของการออกแบบเรือคืออะไร?")</f>
        <v>ลักษณะเด่นของการออกแบบเรือคืออะไร?</v>
      </c>
      <c r="P68" s="6" t="str">
        <f>IFERROR(__xludf.DUMMYFUNCTION("GOOGLETRANSLATE(D68,""en"",""th"")"),"พวกมันมีสีเหมือนกันหมด")</f>
        <v>พวกมันมีสีเหมือนกันหมด</v>
      </c>
      <c r="Q68" s="6" t="str">
        <f>IFERROR(__xludf.DUMMYFUNCTION("GOOGLETRANSLATE(E68,""en"",""th"")"),"มีการวาดลวดลายมังกรไว้ทั้งหมด")</f>
        <v>มีการวาดลวดลายมังกรไว้ทั้งหมด</v>
      </c>
      <c r="R68" s="6" t="str">
        <f>IFERROR(__xludf.DUMMYFUNCTION("GOOGLETRANSLATE(F68,""en"",""th"")"),"มันมีขนาดที่แตกต่างกันออกไป")</f>
        <v>มันมีขนาดที่แตกต่างกันออกไป</v>
      </c>
      <c r="S68" s="6" t="str">
        <f>IFERROR(__xludf.DUMMYFUNCTION("GOOGLETRANSLATE(G68,""en"",""th"")"),"พวกมันมีหัวที่เรียบง่ายและมีสีต่างกัน")</f>
        <v>พวกมันมีหัวที่เรียบง่ายและมีสีต่างกัน</v>
      </c>
      <c r="T68" s="6" t="s">
        <v>552</v>
      </c>
      <c r="U68" s="6" t="str">
        <f>IFERROR(__xludf.DUMMYFUNCTION("GOOGLETRANSLATE(I68,""en"",""th"")"),"พวกมันมีหัวที่เรียบง่ายและมีสีต่างกัน")</f>
        <v>พวกมันมีหัวที่เรียบง่ายและมีสีต่างกัน</v>
      </c>
      <c r="V68" s="6" t="str">
        <f>IFERROR(__xludf.DUMMYFUNCTION("GOOGLETRANSLATE(J68,""en"",""th"")"),"เรือมีหัวเรือสีเดียวแบบเรียบง่ายแทนที่จะเป็นหัวมังกรแบบดั้งเดิมที่มีลวดลายซับซ้อน ซึ่งเป็นเรื่องปกติในเรือแข่งระดับมืออาชีพสมัยใหม่")</f>
        <v>เรือมีหัวเรือสีเดียวแบบเรียบง่ายแทนที่จะเป็นหัวมังกรแบบดั้งเดิมที่มีลวดลายซับซ้อน ซึ่งเป็นเรื่องปกติในเรือแข่งระดับมืออาชีพสมัยใหม่</v>
      </c>
    </row>
    <row r="69" ht="22.5" customHeight="1">
      <c r="A69" s="4" t="s">
        <v>668</v>
      </c>
      <c r="B69" s="5">
        <v>68.0</v>
      </c>
      <c r="C69" s="4" t="s">
        <v>396</v>
      </c>
      <c r="D69" s="4" t="s">
        <v>397</v>
      </c>
      <c r="E69" s="4" t="s">
        <v>398</v>
      </c>
      <c r="F69" s="4" t="s">
        <v>399</v>
      </c>
      <c r="G69" s="4" t="s">
        <v>400</v>
      </c>
      <c r="H69" s="4" t="s">
        <v>401</v>
      </c>
      <c r="I69" s="4" t="s">
        <v>398</v>
      </c>
      <c r="J69" s="4" t="s">
        <v>402</v>
      </c>
      <c r="M69" s="4" t="s">
        <v>668</v>
      </c>
      <c r="N69" s="5">
        <v>68.0</v>
      </c>
      <c r="O69" s="6" t="str">
        <f>IFERROR(__xludf.DUMMYFUNCTION("GOOGLETRANSLATE(C69,""en"",""th"")"),"ความพยายามอันเข้มข้นของนักพายเรือบ่งบอกอะไรเกี่ยวกับการแข่งขัน?")</f>
        <v>ความพยายามอันเข้มข้นของนักพายเรือบ่งบอกอะไรเกี่ยวกับการแข่งขัน?</v>
      </c>
      <c r="P69" s="6" t="str">
        <f>IFERROR(__xludf.DUMMYFUNCTION("GOOGLETRANSLATE(D69,""en"",""th"")"),"เป็นกิจกรรมยามว่าง")</f>
        <v>เป็นกิจกรรมยามว่าง</v>
      </c>
      <c r="Q69" s="6" t="str">
        <f>IFERROR(__xludf.DUMMYFUNCTION("GOOGLETRANSLATE(E69,""en"",""th"")"),"มันเป็นกีฬาที่มีการแข่งขันสูงและต้องใช้กำลังกายมาก")</f>
        <v>มันเป็นกีฬาที่มีการแข่งขันสูงและต้องใช้กำลังกายมาก</v>
      </c>
      <c r="R69" s="6" t="str">
        <f>IFERROR(__xludf.DUMMYFUNCTION("GOOGLETRANSLATE(F69,""en"",""th"")"),"เป็นขบวนแห่แบบช้าๆ ตามพิธีกรรม")</f>
        <v>เป็นขบวนแห่แบบช้าๆ ตามพิธีกรรม</v>
      </c>
      <c r="S69" s="6" t="str">
        <f>IFERROR(__xludf.DUMMYFUNCTION("GOOGLETRANSLATE(G69,""en"",""th"")"),"เป็นกิจกรรมเสริมสร้างการทำงานเป็นทีม")</f>
        <v>เป็นกิจกรรมเสริมสร้างการทำงานเป็นทีม</v>
      </c>
      <c r="T69" s="6" t="s">
        <v>403</v>
      </c>
      <c r="U69" s="6" t="str">
        <f>IFERROR(__xludf.DUMMYFUNCTION("GOOGLETRANSLATE(I69,""en"",""th"")"),"มันเป็นกีฬาที่มีการแข่งขันสูงและต้องใช้กำลังกายมาก")</f>
        <v>มันเป็นกีฬาที่มีการแข่งขันสูงและต้องใช้กำลังกายมาก</v>
      </c>
      <c r="V69" s="6" t="str">
        <f>IFERROR(__xludf.DUMMYFUNCTION("GOOGLETRANSLATE(J69,""en"",""th"")"),"การพายที่ทรงพลัง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f>
        <v>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v>
      </c>
    </row>
    <row r="70" ht="22.5" customHeight="1">
      <c r="A70" s="4" t="s">
        <v>668</v>
      </c>
      <c r="B70" s="5">
        <v>69.0</v>
      </c>
      <c r="C70" s="4" t="s">
        <v>528</v>
      </c>
      <c r="D70" s="4" t="s">
        <v>413</v>
      </c>
      <c r="E70" s="4" t="s">
        <v>414</v>
      </c>
      <c r="F70" s="4" t="s">
        <v>415</v>
      </c>
      <c r="G70" s="4" t="s">
        <v>416</v>
      </c>
      <c r="H70" s="4" t="s">
        <v>417</v>
      </c>
      <c r="I70" s="4" t="s">
        <v>414</v>
      </c>
      <c r="J70" s="4" t="s">
        <v>529</v>
      </c>
      <c r="M70" s="4" t="s">
        <v>668</v>
      </c>
      <c r="N70" s="5">
        <v>69.0</v>
      </c>
      <c r="O70" s="6" t="str">
        <f>IFERROR(__xludf.DUMMYFUNCTION("GOOGLETRANSLATE(C70,""en"",""th"")"),"คนที่ตีกลองใหญ่ในเรือมีจุดประสงค์อะไร?")</f>
        <v>คนที่ตีกลองใหญ่ในเรือมีจุดประสงค์อะไร?</v>
      </c>
      <c r="P70" s="6" t="str">
        <f>IFERROR(__xludf.DUMMYFUNCTION("GOOGLETRANSLATE(D70,""en"",""th"")"),"เพื่อสร้างความบันเทิงให้กับฝูงชน")</f>
        <v>เพื่อสร้างความบันเทิงให้กับฝูงชน</v>
      </c>
      <c r="Q70" s="6" t="str">
        <f>IFERROR(__xludf.DUMMYFUNCTION("GOOGLETRANSLATE(E70,""en"",""th"")"),"เพื่อรักษาเวลาและจังหวะการพายของนักพายให้ตรงกัน")</f>
        <v>เพื่อรักษาเวลาและจังหวะการพายของนักพายให้ตรงกัน</v>
      </c>
      <c r="R70" s="6" t="str">
        <f>IFERROR(__xludf.DUMMYFUNCTION("GOOGLETRANSLATE(F70,""en"",""th"")"),"เพื่อเป็นสัญญาณเริ่มต้นการแข่งขัน")</f>
        <v>เพื่อเป็นสัญญาณเริ่มต้นการแข่งขัน</v>
      </c>
      <c r="S70" s="6" t="str">
        <f>IFERROR(__xludf.DUMMYFUNCTION("GOOGLETRANSLATE(G70,""en"",""th"")"),"การบังคับเรือ")</f>
        <v>การบังคับเรือ</v>
      </c>
      <c r="T70" s="6" t="s">
        <v>419</v>
      </c>
      <c r="U70" s="6" t="str">
        <f>IFERROR(__xludf.DUMMYFUNCTION("GOOGLETRANSLATE(I70,""en"",""th"")"),"เพื่อรักษาเวลาและจังหวะการพายของนักพายให้ตรงกัน")</f>
        <v>เพื่อรักษาเวลาและจังหวะการพายของนักพายให้ตรงกัน</v>
      </c>
      <c r="V70" s="6" t="str">
        <f>IFERROR(__xludf.DUMMYFUNCTION("GOOGLETRANSLATE(J70,""en"",""th"")"),"บทบาทหลักของมือกลองคือการกำหนดจังหวะที่คงที่ให้กับนักพายเรือ โดยให้แน่ใจว่าจังหวะการตีกลองของทั้งทีมสอดประสานกันเพื่อความเร็วและประสิทธิภาพสูงสุด")</f>
        <v>บทบาทหลักของมือกลองคือการกำหนดจังหวะที่คงที่ให้กับนักพายเรือ โดยให้แน่ใจว่าจังหวะการตีกลองของทั้งทีมสอดประสานกันเพื่อความเร็วและประสิทธิภาพสูงสุด</v>
      </c>
    </row>
    <row r="71" ht="22.5" customHeight="1">
      <c r="A71" s="4" t="s">
        <v>668</v>
      </c>
      <c r="B71" s="5">
        <v>70.0</v>
      </c>
      <c r="C71" s="4" t="s">
        <v>655</v>
      </c>
      <c r="D71" s="4" t="s">
        <v>463</v>
      </c>
      <c r="E71" s="4" t="s">
        <v>464</v>
      </c>
      <c r="F71" s="4" t="s">
        <v>465</v>
      </c>
      <c r="G71" s="4" t="s">
        <v>466</v>
      </c>
      <c r="H71" s="4" t="s">
        <v>467</v>
      </c>
      <c r="I71" s="4" t="s">
        <v>465</v>
      </c>
      <c r="J71" s="4" t="s">
        <v>468</v>
      </c>
      <c r="M71" s="4" t="s">
        <v>668</v>
      </c>
      <c r="N71" s="5">
        <v>70.0</v>
      </c>
      <c r="O71" s="6" t="str">
        <f>IFERROR(__xludf.DUMMYFUNCTION("GOOGLETRANSLATE(C71,""en"",""th"")"),"อะไรคือกุญแจสำคัญในการชนะการแข่งขันเรือ?")</f>
        <v>อะไรคือกุญแจสำคัญในการชนะการแข่งขันเรือ?</v>
      </c>
      <c r="P71" s="6" t="str">
        <f>IFERROR(__xludf.DUMMYFUNCTION("GOOGLETRANSLATE(D71,""en"",""th"")"),"ความแข็งแกร่งของนักพายเรือแต่ละคน")</f>
        <v>ความแข็งแกร่งของนักพายเรือแต่ละคน</v>
      </c>
      <c r="Q71" s="6" t="str">
        <f>IFERROR(__xludf.DUMMYFUNCTION("GOOGLETRANSLATE(E71,""en"",""th"")"),"การออกแบบเรือ")</f>
        <v>การออกแบบเรือ</v>
      </c>
      <c r="R71" s="6" t="str">
        <f>IFERROR(__xludf.DUMMYFUNCTION("GOOGLETRANSLATE(F71,""en"",""th"")"),"การประสานกันอย่างลงตัวของนักพาย")</f>
        <v>การประสานกันอย่างลงตัวของนักพาย</v>
      </c>
      <c r="S71" s="6" t="str">
        <f>IFERROR(__xludf.DUMMYFUNCTION("GOOGLETRANSLATE(G71,""en"",""th"")"),"สภาพอากาศ")</f>
        <v>สภาพอากาศ</v>
      </c>
      <c r="T71" s="6" t="s">
        <v>469</v>
      </c>
      <c r="U71" s="6" t="str">
        <f>IFERROR(__xludf.DUMMYFUNCTION("GOOGLETRANSLATE(I71,""en"",""th"")"),"การประสานกันอย่างลงตัวของนักพาย")</f>
        <v>การประสานกันอย่างลงตัวของนักพาย</v>
      </c>
      <c r="V71" s="6" t="str">
        <f>IFERROR(__xludf.DUMMYFUNCTION("GOOGLETRANSLATE(J71,""en"",""th"")"),"ภาพนี้เน้นย้ำถึงการพายเรืออย่างสอดประสานของทีม ซึ่งเป็นองค์ประกอบที่สำคัญที่สุดในการสร้างพลังที่จำเป็นในการชนะการแข่งขัน")</f>
        <v>ภาพนี้เน้นย้ำถึงการพายเรืออย่างสอดประสานของทีม ซึ่งเป็นองค์ประกอบที่สำคัญที่สุดในการสร้างพลังที่จำเป็นในการชนะการแข่งขัน</v>
      </c>
    </row>
    <row r="72" ht="22.5" customHeight="1">
      <c r="A72" s="4" t="s">
        <v>669</v>
      </c>
      <c r="B72" s="5">
        <v>71.0</v>
      </c>
      <c r="C72" s="4" t="s">
        <v>21</v>
      </c>
      <c r="D72" s="4" t="s">
        <v>586</v>
      </c>
      <c r="E72" s="4" t="s">
        <v>587</v>
      </c>
      <c r="F72" s="4" t="s">
        <v>588</v>
      </c>
      <c r="G72" s="4" t="s">
        <v>670</v>
      </c>
      <c r="H72" s="4" t="s">
        <v>671</v>
      </c>
      <c r="I72" s="4" t="s">
        <v>670</v>
      </c>
      <c r="J72" s="4" t="s">
        <v>672</v>
      </c>
      <c r="M72" s="4" t="s">
        <v>669</v>
      </c>
      <c r="N72" s="5">
        <v>71.0</v>
      </c>
      <c r="O72" s="6" t="str">
        <f>IFERROR(__xludf.DUMMYFUNCTION("GOOGLETRANSLATE(C72,""en"",""th"")"),"ภาพที่แสดงเป็นกิจกรรมหลักอะไร?")</f>
        <v>ภาพที่แสดงเป็นกิจกรรมหลักอะไร?</v>
      </c>
      <c r="P72" s="6" t="str">
        <f>IFERROR(__xludf.DUMMYFUNCTION("GOOGLETRANSLATE(D72,""en"",""th"")"),"การแข่งขันพายเรือแบบแข่งขัน")</f>
        <v>การแข่งขันพายเรือแบบแข่งขัน</v>
      </c>
      <c r="Q72" s="6" t="str">
        <f>IFERROR(__xludf.DUMMYFUNCTION("GOOGLETRANSLATE(E72,""en"",""th"")"),"ทริปพายเรือแคนูพักผ่อนหย่อนใจ")</f>
        <v>ทริปพายเรือแคนูพักผ่อนหย่อนใจ</v>
      </c>
      <c r="R72" s="6" t="str">
        <f>IFERROR(__xludf.DUMMYFUNCTION("GOOGLETRANSLATE(F72,""en"",""th"")"),"การแข่งขันเรือคายัค")</f>
        <v>การแข่งขันเรือคายัค</v>
      </c>
      <c r="S72" s="6" t="str">
        <f>IFERROR(__xludf.DUMMYFUNCTION("GOOGLETRANSLATE(G72,""en"",""th"")"),"การแข่งขันเรือแคนูแบบเอาท์ริกเกอร์")</f>
        <v>การแข่งขันเรือแคนูแบบเอาท์ริกเกอร์</v>
      </c>
      <c r="T72" s="6" t="s">
        <v>673</v>
      </c>
      <c r="U72" s="6" t="str">
        <f>IFERROR(__xludf.DUMMYFUNCTION("GOOGLETRANSLATE(I72,""en"",""th"")"),"การแข่งขันเรือแคนูแบบเอาท์ริกเกอร์")</f>
        <v>การแข่งขันเรือแคนูแบบเอาท์ริกเกอร์</v>
      </c>
      <c r="V72" s="6" t="str">
        <f>IFERROR(__xludf.DUMMYFUNCTION("GOOGLETRANSLATE(J72,""en"",""th"")"),"ภาพนี้แสดงให้เห็นทีมในเรือยาวแคบที่มีเสาข้าง ซึ่งเป็นลักษณะเฉพาะของการแข่งขันเรือแคนูแบบมีเสาข้าง")</f>
        <v>ภาพนี้แสดงให้เห็นทีมในเรือยาวแคบที่มีเสาข้าง ซึ่งเป็นลักษณะเฉพาะของการแข่งขันเรือแคนูแบบมีเสาข้าง</v>
      </c>
    </row>
    <row r="73" ht="22.5" customHeight="1">
      <c r="A73" s="4" t="s">
        <v>669</v>
      </c>
      <c r="B73" s="5">
        <v>72.0</v>
      </c>
      <c r="C73" s="4" t="s">
        <v>592</v>
      </c>
      <c r="D73" s="4" t="s">
        <v>593</v>
      </c>
      <c r="E73" s="4" t="s">
        <v>594</v>
      </c>
      <c r="F73" s="4" t="s">
        <v>674</v>
      </c>
      <c r="G73" s="4" t="s">
        <v>596</v>
      </c>
      <c r="H73" s="4" t="s">
        <v>675</v>
      </c>
      <c r="I73" s="4" t="s">
        <v>674</v>
      </c>
      <c r="J73" s="4" t="s">
        <v>676</v>
      </c>
      <c r="M73" s="4" t="s">
        <v>669</v>
      </c>
      <c r="N73" s="5">
        <v>72.0</v>
      </c>
      <c r="O73" s="6" t="str">
        <f>IFERROR(__xludf.DUMMYFUNCTION("GOOGLETRANSLATE(C73,""en"",""th"")"),"งานนี้ต่างจากงานแกงเรือแบบดั้งเดิมอย่างไร?")</f>
        <v>งานนี้ต่างจากงานแกงเรือแบบดั้งเดิมอย่างไร?</v>
      </c>
      <c r="P73" s="6" t="str">
        <f>IFERROR(__xludf.DUMMYFUNCTION("GOOGLETRANSLATE(D73,""en"",""th"")"),"เรือก็ยาวมากขึ้น")</f>
        <v>เรือก็ยาวมากขึ้น</v>
      </c>
      <c r="Q73" s="6" t="str">
        <f>IFERROR(__xludf.DUMMYFUNCTION("GOOGLETRANSLATE(E73,""en"",""th"")"),"เรือจะสั้นลงมาก")</f>
        <v>เรือจะสั้นลงมาก</v>
      </c>
      <c r="R73" s="6" t="str">
        <f>IFERROR(__xludf.DUMMYFUNCTION("GOOGLETRANSLATE(F73,""en"",""th"")"),"เรือมีระบบรองรับด้านข้างขนาดใหญ่")</f>
        <v>เรือมีระบบรองรับด้านข้างขนาดใหญ่</v>
      </c>
      <c r="S73" s="6" t="str">
        <f>IFERROR(__xludf.DUMMYFUNCTION("GOOGLETRANSLATE(G73,""en"",""th"")"),"เรือจะหนักและช้ากว่ามาก")</f>
        <v>เรือจะหนักและช้ากว่ามาก</v>
      </c>
      <c r="T73" s="6" t="s">
        <v>677</v>
      </c>
      <c r="U73" s="6" t="str">
        <f>IFERROR(__xludf.DUMMYFUNCTION("GOOGLETRANSLATE(I73,""en"",""th"")"),"เรือมีระบบรองรับด้านข้างขนาดใหญ่")</f>
        <v>เรือมีระบบรองรับด้านข้างขนาดใหญ่</v>
      </c>
      <c r="V73" s="6" t="str">
        <f>IFERROR(__xludf.DUMMYFUNCTION("GOOGLETRANSLATE(J73,""en"",""th"")"),"เรือมีระบบรองรับด้านข้างขนาดใหญ่ที่เรียกว่าขาตั้ง ซึ่งใช้ในการรักษาเสถียรภาพของเรือและป้องกันไม่ให้เรือพลิกคว่ำ")</f>
        <v>เรือมีระบบรองรับด้านข้างขนาดใหญ่ที่เรียกว่าขาตั้ง ซึ่งใช้ในการรักษาเสถียรภาพของเรือและป้องกันไม่ให้เรือพลิกคว่ำ</v>
      </c>
    </row>
    <row r="74" ht="22.5" customHeight="1">
      <c r="A74" s="4" t="s">
        <v>669</v>
      </c>
      <c r="B74" s="5">
        <v>73.0</v>
      </c>
      <c r="C74" s="4" t="s">
        <v>600</v>
      </c>
      <c r="D74" s="4" t="s">
        <v>601</v>
      </c>
      <c r="E74" s="4" t="s">
        <v>602</v>
      </c>
      <c r="F74" s="4" t="s">
        <v>603</v>
      </c>
      <c r="G74" s="4" t="s">
        <v>678</v>
      </c>
      <c r="H74" s="4" t="s">
        <v>679</v>
      </c>
      <c r="I74" s="4" t="s">
        <v>678</v>
      </c>
      <c r="J74" s="4" t="s">
        <v>680</v>
      </c>
      <c r="M74" s="4" t="s">
        <v>669</v>
      </c>
      <c r="N74" s="5">
        <v>73.0</v>
      </c>
      <c r="O74" s="6" t="str">
        <f>IFERROR(__xludf.DUMMYFUNCTION("GOOGLETRANSLATE(C74,""en"",""th"")"),"นักพายใช้ไม้พายคนละแบบกัน เรียกว่าอะไรคะ")</f>
        <v>นักพายใช้ไม้พายคนละแบบกัน เรียกว่าอะไรคะ</v>
      </c>
      <c r="P74" s="6" t="str">
        <f>IFERROR(__xludf.DUMMYFUNCTION("GOOGLETRANSLATE(D74,""en"",""th"")"),"ไม้พาย")</f>
        <v>ไม้พาย</v>
      </c>
      <c r="Q74" s="6" t="str">
        <f>IFERROR(__xludf.DUMMYFUNCTION("GOOGLETRANSLATE(E74,""en"",""th"")"),"ไม้พาย")</f>
        <v>ไม้พาย</v>
      </c>
      <c r="R74" s="6" t="str">
        <f>IFERROR(__xludf.DUMMYFUNCTION("GOOGLETRANSLATE(F74,""en"",""th"")"),"ไม้พายแบบกรรเชียง")</f>
        <v>ไม้พายแบบกรรเชียง</v>
      </c>
      <c r="S74" s="6" t="str">
        <f>IFERROR(__xludf.DUMMYFUNCTION("GOOGLETRANSLATE(G74,""en"",""th"")"),"พายเรือมังกร")</f>
        <v>พายเรือมังกร</v>
      </c>
      <c r="T74" s="6" t="s">
        <v>681</v>
      </c>
      <c r="U74" s="6" t="str">
        <f>IFERROR(__xludf.DUMMYFUNCTION("GOOGLETRANSLATE(I74,""en"",""th"")"),"พายเรือมังกร")</f>
        <v>พายเรือมังกร</v>
      </c>
      <c r="V74" s="6" t="str">
        <f>IFERROR(__xludf.DUMMYFUNCTION("GOOGLETRANSLATE(J74,""en"",""th"")"),"นักพายเรือจะใช้ไม้พายชนิดพิเศษที่เรียกว่าไม้พายเรือมังกร ซึ่งออกแบบมาให้มีน้ำหนักเบาและมีประสิทธิภาพมาก")</f>
        <v>นักพายเรือจะใช้ไม้พายชนิดพิเศษที่เรียกว่าไม้พายเรือมังกร ซึ่งออกแบบมาให้มีน้ำหนักเบาและมีประสิทธิภาพมาก</v>
      </c>
    </row>
    <row r="75" ht="22.5" customHeight="1">
      <c r="A75" s="4" t="s">
        <v>669</v>
      </c>
      <c r="B75" s="5">
        <v>74.0</v>
      </c>
      <c r="C75" s="4" t="s">
        <v>608</v>
      </c>
      <c r="D75" s="4" t="s">
        <v>609</v>
      </c>
      <c r="E75" s="4" t="s">
        <v>682</v>
      </c>
      <c r="F75" s="4" t="s">
        <v>683</v>
      </c>
      <c r="G75" s="4" t="s">
        <v>612</v>
      </c>
      <c r="H75" s="4" t="s">
        <v>684</v>
      </c>
      <c r="I75" s="4" t="s">
        <v>683</v>
      </c>
      <c r="J75" s="4" t="s">
        <v>685</v>
      </c>
      <c r="M75" s="4" t="s">
        <v>669</v>
      </c>
      <c r="N75" s="5">
        <v>74.0</v>
      </c>
      <c r="O75" s="6" t="str">
        <f>IFERROR(__xludf.DUMMYFUNCTION("GOOGLETRANSLATE(C75,""en"",""th"")"),"นักพายทุกคนหันหน้าไปทางเดียวกัน เหตุผลคืออะไร?")</f>
        <v>นักพายทุกคนหันหน้าไปทางเดียวกัน เหตุผลคืออะไร?</v>
      </c>
      <c r="P75" s="6" t="str">
        <f>IFERROR(__xludf.DUMMYFUNCTION("GOOGLETRANSLATE(D75,""en"",""th"")"),"เพื่อรักษาสมดุลของเรือ")</f>
        <v>เพื่อรักษาสมดุลของเรือ</v>
      </c>
      <c r="Q75" s="6" t="str">
        <f>IFERROR(__xludf.DUMMYFUNCTION("GOOGLETRANSLATE(E75,""en"",""th"")"),"เพื่อให้พายได้เร็วขึ้น")</f>
        <v>เพื่อให้พายได้เร็วขึ้น</v>
      </c>
      <c r="R75" s="6" t="str">
        <f>IFERROR(__xludf.DUMMYFUNCTION("GOOGLETRANSLATE(F75,""en"",""th"")"),"การพายให้เป็นเส้นตรง")</f>
        <v>การพายให้เป็นเส้นตรง</v>
      </c>
      <c r="S75" s="6" t="str">
        <f>IFERROR(__xludf.DUMMYFUNCTION("GOOGLETRANSLATE(G75,""en"",""th"")"),"เพื่อให้มองเห็นได้ชัดเจนยิ่งขึ้น")</f>
        <v>เพื่อให้มองเห็นได้ชัดเจนยิ่งขึ้น</v>
      </c>
      <c r="T75" s="6" t="s">
        <v>686</v>
      </c>
      <c r="U75" s="6" t="str">
        <f>IFERROR(__xludf.DUMMYFUNCTION("GOOGLETRANSLATE(I75,""en"",""th"")"),"การพายให้เป็นเส้นตรง")</f>
        <v>การพายให้เป็นเส้นตรง</v>
      </c>
      <c r="V75" s="6" t="str">
        <f>IFERROR(__xludf.DUMMYFUNCTION("GOOGLETRANSLATE(J75,""en"",""th"")"),"นักพายเรือทุกคนหันหน้าไปทางทิศทางเดียวกัน ซึ่งเป็นลักษณะเฉพาะของการแข่งขันพายเรือ เพื่อให้แน่ใจว่าทุกคนกำลังพายเป็นเส้นตรง")</f>
        <v>นักพายเรือทุกคนหันหน้าไปทางทิศทางเดียวกัน ซึ่งเป็นลักษณะเฉพาะของการแข่งขันพายเรือ เพื่อให้แน่ใจว่าทุกคนกำลังพายเป็นเส้นตรง</v>
      </c>
    </row>
    <row r="76" ht="22.5" customHeight="1">
      <c r="A76" s="4" t="s">
        <v>669</v>
      </c>
      <c r="B76" s="5">
        <v>75.0</v>
      </c>
      <c r="C76" s="4" t="s">
        <v>154</v>
      </c>
      <c r="D76" s="4" t="s">
        <v>124</v>
      </c>
      <c r="E76" s="4" t="s">
        <v>125</v>
      </c>
      <c r="F76" s="4" t="s">
        <v>126</v>
      </c>
      <c r="G76" s="4" t="s">
        <v>127</v>
      </c>
      <c r="H76" s="4" t="s">
        <v>128</v>
      </c>
      <c r="I76" s="4" t="s">
        <v>125</v>
      </c>
      <c r="J76" s="4" t="s">
        <v>616</v>
      </c>
      <c r="M76" s="4" t="s">
        <v>669</v>
      </c>
      <c r="N76" s="5">
        <v>75.0</v>
      </c>
      <c r="O76" s="6" t="str">
        <f>IFERROR(__xludf.DUMMYFUNCTION("GOOGLETRANSLATE(C76,""en"",""th"")"),"บรรยากาศโดยรวมของภาพเป็นอย่างไร?")</f>
        <v>บรรยากาศโดยรวมของภาพเป็นอย่างไร?</v>
      </c>
      <c r="P76" s="6" t="str">
        <f>IFERROR(__xludf.DUMMYFUNCTION("GOOGLETRANSLATE(D76,""en"",""th"")"),"เป็นที่เงียบสงบและสันติ")</f>
        <v>เป็นที่เงียบสงบและสันติ</v>
      </c>
      <c r="Q76" s="6" t="str">
        <f>IFERROR(__xludf.DUMMYFUNCTION("GOOGLETRANSLATE(E76,""en"",""th"")"),"แบบตึงเครียดและมีสมาธิ")</f>
        <v>แบบตึงเครียดและมีสมาธิ</v>
      </c>
      <c r="R76" s="6" t="str">
        <f>IFERROR(__xludf.DUMMYFUNCTION("GOOGLETRANSLATE(F76,""en"",""th"")"),"แบบเฉลิมฉลองและรื่นเริง")</f>
        <v>แบบเฉลิมฉลองและรื่นเริง</v>
      </c>
      <c r="S76" s="6" t="str">
        <f>IFERROR(__xludf.DUMMYFUNCTION("GOOGLETRANSLATE(G76,""en"",""th"")"),"แบบสบายๆ และผ่อนคลาย")</f>
        <v>แบบสบายๆ และผ่อนคลาย</v>
      </c>
      <c r="T76" s="6" t="s">
        <v>130</v>
      </c>
      <c r="U76" s="6" t="str">
        <f>IFERROR(__xludf.DUMMYFUNCTION("GOOGLETRANSLATE(I76,""en"",""th"")"),"แบบตึงเครียดและมีสมาธิ")</f>
        <v>แบบตึงเครียดและมีสมาธิ</v>
      </c>
      <c r="V76" s="6" t="str">
        <f>IFERROR(__xludf.DUMMYFUNCTION("GOOGLETRANSLATE(J76,""en"",""th"")"),"การแสดงออกที่มุ่งมั่นของนักพายเรือ ความเร็วของเรือ และน้ำที่กระเซ็น ล้วนสร้างบรรยากาศที่ตึงเครียดและมีสมาธิ")</f>
        <v>การแสดงออกที่มุ่งมั่นของนักพายเรือ ความเร็วของเรือ และน้ำที่กระเซ็น ล้วนสร้างบรรยากาศที่ตึงเครียดและมีสมาธิ</v>
      </c>
    </row>
    <row r="77" ht="22.5" customHeight="1">
      <c r="A77" s="4" t="s">
        <v>687</v>
      </c>
      <c r="B77" s="5">
        <v>76.0</v>
      </c>
      <c r="C77" s="4" t="s">
        <v>366</v>
      </c>
      <c r="D77" s="4" t="s">
        <v>531</v>
      </c>
      <c r="E77" s="4" t="s">
        <v>532</v>
      </c>
      <c r="F77" s="4" t="s">
        <v>533</v>
      </c>
      <c r="G77" s="4" t="s">
        <v>534</v>
      </c>
      <c r="H77" s="4" t="s">
        <v>535</v>
      </c>
      <c r="I77" s="4" t="s">
        <v>531</v>
      </c>
      <c r="J77" s="4" t="s">
        <v>536</v>
      </c>
      <c r="M77" s="4" t="s">
        <v>687</v>
      </c>
      <c r="N77" s="5">
        <v>76.0</v>
      </c>
      <c r="O77" s="6" t="str">
        <f>IFERROR(__xludf.DUMMYFUNCTION("GOOGLETRANSLATE(C77,""en"",""th"")"),"เหตุการณ์หลักที่แสดงในภาพคืออะไร?")</f>
        <v>เหตุการณ์หลักที่แสดงในภาพคืออะไร?</v>
      </c>
      <c r="P77" s="6" t="str">
        <f>IFERROR(__xludf.DUMMYFUNCTION("GOOGLETRANSLATE(D77,""en"",""th"")"),"การแข่งขันเรือยาว")</f>
        <v>การแข่งขันเรือยาว</v>
      </c>
      <c r="Q77" s="6" t="str">
        <f>IFERROR(__xludf.DUMMYFUNCTION("GOOGLETRANSLATE(E77,""en"",""th"")"),"การฝึกซ้อมก่อนการแข่งขัน")</f>
        <v>การฝึกซ้อมก่อนการแข่งขัน</v>
      </c>
      <c r="R77" s="6" t="str">
        <f>IFERROR(__xludf.DUMMYFUNCTION("GOOGLETRANSLATE(F77,""en"",""th"")"),"ทริปล่องเรือพักผ่อน")</f>
        <v>ทริปล่องเรือพักผ่อน</v>
      </c>
      <c r="S77" s="6" t="str">
        <f>IFERROR(__xludf.DUMMYFUNCTION("GOOGLETRANSLATE(G77,""en"",""th"")"),"ขบวนแห่ริมแม่น้ำ")</f>
        <v>ขบวนแห่ริมแม่น้ำ</v>
      </c>
      <c r="T77" s="6" t="s">
        <v>537</v>
      </c>
      <c r="U77" s="6" t="str">
        <f>IFERROR(__xludf.DUMMYFUNCTION("GOOGLETRANSLATE(I77,""en"",""th"")"),"การแข่งขันเรือยาว")</f>
        <v>การแข่งขันเรือยาว</v>
      </c>
      <c r="V77" s="6" t="str">
        <f>IFERROR(__xludf.DUMMYFUNCTION("GOOGLETRANSLATE(J77,""en"",""th"")"),"ภาพดังกล่าวแสดงให้เห็นทีมต่างๆ หลายทีมอยู่ในเรือของพวกเขา พร้อมด้วยเจ้าหน้าที่และป้ายแบนเนอร์ ซึ่งบ่งชี้ถึงการแข่งขันเรืออย่างเป็นทางการขนาดใหญ่")</f>
        <v>ภาพดังกล่าวแสดงให้เห็นทีมต่างๆ หลายทีมอยู่ในเรือของพวกเขา พร้อมด้วยเจ้าหน้าที่และป้ายแบนเนอร์ ซึ่งบ่งชี้ถึงการแข่งขันเรืออย่างเป็นทางการขนาดใหญ่</v>
      </c>
    </row>
    <row r="78" ht="22.5" customHeight="1">
      <c r="A78" s="4" t="s">
        <v>687</v>
      </c>
      <c r="B78" s="5">
        <v>77.0</v>
      </c>
      <c r="C78" s="4" t="s">
        <v>380</v>
      </c>
      <c r="D78" s="4" t="s">
        <v>546</v>
      </c>
      <c r="E78" s="4" t="s">
        <v>547</v>
      </c>
      <c r="F78" s="4" t="s">
        <v>548</v>
      </c>
      <c r="G78" s="4" t="s">
        <v>549</v>
      </c>
      <c r="H78" s="4" t="s">
        <v>550</v>
      </c>
      <c r="I78" s="4" t="s">
        <v>549</v>
      </c>
      <c r="J78" s="4" t="s">
        <v>551</v>
      </c>
      <c r="M78" s="4" t="s">
        <v>687</v>
      </c>
      <c r="N78" s="5">
        <v>77.0</v>
      </c>
      <c r="O78" s="6" t="str">
        <f>IFERROR(__xludf.DUMMYFUNCTION("GOOGLETRANSLATE(C78,""en"",""th"")"),"ลักษณะเด่นของการออกแบบเรือคืออะไร?")</f>
        <v>ลักษณะเด่นของการออกแบบเรือคืออะไร?</v>
      </c>
      <c r="P78" s="6" t="str">
        <f>IFERROR(__xludf.DUMMYFUNCTION("GOOGLETRANSLATE(D78,""en"",""th"")"),"พวกมันมีสีเหมือนกันหมด")</f>
        <v>พวกมันมีสีเหมือนกันหมด</v>
      </c>
      <c r="Q78" s="6" t="str">
        <f>IFERROR(__xludf.DUMMYFUNCTION("GOOGLETRANSLATE(E78,""en"",""th"")"),"มีการวาดลวดลายมังกรไว้ทั้งหมด")</f>
        <v>มีการวาดลวดลายมังกรไว้ทั้งหมด</v>
      </c>
      <c r="R78" s="6" t="str">
        <f>IFERROR(__xludf.DUMMYFUNCTION("GOOGLETRANSLATE(F78,""en"",""th"")"),"มันมีขนาดที่แตกต่างกันออกไป")</f>
        <v>มันมีขนาดที่แตกต่างกันออกไป</v>
      </c>
      <c r="S78" s="6" t="str">
        <f>IFERROR(__xludf.DUMMYFUNCTION("GOOGLETRANSLATE(G78,""en"",""th"")"),"พวกมันมีหัวที่เรียบง่ายและมีสีต่างกัน")</f>
        <v>พวกมันมีหัวที่เรียบง่ายและมีสีต่างกัน</v>
      </c>
      <c r="T78" s="6" t="s">
        <v>552</v>
      </c>
      <c r="U78" s="6" t="str">
        <f>IFERROR(__xludf.DUMMYFUNCTION("GOOGLETRANSLATE(I78,""en"",""th"")"),"พวกมันมีหัวที่เรียบง่ายและมีสีต่างกัน")</f>
        <v>พวกมันมีหัวที่เรียบง่ายและมีสีต่างกัน</v>
      </c>
      <c r="V78" s="6" t="str">
        <f>IFERROR(__xludf.DUMMYFUNCTION("GOOGLETRANSLATE(J78,""en"",""th"")"),"เรือมีหัวเรือสีเดียวแบบเรียบง่ายแทนที่จะเป็นหัวมังกรแบบดั้งเดิมที่มีลวดลายซับซ้อน ซึ่งเป็นเรื่องปกติในเรือแข่งระดับมืออาชีพสมัยใหม่")</f>
        <v>เรือมีหัวเรือสีเดียวแบบเรียบง่ายแทนที่จะเป็นหัวมังกรแบบดั้งเดิมที่มีลวดลายซับซ้อน ซึ่งเป็นเรื่องปกติในเรือแข่งระดับมืออาชีพสมัยใหม่</v>
      </c>
    </row>
    <row r="79" ht="22.5" customHeight="1">
      <c r="A79" s="4" t="s">
        <v>687</v>
      </c>
      <c r="B79" s="5">
        <v>78.0</v>
      </c>
      <c r="C79" s="4" t="s">
        <v>396</v>
      </c>
      <c r="D79" s="4" t="s">
        <v>397</v>
      </c>
      <c r="E79" s="4" t="s">
        <v>398</v>
      </c>
      <c r="F79" s="4" t="s">
        <v>399</v>
      </c>
      <c r="G79" s="4" t="s">
        <v>400</v>
      </c>
      <c r="H79" s="4" t="s">
        <v>401</v>
      </c>
      <c r="I79" s="4" t="s">
        <v>398</v>
      </c>
      <c r="J79" s="4" t="s">
        <v>402</v>
      </c>
      <c r="M79" s="4" t="s">
        <v>687</v>
      </c>
      <c r="N79" s="5">
        <v>78.0</v>
      </c>
      <c r="O79" s="6" t="str">
        <f>IFERROR(__xludf.DUMMYFUNCTION("GOOGLETRANSLATE(C79,""en"",""th"")"),"ความพยายามอันเข้มข้นของนักพายเรือบ่งบอกอะไรเกี่ยวกับการแข่งขัน?")</f>
        <v>ความพยายามอันเข้มข้นของนักพายเรือบ่งบอกอะไรเกี่ยวกับการแข่งขัน?</v>
      </c>
      <c r="P79" s="6" t="str">
        <f>IFERROR(__xludf.DUMMYFUNCTION("GOOGLETRANSLATE(D79,""en"",""th"")"),"เป็นกิจกรรมยามว่าง")</f>
        <v>เป็นกิจกรรมยามว่าง</v>
      </c>
      <c r="Q79" s="6" t="str">
        <f>IFERROR(__xludf.DUMMYFUNCTION("GOOGLETRANSLATE(E79,""en"",""th"")"),"มันเป็นกีฬาที่มีการแข่งขันสูงและต้องใช้กำลังกายมาก")</f>
        <v>มันเป็นกีฬาที่มีการแข่งขันสูงและต้องใช้กำลังกายมาก</v>
      </c>
      <c r="R79" s="6" t="str">
        <f>IFERROR(__xludf.DUMMYFUNCTION("GOOGLETRANSLATE(F79,""en"",""th"")"),"เป็นขบวนแห่แบบช้าๆ ตามพิธีกรรม")</f>
        <v>เป็นขบวนแห่แบบช้าๆ ตามพิธีกรรม</v>
      </c>
      <c r="S79" s="6" t="str">
        <f>IFERROR(__xludf.DUMMYFUNCTION("GOOGLETRANSLATE(G79,""en"",""th"")"),"เป็นกิจกรรมเสริมสร้างการทำงานเป็นทีม")</f>
        <v>เป็นกิจกรรมเสริมสร้างการทำงานเป็นทีม</v>
      </c>
      <c r="T79" s="6" t="s">
        <v>403</v>
      </c>
      <c r="U79" s="6" t="str">
        <f>IFERROR(__xludf.DUMMYFUNCTION("GOOGLETRANSLATE(I79,""en"",""th"")"),"มันเป็นกีฬาที่มีการแข่งขันสูงและต้องใช้กำลังกายมาก")</f>
        <v>มันเป็นกีฬาที่มีการแข่งขันสูงและต้องใช้กำลังกายมาก</v>
      </c>
      <c r="V79" s="6" t="str">
        <f>IFERROR(__xludf.DUMMYFUNCTION("GOOGLETRANSLATE(J79,""en"",""th"")"),"การพายที่ทรงพลัง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f>
        <v>การพายที่ทรงพลัง โน้มตัวไปข้างหน้า และการแสดงออกที่มุ่งมั่นของนักพายบ่งบอกว่านี่คือการแข่งขันที่ต้องใช้การออกแรงทางร่างกายและการทำงานเป็นทีมในระดับสูง</v>
      </c>
    </row>
    <row r="80" ht="22.5" customHeight="1">
      <c r="A80" s="4" t="s">
        <v>687</v>
      </c>
      <c r="B80" s="5">
        <v>79.0</v>
      </c>
      <c r="C80" s="4" t="s">
        <v>528</v>
      </c>
      <c r="D80" s="4" t="s">
        <v>413</v>
      </c>
      <c r="E80" s="4" t="s">
        <v>414</v>
      </c>
      <c r="F80" s="4" t="s">
        <v>415</v>
      </c>
      <c r="G80" s="4" t="s">
        <v>416</v>
      </c>
      <c r="H80" s="4" t="s">
        <v>417</v>
      </c>
      <c r="I80" s="4" t="s">
        <v>414</v>
      </c>
      <c r="J80" s="4" t="s">
        <v>529</v>
      </c>
      <c r="M80" s="4" t="s">
        <v>687</v>
      </c>
      <c r="N80" s="5">
        <v>79.0</v>
      </c>
      <c r="O80" s="6" t="str">
        <f>IFERROR(__xludf.DUMMYFUNCTION("GOOGLETRANSLATE(C80,""en"",""th"")"),"คนที่ตีกลองใหญ่ในเรือมีจุดประสงค์อะไร?")</f>
        <v>คนที่ตีกลองใหญ่ในเรือมีจุดประสงค์อะไร?</v>
      </c>
      <c r="P80" s="6" t="str">
        <f>IFERROR(__xludf.DUMMYFUNCTION("GOOGLETRANSLATE(D80,""en"",""th"")"),"เพื่อสร้างความบันเทิงให้กับฝูงชน")</f>
        <v>เพื่อสร้างความบันเทิงให้กับฝูงชน</v>
      </c>
      <c r="Q80" s="6" t="str">
        <f>IFERROR(__xludf.DUMMYFUNCTION("GOOGLETRANSLATE(E80,""en"",""th"")"),"เพื่อรักษาเวลาและจังหวะการพายของนักพายให้ตรงกัน")</f>
        <v>เพื่อรักษาเวลาและจังหวะการพายของนักพายให้ตรงกัน</v>
      </c>
      <c r="R80" s="6" t="str">
        <f>IFERROR(__xludf.DUMMYFUNCTION("GOOGLETRANSLATE(F80,""en"",""th"")"),"เพื่อเป็นสัญญาณเริ่มต้นการแข่งขัน")</f>
        <v>เพื่อเป็นสัญญาณเริ่มต้นการแข่งขัน</v>
      </c>
      <c r="S80" s="6" t="str">
        <f>IFERROR(__xludf.DUMMYFUNCTION("GOOGLETRANSLATE(G80,""en"",""th"")"),"การบังคับเรือ")</f>
        <v>การบังคับเรือ</v>
      </c>
      <c r="T80" s="6" t="s">
        <v>419</v>
      </c>
      <c r="U80" s="6" t="str">
        <f>IFERROR(__xludf.DUMMYFUNCTION("GOOGLETRANSLATE(I80,""en"",""th"")"),"เพื่อรักษาเวลาและจังหวะการพายของนักพายให้ตรงกัน")</f>
        <v>เพื่อรักษาเวลาและจังหวะการพายของนักพายให้ตรงกัน</v>
      </c>
      <c r="V80" s="6" t="str">
        <f>IFERROR(__xludf.DUMMYFUNCTION("GOOGLETRANSLATE(J80,""en"",""th"")"),"บทบาทหลักของมือกลองคือการกำหนดจังหวะที่คงที่ให้กับนักพายเรือ โดยให้แน่ใจว่าจังหวะการตีกลองของทั้งทีมสอดประสานกันเพื่อความเร็วและประสิทธิภาพสูงสุด")</f>
        <v>บทบาทหลักของมือกลองคือการกำหนดจังหวะที่คงที่ให้กับนักพายเรือ โดยให้แน่ใจว่าจังหวะการตีกลองของทั้งทีมสอดประสานกันเพื่อความเร็วและประสิทธิภาพสูงสุด</v>
      </c>
    </row>
    <row r="81" ht="22.5" customHeight="1">
      <c r="A81" s="4" t="s">
        <v>687</v>
      </c>
      <c r="B81" s="5">
        <v>80.0</v>
      </c>
      <c r="C81" s="4" t="s">
        <v>655</v>
      </c>
      <c r="D81" s="4" t="s">
        <v>463</v>
      </c>
      <c r="E81" s="4" t="s">
        <v>464</v>
      </c>
      <c r="F81" s="4" t="s">
        <v>465</v>
      </c>
      <c r="G81" s="4" t="s">
        <v>466</v>
      </c>
      <c r="H81" s="4" t="s">
        <v>467</v>
      </c>
      <c r="I81" s="4" t="s">
        <v>465</v>
      </c>
      <c r="J81" s="4" t="s">
        <v>468</v>
      </c>
      <c r="M81" s="4" t="s">
        <v>687</v>
      </c>
      <c r="N81" s="5">
        <v>80.0</v>
      </c>
      <c r="O81" s="6" t="str">
        <f>IFERROR(__xludf.DUMMYFUNCTION("GOOGLETRANSLATE(C81,""en"",""th"")"),"อะไรคือกุญแจสำคัญในการชนะการแข่งขันเรือ?")</f>
        <v>อะไรคือกุญแจสำคัญในการชนะการแข่งขันเรือ?</v>
      </c>
      <c r="P81" s="6" t="str">
        <f>IFERROR(__xludf.DUMMYFUNCTION("GOOGLETRANSLATE(D81,""en"",""th"")"),"ความแข็งแกร่งของนักพายเรือแต่ละคน")</f>
        <v>ความแข็งแกร่งของนักพายเรือแต่ละคน</v>
      </c>
      <c r="Q81" s="6" t="str">
        <f>IFERROR(__xludf.DUMMYFUNCTION("GOOGLETRANSLATE(E81,""en"",""th"")"),"การออกแบบเรือ")</f>
        <v>การออกแบบเรือ</v>
      </c>
      <c r="R81" s="6" t="str">
        <f>IFERROR(__xludf.DUMMYFUNCTION("GOOGLETRANSLATE(F81,""en"",""th"")"),"การประสานกันอย่างลงตัวของนักพาย")</f>
        <v>การประสานกันอย่างลงตัวของนักพาย</v>
      </c>
      <c r="S81" s="6" t="str">
        <f>IFERROR(__xludf.DUMMYFUNCTION("GOOGLETRANSLATE(G81,""en"",""th"")"),"สภาพอากาศ")</f>
        <v>สภาพอากาศ</v>
      </c>
      <c r="T81" s="6" t="s">
        <v>469</v>
      </c>
      <c r="U81" s="6" t="str">
        <f>IFERROR(__xludf.DUMMYFUNCTION("GOOGLETRANSLATE(I81,""en"",""th"")"),"การประสานกันอย่างลงตัวของนักพาย")</f>
        <v>การประสานกันอย่างลงตัวของนักพาย</v>
      </c>
      <c r="V81" s="6" t="str">
        <f>IFERROR(__xludf.DUMMYFUNCTION("GOOGLETRANSLATE(J81,""en"",""th"")"),"ภาพนี้เน้นย้ำถึงการพายเรืออย่างสอดประสานของทีม ซึ่งเป็นองค์ประกอบที่สำคัญที่สุดในการสร้างพลังที่จำเป็นในการชนะการแข่งขัน")</f>
        <v>ภาพนี้เน้นย้ำถึงการพายเรืออย่างสอดประสานของทีม ซึ่งเป็นองค์ประกอบที่สำคัญที่สุดในการสร้างพลังที่จำเป็นในการชนะการแข่งขัน</v>
      </c>
    </row>
    <row r="82">
      <c r="H82" s="8" t="s">
        <v>364</v>
      </c>
    </row>
    <row r="83">
      <c r="H83" s="8" t="s">
        <v>364</v>
      </c>
    </row>
    <row r="84">
      <c r="H84" s="8" t="s">
        <v>364</v>
      </c>
    </row>
    <row r="85">
      <c r="H85" s="8" t="s">
        <v>364</v>
      </c>
    </row>
    <row r="86">
      <c r="H86" s="8" t="s">
        <v>364</v>
      </c>
    </row>
    <row r="87">
      <c r="H87" s="8" t="s">
        <v>364</v>
      </c>
    </row>
    <row r="88">
      <c r="H88" s="8" t="s">
        <v>364</v>
      </c>
    </row>
    <row r="89">
      <c r="H89" s="8" t="s">
        <v>364</v>
      </c>
    </row>
    <row r="90">
      <c r="H90" s="8" t="s">
        <v>364</v>
      </c>
    </row>
    <row r="91">
      <c r="H91" s="8" t="s">
        <v>364</v>
      </c>
    </row>
    <row r="92">
      <c r="H92" s="8" t="s">
        <v>364</v>
      </c>
    </row>
    <row r="93">
      <c r="H93" s="8" t="s">
        <v>364</v>
      </c>
    </row>
    <row r="94">
      <c r="H94" s="8" t="s">
        <v>364</v>
      </c>
    </row>
    <row r="95">
      <c r="H95" s="8" t="s">
        <v>364</v>
      </c>
    </row>
    <row r="96">
      <c r="H96" s="8" t="s">
        <v>364</v>
      </c>
    </row>
    <row r="97">
      <c r="H97" s="8" t="s">
        <v>364</v>
      </c>
    </row>
    <row r="98">
      <c r="H98" s="8" t="s">
        <v>364</v>
      </c>
    </row>
    <row r="99">
      <c r="H99" s="8" t="s">
        <v>364</v>
      </c>
    </row>
    <row r="100">
      <c r="H100" s="8" t="s">
        <v>364</v>
      </c>
    </row>
    <row r="101">
      <c r="H101" s="8" t="s">
        <v>364</v>
      </c>
    </row>
    <row r="102">
      <c r="H102" s="8" t="s">
        <v>364</v>
      </c>
    </row>
    <row r="103">
      <c r="H103" s="8" t="s">
        <v>364</v>
      </c>
    </row>
    <row r="104">
      <c r="H104" s="8" t="s">
        <v>364</v>
      </c>
    </row>
    <row r="105">
      <c r="H105" s="8" t="s">
        <v>364</v>
      </c>
    </row>
    <row r="106">
      <c r="H106" s="8" t="s">
        <v>364</v>
      </c>
    </row>
    <row r="107">
      <c r="H107" s="8" t="s">
        <v>364</v>
      </c>
    </row>
    <row r="108">
      <c r="H108" s="8" t="s">
        <v>364</v>
      </c>
    </row>
    <row r="109">
      <c r="H109" s="8" t="s">
        <v>364</v>
      </c>
    </row>
    <row r="110">
      <c r="H110" s="8" t="s">
        <v>364</v>
      </c>
    </row>
    <row r="111">
      <c r="H111" s="8" t="s">
        <v>364</v>
      </c>
    </row>
    <row r="112">
      <c r="H112" s="8" t="s">
        <v>364</v>
      </c>
    </row>
    <row r="113">
      <c r="H113" s="8" t="s">
        <v>364</v>
      </c>
    </row>
    <row r="114">
      <c r="H114" s="8" t="s">
        <v>364</v>
      </c>
    </row>
    <row r="115">
      <c r="H115" s="8" t="s">
        <v>364</v>
      </c>
    </row>
    <row r="116">
      <c r="H116" s="8" t="s">
        <v>364</v>
      </c>
    </row>
    <row r="117">
      <c r="H117" s="8" t="s">
        <v>364</v>
      </c>
    </row>
    <row r="118">
      <c r="H118" s="8" t="s">
        <v>364</v>
      </c>
    </row>
    <row r="119">
      <c r="H119" s="8" t="s">
        <v>364</v>
      </c>
    </row>
    <row r="120">
      <c r="H120" s="8" t="s">
        <v>364</v>
      </c>
    </row>
    <row r="121">
      <c r="H121" s="8" t="s">
        <v>364</v>
      </c>
    </row>
    <row r="122">
      <c r="H122" s="8" t="s">
        <v>364</v>
      </c>
    </row>
    <row r="123">
      <c r="H123" s="8" t="s">
        <v>364</v>
      </c>
    </row>
    <row r="124">
      <c r="H124" s="8" t="s">
        <v>364</v>
      </c>
    </row>
    <row r="125">
      <c r="H125" s="8" t="s">
        <v>364</v>
      </c>
    </row>
    <row r="126">
      <c r="H126" s="8" t="s">
        <v>364</v>
      </c>
    </row>
    <row r="127">
      <c r="H127" s="8" t="s">
        <v>364</v>
      </c>
    </row>
    <row r="128">
      <c r="H128" s="8" t="s">
        <v>364</v>
      </c>
    </row>
    <row r="129">
      <c r="H129" s="8" t="s">
        <v>364</v>
      </c>
    </row>
    <row r="130">
      <c r="H130" s="8" t="s">
        <v>364</v>
      </c>
    </row>
    <row r="131">
      <c r="H131" s="8" t="s">
        <v>364</v>
      </c>
    </row>
    <row r="132">
      <c r="H132" s="8" t="s">
        <v>364</v>
      </c>
    </row>
    <row r="133">
      <c r="H133" s="8" t="s">
        <v>364</v>
      </c>
    </row>
    <row r="134">
      <c r="H134" s="8" t="s">
        <v>364</v>
      </c>
    </row>
    <row r="135">
      <c r="H135" s="8" t="s">
        <v>364</v>
      </c>
    </row>
    <row r="136">
      <c r="H136" s="8" t="s">
        <v>364</v>
      </c>
    </row>
    <row r="137">
      <c r="H137" s="8" t="s">
        <v>364</v>
      </c>
    </row>
    <row r="138">
      <c r="H138" s="8" t="s">
        <v>364</v>
      </c>
    </row>
    <row r="139">
      <c r="H139" s="8" t="s">
        <v>364</v>
      </c>
    </row>
    <row r="140">
      <c r="H140" s="8" t="s">
        <v>364</v>
      </c>
    </row>
    <row r="141">
      <c r="H141" s="8" t="s">
        <v>364</v>
      </c>
    </row>
    <row r="142">
      <c r="H142" s="8" t="s">
        <v>364</v>
      </c>
    </row>
    <row r="143">
      <c r="H143" s="8" t="s">
        <v>364</v>
      </c>
    </row>
    <row r="144">
      <c r="H144" s="8" t="s">
        <v>364</v>
      </c>
    </row>
    <row r="145">
      <c r="H145" s="8" t="s">
        <v>364</v>
      </c>
    </row>
    <row r="146">
      <c r="H146" s="8" t="s">
        <v>364</v>
      </c>
    </row>
    <row r="147">
      <c r="H147" s="8" t="s">
        <v>364</v>
      </c>
    </row>
    <row r="148">
      <c r="H148" s="8" t="s">
        <v>364</v>
      </c>
    </row>
    <row r="149">
      <c r="H149" s="8" t="s">
        <v>364</v>
      </c>
    </row>
    <row r="150">
      <c r="H150" s="8" t="s">
        <v>364</v>
      </c>
    </row>
    <row r="151">
      <c r="H151" s="8" t="s">
        <v>364</v>
      </c>
    </row>
    <row r="152">
      <c r="H152" s="8" t="s">
        <v>364</v>
      </c>
    </row>
    <row r="153">
      <c r="H153" s="8" t="s">
        <v>364</v>
      </c>
    </row>
    <row r="154">
      <c r="H154" s="8" t="s">
        <v>364</v>
      </c>
    </row>
    <row r="155">
      <c r="H155" s="8" t="s">
        <v>364</v>
      </c>
    </row>
    <row r="156">
      <c r="H156" s="8" t="s">
        <v>364</v>
      </c>
    </row>
    <row r="157">
      <c r="H157" s="8" t="s">
        <v>364</v>
      </c>
    </row>
    <row r="158">
      <c r="H158" s="8" t="s">
        <v>364</v>
      </c>
    </row>
    <row r="159">
      <c r="H159" s="8" t="s">
        <v>364</v>
      </c>
    </row>
    <row r="160">
      <c r="H160" s="8" t="s">
        <v>364</v>
      </c>
    </row>
    <row r="161">
      <c r="H161" s="8" t="s">
        <v>364</v>
      </c>
    </row>
    <row r="162">
      <c r="H162" s="8" t="s">
        <v>364</v>
      </c>
    </row>
    <row r="163">
      <c r="H163" s="8" t="s">
        <v>364</v>
      </c>
    </row>
    <row r="164">
      <c r="H164" s="8" t="s">
        <v>364</v>
      </c>
    </row>
    <row r="165">
      <c r="H165" s="8" t="s">
        <v>364</v>
      </c>
    </row>
    <row r="166">
      <c r="H166" s="8" t="s">
        <v>364</v>
      </c>
    </row>
    <row r="167">
      <c r="H167" s="8" t="s">
        <v>364</v>
      </c>
    </row>
    <row r="168">
      <c r="H168" s="8" t="s">
        <v>364</v>
      </c>
    </row>
    <row r="169">
      <c r="H169" s="8" t="s">
        <v>364</v>
      </c>
    </row>
    <row r="170">
      <c r="H170" s="8" t="s">
        <v>364</v>
      </c>
    </row>
    <row r="171">
      <c r="H171" s="8" t="s">
        <v>364</v>
      </c>
    </row>
    <row r="172">
      <c r="H172" s="8" t="s">
        <v>364</v>
      </c>
    </row>
    <row r="173">
      <c r="H173" s="8" t="s">
        <v>364</v>
      </c>
    </row>
    <row r="174">
      <c r="H174" s="8" t="s">
        <v>364</v>
      </c>
    </row>
    <row r="175">
      <c r="H175" s="8" t="s">
        <v>364</v>
      </c>
    </row>
    <row r="176">
      <c r="H176" s="8" t="s">
        <v>364</v>
      </c>
    </row>
    <row r="177">
      <c r="H177" s="8" t="s">
        <v>364</v>
      </c>
    </row>
    <row r="178">
      <c r="H178" s="8" t="s">
        <v>364</v>
      </c>
    </row>
    <row r="179">
      <c r="H179" s="8" t="s">
        <v>364</v>
      </c>
    </row>
    <row r="180">
      <c r="H180" s="8" t="s">
        <v>364</v>
      </c>
    </row>
    <row r="181">
      <c r="H181" s="8" t="s">
        <v>364</v>
      </c>
    </row>
    <row r="182">
      <c r="H182" s="8" t="s">
        <v>364</v>
      </c>
    </row>
    <row r="183">
      <c r="H183" s="8" t="s">
        <v>364</v>
      </c>
    </row>
    <row r="184">
      <c r="H184" s="8" t="s">
        <v>364</v>
      </c>
    </row>
    <row r="185">
      <c r="H185" s="8" t="s">
        <v>364</v>
      </c>
    </row>
    <row r="186">
      <c r="H186" s="8" t="s">
        <v>364</v>
      </c>
    </row>
    <row r="187">
      <c r="H187" s="8" t="s">
        <v>364</v>
      </c>
    </row>
    <row r="188">
      <c r="H188" s="8" t="s">
        <v>364</v>
      </c>
    </row>
    <row r="189">
      <c r="H189" s="8" t="s">
        <v>364</v>
      </c>
    </row>
    <row r="190">
      <c r="H190" s="8" t="s">
        <v>364</v>
      </c>
    </row>
    <row r="191">
      <c r="H191" s="8" t="s">
        <v>364</v>
      </c>
    </row>
    <row r="192">
      <c r="H192" s="8" t="s">
        <v>364</v>
      </c>
    </row>
    <row r="193">
      <c r="H193" s="8" t="s">
        <v>364</v>
      </c>
    </row>
    <row r="194">
      <c r="H194" s="8" t="s">
        <v>364</v>
      </c>
    </row>
    <row r="195">
      <c r="H195" s="8" t="s">
        <v>364</v>
      </c>
    </row>
    <row r="196">
      <c r="H196" s="8" t="s">
        <v>364</v>
      </c>
    </row>
    <row r="197">
      <c r="H197" s="8" t="s">
        <v>364</v>
      </c>
    </row>
    <row r="198">
      <c r="H198" s="8" t="s">
        <v>364</v>
      </c>
    </row>
    <row r="199">
      <c r="H199" s="8" t="s">
        <v>364</v>
      </c>
    </row>
    <row r="200">
      <c r="H200" s="8" t="s">
        <v>364</v>
      </c>
    </row>
    <row r="201">
      <c r="H201" s="8" t="s">
        <v>364</v>
      </c>
    </row>
    <row r="202">
      <c r="H202" s="8" t="s">
        <v>364</v>
      </c>
    </row>
    <row r="203">
      <c r="H203" s="8" t="s">
        <v>364</v>
      </c>
    </row>
    <row r="204">
      <c r="H204" s="8" t="s">
        <v>364</v>
      </c>
    </row>
    <row r="205">
      <c r="H205" s="8" t="s">
        <v>364</v>
      </c>
    </row>
    <row r="206">
      <c r="H206" s="8" t="s">
        <v>364</v>
      </c>
    </row>
    <row r="207">
      <c r="H207" s="8" t="s">
        <v>364</v>
      </c>
    </row>
    <row r="208">
      <c r="H208" s="8" t="s">
        <v>364</v>
      </c>
    </row>
    <row r="209">
      <c r="H209" s="8" t="s">
        <v>364</v>
      </c>
    </row>
    <row r="210">
      <c r="H210" s="8" t="s">
        <v>364</v>
      </c>
    </row>
    <row r="211">
      <c r="H211" s="8" t="s">
        <v>364</v>
      </c>
    </row>
    <row r="212">
      <c r="H212" s="8" t="s">
        <v>364</v>
      </c>
    </row>
    <row r="213">
      <c r="H213" s="8" t="s">
        <v>364</v>
      </c>
    </row>
    <row r="214">
      <c r="H214" s="8" t="s">
        <v>364</v>
      </c>
    </row>
    <row r="215">
      <c r="H215" s="8" t="s">
        <v>364</v>
      </c>
    </row>
    <row r="216">
      <c r="H216" s="8" t="s">
        <v>364</v>
      </c>
    </row>
    <row r="217">
      <c r="H217" s="8" t="s">
        <v>364</v>
      </c>
    </row>
    <row r="218">
      <c r="H218" s="8" t="s">
        <v>364</v>
      </c>
    </row>
    <row r="219">
      <c r="H219" s="8" t="s">
        <v>364</v>
      </c>
    </row>
    <row r="220">
      <c r="H220" s="8" t="s">
        <v>364</v>
      </c>
    </row>
    <row r="221">
      <c r="H221" s="8" t="s">
        <v>364</v>
      </c>
    </row>
    <row r="222">
      <c r="H222" s="8" t="s">
        <v>364</v>
      </c>
    </row>
    <row r="223">
      <c r="H223" s="8" t="s">
        <v>364</v>
      </c>
    </row>
    <row r="224">
      <c r="H224" s="8" t="s">
        <v>364</v>
      </c>
    </row>
    <row r="225">
      <c r="H225" s="8" t="s">
        <v>364</v>
      </c>
    </row>
    <row r="226">
      <c r="H226" s="8" t="s">
        <v>364</v>
      </c>
    </row>
    <row r="227">
      <c r="H227" s="8" t="s">
        <v>364</v>
      </c>
    </row>
    <row r="228">
      <c r="H228" s="8" t="s">
        <v>364</v>
      </c>
    </row>
    <row r="229">
      <c r="H229" s="8" t="s">
        <v>364</v>
      </c>
    </row>
    <row r="230">
      <c r="H230" s="8" t="s">
        <v>364</v>
      </c>
    </row>
    <row r="231">
      <c r="H231" s="8" t="s">
        <v>364</v>
      </c>
    </row>
    <row r="232">
      <c r="H232" s="8" t="s">
        <v>364</v>
      </c>
    </row>
    <row r="233">
      <c r="H233" s="8" t="s">
        <v>364</v>
      </c>
    </row>
    <row r="234">
      <c r="H234" s="8" t="s">
        <v>364</v>
      </c>
    </row>
    <row r="235">
      <c r="H235" s="8" t="s">
        <v>364</v>
      </c>
    </row>
    <row r="236">
      <c r="H236" s="8" t="s">
        <v>364</v>
      </c>
    </row>
    <row r="237">
      <c r="H237" s="8" t="s">
        <v>364</v>
      </c>
    </row>
    <row r="238">
      <c r="H238" s="8" t="s">
        <v>364</v>
      </c>
    </row>
    <row r="239">
      <c r="H239" s="8" t="s">
        <v>364</v>
      </c>
    </row>
    <row r="240">
      <c r="H240" s="8" t="s">
        <v>364</v>
      </c>
    </row>
    <row r="241">
      <c r="H241" s="8" t="s">
        <v>364</v>
      </c>
    </row>
    <row r="242">
      <c r="H242" s="8" t="s">
        <v>364</v>
      </c>
    </row>
    <row r="243">
      <c r="H243" s="8" t="s">
        <v>364</v>
      </c>
    </row>
    <row r="244">
      <c r="H244" s="8" t="s">
        <v>364</v>
      </c>
    </row>
    <row r="245">
      <c r="H245" s="8" t="s">
        <v>364</v>
      </c>
    </row>
    <row r="246">
      <c r="H246" s="8" t="s">
        <v>364</v>
      </c>
    </row>
    <row r="247">
      <c r="H247" s="8" t="s">
        <v>364</v>
      </c>
    </row>
    <row r="248">
      <c r="H248" s="8" t="s">
        <v>364</v>
      </c>
    </row>
    <row r="249">
      <c r="H249" s="8" t="s">
        <v>364</v>
      </c>
    </row>
    <row r="250">
      <c r="H250" s="8" t="s">
        <v>364</v>
      </c>
    </row>
    <row r="251">
      <c r="H251" s="8" t="s">
        <v>364</v>
      </c>
    </row>
    <row r="252">
      <c r="H252" s="8" t="s">
        <v>364</v>
      </c>
    </row>
    <row r="253">
      <c r="H253" s="8" t="s">
        <v>364</v>
      </c>
    </row>
    <row r="254">
      <c r="H254" s="8" t="s">
        <v>364</v>
      </c>
    </row>
    <row r="255">
      <c r="H255" s="8" t="s">
        <v>364</v>
      </c>
    </row>
    <row r="256">
      <c r="H256" s="8" t="s">
        <v>364</v>
      </c>
    </row>
    <row r="257">
      <c r="H257" s="8" t="s">
        <v>364</v>
      </c>
    </row>
    <row r="258">
      <c r="H258" s="8" t="s">
        <v>364</v>
      </c>
    </row>
    <row r="259">
      <c r="H259" s="8" t="s">
        <v>364</v>
      </c>
    </row>
    <row r="260">
      <c r="H260" s="8" t="s">
        <v>364</v>
      </c>
    </row>
    <row r="261">
      <c r="H261" s="8" t="s">
        <v>364</v>
      </c>
    </row>
    <row r="262">
      <c r="H262" s="8" t="s">
        <v>364</v>
      </c>
    </row>
    <row r="263">
      <c r="H263" s="8" t="s">
        <v>364</v>
      </c>
    </row>
    <row r="264">
      <c r="H264" s="8" t="s">
        <v>364</v>
      </c>
    </row>
    <row r="265">
      <c r="H265" s="8" t="s">
        <v>364</v>
      </c>
    </row>
    <row r="266">
      <c r="H266" s="8" t="s">
        <v>364</v>
      </c>
    </row>
    <row r="267">
      <c r="H267" s="8" t="s">
        <v>364</v>
      </c>
    </row>
    <row r="268">
      <c r="H268" s="8" t="s">
        <v>364</v>
      </c>
    </row>
    <row r="269">
      <c r="H269" s="8" t="s">
        <v>364</v>
      </c>
    </row>
    <row r="270">
      <c r="H270" s="8" t="s">
        <v>364</v>
      </c>
    </row>
    <row r="271">
      <c r="H271" s="8" t="s">
        <v>364</v>
      </c>
    </row>
    <row r="272">
      <c r="H272" s="8" t="s">
        <v>364</v>
      </c>
    </row>
    <row r="273">
      <c r="H273" s="8" t="s">
        <v>364</v>
      </c>
    </row>
    <row r="274">
      <c r="H274" s="8" t="s">
        <v>364</v>
      </c>
    </row>
    <row r="275">
      <c r="H275" s="8" t="s">
        <v>364</v>
      </c>
    </row>
    <row r="276">
      <c r="H276" s="8" t="s">
        <v>364</v>
      </c>
    </row>
    <row r="277">
      <c r="H277" s="8" t="s">
        <v>364</v>
      </c>
    </row>
    <row r="278">
      <c r="H278" s="8" t="s">
        <v>364</v>
      </c>
    </row>
    <row r="279">
      <c r="H279" s="8" t="s">
        <v>364</v>
      </c>
    </row>
    <row r="280">
      <c r="H280" s="8" t="s">
        <v>364</v>
      </c>
    </row>
    <row r="281">
      <c r="H281" s="8" t="s">
        <v>364</v>
      </c>
    </row>
    <row r="282">
      <c r="H282" s="8" t="s">
        <v>364</v>
      </c>
    </row>
    <row r="283">
      <c r="H283" s="8" t="s">
        <v>364</v>
      </c>
    </row>
    <row r="284">
      <c r="H284" s="8" t="s">
        <v>364</v>
      </c>
    </row>
    <row r="285">
      <c r="H285" s="8" t="s">
        <v>364</v>
      </c>
    </row>
    <row r="286">
      <c r="H286" s="8" t="s">
        <v>364</v>
      </c>
    </row>
    <row r="287">
      <c r="H287" s="8" t="s">
        <v>364</v>
      </c>
    </row>
    <row r="288">
      <c r="H288" s="8" t="s">
        <v>364</v>
      </c>
    </row>
    <row r="289">
      <c r="H289" s="8" t="s">
        <v>364</v>
      </c>
    </row>
    <row r="290">
      <c r="H290" s="8" t="s">
        <v>364</v>
      </c>
    </row>
    <row r="291">
      <c r="H291" s="8" t="s">
        <v>364</v>
      </c>
    </row>
    <row r="292">
      <c r="H292" s="8" t="s">
        <v>364</v>
      </c>
    </row>
    <row r="293">
      <c r="H293" s="8" t="s">
        <v>364</v>
      </c>
    </row>
    <row r="294">
      <c r="H294" s="8" t="s">
        <v>364</v>
      </c>
    </row>
    <row r="295">
      <c r="H295" s="8" t="s">
        <v>364</v>
      </c>
    </row>
    <row r="296">
      <c r="H296" s="8" t="s">
        <v>364</v>
      </c>
    </row>
    <row r="297">
      <c r="H297" s="8" t="s">
        <v>364</v>
      </c>
    </row>
    <row r="298">
      <c r="H298" s="8" t="s">
        <v>364</v>
      </c>
    </row>
    <row r="299">
      <c r="H299" s="8" t="s">
        <v>364</v>
      </c>
    </row>
    <row r="300">
      <c r="H300" s="8" t="s">
        <v>364</v>
      </c>
    </row>
    <row r="301">
      <c r="H301" s="8" t="s">
        <v>364</v>
      </c>
    </row>
    <row r="302">
      <c r="H302" s="8" t="s">
        <v>364</v>
      </c>
    </row>
    <row r="303">
      <c r="H303" s="8" t="s">
        <v>364</v>
      </c>
    </row>
    <row r="304">
      <c r="H304" s="8" t="s">
        <v>364</v>
      </c>
    </row>
    <row r="305">
      <c r="H305" s="8" t="s">
        <v>364</v>
      </c>
    </row>
    <row r="306">
      <c r="H306" s="8" t="s">
        <v>364</v>
      </c>
    </row>
    <row r="307">
      <c r="H307" s="8" t="s">
        <v>364</v>
      </c>
    </row>
    <row r="308">
      <c r="H308" s="8" t="s">
        <v>364</v>
      </c>
    </row>
    <row r="309">
      <c r="H309" s="8" t="s">
        <v>364</v>
      </c>
    </row>
    <row r="310">
      <c r="H310" s="8" t="s">
        <v>364</v>
      </c>
    </row>
    <row r="311">
      <c r="H311" s="8" t="s">
        <v>364</v>
      </c>
    </row>
    <row r="312">
      <c r="H312" s="8" t="s">
        <v>364</v>
      </c>
    </row>
    <row r="313">
      <c r="H313" s="8" t="s">
        <v>364</v>
      </c>
    </row>
    <row r="314">
      <c r="H314" s="8" t="s">
        <v>364</v>
      </c>
    </row>
    <row r="315">
      <c r="H315" s="8" t="s">
        <v>364</v>
      </c>
    </row>
    <row r="316">
      <c r="H316" s="8" t="s">
        <v>364</v>
      </c>
    </row>
    <row r="317">
      <c r="H317" s="8" t="s">
        <v>364</v>
      </c>
    </row>
    <row r="318">
      <c r="H318" s="8" t="s">
        <v>364</v>
      </c>
    </row>
    <row r="319">
      <c r="H319" s="8" t="s">
        <v>364</v>
      </c>
    </row>
    <row r="320">
      <c r="H320" s="8" t="s">
        <v>364</v>
      </c>
    </row>
    <row r="321">
      <c r="H321" s="8" t="s">
        <v>364</v>
      </c>
    </row>
    <row r="322">
      <c r="H322" s="8" t="s">
        <v>364</v>
      </c>
    </row>
    <row r="323">
      <c r="H323" s="8" t="s">
        <v>364</v>
      </c>
    </row>
    <row r="324">
      <c r="H324" s="8" t="s">
        <v>364</v>
      </c>
    </row>
    <row r="325">
      <c r="H325" s="8" t="s">
        <v>364</v>
      </c>
    </row>
    <row r="326">
      <c r="H326" s="8" t="s">
        <v>364</v>
      </c>
    </row>
    <row r="327">
      <c r="H327" s="8" t="s">
        <v>364</v>
      </c>
    </row>
    <row r="328">
      <c r="H328" s="8" t="s">
        <v>364</v>
      </c>
    </row>
    <row r="329">
      <c r="H329" s="8" t="s">
        <v>364</v>
      </c>
    </row>
    <row r="330">
      <c r="H330" s="8" t="s">
        <v>364</v>
      </c>
    </row>
    <row r="331">
      <c r="H331" s="8" t="s">
        <v>364</v>
      </c>
    </row>
    <row r="332">
      <c r="H332" s="8" t="s">
        <v>364</v>
      </c>
    </row>
    <row r="333">
      <c r="H333" s="8" t="s">
        <v>364</v>
      </c>
    </row>
    <row r="334">
      <c r="H334" s="8" t="s">
        <v>364</v>
      </c>
    </row>
    <row r="335">
      <c r="H335" s="8" t="s">
        <v>364</v>
      </c>
    </row>
    <row r="336">
      <c r="H336" s="8" t="s">
        <v>364</v>
      </c>
    </row>
    <row r="337">
      <c r="H337" s="8" t="s">
        <v>364</v>
      </c>
    </row>
    <row r="338">
      <c r="H338" s="8" t="s">
        <v>364</v>
      </c>
    </row>
    <row r="339">
      <c r="H339" s="8" t="s">
        <v>364</v>
      </c>
    </row>
    <row r="340">
      <c r="H340" s="8" t="s">
        <v>364</v>
      </c>
    </row>
    <row r="341">
      <c r="H341" s="8" t="s">
        <v>364</v>
      </c>
    </row>
    <row r="342">
      <c r="H342" s="8" t="s">
        <v>364</v>
      </c>
    </row>
    <row r="343">
      <c r="H343" s="8" t="s">
        <v>364</v>
      </c>
    </row>
    <row r="344">
      <c r="H344" s="8" t="s">
        <v>364</v>
      </c>
    </row>
    <row r="345">
      <c r="H345" s="8" t="s">
        <v>364</v>
      </c>
    </row>
    <row r="346">
      <c r="H346" s="8" t="s">
        <v>364</v>
      </c>
    </row>
    <row r="347">
      <c r="H347" s="8" t="s">
        <v>364</v>
      </c>
    </row>
    <row r="348">
      <c r="H348" s="8" t="s">
        <v>364</v>
      </c>
    </row>
    <row r="349">
      <c r="H349" s="8" t="s">
        <v>364</v>
      </c>
    </row>
    <row r="350">
      <c r="H350" s="8" t="s">
        <v>364</v>
      </c>
    </row>
    <row r="351">
      <c r="H351" s="8" t="s">
        <v>364</v>
      </c>
    </row>
    <row r="352">
      <c r="H352" s="8" t="s">
        <v>364</v>
      </c>
    </row>
    <row r="353">
      <c r="H353" s="8" t="s">
        <v>364</v>
      </c>
    </row>
    <row r="354">
      <c r="H354" s="8" t="s">
        <v>364</v>
      </c>
    </row>
    <row r="355">
      <c r="H355" s="8" t="s">
        <v>364</v>
      </c>
    </row>
    <row r="356">
      <c r="H356" s="8" t="s">
        <v>364</v>
      </c>
    </row>
    <row r="357">
      <c r="H357" s="8" t="s">
        <v>364</v>
      </c>
    </row>
    <row r="358">
      <c r="H358" s="8" t="s">
        <v>364</v>
      </c>
    </row>
    <row r="359">
      <c r="H359" s="8" t="s">
        <v>364</v>
      </c>
    </row>
    <row r="360">
      <c r="H360" s="8" t="s">
        <v>364</v>
      </c>
    </row>
    <row r="361">
      <c r="H361" s="8" t="s">
        <v>364</v>
      </c>
    </row>
    <row r="362">
      <c r="H362" s="8" t="s">
        <v>364</v>
      </c>
    </row>
    <row r="363">
      <c r="H363" s="8" t="s">
        <v>364</v>
      </c>
    </row>
    <row r="364">
      <c r="H364" s="8" t="s">
        <v>364</v>
      </c>
    </row>
    <row r="365">
      <c r="H365" s="8" t="s">
        <v>364</v>
      </c>
    </row>
    <row r="366">
      <c r="H366" s="8" t="s">
        <v>364</v>
      </c>
    </row>
    <row r="367">
      <c r="H367" s="8" t="s">
        <v>364</v>
      </c>
    </row>
    <row r="368">
      <c r="H368" s="8" t="s">
        <v>364</v>
      </c>
    </row>
    <row r="369">
      <c r="H369" s="8" t="s">
        <v>364</v>
      </c>
    </row>
    <row r="370">
      <c r="H370" s="8" t="s">
        <v>364</v>
      </c>
    </row>
    <row r="371">
      <c r="H371" s="8" t="s">
        <v>364</v>
      </c>
    </row>
    <row r="372">
      <c r="H372" s="8" t="s">
        <v>364</v>
      </c>
    </row>
    <row r="373">
      <c r="H373" s="8" t="s">
        <v>364</v>
      </c>
    </row>
    <row r="374">
      <c r="H374" s="8" t="s">
        <v>364</v>
      </c>
    </row>
    <row r="375">
      <c r="H375" s="8" t="s">
        <v>364</v>
      </c>
    </row>
    <row r="376">
      <c r="H376" s="8" t="s">
        <v>364</v>
      </c>
    </row>
    <row r="377">
      <c r="H377" s="8" t="s">
        <v>364</v>
      </c>
    </row>
    <row r="378">
      <c r="H378" s="8" t="s">
        <v>364</v>
      </c>
    </row>
    <row r="379">
      <c r="H379" s="8" t="s">
        <v>364</v>
      </c>
    </row>
    <row r="380">
      <c r="H380" s="8" t="s">
        <v>364</v>
      </c>
    </row>
    <row r="381">
      <c r="H381" s="8" t="s">
        <v>364</v>
      </c>
    </row>
    <row r="382">
      <c r="H382" s="8" t="s">
        <v>364</v>
      </c>
    </row>
    <row r="383">
      <c r="H383" s="8" t="s">
        <v>364</v>
      </c>
    </row>
    <row r="384">
      <c r="H384" s="8" t="s">
        <v>364</v>
      </c>
    </row>
    <row r="385">
      <c r="H385" s="8" t="s">
        <v>364</v>
      </c>
    </row>
    <row r="386">
      <c r="H386" s="8" t="s">
        <v>364</v>
      </c>
    </row>
    <row r="387">
      <c r="H387" s="8" t="s">
        <v>364</v>
      </c>
    </row>
    <row r="388">
      <c r="H388" s="8" t="s">
        <v>364</v>
      </c>
    </row>
    <row r="389">
      <c r="H389" s="8" t="s">
        <v>364</v>
      </c>
    </row>
    <row r="390">
      <c r="H390" s="8" t="s">
        <v>364</v>
      </c>
    </row>
    <row r="391">
      <c r="H391" s="8" t="s">
        <v>364</v>
      </c>
    </row>
    <row r="392">
      <c r="H392" s="8" t="s">
        <v>364</v>
      </c>
    </row>
    <row r="393">
      <c r="H393" s="8" t="s">
        <v>364</v>
      </c>
    </row>
    <row r="394">
      <c r="H394" s="8" t="s">
        <v>364</v>
      </c>
    </row>
    <row r="395">
      <c r="H395" s="8" t="s">
        <v>364</v>
      </c>
    </row>
    <row r="396">
      <c r="H396" s="8" t="s">
        <v>364</v>
      </c>
    </row>
    <row r="397">
      <c r="H397" s="8" t="s">
        <v>364</v>
      </c>
    </row>
    <row r="398">
      <c r="H398" s="8" t="s">
        <v>364</v>
      </c>
    </row>
    <row r="399">
      <c r="H399" s="8" t="s">
        <v>364</v>
      </c>
    </row>
    <row r="400">
      <c r="H400" s="8" t="s">
        <v>364</v>
      </c>
    </row>
    <row r="401">
      <c r="H401" s="8" t="s">
        <v>364</v>
      </c>
    </row>
    <row r="402">
      <c r="H402" s="8" t="s">
        <v>364</v>
      </c>
    </row>
    <row r="403">
      <c r="H403" s="8" t="s">
        <v>364</v>
      </c>
    </row>
    <row r="404">
      <c r="H404" s="8" t="s">
        <v>364</v>
      </c>
    </row>
    <row r="405">
      <c r="H405" s="8" t="s">
        <v>364</v>
      </c>
    </row>
    <row r="406">
      <c r="H406" s="8" t="s">
        <v>364</v>
      </c>
    </row>
    <row r="407">
      <c r="H407" s="8" t="s">
        <v>364</v>
      </c>
    </row>
    <row r="408">
      <c r="H408" s="8" t="s">
        <v>364</v>
      </c>
    </row>
    <row r="409">
      <c r="H409" s="8" t="s">
        <v>364</v>
      </c>
    </row>
    <row r="410">
      <c r="H410" s="8" t="s">
        <v>364</v>
      </c>
    </row>
    <row r="411">
      <c r="H411" s="8" t="s">
        <v>364</v>
      </c>
    </row>
    <row r="412">
      <c r="H412" s="8" t="s">
        <v>364</v>
      </c>
    </row>
    <row r="413">
      <c r="H413" s="8" t="s">
        <v>364</v>
      </c>
    </row>
    <row r="414">
      <c r="H414" s="8" t="s">
        <v>364</v>
      </c>
    </row>
    <row r="415">
      <c r="H415" s="8" t="s">
        <v>364</v>
      </c>
    </row>
    <row r="416">
      <c r="H416" s="8" t="s">
        <v>364</v>
      </c>
    </row>
    <row r="417">
      <c r="H417" s="8" t="s">
        <v>364</v>
      </c>
    </row>
    <row r="418">
      <c r="H418" s="8" t="s">
        <v>364</v>
      </c>
    </row>
    <row r="419">
      <c r="H419" s="8" t="s">
        <v>364</v>
      </c>
    </row>
    <row r="420">
      <c r="H420" s="8" t="s">
        <v>364</v>
      </c>
    </row>
    <row r="421">
      <c r="H421" s="8" t="s">
        <v>364</v>
      </c>
    </row>
    <row r="422">
      <c r="H422" s="8" t="s">
        <v>364</v>
      </c>
    </row>
    <row r="423">
      <c r="H423" s="8" t="s">
        <v>364</v>
      </c>
    </row>
    <row r="424">
      <c r="H424" s="8" t="s">
        <v>364</v>
      </c>
    </row>
    <row r="425">
      <c r="H425" s="8" t="s">
        <v>364</v>
      </c>
    </row>
    <row r="426">
      <c r="H426" s="8" t="s">
        <v>364</v>
      </c>
    </row>
    <row r="427">
      <c r="H427" s="8" t="s">
        <v>364</v>
      </c>
    </row>
    <row r="428">
      <c r="H428" s="8" t="s">
        <v>364</v>
      </c>
    </row>
    <row r="429">
      <c r="H429" s="8" t="s">
        <v>364</v>
      </c>
    </row>
    <row r="430">
      <c r="H430" s="8" t="s">
        <v>364</v>
      </c>
    </row>
    <row r="431">
      <c r="H431" s="8" t="s">
        <v>364</v>
      </c>
    </row>
    <row r="432">
      <c r="H432" s="8" t="s">
        <v>364</v>
      </c>
    </row>
    <row r="433">
      <c r="H433" s="8" t="s">
        <v>364</v>
      </c>
    </row>
    <row r="434">
      <c r="H434" s="8" t="s">
        <v>364</v>
      </c>
    </row>
    <row r="435">
      <c r="H435" s="8" t="s">
        <v>364</v>
      </c>
    </row>
    <row r="436">
      <c r="H436" s="8" t="s">
        <v>364</v>
      </c>
    </row>
    <row r="437">
      <c r="H437" s="8" t="s">
        <v>364</v>
      </c>
    </row>
    <row r="438">
      <c r="H438" s="8" t="s">
        <v>364</v>
      </c>
    </row>
    <row r="439">
      <c r="H439" s="8" t="s">
        <v>364</v>
      </c>
    </row>
    <row r="440">
      <c r="H440" s="8" t="s">
        <v>364</v>
      </c>
    </row>
    <row r="441">
      <c r="H441" s="8" t="s">
        <v>364</v>
      </c>
    </row>
    <row r="442">
      <c r="H442" s="8" t="s">
        <v>364</v>
      </c>
    </row>
    <row r="443">
      <c r="H443" s="8" t="s">
        <v>364</v>
      </c>
    </row>
    <row r="444">
      <c r="H444" s="8" t="s">
        <v>364</v>
      </c>
    </row>
    <row r="445">
      <c r="H445" s="8" t="s">
        <v>364</v>
      </c>
    </row>
    <row r="446">
      <c r="H446" s="8" t="s">
        <v>364</v>
      </c>
    </row>
    <row r="447">
      <c r="H447" s="8" t="s">
        <v>364</v>
      </c>
    </row>
    <row r="448">
      <c r="H448" s="8" t="s">
        <v>364</v>
      </c>
    </row>
    <row r="449">
      <c r="H449" s="8" t="s">
        <v>364</v>
      </c>
    </row>
    <row r="450">
      <c r="H450" s="8" t="s">
        <v>364</v>
      </c>
    </row>
    <row r="451">
      <c r="H451" s="8" t="s">
        <v>364</v>
      </c>
    </row>
    <row r="452">
      <c r="H452" s="8" t="s">
        <v>364</v>
      </c>
    </row>
    <row r="453">
      <c r="H453" s="8" t="s">
        <v>364</v>
      </c>
    </row>
    <row r="454">
      <c r="H454" s="8" t="s">
        <v>364</v>
      </c>
    </row>
    <row r="455">
      <c r="H455" s="8" t="s">
        <v>364</v>
      </c>
    </row>
    <row r="456">
      <c r="H456" s="8" t="s">
        <v>364</v>
      </c>
    </row>
    <row r="457">
      <c r="H457" s="8" t="s">
        <v>364</v>
      </c>
    </row>
    <row r="458">
      <c r="H458" s="8" t="s">
        <v>364</v>
      </c>
    </row>
    <row r="459">
      <c r="H459" s="8" t="s">
        <v>364</v>
      </c>
    </row>
    <row r="460">
      <c r="H460" s="8" t="s">
        <v>364</v>
      </c>
    </row>
    <row r="461">
      <c r="H461" s="8" t="s">
        <v>364</v>
      </c>
    </row>
    <row r="462">
      <c r="H462" s="8" t="s">
        <v>364</v>
      </c>
    </row>
    <row r="463">
      <c r="H463" s="8" t="s">
        <v>364</v>
      </c>
    </row>
    <row r="464">
      <c r="H464" s="8" t="s">
        <v>364</v>
      </c>
    </row>
    <row r="465">
      <c r="H465" s="8" t="s">
        <v>364</v>
      </c>
    </row>
    <row r="466">
      <c r="H466" s="8" t="s">
        <v>364</v>
      </c>
    </row>
    <row r="467">
      <c r="H467" s="8" t="s">
        <v>364</v>
      </c>
    </row>
    <row r="468">
      <c r="H468" s="8" t="s">
        <v>364</v>
      </c>
    </row>
    <row r="469">
      <c r="H469" s="8" t="s">
        <v>364</v>
      </c>
    </row>
    <row r="470">
      <c r="H470" s="8" t="s">
        <v>364</v>
      </c>
    </row>
    <row r="471">
      <c r="H471" s="8" t="s">
        <v>364</v>
      </c>
    </row>
    <row r="472">
      <c r="H472" s="8" t="s">
        <v>364</v>
      </c>
    </row>
    <row r="473">
      <c r="H473" s="8" t="s">
        <v>364</v>
      </c>
    </row>
    <row r="474">
      <c r="H474" s="8" t="s">
        <v>364</v>
      </c>
    </row>
    <row r="475">
      <c r="H475" s="8" t="s">
        <v>364</v>
      </c>
    </row>
    <row r="476">
      <c r="H476" s="8" t="s">
        <v>364</v>
      </c>
    </row>
    <row r="477">
      <c r="H477" s="8" t="s">
        <v>364</v>
      </c>
    </row>
    <row r="478">
      <c r="H478" s="8" t="s">
        <v>364</v>
      </c>
    </row>
    <row r="479">
      <c r="H479" s="8" t="s">
        <v>364</v>
      </c>
    </row>
    <row r="480">
      <c r="H480" s="8" t="s">
        <v>364</v>
      </c>
    </row>
    <row r="481">
      <c r="H481" s="8" t="s">
        <v>364</v>
      </c>
    </row>
    <row r="482">
      <c r="H482" s="8" t="s">
        <v>364</v>
      </c>
    </row>
    <row r="483">
      <c r="H483" s="8" t="s">
        <v>364</v>
      </c>
    </row>
    <row r="484">
      <c r="H484" s="8" t="s">
        <v>364</v>
      </c>
    </row>
    <row r="485">
      <c r="H485" s="8" t="s">
        <v>364</v>
      </c>
    </row>
    <row r="486">
      <c r="H486" s="8" t="s">
        <v>364</v>
      </c>
    </row>
    <row r="487">
      <c r="H487" s="8" t="s">
        <v>364</v>
      </c>
    </row>
    <row r="488">
      <c r="H488" s="8" t="s">
        <v>364</v>
      </c>
    </row>
    <row r="489">
      <c r="H489" s="8" t="s">
        <v>364</v>
      </c>
    </row>
    <row r="490">
      <c r="H490" s="8" t="s">
        <v>364</v>
      </c>
    </row>
    <row r="491">
      <c r="H491" s="8" t="s">
        <v>364</v>
      </c>
    </row>
    <row r="492">
      <c r="H492" s="8" t="s">
        <v>364</v>
      </c>
    </row>
    <row r="493">
      <c r="H493" s="8" t="s">
        <v>364</v>
      </c>
    </row>
    <row r="494">
      <c r="H494" s="8" t="s">
        <v>364</v>
      </c>
    </row>
    <row r="495">
      <c r="H495" s="8" t="s">
        <v>364</v>
      </c>
    </row>
    <row r="496">
      <c r="H496" s="8" t="s">
        <v>364</v>
      </c>
    </row>
    <row r="497">
      <c r="H497" s="8" t="s">
        <v>364</v>
      </c>
    </row>
    <row r="498">
      <c r="H498" s="8" t="s">
        <v>364</v>
      </c>
    </row>
    <row r="499">
      <c r="H499" s="8" t="s">
        <v>364</v>
      </c>
    </row>
    <row r="500">
      <c r="H500" s="8" t="s">
        <v>364</v>
      </c>
    </row>
    <row r="501">
      <c r="H501" s="8" t="s">
        <v>364</v>
      </c>
    </row>
    <row r="502">
      <c r="H502" s="8" t="s">
        <v>364</v>
      </c>
    </row>
    <row r="503">
      <c r="H503" s="8" t="s">
        <v>364</v>
      </c>
    </row>
    <row r="504">
      <c r="H504" s="8" t="s">
        <v>364</v>
      </c>
    </row>
    <row r="505">
      <c r="H505" s="8" t="s">
        <v>364</v>
      </c>
    </row>
    <row r="506">
      <c r="H506" s="8" t="s">
        <v>364</v>
      </c>
    </row>
    <row r="507">
      <c r="H507" s="8" t="s">
        <v>364</v>
      </c>
    </row>
    <row r="508">
      <c r="H508" s="8" t="s">
        <v>364</v>
      </c>
    </row>
    <row r="509">
      <c r="H509" s="8" t="s">
        <v>364</v>
      </c>
    </row>
    <row r="510">
      <c r="H510" s="8" t="s">
        <v>364</v>
      </c>
    </row>
    <row r="511">
      <c r="H511" s="8" t="s">
        <v>364</v>
      </c>
    </row>
    <row r="512">
      <c r="H512" s="8" t="s">
        <v>364</v>
      </c>
    </row>
    <row r="513">
      <c r="H513" s="8" t="s">
        <v>364</v>
      </c>
    </row>
    <row r="514">
      <c r="H514" s="8" t="s">
        <v>364</v>
      </c>
    </row>
    <row r="515">
      <c r="H515" s="8" t="s">
        <v>364</v>
      </c>
    </row>
    <row r="516">
      <c r="H516" s="8" t="s">
        <v>364</v>
      </c>
    </row>
    <row r="517">
      <c r="H517" s="8" t="s">
        <v>364</v>
      </c>
    </row>
    <row r="518">
      <c r="H518" s="8" t="s">
        <v>364</v>
      </c>
    </row>
    <row r="519">
      <c r="H519" s="8" t="s">
        <v>364</v>
      </c>
    </row>
    <row r="520">
      <c r="H520" s="8" t="s">
        <v>364</v>
      </c>
    </row>
    <row r="521">
      <c r="H521" s="8" t="s">
        <v>364</v>
      </c>
    </row>
    <row r="522">
      <c r="H522" s="8" t="s">
        <v>364</v>
      </c>
    </row>
    <row r="523">
      <c r="H523" s="8" t="s">
        <v>364</v>
      </c>
    </row>
    <row r="524">
      <c r="H524" s="8" t="s">
        <v>364</v>
      </c>
    </row>
    <row r="525">
      <c r="H525" s="8" t="s">
        <v>364</v>
      </c>
    </row>
    <row r="526">
      <c r="H526" s="8" t="s">
        <v>364</v>
      </c>
    </row>
    <row r="527">
      <c r="H527" s="8" t="s">
        <v>364</v>
      </c>
    </row>
    <row r="528">
      <c r="H528" s="8" t="s">
        <v>364</v>
      </c>
    </row>
    <row r="529">
      <c r="H529" s="8" t="s">
        <v>364</v>
      </c>
    </row>
    <row r="530">
      <c r="H530" s="8" t="s">
        <v>364</v>
      </c>
    </row>
    <row r="531">
      <c r="H531" s="8" t="s">
        <v>364</v>
      </c>
    </row>
    <row r="532">
      <c r="H532" s="8" t="s">
        <v>364</v>
      </c>
    </row>
    <row r="533">
      <c r="H533" s="8" t="s">
        <v>364</v>
      </c>
    </row>
    <row r="534">
      <c r="H534" s="8" t="s">
        <v>364</v>
      </c>
    </row>
    <row r="535">
      <c r="H535" s="8" t="s">
        <v>364</v>
      </c>
    </row>
    <row r="536">
      <c r="H536" s="8" t="s">
        <v>364</v>
      </c>
    </row>
    <row r="537">
      <c r="H537" s="8" t="s">
        <v>364</v>
      </c>
    </row>
    <row r="538">
      <c r="H538" s="8" t="s">
        <v>364</v>
      </c>
    </row>
    <row r="539">
      <c r="H539" s="8" t="s">
        <v>364</v>
      </c>
    </row>
    <row r="540">
      <c r="H540" s="8" t="s">
        <v>364</v>
      </c>
    </row>
    <row r="541">
      <c r="H541" s="8" t="s">
        <v>364</v>
      </c>
    </row>
    <row r="542">
      <c r="H542" s="8" t="s">
        <v>364</v>
      </c>
    </row>
    <row r="543">
      <c r="H543" s="8" t="s">
        <v>364</v>
      </c>
    </row>
    <row r="544">
      <c r="H544" s="8" t="s">
        <v>364</v>
      </c>
    </row>
    <row r="545">
      <c r="H545" s="8" t="s">
        <v>364</v>
      </c>
    </row>
    <row r="546">
      <c r="H546" s="8" t="s">
        <v>364</v>
      </c>
    </row>
    <row r="547">
      <c r="H547" s="8" t="s">
        <v>364</v>
      </c>
    </row>
    <row r="548">
      <c r="H548" s="8" t="s">
        <v>364</v>
      </c>
    </row>
    <row r="549">
      <c r="H549" s="8" t="s">
        <v>364</v>
      </c>
    </row>
    <row r="550">
      <c r="H550" s="8" t="s">
        <v>364</v>
      </c>
    </row>
    <row r="551">
      <c r="H551" s="8" t="s">
        <v>364</v>
      </c>
    </row>
    <row r="552">
      <c r="H552" s="8" t="s">
        <v>364</v>
      </c>
    </row>
    <row r="553">
      <c r="H553" s="8" t="s">
        <v>364</v>
      </c>
    </row>
    <row r="554">
      <c r="H554" s="8" t="s">
        <v>364</v>
      </c>
    </row>
    <row r="555">
      <c r="H555" s="8" t="s">
        <v>364</v>
      </c>
    </row>
    <row r="556">
      <c r="H556" s="8" t="s">
        <v>364</v>
      </c>
    </row>
    <row r="557">
      <c r="H557" s="8" t="s">
        <v>364</v>
      </c>
    </row>
    <row r="558">
      <c r="H558" s="8" t="s">
        <v>364</v>
      </c>
    </row>
    <row r="559">
      <c r="H559" s="8" t="s">
        <v>364</v>
      </c>
    </row>
    <row r="560">
      <c r="H560" s="8" t="s">
        <v>364</v>
      </c>
    </row>
    <row r="561">
      <c r="H561" s="8" t="s">
        <v>364</v>
      </c>
    </row>
    <row r="562">
      <c r="H562" s="8" t="s">
        <v>364</v>
      </c>
    </row>
    <row r="563">
      <c r="H563" s="8" t="s">
        <v>364</v>
      </c>
    </row>
    <row r="564">
      <c r="H564" s="8" t="s">
        <v>364</v>
      </c>
    </row>
    <row r="565">
      <c r="H565" s="8" t="s">
        <v>364</v>
      </c>
    </row>
    <row r="566">
      <c r="H566" s="8" t="s">
        <v>364</v>
      </c>
    </row>
    <row r="567">
      <c r="H567" s="8" t="s">
        <v>364</v>
      </c>
    </row>
    <row r="568">
      <c r="H568" s="8" t="s">
        <v>364</v>
      </c>
    </row>
    <row r="569">
      <c r="H569" s="8" t="s">
        <v>364</v>
      </c>
    </row>
    <row r="570">
      <c r="H570" s="8" t="s">
        <v>364</v>
      </c>
    </row>
    <row r="571">
      <c r="H571" s="8" t="s">
        <v>364</v>
      </c>
    </row>
    <row r="572">
      <c r="H572" s="8" t="s">
        <v>364</v>
      </c>
    </row>
    <row r="573">
      <c r="H573" s="8" t="s">
        <v>364</v>
      </c>
    </row>
    <row r="574">
      <c r="H574" s="8" t="s">
        <v>364</v>
      </c>
    </row>
    <row r="575">
      <c r="H575" s="8" t="s">
        <v>364</v>
      </c>
    </row>
    <row r="576">
      <c r="H576" s="8" t="s">
        <v>364</v>
      </c>
    </row>
    <row r="577">
      <c r="H577" s="8" t="s">
        <v>364</v>
      </c>
    </row>
    <row r="578">
      <c r="H578" s="8" t="s">
        <v>364</v>
      </c>
    </row>
    <row r="579">
      <c r="H579" s="8" t="s">
        <v>364</v>
      </c>
    </row>
    <row r="580">
      <c r="H580" s="8" t="s">
        <v>364</v>
      </c>
    </row>
    <row r="581">
      <c r="H581" s="8" t="s">
        <v>364</v>
      </c>
    </row>
    <row r="582">
      <c r="H582" s="8" t="s">
        <v>364</v>
      </c>
    </row>
    <row r="583">
      <c r="H583" s="8" t="s">
        <v>364</v>
      </c>
    </row>
    <row r="584">
      <c r="H584" s="8" t="s">
        <v>364</v>
      </c>
    </row>
    <row r="585">
      <c r="H585" s="8" t="s">
        <v>364</v>
      </c>
    </row>
    <row r="586">
      <c r="H586" s="8" t="s">
        <v>364</v>
      </c>
    </row>
    <row r="587">
      <c r="H587" s="8" t="s">
        <v>364</v>
      </c>
    </row>
    <row r="588">
      <c r="H588" s="8" t="s">
        <v>364</v>
      </c>
    </row>
    <row r="589">
      <c r="H589" s="8" t="s">
        <v>364</v>
      </c>
    </row>
    <row r="590">
      <c r="H590" s="8" t="s">
        <v>364</v>
      </c>
    </row>
    <row r="591">
      <c r="H591" s="8" t="s">
        <v>364</v>
      </c>
    </row>
    <row r="592">
      <c r="H592" s="8" t="s">
        <v>364</v>
      </c>
    </row>
    <row r="593">
      <c r="H593" s="8" t="s">
        <v>364</v>
      </c>
    </row>
    <row r="594">
      <c r="H594" s="8" t="s">
        <v>364</v>
      </c>
    </row>
    <row r="595">
      <c r="H595" s="8" t="s">
        <v>364</v>
      </c>
    </row>
    <row r="596">
      <c r="H596" s="8" t="s">
        <v>364</v>
      </c>
    </row>
    <row r="597">
      <c r="H597" s="8" t="s">
        <v>364</v>
      </c>
    </row>
    <row r="598">
      <c r="H598" s="8" t="s">
        <v>364</v>
      </c>
    </row>
    <row r="599">
      <c r="H599" s="8" t="s">
        <v>364</v>
      </c>
    </row>
    <row r="600">
      <c r="H600" s="8" t="s">
        <v>364</v>
      </c>
    </row>
    <row r="601">
      <c r="H601" s="8" t="s">
        <v>364</v>
      </c>
    </row>
    <row r="602">
      <c r="H602" s="8" t="s">
        <v>364</v>
      </c>
    </row>
    <row r="603">
      <c r="H603" s="8" t="s">
        <v>364</v>
      </c>
    </row>
    <row r="604">
      <c r="H604" s="8" t="s">
        <v>364</v>
      </c>
    </row>
    <row r="605">
      <c r="H605" s="8" t="s">
        <v>364</v>
      </c>
    </row>
    <row r="606">
      <c r="H606" s="8" t="s">
        <v>364</v>
      </c>
    </row>
    <row r="607">
      <c r="H607" s="8" t="s">
        <v>364</v>
      </c>
    </row>
    <row r="608">
      <c r="H608" s="8" t="s">
        <v>364</v>
      </c>
    </row>
    <row r="609">
      <c r="H609" s="8" t="s">
        <v>364</v>
      </c>
    </row>
    <row r="610">
      <c r="H610" s="8" t="s">
        <v>364</v>
      </c>
    </row>
    <row r="611">
      <c r="H611" s="8" t="s">
        <v>364</v>
      </c>
    </row>
    <row r="612">
      <c r="H612" s="8" t="s">
        <v>364</v>
      </c>
    </row>
    <row r="613">
      <c r="H613" s="8" t="s">
        <v>364</v>
      </c>
    </row>
    <row r="614">
      <c r="H614" s="8" t="s">
        <v>364</v>
      </c>
    </row>
    <row r="615">
      <c r="H615" s="8" t="s">
        <v>364</v>
      </c>
    </row>
    <row r="616">
      <c r="H616" s="8" t="s">
        <v>364</v>
      </c>
    </row>
    <row r="617">
      <c r="H617" s="8" t="s">
        <v>364</v>
      </c>
    </row>
    <row r="618">
      <c r="H618" s="8" t="s">
        <v>364</v>
      </c>
    </row>
    <row r="619">
      <c r="H619" s="8" t="s">
        <v>364</v>
      </c>
    </row>
    <row r="620">
      <c r="H620" s="8" t="s">
        <v>364</v>
      </c>
    </row>
    <row r="621">
      <c r="H621" s="8" t="s">
        <v>364</v>
      </c>
    </row>
    <row r="622">
      <c r="H622" s="8" t="s">
        <v>364</v>
      </c>
    </row>
    <row r="623">
      <c r="H623" s="8" t="s">
        <v>364</v>
      </c>
    </row>
    <row r="624">
      <c r="H624" s="8" t="s">
        <v>364</v>
      </c>
    </row>
    <row r="625">
      <c r="H625" s="8" t="s">
        <v>364</v>
      </c>
    </row>
    <row r="626">
      <c r="H626" s="8" t="s">
        <v>364</v>
      </c>
    </row>
    <row r="627">
      <c r="H627" s="8" t="s">
        <v>364</v>
      </c>
    </row>
    <row r="628">
      <c r="H628" s="8" t="s">
        <v>364</v>
      </c>
    </row>
    <row r="629">
      <c r="H629" s="8" t="s">
        <v>364</v>
      </c>
    </row>
    <row r="630">
      <c r="H630" s="8" t="s">
        <v>364</v>
      </c>
    </row>
    <row r="631">
      <c r="H631" s="8" t="s">
        <v>364</v>
      </c>
    </row>
    <row r="632">
      <c r="H632" s="8" t="s">
        <v>364</v>
      </c>
    </row>
    <row r="633">
      <c r="H633" s="8" t="s">
        <v>364</v>
      </c>
    </row>
    <row r="634">
      <c r="H634" s="8" t="s">
        <v>364</v>
      </c>
    </row>
    <row r="635">
      <c r="H635" s="8" t="s">
        <v>364</v>
      </c>
    </row>
    <row r="636">
      <c r="H636" s="8" t="s">
        <v>364</v>
      </c>
    </row>
    <row r="637">
      <c r="H637" s="8" t="s">
        <v>364</v>
      </c>
    </row>
    <row r="638">
      <c r="H638" s="8" t="s">
        <v>364</v>
      </c>
    </row>
    <row r="639">
      <c r="H639" s="8" t="s">
        <v>364</v>
      </c>
    </row>
    <row r="640">
      <c r="H640" s="8" t="s">
        <v>364</v>
      </c>
    </row>
    <row r="641">
      <c r="H641" s="8" t="s">
        <v>364</v>
      </c>
    </row>
    <row r="642">
      <c r="H642" s="8" t="s">
        <v>364</v>
      </c>
    </row>
    <row r="643">
      <c r="H643" s="8" t="s">
        <v>364</v>
      </c>
    </row>
    <row r="644">
      <c r="H644" s="8" t="s">
        <v>364</v>
      </c>
    </row>
    <row r="645">
      <c r="H645" s="8" t="s">
        <v>364</v>
      </c>
    </row>
    <row r="646">
      <c r="H646" s="8" t="s">
        <v>364</v>
      </c>
    </row>
    <row r="647">
      <c r="H647" s="8" t="s">
        <v>364</v>
      </c>
    </row>
    <row r="648">
      <c r="H648" s="8" t="s">
        <v>364</v>
      </c>
    </row>
    <row r="649">
      <c r="H649" s="8" t="s">
        <v>364</v>
      </c>
    </row>
    <row r="650">
      <c r="H650" s="8" t="s">
        <v>364</v>
      </c>
    </row>
    <row r="651">
      <c r="H651" s="8" t="s">
        <v>364</v>
      </c>
    </row>
    <row r="652">
      <c r="H652" s="8" t="s">
        <v>364</v>
      </c>
    </row>
    <row r="653">
      <c r="H653" s="8" t="s">
        <v>364</v>
      </c>
    </row>
    <row r="654">
      <c r="H654" s="8" t="s">
        <v>364</v>
      </c>
    </row>
    <row r="655">
      <c r="H655" s="8" t="s">
        <v>364</v>
      </c>
    </row>
    <row r="656">
      <c r="H656" s="8" t="s">
        <v>364</v>
      </c>
    </row>
    <row r="657">
      <c r="H657" s="8" t="s">
        <v>364</v>
      </c>
    </row>
    <row r="658">
      <c r="H658" s="8" t="s">
        <v>364</v>
      </c>
    </row>
    <row r="659">
      <c r="H659" s="8" t="s">
        <v>364</v>
      </c>
    </row>
    <row r="660">
      <c r="H660" s="8" t="s">
        <v>364</v>
      </c>
    </row>
    <row r="661">
      <c r="H661" s="8" t="s">
        <v>364</v>
      </c>
    </row>
    <row r="662">
      <c r="H662" s="8" t="s">
        <v>364</v>
      </c>
    </row>
    <row r="663">
      <c r="H663" s="8" t="s">
        <v>364</v>
      </c>
    </row>
    <row r="664">
      <c r="H664" s="8" t="s">
        <v>364</v>
      </c>
    </row>
    <row r="665">
      <c r="H665" s="8" t="s">
        <v>364</v>
      </c>
    </row>
    <row r="666">
      <c r="H666" s="8" t="s">
        <v>364</v>
      </c>
    </row>
    <row r="667">
      <c r="H667" s="8" t="s">
        <v>364</v>
      </c>
    </row>
    <row r="668">
      <c r="H668" s="8" t="s">
        <v>364</v>
      </c>
    </row>
    <row r="669">
      <c r="H669" s="8" t="s">
        <v>364</v>
      </c>
    </row>
    <row r="670">
      <c r="H670" s="8" t="s">
        <v>364</v>
      </c>
    </row>
    <row r="671">
      <c r="H671" s="8" t="s">
        <v>364</v>
      </c>
    </row>
    <row r="672">
      <c r="H672" s="8" t="s">
        <v>364</v>
      </c>
    </row>
    <row r="673">
      <c r="H673" s="8" t="s">
        <v>364</v>
      </c>
    </row>
    <row r="674">
      <c r="H674" s="8" t="s">
        <v>364</v>
      </c>
    </row>
    <row r="675">
      <c r="H675" s="8" t="s">
        <v>364</v>
      </c>
    </row>
    <row r="676">
      <c r="H676" s="8" t="s">
        <v>364</v>
      </c>
    </row>
    <row r="677">
      <c r="H677" s="8" t="s">
        <v>364</v>
      </c>
    </row>
    <row r="678">
      <c r="H678" s="8" t="s">
        <v>364</v>
      </c>
    </row>
    <row r="679">
      <c r="H679" s="8" t="s">
        <v>364</v>
      </c>
    </row>
    <row r="680">
      <c r="H680" s="8" t="s">
        <v>364</v>
      </c>
    </row>
    <row r="681">
      <c r="H681" s="8" t="s">
        <v>364</v>
      </c>
    </row>
    <row r="682">
      <c r="H682" s="8" t="s">
        <v>364</v>
      </c>
    </row>
    <row r="683">
      <c r="H683" s="8" t="s">
        <v>364</v>
      </c>
    </row>
    <row r="684">
      <c r="H684" s="8" t="s">
        <v>364</v>
      </c>
    </row>
    <row r="685">
      <c r="H685" s="8" t="s">
        <v>364</v>
      </c>
    </row>
    <row r="686">
      <c r="H686" s="8" t="s">
        <v>364</v>
      </c>
    </row>
    <row r="687">
      <c r="H687" s="8" t="s">
        <v>364</v>
      </c>
    </row>
    <row r="688">
      <c r="H688" s="8" t="s">
        <v>364</v>
      </c>
    </row>
    <row r="689">
      <c r="H689" s="8" t="s">
        <v>364</v>
      </c>
    </row>
    <row r="690">
      <c r="H690" s="8" t="s">
        <v>364</v>
      </c>
    </row>
    <row r="691">
      <c r="H691" s="8" t="s">
        <v>364</v>
      </c>
    </row>
    <row r="692">
      <c r="H692" s="8" t="s">
        <v>364</v>
      </c>
    </row>
    <row r="693">
      <c r="H693" s="8" t="s">
        <v>364</v>
      </c>
    </row>
    <row r="694">
      <c r="H694" s="8" t="s">
        <v>364</v>
      </c>
    </row>
    <row r="695">
      <c r="H695" s="8" t="s">
        <v>364</v>
      </c>
    </row>
    <row r="696">
      <c r="H696" s="8" t="s">
        <v>364</v>
      </c>
    </row>
    <row r="697">
      <c r="H697" s="8" t="s">
        <v>364</v>
      </c>
    </row>
    <row r="698">
      <c r="H698" s="8" t="s">
        <v>364</v>
      </c>
    </row>
    <row r="699">
      <c r="H699" s="8" t="s">
        <v>364</v>
      </c>
    </row>
    <row r="700">
      <c r="H700" s="8" t="s">
        <v>364</v>
      </c>
    </row>
    <row r="701">
      <c r="H701" s="8" t="s">
        <v>364</v>
      </c>
    </row>
    <row r="702">
      <c r="H702" s="8" t="s">
        <v>364</v>
      </c>
    </row>
    <row r="703">
      <c r="H703" s="8" t="s">
        <v>364</v>
      </c>
    </row>
    <row r="704">
      <c r="H704" s="8" t="s">
        <v>364</v>
      </c>
    </row>
    <row r="705">
      <c r="H705" s="8" t="s">
        <v>364</v>
      </c>
    </row>
    <row r="706">
      <c r="H706" s="8" t="s">
        <v>364</v>
      </c>
    </row>
    <row r="707">
      <c r="H707" s="8" t="s">
        <v>364</v>
      </c>
    </row>
    <row r="708">
      <c r="H708" s="8" t="s">
        <v>364</v>
      </c>
    </row>
    <row r="709">
      <c r="H709" s="8" t="s">
        <v>364</v>
      </c>
    </row>
    <row r="710">
      <c r="H710" s="8" t="s">
        <v>364</v>
      </c>
    </row>
    <row r="711">
      <c r="H711" s="8" t="s">
        <v>364</v>
      </c>
    </row>
    <row r="712">
      <c r="H712" s="8" t="s">
        <v>364</v>
      </c>
    </row>
    <row r="713">
      <c r="H713" s="8" t="s">
        <v>364</v>
      </c>
    </row>
    <row r="714">
      <c r="H714" s="8" t="s">
        <v>364</v>
      </c>
    </row>
    <row r="715">
      <c r="H715" s="8" t="s">
        <v>364</v>
      </c>
    </row>
    <row r="716">
      <c r="H716" s="8" t="s">
        <v>364</v>
      </c>
    </row>
    <row r="717">
      <c r="H717" s="8" t="s">
        <v>364</v>
      </c>
    </row>
    <row r="718">
      <c r="H718" s="8" t="s">
        <v>364</v>
      </c>
    </row>
    <row r="719">
      <c r="H719" s="8" t="s">
        <v>364</v>
      </c>
    </row>
    <row r="720">
      <c r="H720" s="8" t="s">
        <v>364</v>
      </c>
    </row>
    <row r="721">
      <c r="H721" s="8" t="s">
        <v>364</v>
      </c>
    </row>
    <row r="722">
      <c r="H722" s="8" t="s">
        <v>364</v>
      </c>
    </row>
    <row r="723">
      <c r="H723" s="8" t="s">
        <v>364</v>
      </c>
    </row>
    <row r="724">
      <c r="H724" s="8" t="s">
        <v>364</v>
      </c>
    </row>
    <row r="725">
      <c r="H725" s="8" t="s">
        <v>364</v>
      </c>
    </row>
    <row r="726">
      <c r="H726" s="8" t="s">
        <v>364</v>
      </c>
    </row>
    <row r="727">
      <c r="H727" s="8" t="s">
        <v>364</v>
      </c>
    </row>
    <row r="728">
      <c r="H728" s="8" t="s">
        <v>364</v>
      </c>
    </row>
    <row r="729">
      <c r="H729" s="8" t="s">
        <v>364</v>
      </c>
    </row>
    <row r="730">
      <c r="H730" s="8" t="s">
        <v>364</v>
      </c>
    </row>
    <row r="731">
      <c r="H731" s="8" t="s">
        <v>364</v>
      </c>
    </row>
    <row r="732">
      <c r="H732" s="8" t="s">
        <v>364</v>
      </c>
    </row>
    <row r="733">
      <c r="H733" s="8" t="s">
        <v>364</v>
      </c>
    </row>
    <row r="734">
      <c r="H734" s="8" t="s">
        <v>364</v>
      </c>
    </row>
    <row r="735">
      <c r="H735" s="8" t="s">
        <v>364</v>
      </c>
    </row>
    <row r="736">
      <c r="H736" s="8" t="s">
        <v>364</v>
      </c>
    </row>
    <row r="737">
      <c r="H737" s="8" t="s">
        <v>364</v>
      </c>
    </row>
    <row r="738">
      <c r="H738" s="8" t="s">
        <v>364</v>
      </c>
    </row>
    <row r="739">
      <c r="H739" s="8" t="s">
        <v>364</v>
      </c>
    </row>
    <row r="740">
      <c r="H740" s="8" t="s">
        <v>364</v>
      </c>
    </row>
    <row r="741">
      <c r="H741" s="8" t="s">
        <v>364</v>
      </c>
    </row>
    <row r="742">
      <c r="H742" s="8" t="s">
        <v>364</v>
      </c>
    </row>
    <row r="743">
      <c r="H743" s="8" t="s">
        <v>364</v>
      </c>
    </row>
    <row r="744">
      <c r="H744" s="8" t="s">
        <v>364</v>
      </c>
    </row>
    <row r="745">
      <c r="H745" s="8" t="s">
        <v>364</v>
      </c>
    </row>
    <row r="746">
      <c r="H746" s="8" t="s">
        <v>364</v>
      </c>
    </row>
    <row r="747">
      <c r="H747" s="8" t="s">
        <v>364</v>
      </c>
    </row>
    <row r="748">
      <c r="H748" s="8" t="s">
        <v>364</v>
      </c>
    </row>
    <row r="749">
      <c r="H749" s="8" t="s">
        <v>364</v>
      </c>
    </row>
    <row r="750">
      <c r="H750" s="8" t="s">
        <v>364</v>
      </c>
    </row>
    <row r="751">
      <c r="H751" s="8" t="s">
        <v>364</v>
      </c>
    </row>
    <row r="752">
      <c r="H752" s="8" t="s">
        <v>364</v>
      </c>
    </row>
    <row r="753">
      <c r="H753" s="8" t="s">
        <v>364</v>
      </c>
    </row>
    <row r="754">
      <c r="H754" s="8" t="s">
        <v>364</v>
      </c>
    </row>
    <row r="755">
      <c r="H755" s="8" t="s">
        <v>364</v>
      </c>
    </row>
    <row r="756">
      <c r="H756" s="8" t="s">
        <v>364</v>
      </c>
    </row>
    <row r="757">
      <c r="H757" s="8" t="s">
        <v>364</v>
      </c>
    </row>
    <row r="758">
      <c r="H758" s="8" t="s">
        <v>364</v>
      </c>
    </row>
    <row r="759">
      <c r="H759" s="8" t="s">
        <v>364</v>
      </c>
    </row>
    <row r="760">
      <c r="H760" s="8" t="s">
        <v>364</v>
      </c>
    </row>
    <row r="761">
      <c r="H761" s="8" t="s">
        <v>364</v>
      </c>
    </row>
    <row r="762">
      <c r="H762" s="8" t="s">
        <v>364</v>
      </c>
    </row>
    <row r="763">
      <c r="H763" s="8" t="s">
        <v>364</v>
      </c>
    </row>
    <row r="764">
      <c r="H764" s="8" t="s">
        <v>364</v>
      </c>
    </row>
    <row r="765">
      <c r="H765" s="8" t="s">
        <v>364</v>
      </c>
    </row>
    <row r="766">
      <c r="H766" s="8" t="s">
        <v>364</v>
      </c>
    </row>
    <row r="767">
      <c r="H767" s="8" t="s">
        <v>364</v>
      </c>
    </row>
    <row r="768">
      <c r="H768" s="8" t="s">
        <v>364</v>
      </c>
    </row>
    <row r="769">
      <c r="H769" s="8" t="s">
        <v>364</v>
      </c>
    </row>
    <row r="770">
      <c r="H770" s="8" t="s">
        <v>364</v>
      </c>
    </row>
    <row r="771">
      <c r="H771" s="8" t="s">
        <v>364</v>
      </c>
    </row>
    <row r="772">
      <c r="H772" s="8" t="s">
        <v>364</v>
      </c>
    </row>
    <row r="773">
      <c r="H773" s="8" t="s">
        <v>364</v>
      </c>
    </row>
    <row r="774">
      <c r="H774" s="8" t="s">
        <v>364</v>
      </c>
    </row>
    <row r="775">
      <c r="H775" s="8" t="s">
        <v>364</v>
      </c>
    </row>
    <row r="776">
      <c r="H776" s="8" t="s">
        <v>364</v>
      </c>
    </row>
    <row r="777">
      <c r="H777" s="8" t="s">
        <v>364</v>
      </c>
    </row>
    <row r="778">
      <c r="H778" s="8" t="s">
        <v>364</v>
      </c>
    </row>
    <row r="779">
      <c r="H779" s="8" t="s">
        <v>364</v>
      </c>
    </row>
    <row r="780">
      <c r="H780" s="8" t="s">
        <v>364</v>
      </c>
    </row>
    <row r="781">
      <c r="H781" s="8" t="s">
        <v>364</v>
      </c>
    </row>
    <row r="782">
      <c r="H782" s="8" t="s">
        <v>364</v>
      </c>
    </row>
    <row r="783">
      <c r="H783" s="8" t="s">
        <v>364</v>
      </c>
    </row>
    <row r="784">
      <c r="H784" s="8" t="s">
        <v>364</v>
      </c>
    </row>
    <row r="785">
      <c r="H785" s="8" t="s">
        <v>364</v>
      </c>
    </row>
    <row r="786">
      <c r="H786" s="8" t="s">
        <v>364</v>
      </c>
    </row>
    <row r="787">
      <c r="H787" s="8" t="s">
        <v>364</v>
      </c>
    </row>
    <row r="788">
      <c r="H788" s="8" t="s">
        <v>364</v>
      </c>
    </row>
    <row r="789">
      <c r="H789" s="8" t="s">
        <v>364</v>
      </c>
    </row>
    <row r="790">
      <c r="H790" s="8" t="s">
        <v>364</v>
      </c>
    </row>
    <row r="791">
      <c r="H791" s="8" t="s">
        <v>364</v>
      </c>
    </row>
    <row r="792">
      <c r="H792" s="8" t="s">
        <v>364</v>
      </c>
    </row>
    <row r="793">
      <c r="H793" s="8" t="s">
        <v>364</v>
      </c>
    </row>
    <row r="794">
      <c r="H794" s="8" t="s">
        <v>364</v>
      </c>
    </row>
    <row r="795">
      <c r="H795" s="8" t="s">
        <v>364</v>
      </c>
    </row>
    <row r="796">
      <c r="H796" s="8" t="s">
        <v>364</v>
      </c>
    </row>
    <row r="797">
      <c r="H797" s="8" t="s">
        <v>364</v>
      </c>
    </row>
    <row r="798">
      <c r="H798" s="8" t="s">
        <v>364</v>
      </c>
    </row>
    <row r="799">
      <c r="H799" s="8" t="s">
        <v>364</v>
      </c>
    </row>
    <row r="800">
      <c r="H800" s="8" t="s">
        <v>364</v>
      </c>
    </row>
    <row r="801">
      <c r="H801" s="8" t="s">
        <v>364</v>
      </c>
    </row>
    <row r="802">
      <c r="H802" s="8" t="s">
        <v>364</v>
      </c>
    </row>
    <row r="803">
      <c r="H803" s="8" t="s">
        <v>364</v>
      </c>
    </row>
    <row r="804">
      <c r="H804" s="8" t="s">
        <v>364</v>
      </c>
    </row>
    <row r="805">
      <c r="H805" s="8" t="s">
        <v>364</v>
      </c>
    </row>
    <row r="806">
      <c r="H806" s="8" t="s">
        <v>364</v>
      </c>
    </row>
    <row r="807">
      <c r="H807" s="8" t="s">
        <v>364</v>
      </c>
    </row>
    <row r="808">
      <c r="H808" s="8" t="s">
        <v>364</v>
      </c>
    </row>
    <row r="809">
      <c r="H809" s="8" t="s">
        <v>364</v>
      </c>
    </row>
    <row r="810">
      <c r="H810" s="8" t="s">
        <v>364</v>
      </c>
    </row>
    <row r="811">
      <c r="H811" s="8" t="s">
        <v>364</v>
      </c>
    </row>
    <row r="812">
      <c r="H812" s="8" t="s">
        <v>364</v>
      </c>
    </row>
    <row r="813">
      <c r="H813" s="8" t="s">
        <v>364</v>
      </c>
    </row>
    <row r="814">
      <c r="H814" s="8" t="s">
        <v>364</v>
      </c>
    </row>
    <row r="815">
      <c r="H815" s="8" t="s">
        <v>364</v>
      </c>
    </row>
    <row r="816">
      <c r="H816" s="8" t="s">
        <v>364</v>
      </c>
    </row>
    <row r="817">
      <c r="H817" s="8" t="s">
        <v>364</v>
      </c>
    </row>
    <row r="818">
      <c r="H818" s="8" t="s">
        <v>364</v>
      </c>
    </row>
    <row r="819">
      <c r="H819" s="8" t="s">
        <v>364</v>
      </c>
    </row>
    <row r="820">
      <c r="H820" s="8" t="s">
        <v>364</v>
      </c>
    </row>
    <row r="821">
      <c r="H821" s="8" t="s">
        <v>364</v>
      </c>
    </row>
    <row r="822">
      <c r="H822" s="8" t="s">
        <v>364</v>
      </c>
    </row>
    <row r="823">
      <c r="H823" s="8" t="s">
        <v>364</v>
      </c>
    </row>
    <row r="824">
      <c r="H824" s="8" t="s">
        <v>364</v>
      </c>
    </row>
    <row r="825">
      <c r="H825" s="8" t="s">
        <v>364</v>
      </c>
    </row>
    <row r="826">
      <c r="H826" s="8" t="s">
        <v>364</v>
      </c>
    </row>
    <row r="827">
      <c r="H827" s="8" t="s">
        <v>364</v>
      </c>
    </row>
    <row r="828">
      <c r="H828" s="8" t="s">
        <v>364</v>
      </c>
    </row>
    <row r="829">
      <c r="H829" s="8" t="s">
        <v>364</v>
      </c>
    </row>
    <row r="830">
      <c r="H830" s="8" t="s">
        <v>364</v>
      </c>
    </row>
    <row r="831">
      <c r="H831" s="8" t="s">
        <v>364</v>
      </c>
    </row>
    <row r="832">
      <c r="H832" s="8" t="s">
        <v>364</v>
      </c>
    </row>
    <row r="833">
      <c r="H833" s="8" t="s">
        <v>364</v>
      </c>
    </row>
    <row r="834">
      <c r="H834" s="8" t="s">
        <v>364</v>
      </c>
    </row>
    <row r="835">
      <c r="H835" s="8" t="s">
        <v>364</v>
      </c>
    </row>
    <row r="836">
      <c r="H836" s="8" t="s">
        <v>364</v>
      </c>
    </row>
    <row r="837">
      <c r="H837" s="8" t="s">
        <v>364</v>
      </c>
    </row>
    <row r="838">
      <c r="H838" s="8" t="s">
        <v>364</v>
      </c>
    </row>
    <row r="839">
      <c r="H839" s="8" t="s">
        <v>364</v>
      </c>
    </row>
    <row r="840">
      <c r="H840" s="8" t="s">
        <v>364</v>
      </c>
    </row>
    <row r="841">
      <c r="H841" s="8" t="s">
        <v>364</v>
      </c>
    </row>
    <row r="842">
      <c r="H842" s="8" t="s">
        <v>364</v>
      </c>
    </row>
    <row r="843">
      <c r="H843" s="8" t="s">
        <v>364</v>
      </c>
    </row>
    <row r="844">
      <c r="H844" s="8" t="s">
        <v>364</v>
      </c>
    </row>
    <row r="845">
      <c r="H845" s="8" t="s">
        <v>364</v>
      </c>
    </row>
    <row r="846">
      <c r="H846" s="8" t="s">
        <v>364</v>
      </c>
    </row>
    <row r="847">
      <c r="H847" s="8" t="s">
        <v>364</v>
      </c>
    </row>
    <row r="848">
      <c r="H848" s="8" t="s">
        <v>364</v>
      </c>
    </row>
    <row r="849">
      <c r="H849" s="8" t="s">
        <v>364</v>
      </c>
    </row>
    <row r="850">
      <c r="H850" s="8" t="s">
        <v>364</v>
      </c>
    </row>
    <row r="851">
      <c r="H851" s="8" t="s">
        <v>364</v>
      </c>
    </row>
    <row r="852">
      <c r="H852" s="8" t="s">
        <v>364</v>
      </c>
    </row>
    <row r="853">
      <c r="H853" s="8" t="s">
        <v>364</v>
      </c>
    </row>
    <row r="854">
      <c r="H854" s="8" t="s">
        <v>364</v>
      </c>
    </row>
    <row r="855">
      <c r="H855" s="8" t="s">
        <v>364</v>
      </c>
    </row>
    <row r="856">
      <c r="H856" s="8" t="s">
        <v>364</v>
      </c>
    </row>
    <row r="857">
      <c r="H857" s="8" t="s">
        <v>364</v>
      </c>
    </row>
    <row r="858">
      <c r="H858" s="8" t="s">
        <v>364</v>
      </c>
    </row>
    <row r="859">
      <c r="H859" s="8" t="s">
        <v>364</v>
      </c>
    </row>
    <row r="860">
      <c r="H860" s="8" t="s">
        <v>364</v>
      </c>
    </row>
    <row r="861">
      <c r="H861" s="8" t="s">
        <v>364</v>
      </c>
    </row>
    <row r="862">
      <c r="H862" s="8" t="s">
        <v>364</v>
      </c>
    </row>
    <row r="863">
      <c r="H863" s="8" t="s">
        <v>364</v>
      </c>
    </row>
    <row r="864">
      <c r="H864" s="8" t="s">
        <v>364</v>
      </c>
    </row>
    <row r="865">
      <c r="H865" s="8" t="s">
        <v>364</v>
      </c>
    </row>
    <row r="866">
      <c r="H866" s="8" t="s">
        <v>364</v>
      </c>
    </row>
    <row r="867">
      <c r="H867" s="8" t="s">
        <v>364</v>
      </c>
    </row>
    <row r="868">
      <c r="H868" s="8" t="s">
        <v>364</v>
      </c>
    </row>
    <row r="869">
      <c r="H869" s="8" t="s">
        <v>364</v>
      </c>
    </row>
    <row r="870">
      <c r="H870" s="8" t="s">
        <v>364</v>
      </c>
    </row>
    <row r="871">
      <c r="H871" s="8" t="s">
        <v>364</v>
      </c>
    </row>
    <row r="872">
      <c r="H872" s="8" t="s">
        <v>364</v>
      </c>
    </row>
    <row r="873">
      <c r="H873" s="8" t="s">
        <v>364</v>
      </c>
    </row>
    <row r="874">
      <c r="H874" s="8" t="s">
        <v>364</v>
      </c>
    </row>
    <row r="875">
      <c r="H875" s="8" t="s">
        <v>364</v>
      </c>
    </row>
    <row r="876">
      <c r="H876" s="8" t="s">
        <v>364</v>
      </c>
    </row>
    <row r="877">
      <c r="H877" s="8" t="s">
        <v>364</v>
      </c>
    </row>
    <row r="878">
      <c r="H878" s="8" t="s">
        <v>364</v>
      </c>
    </row>
    <row r="879">
      <c r="H879" s="8" t="s">
        <v>364</v>
      </c>
    </row>
    <row r="880">
      <c r="H880" s="8" t="s">
        <v>364</v>
      </c>
    </row>
    <row r="881">
      <c r="H881" s="8" t="s">
        <v>364</v>
      </c>
    </row>
    <row r="882">
      <c r="H882" s="8" t="s">
        <v>364</v>
      </c>
    </row>
    <row r="883">
      <c r="H883" s="8" t="s">
        <v>364</v>
      </c>
    </row>
    <row r="884">
      <c r="H884" s="8" t="s">
        <v>364</v>
      </c>
    </row>
    <row r="885">
      <c r="H885" s="8" t="s">
        <v>364</v>
      </c>
    </row>
    <row r="886">
      <c r="H886" s="8" t="s">
        <v>364</v>
      </c>
    </row>
    <row r="887">
      <c r="H887" s="8" t="s">
        <v>364</v>
      </c>
    </row>
    <row r="888">
      <c r="H888" s="8" t="s">
        <v>364</v>
      </c>
    </row>
    <row r="889">
      <c r="H889" s="8" t="s">
        <v>364</v>
      </c>
    </row>
    <row r="890">
      <c r="H890" s="8" t="s">
        <v>364</v>
      </c>
    </row>
    <row r="891">
      <c r="H891" s="8" t="s">
        <v>364</v>
      </c>
    </row>
    <row r="892">
      <c r="H892" s="8" t="s">
        <v>364</v>
      </c>
    </row>
    <row r="893">
      <c r="H893" s="8" t="s">
        <v>364</v>
      </c>
    </row>
    <row r="894">
      <c r="H894" s="8" t="s">
        <v>364</v>
      </c>
    </row>
    <row r="895">
      <c r="H895" s="8" t="s">
        <v>364</v>
      </c>
    </row>
    <row r="896">
      <c r="H896" s="8" t="s">
        <v>364</v>
      </c>
    </row>
    <row r="897">
      <c r="H897" s="8" t="s">
        <v>364</v>
      </c>
    </row>
    <row r="898">
      <c r="H898" s="8" t="s">
        <v>364</v>
      </c>
    </row>
    <row r="899">
      <c r="H899" s="8" t="s">
        <v>364</v>
      </c>
    </row>
    <row r="900">
      <c r="H900" s="8" t="s">
        <v>364</v>
      </c>
    </row>
    <row r="901">
      <c r="H901" s="8" t="s">
        <v>364</v>
      </c>
    </row>
    <row r="902">
      <c r="H902" s="8" t="s">
        <v>364</v>
      </c>
    </row>
    <row r="903">
      <c r="H903" s="8" t="s">
        <v>364</v>
      </c>
    </row>
    <row r="904">
      <c r="H904" s="8" t="s">
        <v>364</v>
      </c>
    </row>
    <row r="905">
      <c r="H905" s="8" t="s">
        <v>364</v>
      </c>
    </row>
    <row r="906">
      <c r="H906" s="8" t="s">
        <v>364</v>
      </c>
    </row>
    <row r="907">
      <c r="H907" s="8" t="s">
        <v>364</v>
      </c>
    </row>
    <row r="908">
      <c r="H908" s="8" t="s">
        <v>364</v>
      </c>
    </row>
    <row r="909">
      <c r="H909" s="8" t="s">
        <v>364</v>
      </c>
    </row>
    <row r="910">
      <c r="H910" s="8" t="s">
        <v>364</v>
      </c>
    </row>
    <row r="911">
      <c r="H911" s="8" t="s">
        <v>364</v>
      </c>
    </row>
    <row r="912">
      <c r="H912" s="8" t="s">
        <v>364</v>
      </c>
    </row>
    <row r="913">
      <c r="H913" s="8" t="s">
        <v>364</v>
      </c>
    </row>
    <row r="914">
      <c r="H914" s="8" t="s">
        <v>364</v>
      </c>
    </row>
    <row r="915">
      <c r="H915" s="8" t="s">
        <v>364</v>
      </c>
    </row>
    <row r="916">
      <c r="H916" s="8" t="s">
        <v>364</v>
      </c>
    </row>
    <row r="917">
      <c r="H917" s="8" t="s">
        <v>364</v>
      </c>
    </row>
    <row r="918">
      <c r="H918" s="8" t="s">
        <v>364</v>
      </c>
    </row>
    <row r="919">
      <c r="H919" s="8" t="s">
        <v>364</v>
      </c>
    </row>
    <row r="920">
      <c r="H920" s="8" t="s">
        <v>364</v>
      </c>
    </row>
    <row r="921">
      <c r="H921" s="8" t="s">
        <v>364</v>
      </c>
    </row>
    <row r="922">
      <c r="H922" s="8" t="s">
        <v>364</v>
      </c>
    </row>
    <row r="923">
      <c r="H923" s="8" t="s">
        <v>364</v>
      </c>
    </row>
    <row r="924">
      <c r="H924" s="8" t="s">
        <v>364</v>
      </c>
    </row>
    <row r="925">
      <c r="H925" s="8" t="s">
        <v>364</v>
      </c>
    </row>
    <row r="926">
      <c r="H926" s="8" t="s">
        <v>364</v>
      </c>
    </row>
    <row r="927">
      <c r="H927" s="8" t="s">
        <v>364</v>
      </c>
    </row>
    <row r="928">
      <c r="H928" s="8" t="s">
        <v>364</v>
      </c>
    </row>
    <row r="929">
      <c r="H929" s="8" t="s">
        <v>364</v>
      </c>
    </row>
    <row r="930">
      <c r="H930" s="8" t="s">
        <v>364</v>
      </c>
    </row>
    <row r="931">
      <c r="H931" s="8" t="s">
        <v>364</v>
      </c>
    </row>
    <row r="932">
      <c r="H932" s="8" t="s">
        <v>364</v>
      </c>
    </row>
    <row r="933">
      <c r="H933" s="8" t="s">
        <v>364</v>
      </c>
    </row>
    <row r="934">
      <c r="H934" s="8" t="s">
        <v>364</v>
      </c>
    </row>
    <row r="935">
      <c r="H935" s="8" t="s">
        <v>364</v>
      </c>
    </row>
    <row r="936">
      <c r="H936" s="8" t="s">
        <v>364</v>
      </c>
    </row>
    <row r="937">
      <c r="H937" s="8" t="s">
        <v>364</v>
      </c>
    </row>
    <row r="938">
      <c r="H938" s="8" t="s">
        <v>364</v>
      </c>
    </row>
    <row r="939">
      <c r="H939" s="8" t="s">
        <v>364</v>
      </c>
    </row>
    <row r="940">
      <c r="H940" s="8" t="s">
        <v>364</v>
      </c>
    </row>
    <row r="941">
      <c r="H941" s="8" t="s">
        <v>364</v>
      </c>
    </row>
    <row r="942">
      <c r="H942" s="8" t="s">
        <v>364</v>
      </c>
    </row>
    <row r="943">
      <c r="H943" s="8" t="s">
        <v>364</v>
      </c>
    </row>
    <row r="944">
      <c r="H944" s="8" t="s">
        <v>364</v>
      </c>
    </row>
    <row r="945">
      <c r="H945" s="8" t="s">
        <v>364</v>
      </c>
    </row>
    <row r="946">
      <c r="H946" s="8" t="s">
        <v>364</v>
      </c>
    </row>
    <row r="947">
      <c r="H947" s="8" t="s">
        <v>364</v>
      </c>
    </row>
    <row r="948">
      <c r="H948" s="8" t="s">
        <v>364</v>
      </c>
    </row>
    <row r="949">
      <c r="H949" s="8" t="s">
        <v>364</v>
      </c>
    </row>
    <row r="950">
      <c r="H950" s="8" t="s">
        <v>364</v>
      </c>
    </row>
    <row r="951">
      <c r="H951" s="8" t="s">
        <v>364</v>
      </c>
    </row>
    <row r="952">
      <c r="H952" s="8" t="s">
        <v>364</v>
      </c>
    </row>
    <row r="953">
      <c r="H953" s="8" t="s">
        <v>364</v>
      </c>
    </row>
    <row r="954">
      <c r="H954" s="8" t="s">
        <v>364</v>
      </c>
    </row>
    <row r="955">
      <c r="H955" s="8" t="s">
        <v>364</v>
      </c>
    </row>
    <row r="956">
      <c r="H956" s="8" t="s">
        <v>364</v>
      </c>
    </row>
    <row r="957">
      <c r="H957" s="8" t="s">
        <v>364</v>
      </c>
    </row>
    <row r="958">
      <c r="H958" s="8" t="s">
        <v>364</v>
      </c>
    </row>
    <row r="959">
      <c r="H959" s="8" t="s">
        <v>364</v>
      </c>
    </row>
    <row r="960">
      <c r="H960" s="8" t="s">
        <v>364</v>
      </c>
    </row>
    <row r="961">
      <c r="H961" s="8" t="s">
        <v>364</v>
      </c>
    </row>
    <row r="962">
      <c r="H962" s="8" t="s">
        <v>364</v>
      </c>
    </row>
    <row r="963">
      <c r="H963" s="8" t="s">
        <v>364</v>
      </c>
    </row>
    <row r="964">
      <c r="H964" s="8" t="s">
        <v>364</v>
      </c>
    </row>
    <row r="965">
      <c r="H965" s="8" t="s">
        <v>364</v>
      </c>
    </row>
    <row r="966">
      <c r="H966" s="8" t="s">
        <v>364</v>
      </c>
    </row>
    <row r="967">
      <c r="H967" s="8" t="s">
        <v>364</v>
      </c>
    </row>
    <row r="968">
      <c r="H968" s="8" t="s">
        <v>364</v>
      </c>
    </row>
    <row r="969">
      <c r="H969" s="8" t="s">
        <v>364</v>
      </c>
    </row>
    <row r="970">
      <c r="H970" s="8" t="s">
        <v>364</v>
      </c>
    </row>
    <row r="971">
      <c r="H971" s="8" t="s">
        <v>364</v>
      </c>
    </row>
    <row r="972">
      <c r="H972" s="8" t="s">
        <v>364</v>
      </c>
    </row>
    <row r="973">
      <c r="H973" s="8" t="s">
        <v>364</v>
      </c>
    </row>
    <row r="974">
      <c r="H974" s="8" t="s">
        <v>364</v>
      </c>
    </row>
    <row r="975">
      <c r="H975" s="8" t="s">
        <v>364</v>
      </c>
    </row>
    <row r="976">
      <c r="H976" s="8" t="s">
        <v>364</v>
      </c>
    </row>
    <row r="977">
      <c r="H977" s="8" t="s">
        <v>364</v>
      </c>
    </row>
    <row r="978">
      <c r="H978" s="8" t="s">
        <v>364</v>
      </c>
    </row>
    <row r="979">
      <c r="H979" s="8" t="s">
        <v>364</v>
      </c>
    </row>
    <row r="980">
      <c r="H980" s="8" t="s">
        <v>364</v>
      </c>
    </row>
    <row r="981">
      <c r="H981" s="8" t="s">
        <v>364</v>
      </c>
    </row>
    <row r="982">
      <c r="H982" s="8" t="s">
        <v>364</v>
      </c>
    </row>
    <row r="983">
      <c r="H983" s="8" t="s">
        <v>364</v>
      </c>
    </row>
    <row r="984">
      <c r="H984" s="8" t="s">
        <v>364</v>
      </c>
    </row>
    <row r="985">
      <c r="H985" s="8" t="s">
        <v>364</v>
      </c>
    </row>
    <row r="986">
      <c r="H986" s="8" t="s">
        <v>364</v>
      </c>
    </row>
    <row r="987">
      <c r="H987" s="8" t="s">
        <v>364</v>
      </c>
    </row>
    <row r="988">
      <c r="H988" s="8" t="s">
        <v>364</v>
      </c>
    </row>
    <row r="989">
      <c r="H989" s="8" t="s">
        <v>364</v>
      </c>
    </row>
    <row r="990">
      <c r="H990" s="8" t="s">
        <v>364</v>
      </c>
    </row>
    <row r="991">
      <c r="H991" s="8" t="s">
        <v>364</v>
      </c>
    </row>
    <row r="992">
      <c r="H992" s="8" t="s">
        <v>364</v>
      </c>
    </row>
    <row r="993">
      <c r="H993" s="8" t="s">
        <v>364</v>
      </c>
    </row>
    <row r="994">
      <c r="H994" s="8" t="s">
        <v>364</v>
      </c>
    </row>
    <row r="995">
      <c r="H995" s="8" t="s">
        <v>364</v>
      </c>
    </row>
    <row r="996">
      <c r="H996" s="8" t="s">
        <v>364</v>
      </c>
    </row>
    <row r="997">
      <c r="H997" s="8" t="s">
        <v>364</v>
      </c>
    </row>
    <row r="998">
      <c r="H998" s="8" t="s">
        <v>364</v>
      </c>
    </row>
    <row r="999">
      <c r="H999" s="8" t="s">
        <v>364</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2.88"/>
    <col customWidth="1" min="3" max="3" width="37.63"/>
    <col customWidth="1" min="4" max="4" width="24.38"/>
    <col customWidth="1" min="5" max="5" width="27.5"/>
    <col customWidth="1" min="6" max="6" width="25.0"/>
    <col customWidth="1" min="7" max="9" width="28.38"/>
    <col customWidth="1" min="10" max="10" width="37.63"/>
    <col customWidth="1" min="13" max="13" width="15.0"/>
    <col customWidth="1" min="14" max="14" width="12.88"/>
    <col customWidth="1" min="20" max="20" width="17.0"/>
    <col customWidth="1" min="21" max="21" width="13.88"/>
  </cols>
  <sheetData>
    <row r="1" ht="22.5" customHeight="1">
      <c r="A1" s="1" t="s">
        <v>0</v>
      </c>
      <c r="B1" s="1" t="s">
        <v>1</v>
      </c>
      <c r="C1" s="1" t="s">
        <v>2</v>
      </c>
      <c r="D1" s="1" t="s">
        <v>3</v>
      </c>
      <c r="E1" s="1" t="s">
        <v>4</v>
      </c>
      <c r="F1" s="1" t="s">
        <v>5</v>
      </c>
      <c r="G1" s="1" t="s">
        <v>6</v>
      </c>
      <c r="H1" s="1" t="s">
        <v>7</v>
      </c>
      <c r="I1" s="1" t="s">
        <v>8</v>
      </c>
      <c r="J1" s="1" t="s">
        <v>9</v>
      </c>
      <c r="M1" s="1" t="s">
        <v>10</v>
      </c>
      <c r="N1" s="1" t="s">
        <v>11</v>
      </c>
      <c r="O1" s="1" t="s">
        <v>12</v>
      </c>
      <c r="P1" s="1" t="s">
        <v>13</v>
      </c>
      <c r="Q1" s="1" t="s">
        <v>14</v>
      </c>
      <c r="R1" s="1" t="s">
        <v>15</v>
      </c>
      <c r="S1" s="1" t="s">
        <v>16</v>
      </c>
      <c r="T1" s="1" t="s">
        <v>17</v>
      </c>
      <c r="U1" s="1" t="s">
        <v>18</v>
      </c>
      <c r="V1" s="1" t="s">
        <v>19</v>
      </c>
    </row>
    <row r="2" ht="22.5" customHeight="1">
      <c r="A2" s="4" t="s">
        <v>688</v>
      </c>
      <c r="B2" s="5">
        <v>1.0</v>
      </c>
      <c r="C2" s="4" t="s">
        <v>689</v>
      </c>
      <c r="D2" s="4" t="s">
        <v>690</v>
      </c>
      <c r="E2" s="4" t="s">
        <v>691</v>
      </c>
      <c r="F2" s="4" t="s">
        <v>692</v>
      </c>
      <c r="G2" s="4" t="s">
        <v>693</v>
      </c>
      <c r="H2" s="4" t="str">
        <f t="array" ref="H2:H999">TRIM("(A) " &amp; D2:D999 &amp; " (B) " &amp; E2:E999 &amp; " (C) " &amp; F2:F999 &amp; " (D) " &amp; G2:G999)</f>
        <v>(A) A traditional Thai kite (B) A stunt kite (C) A modern geometric kite (D) A box kite</v>
      </c>
      <c r="I2" s="4" t="s">
        <v>692</v>
      </c>
      <c r="J2" s="4" t="s">
        <v>694</v>
      </c>
      <c r="M2" s="4" t="s">
        <v>688</v>
      </c>
      <c r="N2" s="5">
        <v>1.0</v>
      </c>
      <c r="O2" s="6" t="str">
        <f>IFERROR(__xludf.DUMMYFUNCTION("GOOGLETRANSLATE(C2,""en"",""th"")"),"ว่าวในภาพเรียกว่าอะไร?")</f>
        <v>ว่าวในภาพเรียกว่าอะไร?</v>
      </c>
      <c r="P2" s="6" t="str">
        <f>IFERROR(__xludf.DUMMYFUNCTION("GOOGLETRANSLATE(D2,""en"",""th"")"),"ว่าวไทยโบราณ")</f>
        <v>ว่าวไทยโบราณ</v>
      </c>
      <c r="Q2" s="6" t="str">
        <f>IFERROR(__xludf.DUMMYFUNCTION("GOOGLETRANSLATE(E2,""en"",""th"")"),"ว่าวผาดโผน")</f>
        <v>ว่าวผาดโผน</v>
      </c>
      <c r="R2" s="6" t="str">
        <f>IFERROR(__xludf.DUMMYFUNCTION("GOOGLETRANSLATE(F2,""en"",""th"")"),"ว่าวเรขาคณิตสมัยใหม่")</f>
        <v>ว่าวเรขาคณิตสมัยใหม่</v>
      </c>
      <c r="S2" s="6" t="str">
        <f>IFERROR(__xludf.DUMMYFUNCTION("GOOGLETRANSLATE(G2,""en"",""th"")"),"ว่าวกล่อง")</f>
        <v>ว่าวกล่อง</v>
      </c>
      <c r="T2" s="6" t="str">
        <f t="array" ref="T2:T71">TRIM(" (A) " &amp; P2:P71 &amp; " (B) " &amp; Q2:Q71 &amp; " (C) " &amp; R2:R71 &amp; " (D) " &amp; S2:S71)</f>
        <v>(A) ว่าวไทยโบราณ (B) ว่าวผาดโผน (C) ว่าวเรขาคณิตสมัยใหม่ (D) ว่าวกล่อง</v>
      </c>
      <c r="U2" s="6" t="str">
        <f>IFERROR(__xludf.DUMMYFUNCTION("GOOGLETRANSLATE(I2,""en"",""th"")"),"ว่าวเรขาคณิตสมัยใหม่")</f>
        <v>ว่าวเรขาคณิตสมัยใหม่</v>
      </c>
      <c r="V2" s="6" t="str">
        <f>IFERROR(__xludf.DUMMYFUNCTION("GOOGLETRANSLATE(J2,""en"",""th"")"),"ว่าวมีรูปทรงเรขาคณิตหลายแบบ ซึ่งเป็นลักษณะเฉพาะของว่าวเรขาคณิตสมัยใหม่ ไม่ใช่ว่าวไทยแบบดั้งเดิม")</f>
        <v>ว่าวมีรูปทรงเรขาคณิตหลายแบบ ซึ่งเป็นลักษณะเฉพาะของว่าวเรขาคณิตสมัยใหม่ ไม่ใช่ว่าวไทยแบบดั้งเดิม</v>
      </c>
    </row>
    <row r="3" ht="22.5" customHeight="1">
      <c r="A3" s="4" t="s">
        <v>688</v>
      </c>
      <c r="B3" s="5">
        <v>2.0</v>
      </c>
      <c r="C3" s="4" t="s">
        <v>695</v>
      </c>
      <c r="D3" s="4" t="s">
        <v>696</v>
      </c>
      <c r="E3" s="4" t="s">
        <v>697</v>
      </c>
      <c r="F3" s="4" t="s">
        <v>698</v>
      </c>
      <c r="G3" s="4" t="s">
        <v>699</v>
      </c>
      <c r="H3" s="4" t="s">
        <v>700</v>
      </c>
      <c r="I3" s="4" t="s">
        <v>697</v>
      </c>
      <c r="J3" s="4" t="s">
        <v>701</v>
      </c>
      <c r="M3" s="4" t="s">
        <v>688</v>
      </c>
      <c r="N3" s="5">
        <v>2.0</v>
      </c>
      <c r="O3" s="6" t="str">
        <f>IFERROR(__xludf.DUMMYFUNCTION("GOOGLETRANSLATE(C3,""en"",""th"")"),"ลักษณะเด่นของว่าวคืออะไร?")</f>
        <v>ลักษณะเด่นของว่าวคืออะไร?</v>
      </c>
      <c r="P3" s="6" t="str">
        <f>IFERROR(__xludf.DUMMYFUNCTION("GOOGLETRANSLATE(D3,""en"",""th"")"),"มันเล็กและเบามาก")</f>
        <v>มันเล็กและเบามาก</v>
      </c>
      <c r="Q3" s="6" t="str">
        <f>IFERROR(__xludf.DUMMYFUNCTION("GOOGLETRANSLATE(E3,""en"",""th"")"),"มันเป็นว่าวที่มีขนาดใหญ่และซับซ้อนมาก")</f>
        <v>มันเป็นว่าวที่มีขนาดใหญ่และซับซ้อนมาก</v>
      </c>
      <c r="R3" s="6" t="str">
        <f>IFERROR(__xludf.DUMMYFUNCTION("GOOGLETRANSLATE(F3,""en"",""th"")"),"มันเป็นว่าวที่เรียบง่ายมาก")</f>
        <v>มันเป็นว่าวที่เรียบง่ายมาก</v>
      </c>
      <c r="S3" s="6" t="str">
        <f>IFERROR(__xludf.DUMMYFUNCTION("GOOGLETRANSLATE(G3,""en"",""th"")"),"มันคือว่าวสายเดี่ยว")</f>
        <v>มันคือว่าวสายเดี่ยว</v>
      </c>
      <c r="T3" s="6" t="s">
        <v>702</v>
      </c>
      <c r="U3" s="6" t="str">
        <f>IFERROR(__xludf.DUMMYFUNCTION("GOOGLETRANSLATE(I3,""en"",""th"")"),"มันเป็นว่าวที่มีขนาดใหญ่และซับซ้อนมาก")</f>
        <v>มันเป็นว่าวที่มีขนาดใหญ่และซับซ้อนมาก</v>
      </c>
      <c r="V3" s="6" t="str">
        <f>IFERROR(__xludf.DUMMYFUNCTION("GOOGLETRANSLATE(J3,""en"",""th"")"),"ว่าวประกอบด้วยรูปทรงเรขาคณิตหลายแบบและมีขนาดใหญ่และซับซ้อนมาก ซึ่งต้องใช้ทักษะขั้นสูงในการบิน")</f>
        <v>ว่าวประกอบด้วยรูปทรงเรขาคณิตหลายแบบและมีขนาดใหญ่และซับซ้อนมาก ซึ่งต้องใช้ทักษะขั้นสูงในการบิน</v>
      </c>
    </row>
    <row r="4" ht="22.5" customHeight="1">
      <c r="A4" s="4" t="s">
        <v>688</v>
      </c>
      <c r="B4" s="5">
        <v>3.0</v>
      </c>
      <c r="C4" s="4" t="s">
        <v>703</v>
      </c>
      <c r="D4" s="4" t="s">
        <v>704</v>
      </c>
      <c r="E4" s="4" t="s">
        <v>705</v>
      </c>
      <c r="F4" s="4" t="s">
        <v>706</v>
      </c>
      <c r="G4" s="4" t="s">
        <v>707</v>
      </c>
      <c r="H4" s="4" t="s">
        <v>708</v>
      </c>
      <c r="I4" s="4" t="s">
        <v>707</v>
      </c>
      <c r="J4" s="4" t="s">
        <v>709</v>
      </c>
      <c r="M4" s="4" t="s">
        <v>688</v>
      </c>
      <c r="N4" s="5">
        <v>3.0</v>
      </c>
      <c r="O4" s="6" t="str">
        <f>IFERROR(__xludf.DUMMYFUNCTION("GOOGLETRANSLATE(C4,""en"",""th"")"),"สายทั้ง 2 เส้นของว่าวมีไว้ทำอะไร?")</f>
        <v>สายทั้ง 2 เส้นของว่าวมีไว้ทำอะไร?</v>
      </c>
      <c r="P4" s="6" t="str">
        <f>IFERROR(__xludf.DUMMYFUNCTION("GOOGLETRANSLATE(D4,""en"",""th"")"),"เพื่อให้ว่าวมีเสถียรภาพมากขึ้น")</f>
        <v>เพื่อให้ว่าวมีเสถียรภาพมากขึ้น</v>
      </c>
      <c r="Q4" s="6" t="str">
        <f>IFERROR(__xludf.DUMMYFUNCTION("GOOGLETRANSLATE(E4,""en"",""th"")"),"เพื่อให้ว่าวบินสูงขึ้น")</f>
        <v>เพื่อให้ว่าวบินสูงขึ้น</v>
      </c>
      <c r="R4" s="6" t="str">
        <f>IFERROR(__xludf.DUMMYFUNCTION("GOOGLETRANSLATE(F4,""en"",""th"")"),"เพื่อทำให้ว่าวหมุน")</f>
        <v>เพื่อทำให้ว่าวหมุน</v>
      </c>
      <c r="S4" s="6" t="str">
        <f>IFERROR(__xludf.DUMMYFUNCTION("GOOGLETRANSLATE(G4,""en"",""th"")"),"เพื่อให้สามารถควบคุมว่าวได้ดียิ่งขึ้น")</f>
        <v>เพื่อให้สามารถควบคุมว่าวได้ดียิ่งขึ้น</v>
      </c>
      <c r="T4" s="6" t="s">
        <v>710</v>
      </c>
      <c r="U4" s="6" t="str">
        <f>IFERROR(__xludf.DUMMYFUNCTION("GOOGLETRANSLATE(I4,""en"",""th"")"),"เพื่อให้สามารถควบคุมว่าวได้ดียิ่งขึ้น")</f>
        <v>เพื่อให้สามารถควบคุมว่าวได้ดียิ่งขึ้น</v>
      </c>
      <c r="V4" s="6" t="str">
        <f>IFERROR(__xludf.DUMMYFUNCTION("GOOGLETRANSLATE(J4,""en"",""th"")"),"ว่าวมีสายสองเส้น ซึ่งเป็นคุณสมบัติหลักของว่าวผาดโผน ช่วยให้ผู้บินสามารถควบคุมการเคลื่อนที่และแสดงกลอุบายต่างๆ ได้")</f>
        <v>ว่าวมีสายสองเส้น ซึ่งเป็นคุณสมบัติหลักของว่าวผาดโผน ช่วยให้ผู้บินสามารถควบคุมการเคลื่อนที่และแสดงกลอุบายต่างๆ ได้</v>
      </c>
    </row>
    <row r="5" ht="22.5" customHeight="1">
      <c r="A5" s="4" t="s">
        <v>688</v>
      </c>
      <c r="B5" s="5">
        <v>4.0</v>
      </c>
      <c r="C5" s="4" t="s">
        <v>711</v>
      </c>
      <c r="D5" s="4" t="s">
        <v>712</v>
      </c>
      <c r="E5" s="4" t="s">
        <v>713</v>
      </c>
      <c r="F5" s="4" t="s">
        <v>714</v>
      </c>
      <c r="G5" s="4" t="s">
        <v>715</v>
      </c>
      <c r="H5" s="4" t="s">
        <v>716</v>
      </c>
      <c r="I5" s="4" t="s">
        <v>713</v>
      </c>
      <c r="J5" s="4" t="s">
        <v>717</v>
      </c>
      <c r="M5" s="4" t="s">
        <v>688</v>
      </c>
      <c r="N5" s="5">
        <v>4.0</v>
      </c>
      <c r="O5" s="6" t="str">
        <f>IFERROR(__xludf.DUMMYFUNCTION("GOOGLETRANSLATE(C5,""en"",""th"")"),"เส้นสีขาวบนท้องฟ้ามีไว้ทำอะไร?")</f>
        <v>เส้นสีขาวบนท้องฟ้ามีไว้ทำอะไร?</v>
      </c>
      <c r="P5" s="6" t="str">
        <f>IFERROR(__xludf.DUMMYFUNCTION("GOOGLETRANSLATE(D5,""en"",""th"")"),"พวกมันคือเมฆ")</f>
        <v>พวกมันคือเมฆ</v>
      </c>
      <c r="Q5" s="6" t="str">
        <f>IFERROR(__xludf.DUMMYFUNCTION("GOOGLETRANSLATE(E5,""en"",""th"")"),"มันคือร่องรอยของควันจากเครื่องบิน")</f>
        <v>มันคือร่องรอยของควันจากเครื่องบิน</v>
      </c>
      <c r="R5" s="6" t="str">
        <f>IFERROR(__xludf.DUMMYFUNCTION("GOOGLETRANSLATE(F5,""en"",""th"")"),"มันเป็นเส้นด้ายจากว่าว")</f>
        <v>มันเป็นเส้นด้ายจากว่าว</v>
      </c>
      <c r="S5" s="6" t="str">
        <f>IFERROR(__xludf.DUMMYFUNCTION("GOOGLETRANSLATE(G5,""en"",""th"")"),"พวกมันเป็นสัญลักษณ์ของลม")</f>
        <v>พวกมันเป็นสัญลักษณ์ของลม</v>
      </c>
      <c r="T5" s="6" t="s">
        <v>718</v>
      </c>
      <c r="U5" s="6" t="str">
        <f>IFERROR(__xludf.DUMMYFUNCTION("GOOGLETRANSLATE(I5,""en"",""th"")"),"มันคือร่องรอยของควันจากเครื่องบิน")</f>
        <v>มันคือร่องรอยของควันจากเครื่องบิน</v>
      </c>
      <c r="V5" s="6" t="str">
        <f>IFERROR(__xludf.DUMMYFUNCTION("GOOGLETRANSLATE(J5,""en"",""th"")"),"เส้นสีขาวบนท้องฟ้าคือเส้นควันซึ่งเป็นเมฆยาวบางๆ ที่เกิดจากไอเสียของเครื่องยนต์เจ็ท")</f>
        <v>เส้นสีขาวบนท้องฟ้าคือเส้นควันซึ่งเป็นเมฆยาวบางๆ ที่เกิดจากไอเสียของเครื่องยนต์เจ็ท</v>
      </c>
    </row>
    <row r="6" ht="22.5" customHeight="1">
      <c r="A6" s="4" t="s">
        <v>688</v>
      </c>
      <c r="B6" s="5">
        <v>5.0</v>
      </c>
      <c r="C6" s="4" t="s">
        <v>719</v>
      </c>
      <c r="D6" s="4" t="s">
        <v>720</v>
      </c>
      <c r="E6" s="4" t="s">
        <v>721</v>
      </c>
      <c r="F6" s="4" t="s">
        <v>722</v>
      </c>
      <c r="G6" s="4" t="s">
        <v>723</v>
      </c>
      <c r="H6" s="4" t="s">
        <v>724</v>
      </c>
      <c r="I6" s="4" t="s">
        <v>720</v>
      </c>
      <c r="J6" s="4" t="s">
        <v>725</v>
      </c>
      <c r="M6" s="4" t="s">
        <v>688</v>
      </c>
      <c r="N6" s="5">
        <v>5.0</v>
      </c>
      <c r="O6" s="6" t="str">
        <f>IFERROR(__xludf.DUMMYFUNCTION("GOOGLETRANSLATE(C6,""en"",""th"")"),"จากภาพสามารถสรุปเกี่ยวกับสภาพอากาศได้อย่างไร?")</f>
        <v>จากภาพสามารถสรุปเกี่ยวกับสภาพอากาศได้อย่างไร?</v>
      </c>
      <c r="P6" s="6" t="str">
        <f>IFERROR(__xludf.DUMMYFUNCTION("GOOGLETRANSLATE(D6,""en"",""th"")"),"วันนี้เป็นวันที่มีลมแรงมาก")</f>
        <v>วันนี้เป็นวันที่มีลมแรงมาก</v>
      </c>
      <c r="Q6" s="6" t="str">
        <f>IFERROR(__xludf.DUMMYFUNCTION("GOOGLETRANSLATE(E6,""en"",""th"")"),"เป็นวันที่เงียบสงบมาก")</f>
        <v>เป็นวันที่เงียบสงบมาก</v>
      </c>
      <c r="R6" s="6" t="str">
        <f>IFERROR(__xludf.DUMMYFUNCTION("GOOGLETRANSLATE(F6,""en"",""th"")"),"วันนี้เป็นวันที่มีเมฆมาก")</f>
        <v>วันนี้เป็นวันที่มีเมฆมาก</v>
      </c>
      <c r="S6" s="6" t="str">
        <f>IFERROR(__xludf.DUMMYFUNCTION("GOOGLETRANSLATE(G6,""en"",""th"")"),"เป็นวันที่ฝนตกหนักมาก")</f>
        <v>เป็นวันที่ฝนตกหนักมาก</v>
      </c>
      <c r="T6" s="6" t="s">
        <v>726</v>
      </c>
      <c r="U6" s="6" t="str">
        <f>IFERROR(__xludf.DUMMYFUNCTION("GOOGLETRANSLATE(I6,""en"",""th"")"),"วันนี้เป็นวันที่มีลมแรงมาก")</f>
        <v>วันนี้เป็นวันที่มีลมแรงมาก</v>
      </c>
      <c r="V6" s="6" t="str">
        <f>IFERROR(__xludf.DUMMYFUNCTION("GOOGLETRANSLATE(J6,""en"",""th"")"),"ว่าวกำลังบินสูงบนท้องฟ้า และร่องรอยของลมก็ยาวมาก ซึ่งบ่งบอกว่าวันนี้เป็นวันที่มีลมแรงมาก")</f>
        <v>ว่าวกำลังบินสูงบนท้องฟ้า และร่องรอยของลมก็ยาวมาก ซึ่งบ่งบอกว่าวันนี้เป็นวันที่มีลมแรงมาก</v>
      </c>
    </row>
    <row r="7" ht="22.5" customHeight="1">
      <c r="A7" s="4" t="s">
        <v>727</v>
      </c>
      <c r="B7" s="5">
        <v>6.0</v>
      </c>
      <c r="C7" s="4" t="s">
        <v>21</v>
      </c>
      <c r="D7" s="4" t="s">
        <v>728</v>
      </c>
      <c r="E7" s="4" t="s">
        <v>729</v>
      </c>
      <c r="F7" s="4" t="s">
        <v>730</v>
      </c>
      <c r="G7" s="4" t="s">
        <v>731</v>
      </c>
      <c r="H7" s="4" t="s">
        <v>732</v>
      </c>
      <c r="I7" s="4" t="s">
        <v>729</v>
      </c>
      <c r="J7" s="4" t="s">
        <v>733</v>
      </c>
      <c r="M7" s="4" t="s">
        <v>727</v>
      </c>
      <c r="N7" s="5">
        <v>6.0</v>
      </c>
      <c r="O7" s="6" t="str">
        <f>IFERROR(__xludf.DUMMYFUNCTION("GOOGLETRANSLATE(C7,""en"",""th"")"),"ภาพที่แสดงเป็นกิจกรรมหลักอะไร?")</f>
        <v>ภาพที่แสดงเป็นกิจกรรมหลักอะไร?</v>
      </c>
      <c r="P7" s="6" t="str">
        <f>IFERROR(__xludf.DUMMYFUNCTION("GOOGLETRANSLATE(D7,""en"",""th"")"),"มีชายสองคนกำลังวิ่ง")</f>
        <v>มีชายสองคนกำลังวิ่ง</v>
      </c>
      <c r="Q7" s="6" t="str">
        <f>IFERROR(__xludf.DUMMYFUNCTION("GOOGLETRANSLATE(E7,""en"",""th"")"),"ชายสองคนกำลังเล่นว่าว")</f>
        <v>ชายสองคนกำลังเล่นว่าว</v>
      </c>
      <c r="R7" s="6" t="str">
        <f>IFERROR(__xludf.DUMMYFUNCTION("GOOGLETRANSLATE(F7,""en"",""th"")"),"มีชายสองคนกำลังต่อสู้กัน")</f>
        <v>มีชายสองคนกำลังต่อสู้กัน</v>
      </c>
      <c r="S7" s="6" t="str">
        <f>IFERROR(__xludf.DUMMYFUNCTION("GOOGLETRANSLATE(G7,""en"",""th"")"),"มีผู้ชายสองคนกำลังเต้นรำ")</f>
        <v>มีผู้ชายสองคนกำลังเต้นรำ</v>
      </c>
      <c r="T7" s="6" t="s">
        <v>734</v>
      </c>
      <c r="U7" s="6" t="str">
        <f>IFERROR(__xludf.DUMMYFUNCTION("GOOGLETRANSLATE(I7,""en"",""th"")"),"ชายสองคนกำลังเล่นว่าว")</f>
        <v>ชายสองคนกำลังเล่นว่าว</v>
      </c>
      <c r="V7" s="6" t="str">
        <f>IFERROR(__xludf.DUMMYFUNCTION("GOOGLETRANSLATE(J7,""en"",""th"")"),"รูปภาพแสดงให้เห็นชายสองคนกำลังถือและวิ่งไปพร้อมกับว่าวตัวใหญ่ โดยมีว่าวตัวอื่นๆ มากมายบินอยู่ด้านหลัง ซึ่งเป็นสิ่งบ่งชี้ที่ชัดเจนว่าพวกเขากำลังเล่นว่าวอยู่")</f>
        <v>รูปภาพแสดงให้เห็นชายสองคนกำลังถือและวิ่งไปพร้อมกับว่าวตัวใหญ่ โดยมีว่าวตัวอื่นๆ มากมายบินอยู่ด้านหลัง ซึ่งเป็นสิ่งบ่งชี้ที่ชัดเจนว่าพวกเขากำลังเล่นว่าวอยู่</v>
      </c>
    </row>
    <row r="8" ht="22.5" customHeight="1">
      <c r="A8" s="4" t="s">
        <v>727</v>
      </c>
      <c r="B8" s="5">
        <v>7.0</v>
      </c>
      <c r="C8" s="4" t="s">
        <v>735</v>
      </c>
      <c r="D8" s="4" t="s">
        <v>705</v>
      </c>
      <c r="E8" s="4" t="s">
        <v>706</v>
      </c>
      <c r="F8" s="4" t="s">
        <v>736</v>
      </c>
      <c r="G8" s="4" t="s">
        <v>737</v>
      </c>
      <c r="H8" s="4" t="s">
        <v>738</v>
      </c>
      <c r="I8" s="4" t="s">
        <v>737</v>
      </c>
      <c r="J8" s="4" t="s">
        <v>739</v>
      </c>
      <c r="M8" s="4" t="s">
        <v>727</v>
      </c>
      <c r="N8" s="5">
        <v>7.0</v>
      </c>
      <c r="O8" s="6" t="str">
        <f>IFERROR(__xludf.DUMMYFUNCTION("GOOGLETRANSLATE(C8,""en"",""th"")"),"คนกำลังวิ่งเล่นอยู่กับว่าว จุดประสงค์ของสิ่งนี้คืออะไร?")</f>
        <v>คนกำลังวิ่งเล่นอยู่กับว่าว จุดประสงค์ของสิ่งนี้คืออะไร?</v>
      </c>
      <c r="P8" s="6" t="str">
        <f>IFERROR(__xludf.DUMMYFUNCTION("GOOGLETRANSLATE(D8,""en"",""th"")"),"เพื่อให้ว่าวบินสูงขึ้น")</f>
        <v>เพื่อให้ว่าวบินสูงขึ้น</v>
      </c>
      <c r="Q8" s="6" t="str">
        <f>IFERROR(__xludf.DUMMYFUNCTION("GOOGLETRANSLATE(E8,""en"",""th"")"),"เพื่อทำให้ว่าวหมุน")</f>
        <v>เพื่อทำให้ว่าวหมุน</v>
      </c>
      <c r="R8" s="6" t="str">
        <f>IFERROR(__xludf.DUMMYFUNCTION("GOOGLETRANSLATE(F8,""en"",""th"")"),"เพื่อให้ว่าวบินได้เร็วขึ้น")</f>
        <v>เพื่อให้ว่าวบินได้เร็วขึ้น</v>
      </c>
      <c r="S8" s="6" t="str">
        <f>IFERROR(__xludf.DUMMYFUNCTION("GOOGLETRANSLATE(G8,""en"",""th"")"),"เพื่อทำให้ว่าวลอยขึ้นสู่อากาศ")</f>
        <v>เพื่อทำให้ว่าวลอยขึ้นสู่อากาศ</v>
      </c>
      <c r="T8" s="6" t="s">
        <v>740</v>
      </c>
      <c r="U8" s="6" t="str">
        <f>IFERROR(__xludf.DUMMYFUNCTION("GOOGLETRANSLATE(I8,""en"",""th"")"),"เพื่อทำให้ว่าวลอยขึ้นสู่อากาศ")</f>
        <v>เพื่อทำให้ว่าวลอยขึ้นสู่อากาศ</v>
      </c>
      <c r="V8" s="6" t="str">
        <f>IFERROR(__xludf.DUMMYFUNCTION("GOOGLETRANSLATE(J8,""en"",""th"")"),"การวิ่งไปพร้อมกับว่าวจะสร้างแรงยกเบื้องต้นที่จำเป็นเพื่อพาว่าวขึ้นจากพื้นดินและขึ้นไปในอากาศ")</f>
        <v>การวิ่งไปพร้อมกับว่าวจะสร้างแรงยกเบื้องต้นที่จำเป็นเพื่อพาว่าวขึ้นจากพื้นดินและขึ้นไปในอากาศ</v>
      </c>
    </row>
    <row r="9" ht="22.5" customHeight="1">
      <c r="A9" s="4" t="s">
        <v>727</v>
      </c>
      <c r="B9" s="5">
        <v>8.0</v>
      </c>
      <c r="C9" s="4" t="s">
        <v>695</v>
      </c>
      <c r="D9" s="4" t="s">
        <v>696</v>
      </c>
      <c r="E9" s="4" t="s">
        <v>697</v>
      </c>
      <c r="F9" s="4" t="s">
        <v>698</v>
      </c>
      <c r="G9" s="4" t="s">
        <v>699</v>
      </c>
      <c r="H9" s="4" t="s">
        <v>700</v>
      </c>
      <c r="I9" s="4" t="s">
        <v>697</v>
      </c>
      <c r="J9" s="4" t="s">
        <v>701</v>
      </c>
      <c r="M9" s="4" t="s">
        <v>727</v>
      </c>
      <c r="N9" s="5">
        <v>8.0</v>
      </c>
      <c r="O9" s="6" t="str">
        <f>IFERROR(__xludf.DUMMYFUNCTION("GOOGLETRANSLATE(C9,""en"",""th"")"),"ลักษณะเด่นของว่าวคืออะไร?")</f>
        <v>ลักษณะเด่นของว่าวคืออะไร?</v>
      </c>
      <c r="P9" s="6" t="str">
        <f>IFERROR(__xludf.DUMMYFUNCTION("GOOGLETRANSLATE(D9,""en"",""th"")"),"มันเล็กและเบามาก")</f>
        <v>มันเล็กและเบามาก</v>
      </c>
      <c r="Q9" s="6" t="str">
        <f>IFERROR(__xludf.DUMMYFUNCTION("GOOGLETRANSLATE(E9,""en"",""th"")"),"มันเป็นว่าวที่มีขนาดใหญ่และซับซ้อนมาก")</f>
        <v>มันเป็นว่าวที่มีขนาดใหญ่และซับซ้อนมาก</v>
      </c>
      <c r="R9" s="6" t="str">
        <f>IFERROR(__xludf.DUMMYFUNCTION("GOOGLETRANSLATE(F9,""en"",""th"")"),"มันเป็นว่าวที่เรียบง่ายมาก")</f>
        <v>มันเป็นว่าวที่เรียบง่ายมาก</v>
      </c>
      <c r="S9" s="6" t="str">
        <f>IFERROR(__xludf.DUMMYFUNCTION("GOOGLETRANSLATE(G9,""en"",""th"")"),"มันคือว่าวสายเดี่ยว")</f>
        <v>มันคือว่าวสายเดี่ยว</v>
      </c>
      <c r="T9" s="6" t="s">
        <v>702</v>
      </c>
      <c r="U9" s="6" t="str">
        <f>IFERROR(__xludf.DUMMYFUNCTION("GOOGLETRANSLATE(I9,""en"",""th"")"),"มันเป็นว่าวที่มีขนาดใหญ่และซับซ้อนมาก")</f>
        <v>มันเป็นว่าวที่มีขนาดใหญ่และซับซ้อนมาก</v>
      </c>
      <c r="V9" s="6" t="str">
        <f>IFERROR(__xludf.DUMMYFUNCTION("GOOGLETRANSLATE(J9,""en"",""th"")"),"ว่าวประกอบด้วยรูปทรงเรขาคณิตหลายแบบและมีขนาดใหญ่และซับซ้อนมาก ซึ่งต้องใช้ทักษะขั้นสูงในการบิน")</f>
        <v>ว่าวประกอบด้วยรูปทรงเรขาคณิตหลายแบบและมีขนาดใหญ่และซับซ้อนมาก ซึ่งต้องใช้ทักษะขั้นสูงในการบิน</v>
      </c>
    </row>
    <row r="10" ht="22.5" customHeight="1">
      <c r="A10" s="4" t="s">
        <v>727</v>
      </c>
      <c r="B10" s="5">
        <v>9.0</v>
      </c>
      <c r="C10" s="4" t="s">
        <v>741</v>
      </c>
      <c r="D10" s="4" t="s">
        <v>720</v>
      </c>
      <c r="E10" s="4" t="s">
        <v>721</v>
      </c>
      <c r="F10" s="4" t="s">
        <v>722</v>
      </c>
      <c r="G10" s="4" t="s">
        <v>723</v>
      </c>
      <c r="H10" s="4" t="s">
        <v>724</v>
      </c>
      <c r="I10" s="4" t="s">
        <v>720</v>
      </c>
      <c r="J10" s="4" t="s">
        <v>742</v>
      </c>
      <c r="M10" s="4" t="s">
        <v>727</v>
      </c>
      <c r="N10" s="5">
        <v>9.0</v>
      </c>
      <c r="O10" s="6" t="str">
        <f>IFERROR(__xludf.DUMMYFUNCTION("GOOGLETRANSLATE(C10,""en"",""th"")"),"สภาพอากาศเป็นปัจจัยสำคัญของกีฬาชนิดนี้ ภาพที่เห็นสามารถสรุปอะไรได้บ้าง?")</f>
        <v>สภาพอากาศเป็นปัจจัยสำคัญของกีฬาชนิดนี้ ภาพที่เห็นสามารถสรุปอะไรได้บ้าง?</v>
      </c>
      <c r="P10" s="6" t="str">
        <f>IFERROR(__xludf.DUMMYFUNCTION("GOOGLETRANSLATE(D10,""en"",""th"")"),"วันนี้เป็นวันที่มีลมแรงมาก")</f>
        <v>วันนี้เป็นวันที่มีลมแรงมาก</v>
      </c>
      <c r="Q10" s="6" t="str">
        <f>IFERROR(__xludf.DUMMYFUNCTION("GOOGLETRANSLATE(E10,""en"",""th"")"),"เป็นวันที่เงียบสงบมาก")</f>
        <v>เป็นวันที่เงียบสงบมาก</v>
      </c>
      <c r="R10" s="6" t="str">
        <f>IFERROR(__xludf.DUMMYFUNCTION("GOOGLETRANSLATE(F10,""en"",""th"")"),"วันนี้เป็นวันที่มีเมฆมาก")</f>
        <v>วันนี้เป็นวันที่มีเมฆมาก</v>
      </c>
      <c r="S10" s="6" t="str">
        <f>IFERROR(__xludf.DUMMYFUNCTION("GOOGLETRANSLATE(G10,""en"",""th"")"),"เป็นวันที่ฝนตกหนักมาก")</f>
        <v>เป็นวันที่ฝนตกหนักมาก</v>
      </c>
      <c r="T10" s="6" t="s">
        <v>726</v>
      </c>
      <c r="U10" s="6" t="str">
        <f>IFERROR(__xludf.DUMMYFUNCTION("GOOGLETRANSLATE(I10,""en"",""th"")"),"วันนี้เป็นวันที่มีลมแรงมาก")</f>
        <v>วันนี้เป็นวันที่มีลมแรงมาก</v>
      </c>
      <c r="V10" s="6" t="str">
        <f>IFERROR(__xludf.DUMMYFUNCTION("GOOGLETRANSLATE(J10,""en"",""th"")"),"ว่าวกำลังบินสูงบนท้องฟ้า และเมฆก็เคลื่อนที่เร็วมาก ซึ่งบ่งบอกว่าวันนี้เป็นวันที่มีลมแรงมาก")</f>
        <v>ว่าวกำลังบินสูงบนท้องฟ้า และเมฆก็เคลื่อนที่เร็วมาก ซึ่งบ่งบอกว่าวันนี้เป็นวันที่มีลมแรงมาก</v>
      </c>
    </row>
    <row r="11" ht="22.5" customHeight="1">
      <c r="A11" s="4" t="s">
        <v>727</v>
      </c>
      <c r="B11" s="5">
        <v>10.0</v>
      </c>
      <c r="C11" s="4" t="s">
        <v>154</v>
      </c>
      <c r="D11" s="4" t="s">
        <v>743</v>
      </c>
      <c r="E11" s="4" t="s">
        <v>744</v>
      </c>
      <c r="F11" s="4" t="s">
        <v>126</v>
      </c>
      <c r="G11" s="4" t="s">
        <v>127</v>
      </c>
      <c r="H11" s="4" t="s">
        <v>745</v>
      </c>
      <c r="I11" s="4" t="s">
        <v>744</v>
      </c>
      <c r="J11" s="4" t="s">
        <v>746</v>
      </c>
      <c r="M11" s="4" t="s">
        <v>727</v>
      </c>
      <c r="N11" s="5">
        <v>10.0</v>
      </c>
      <c r="O11" s="6" t="str">
        <f>IFERROR(__xludf.DUMMYFUNCTION("GOOGLETRANSLATE(C11,""en"",""th"")"),"บรรยากาศโดยรวมของภาพเป็นอย่างไร?")</f>
        <v>บรรยากาศโดยรวมของภาพเป็นอย่างไร?</v>
      </c>
      <c r="P11" s="6" t="str">
        <f>IFERROR(__xludf.DUMMYFUNCTION("GOOGLETRANSLATE(D11,""en"",""th"")"),"บรรยากาศตึงเครียดและเงียบสงบ")</f>
        <v>บรรยากาศตึงเครียดและเงียบสงบ</v>
      </c>
      <c r="Q11" s="6" t="str">
        <f>IFERROR(__xludf.DUMMYFUNCTION("GOOGLETRANSLATE(E11,""en"",""th"")"),"บรรยากาศสนุกสนาน มีชีวิตชีวา")</f>
        <v>บรรยากาศสนุกสนาน มีชีวิตชีวา</v>
      </c>
      <c r="R11" s="6" t="str">
        <f>IFERROR(__xludf.DUMMYFUNCTION("GOOGLETRANSLATE(F11,""en"",""th"")"),"แบบเฉลิมฉลองและรื่นเริง")</f>
        <v>แบบเฉลิมฉลองและรื่นเริง</v>
      </c>
      <c r="S11" s="6" t="str">
        <f>IFERROR(__xludf.DUMMYFUNCTION("GOOGLETRANSLATE(G11,""en"",""th"")"),"แบบสบายๆ และผ่อนคลาย")</f>
        <v>แบบสบายๆ และผ่อนคลาย</v>
      </c>
      <c r="T11" s="6" t="s">
        <v>747</v>
      </c>
      <c r="U11" s="6" t="str">
        <f>IFERROR(__xludf.DUMMYFUNCTION("GOOGLETRANSLATE(I11,""en"",""th"")"),"บรรยากาศสนุกสนาน มีชีวิตชีวา")</f>
        <v>บรรยากาศสนุกสนาน มีชีวิตชีวา</v>
      </c>
      <c r="V11" s="6" t="str">
        <f>IFERROR(__xludf.DUMMYFUNCTION("GOOGLETRANSLATE(J11,""en"",""th"")"),"ผู้คนยิ้มแย้มและวิ่งเล่นว่าวซึ่งสร้างบรรยากาศสนุกสนานและมีชีวิตชีวา")</f>
        <v>ผู้คนยิ้มแย้มและวิ่งเล่นว่าวซึ่งสร้างบรรยากาศสนุกสนานและมีชีวิตชีวา</v>
      </c>
    </row>
    <row r="12" ht="22.5" customHeight="1">
      <c r="A12" s="4" t="s">
        <v>748</v>
      </c>
      <c r="B12" s="5">
        <v>11.0</v>
      </c>
      <c r="C12" s="4" t="s">
        <v>21</v>
      </c>
      <c r="D12" s="4" t="s">
        <v>749</v>
      </c>
      <c r="E12" s="4" t="s">
        <v>750</v>
      </c>
      <c r="F12" s="4" t="s">
        <v>751</v>
      </c>
      <c r="G12" s="4" t="s">
        <v>752</v>
      </c>
      <c r="H12" s="4" t="s">
        <v>753</v>
      </c>
      <c r="I12" s="4" t="s">
        <v>750</v>
      </c>
      <c r="J12" s="4" t="s">
        <v>754</v>
      </c>
      <c r="M12" s="4" t="s">
        <v>748</v>
      </c>
      <c r="N12" s="5">
        <v>11.0</v>
      </c>
      <c r="O12" s="6" t="str">
        <f>IFERROR(__xludf.DUMMYFUNCTION("GOOGLETRANSLATE(C12,""en"",""th"")"),"ภาพที่แสดงเป็นกิจกรรมหลักอะไร?")</f>
        <v>ภาพที่แสดงเป็นกิจกรรมหลักอะไร?</v>
      </c>
      <c r="P12" s="6" t="str">
        <f>IFERROR(__xludf.DUMMYFUNCTION("GOOGLETRANSLATE(D12,""en"",""th"")"),"เด็กผู้หญิงสองคนกำลังวิ่ง")</f>
        <v>เด็กผู้หญิงสองคนกำลังวิ่ง</v>
      </c>
      <c r="Q12" s="6" t="str">
        <f>IFERROR(__xludf.DUMMYFUNCTION("GOOGLETRANSLATE(E12,""en"",""th"")"),"เด็กผู้หญิงสองคนกำลังเล่นว่าว")</f>
        <v>เด็กผู้หญิงสองคนกำลังเล่นว่าว</v>
      </c>
      <c r="R12" s="6" t="str">
        <f>IFERROR(__xludf.DUMMYFUNCTION("GOOGLETRANSLATE(F12,""en"",""th"")"),"เด็กผู้หญิงสองคนกำลังต่อสู้กัน")</f>
        <v>เด็กผู้หญิงสองคนกำลังต่อสู้กัน</v>
      </c>
      <c r="S12" s="6" t="str">
        <f>IFERROR(__xludf.DUMMYFUNCTION("GOOGLETRANSLATE(G12,""en"",""th"")"),"เด็กผู้หญิงสองคนกำลังเต้นรำ")</f>
        <v>เด็กผู้หญิงสองคนกำลังเต้นรำ</v>
      </c>
      <c r="T12" s="6" t="s">
        <v>755</v>
      </c>
      <c r="U12" s="6" t="str">
        <f>IFERROR(__xludf.DUMMYFUNCTION("GOOGLETRANSLATE(I12,""en"",""th"")"),"เด็กผู้หญิงสองคนกำลังเล่นว่าว")</f>
        <v>เด็กผู้หญิงสองคนกำลังเล่นว่าว</v>
      </c>
      <c r="V12" s="6" t="str">
        <f>IFERROR(__xludf.DUMMYFUNCTION("GOOGLETRANSLATE(J12,""en"",""th"")"),"รูปภาพแสดงให้เห็นเด็กผู้หญิงสองคน โดยคนหนึ่งถือว่าว และอีกคนถือห่วงฮูลาฮูป ซึ่งเป็นสัญญาณชัดเจนว่าพวกเขากำลังเล่นว่าว")</f>
        <v>รูปภาพแสดงให้เห็นเด็กผู้หญิงสองคน โดยคนหนึ่งถือว่าว และอีกคนถือห่วงฮูลาฮูป ซึ่งเป็นสัญญาณชัดเจนว่าพวกเขากำลังเล่นว่าว</v>
      </c>
    </row>
    <row r="13" ht="22.5" customHeight="1">
      <c r="A13" s="4" t="s">
        <v>748</v>
      </c>
      <c r="B13" s="5">
        <v>12.0</v>
      </c>
      <c r="C13" s="4" t="s">
        <v>756</v>
      </c>
      <c r="D13" s="4" t="s">
        <v>757</v>
      </c>
      <c r="E13" s="4" t="s">
        <v>758</v>
      </c>
      <c r="F13" s="4" t="s">
        <v>759</v>
      </c>
      <c r="G13" s="4" t="s">
        <v>760</v>
      </c>
      <c r="H13" s="4" t="s">
        <v>761</v>
      </c>
      <c r="I13" s="4" t="s">
        <v>759</v>
      </c>
      <c r="J13" s="4" t="s">
        <v>762</v>
      </c>
      <c r="M13" s="4" t="s">
        <v>748</v>
      </c>
      <c r="N13" s="5">
        <v>12.0</v>
      </c>
      <c r="O13" s="6" t="str">
        <f>IFERROR(__xludf.DUMMYFUNCTION("GOOGLETRANSLATE(C13,""en"",""th"")"),"คนกำลังเล่นว่าวอยู่ในสวนสาธารณะ นี่มันหมายความว่ายังไง")</f>
        <v>คนกำลังเล่นว่าวอยู่ในสวนสาธารณะ นี่มันหมายความว่ายังไง</v>
      </c>
      <c r="P13" s="6" t="str">
        <f>IFERROR(__xludf.DUMMYFUNCTION("GOOGLETRANSLATE(D13,""en"",""th"")"),"เป็นเครื่องมือทางการศึกษา")</f>
        <v>เป็นเครื่องมือทางการศึกษา</v>
      </c>
      <c r="Q13" s="6" t="str">
        <f>IFERROR(__xludf.DUMMYFUNCTION("GOOGLETRANSLATE(E13,""en"",""th"")"),"มันเป็นกีฬาที่มีการแข่งขัน")</f>
        <v>มันเป็นกีฬาที่มีการแข่งขัน</v>
      </c>
      <c r="R13" s="6" t="str">
        <f>IFERROR(__xludf.DUMMYFUNCTION("GOOGLETRANSLATE(F13,""en"",""th"")"),"เป็นกิจกรรมยามว่างที่สนุกสนานสำหรับเด็กๆ")</f>
        <v>เป็นกิจกรรมยามว่างที่สนุกสนานสำหรับเด็กๆ</v>
      </c>
      <c r="S13" s="6" t="str">
        <f>IFERROR(__xludf.DUMMYFUNCTION("GOOGLETRANSLATE(G13,""en"",""th"")"),"เป็นงานที่เป็นทางการ")</f>
        <v>เป็นงานที่เป็นทางการ</v>
      </c>
      <c r="T13" s="6" t="s">
        <v>763</v>
      </c>
      <c r="U13" s="6" t="str">
        <f>IFERROR(__xludf.DUMMYFUNCTION("GOOGLETRANSLATE(I13,""en"",""th"")"),"เป็นกิจกรรมยามว่างที่สนุกสนานสำหรับเด็กๆ")</f>
        <v>เป็นกิจกรรมยามว่างที่สนุกสนานสำหรับเด็กๆ</v>
      </c>
      <c r="V13" s="6" t="str">
        <f>IFERROR(__xludf.DUMMYFUNCTION("GOOGLETRANSLATE(J13,""en"",""th"")"),"ภาพเด็กสาวสองคนกำลังเล่นว่าวในสวนสาธารณะแสดงให้เห็นว่าการเล่นว่าวเป็นกิจกรรมยามว่างที่สนุกสนานและพักผ่อนหย่อนใจสำหรับเด็กๆ")</f>
        <v>ภาพเด็กสาวสองคนกำลังเล่นว่าวในสวนสาธารณะแสดงให้เห็นว่าการเล่นว่าวเป็นกิจกรรมยามว่างที่สนุกสนานและพักผ่อนหย่อนใจสำหรับเด็กๆ</v>
      </c>
    </row>
    <row r="14" ht="22.5" customHeight="1">
      <c r="A14" s="4" t="s">
        <v>748</v>
      </c>
      <c r="B14" s="5">
        <v>13.0</v>
      </c>
      <c r="C14" s="4" t="s">
        <v>695</v>
      </c>
      <c r="D14" s="4" t="s">
        <v>764</v>
      </c>
      <c r="E14" s="4" t="s">
        <v>697</v>
      </c>
      <c r="F14" s="4" t="s">
        <v>698</v>
      </c>
      <c r="G14" s="4" t="s">
        <v>699</v>
      </c>
      <c r="H14" s="4" t="s">
        <v>765</v>
      </c>
      <c r="I14" s="4" t="s">
        <v>697</v>
      </c>
      <c r="J14" s="4" t="s">
        <v>701</v>
      </c>
      <c r="M14" s="4" t="s">
        <v>748</v>
      </c>
      <c r="N14" s="5">
        <v>13.0</v>
      </c>
      <c r="O14" s="6" t="str">
        <f>IFERROR(__xludf.DUMMYFUNCTION("GOOGLETRANSLATE(C14,""en"",""th"")"),"ลักษณะเด่นของว่าวคืออะไร?")</f>
        <v>ลักษณะเด่นของว่าวคืออะไร?</v>
      </c>
      <c r="P14" s="6" t="str">
        <f>IFERROR(__xludf.DUMMYFUNCTION("GOOGLETRANSLATE(D14,""en"",""th"")"),"มันเล็กและเรียบง่ายมาก")</f>
        <v>มันเล็กและเรียบง่ายมาก</v>
      </c>
      <c r="Q14" s="6" t="str">
        <f>IFERROR(__xludf.DUMMYFUNCTION("GOOGLETRANSLATE(E14,""en"",""th"")"),"มันเป็นว่าวที่มีขนาดใหญ่และซับซ้อนมาก")</f>
        <v>มันเป็นว่าวที่มีขนาดใหญ่และซับซ้อนมาก</v>
      </c>
      <c r="R14" s="6" t="str">
        <f>IFERROR(__xludf.DUMMYFUNCTION("GOOGLETRANSLATE(F14,""en"",""th"")"),"มันเป็นว่าวที่เรียบง่ายมาก")</f>
        <v>มันเป็นว่าวที่เรียบง่ายมาก</v>
      </c>
      <c r="S14" s="6" t="str">
        <f>IFERROR(__xludf.DUMMYFUNCTION("GOOGLETRANSLATE(G14,""en"",""th"")"),"มันคือว่าวสายเดี่ยว")</f>
        <v>มันคือว่าวสายเดี่ยว</v>
      </c>
      <c r="T14" s="6" t="s">
        <v>766</v>
      </c>
      <c r="U14" s="6" t="str">
        <f>IFERROR(__xludf.DUMMYFUNCTION("GOOGLETRANSLATE(I14,""en"",""th"")"),"มันเป็นว่าวที่มีขนาดใหญ่และซับซ้อนมาก")</f>
        <v>มันเป็นว่าวที่มีขนาดใหญ่และซับซ้อนมาก</v>
      </c>
      <c r="V14" s="6" t="str">
        <f>IFERROR(__xludf.DUMMYFUNCTION("GOOGLETRANSLATE(J14,""en"",""th"")"),"ว่าวประกอบด้วยรูปทรงเรขาคณิตหลายแบบและมีขนาดใหญ่และซับซ้อนมาก ซึ่งต้องใช้ทักษะขั้นสูงในการบิน")</f>
        <v>ว่าวประกอบด้วยรูปทรงเรขาคณิตหลายแบบและมีขนาดใหญ่และซับซ้อนมาก ซึ่งต้องใช้ทักษะขั้นสูงในการบิน</v>
      </c>
    </row>
    <row r="15" ht="22.5" customHeight="1">
      <c r="A15" s="4" t="s">
        <v>748</v>
      </c>
      <c r="B15" s="5">
        <v>14.0</v>
      </c>
      <c r="C15" s="4" t="s">
        <v>741</v>
      </c>
      <c r="D15" s="4" t="s">
        <v>720</v>
      </c>
      <c r="E15" s="4" t="s">
        <v>721</v>
      </c>
      <c r="F15" s="4" t="s">
        <v>722</v>
      </c>
      <c r="G15" s="4" t="s">
        <v>723</v>
      </c>
      <c r="H15" s="4" t="s">
        <v>724</v>
      </c>
      <c r="I15" s="4" t="s">
        <v>720</v>
      </c>
      <c r="J15" s="4" t="s">
        <v>767</v>
      </c>
      <c r="M15" s="4" t="s">
        <v>748</v>
      </c>
      <c r="N15" s="5">
        <v>14.0</v>
      </c>
      <c r="O15" s="6" t="str">
        <f>IFERROR(__xludf.DUMMYFUNCTION("GOOGLETRANSLATE(C15,""en"",""th"")"),"สภาพอากาศเป็นปัจจัยสำคัญของกีฬาชนิดนี้ ภาพที่เห็นสามารถสรุปอะไรได้บ้าง?")</f>
        <v>สภาพอากาศเป็นปัจจัยสำคัญของกีฬาชนิดนี้ ภาพที่เห็นสามารถสรุปอะไรได้บ้าง?</v>
      </c>
      <c r="P15" s="6" t="str">
        <f>IFERROR(__xludf.DUMMYFUNCTION("GOOGLETRANSLATE(D15,""en"",""th"")"),"วันนี้เป็นวันที่มีลมแรงมาก")</f>
        <v>วันนี้เป็นวันที่มีลมแรงมาก</v>
      </c>
      <c r="Q15" s="6" t="str">
        <f>IFERROR(__xludf.DUMMYFUNCTION("GOOGLETRANSLATE(E15,""en"",""th"")"),"เป็นวันที่เงียบสงบมาก")</f>
        <v>เป็นวันที่เงียบสงบมาก</v>
      </c>
      <c r="R15" s="6" t="str">
        <f>IFERROR(__xludf.DUMMYFUNCTION("GOOGLETRANSLATE(F15,""en"",""th"")"),"วันนี้เป็นวันที่มีเมฆมาก")</f>
        <v>วันนี้เป็นวันที่มีเมฆมาก</v>
      </c>
      <c r="S15" s="6" t="str">
        <f>IFERROR(__xludf.DUMMYFUNCTION("GOOGLETRANSLATE(G15,""en"",""th"")"),"เป็นวันที่ฝนตกหนักมาก")</f>
        <v>เป็นวันที่ฝนตกหนักมาก</v>
      </c>
      <c r="T15" s="6" t="s">
        <v>726</v>
      </c>
      <c r="U15" s="6" t="str">
        <f>IFERROR(__xludf.DUMMYFUNCTION("GOOGLETRANSLATE(I15,""en"",""th"")"),"วันนี้เป็นวันที่มีลมแรงมาก")</f>
        <v>วันนี้เป็นวันที่มีลมแรงมาก</v>
      </c>
      <c r="V15" s="6" t="str">
        <f>IFERROR(__xludf.DUMMYFUNCTION("GOOGLETRANSLATE(J15,""en"",""th"")"),"ว่าวกำลังบินสูงบนท้องฟ้า ซึ่งบ่งบอกว่าวันนี้เป็นวันที่มีลมแรงมาก")</f>
        <v>ว่าวกำลังบินสูงบนท้องฟ้า ซึ่งบ่งบอกว่าวันนี้เป็นวันที่มีลมแรงมาก</v>
      </c>
    </row>
    <row r="16" ht="22.5" customHeight="1">
      <c r="A16" s="4" t="s">
        <v>748</v>
      </c>
      <c r="B16" s="5">
        <v>15.0</v>
      </c>
      <c r="C16" s="4" t="s">
        <v>154</v>
      </c>
      <c r="D16" s="4" t="s">
        <v>743</v>
      </c>
      <c r="E16" s="4" t="s">
        <v>744</v>
      </c>
      <c r="F16" s="4" t="s">
        <v>126</v>
      </c>
      <c r="G16" s="4" t="s">
        <v>127</v>
      </c>
      <c r="H16" s="4" t="s">
        <v>745</v>
      </c>
      <c r="I16" s="4" t="s">
        <v>744</v>
      </c>
      <c r="J16" s="4" t="s">
        <v>768</v>
      </c>
      <c r="M16" s="4" t="s">
        <v>748</v>
      </c>
      <c r="N16" s="5">
        <v>15.0</v>
      </c>
      <c r="O16" s="6" t="str">
        <f>IFERROR(__xludf.DUMMYFUNCTION("GOOGLETRANSLATE(C16,""en"",""th"")"),"บรรยากาศโดยรวมของภาพเป็นอย่างไร?")</f>
        <v>บรรยากาศโดยรวมของภาพเป็นอย่างไร?</v>
      </c>
      <c r="P16" s="6" t="str">
        <f>IFERROR(__xludf.DUMMYFUNCTION("GOOGLETRANSLATE(D16,""en"",""th"")"),"บรรยากาศตึงเครียดและเงียบสงบ")</f>
        <v>บรรยากาศตึงเครียดและเงียบสงบ</v>
      </c>
      <c r="Q16" s="6" t="str">
        <f>IFERROR(__xludf.DUMMYFUNCTION("GOOGLETRANSLATE(E16,""en"",""th"")"),"บรรยากาศสนุกสนาน มีชีวิตชีวา")</f>
        <v>บรรยากาศสนุกสนาน มีชีวิตชีวา</v>
      </c>
      <c r="R16" s="6" t="str">
        <f>IFERROR(__xludf.DUMMYFUNCTION("GOOGLETRANSLATE(F16,""en"",""th"")"),"แบบเฉลิมฉลองและรื่นเริง")</f>
        <v>แบบเฉลิมฉลองและรื่นเริง</v>
      </c>
      <c r="S16" s="6" t="str">
        <f>IFERROR(__xludf.DUMMYFUNCTION("GOOGLETRANSLATE(G16,""en"",""th"")"),"แบบสบายๆ และผ่อนคลาย")</f>
        <v>แบบสบายๆ และผ่อนคลาย</v>
      </c>
      <c r="T16" s="6" t="s">
        <v>747</v>
      </c>
      <c r="U16" s="6" t="str">
        <f>IFERROR(__xludf.DUMMYFUNCTION("GOOGLETRANSLATE(I16,""en"",""th"")"),"บรรยากาศสนุกสนาน มีชีวิตชีวา")</f>
        <v>บรรยากาศสนุกสนาน มีชีวิตชีวา</v>
      </c>
      <c r="V16" s="6" t="str">
        <f>IFERROR(__xludf.DUMMYFUNCTION("GOOGLETRANSLATE(J16,""en"",""th"")"),"เหล่าสาวๆ กำลังยิ้มและเล่นว่าว ซึ่งสร้างบรรยากาศสนุกสนานและมีชีวิตชีวา")</f>
        <v>เหล่าสาวๆ กำลังยิ้มและเล่นว่าว ซึ่งสร้างบรรยากาศสนุกสนานและมีชีวิตชีวา</v>
      </c>
    </row>
    <row r="17" ht="22.5" customHeight="1">
      <c r="A17" s="4" t="s">
        <v>769</v>
      </c>
      <c r="B17" s="5">
        <v>16.0</v>
      </c>
      <c r="C17" s="4" t="s">
        <v>21</v>
      </c>
      <c r="D17" s="4" t="s">
        <v>770</v>
      </c>
      <c r="E17" s="4" t="s">
        <v>771</v>
      </c>
      <c r="F17" s="4" t="s">
        <v>772</v>
      </c>
      <c r="G17" s="4" t="s">
        <v>773</v>
      </c>
      <c r="H17" s="4" t="s">
        <v>774</v>
      </c>
      <c r="I17" s="4" t="s">
        <v>771</v>
      </c>
      <c r="J17" s="4" t="s">
        <v>775</v>
      </c>
      <c r="M17" s="4" t="s">
        <v>769</v>
      </c>
      <c r="N17" s="5">
        <v>16.0</v>
      </c>
      <c r="O17" s="6" t="str">
        <f>IFERROR(__xludf.DUMMYFUNCTION("GOOGLETRANSLATE(C17,""en"",""th"")"),"ภาพที่แสดงเป็นกิจกรรมหลักอะไร?")</f>
        <v>ภาพที่แสดงเป็นกิจกรรมหลักอะไร?</v>
      </c>
      <c r="P17" s="6" t="str">
        <f>IFERROR(__xludf.DUMMYFUNCTION("GOOGLETRANSLATE(D17,""en"",""th"")"),"ชายคนหนึ่งกำลังดูว่าว")</f>
        <v>ชายคนหนึ่งกำลังดูว่าว</v>
      </c>
      <c r="Q17" s="6" t="str">
        <f>IFERROR(__xludf.DUMMYFUNCTION("GOOGLETRANSLATE(E17,""en"",""th"")"),"ชายคนหนึ่งกำลังเล่นว่าว")</f>
        <v>ชายคนหนึ่งกำลังเล่นว่าว</v>
      </c>
      <c r="R17" s="6" t="str">
        <f>IFERROR(__xludf.DUMMYFUNCTION("GOOGLETRANSLATE(F17,""en"",""th"")"),"มีผู้ชายคนหนึ่งกำลังวิ่ง")</f>
        <v>มีผู้ชายคนหนึ่งกำลังวิ่ง</v>
      </c>
      <c r="S17" s="6" t="str">
        <f>IFERROR(__xludf.DUMMYFUNCTION("GOOGLETRANSLATE(G17,""en"",""th"")"),"มีชายคนหนึ่งยืนอยู่")</f>
        <v>มีชายคนหนึ่งยืนอยู่</v>
      </c>
      <c r="T17" s="6" t="s">
        <v>776</v>
      </c>
      <c r="U17" s="6" t="str">
        <f>IFERROR(__xludf.DUMMYFUNCTION("GOOGLETRANSLATE(I17,""en"",""th"")"),"ชายคนหนึ่งกำลังเล่นว่าว")</f>
        <v>ชายคนหนึ่งกำลังเล่นว่าว</v>
      </c>
      <c r="V17" s="6" t="str">
        <f>IFERROR(__xludf.DUMMYFUNCTION("GOOGLETRANSLATE(J17,""en"",""th"")"),"รูปภาพแสดงให้เห็นชายคนหนึ่งยืนอยู่กลางทุ่งหญ้าพร้อมกับว่าวตัวใหญ่ที่มีลักษณะเฉพาะตัวซึ่งลอยอยู่กลางอากาศ โดยมีเชือกยาวผูกติดอยู่ ซึ่งเป็นสัญญาณชัดเจนว่าเขากำลังเล่นว่าว")</f>
        <v>รูปภาพแสดงให้เห็นชายคนหนึ่งยืนอยู่กลางทุ่งหญ้าพร้อมกับว่าวตัวใหญ่ที่มีลักษณะเฉพาะตัวซึ่งลอยอยู่กลางอากาศ โดยมีเชือกยาวผูกติดอยู่ ซึ่งเป็นสัญญาณชัดเจนว่าเขากำลังเล่นว่าว</v>
      </c>
    </row>
    <row r="18" ht="22.5" customHeight="1">
      <c r="A18" s="4" t="s">
        <v>769</v>
      </c>
      <c r="B18" s="5">
        <v>17.0</v>
      </c>
      <c r="C18" s="4" t="s">
        <v>695</v>
      </c>
      <c r="D18" s="4" t="s">
        <v>777</v>
      </c>
      <c r="E18" s="4" t="s">
        <v>698</v>
      </c>
      <c r="F18" s="4" t="s">
        <v>778</v>
      </c>
      <c r="G18" s="4" t="s">
        <v>779</v>
      </c>
      <c r="H18" s="4" t="s">
        <v>780</v>
      </c>
      <c r="I18" s="4" t="s">
        <v>777</v>
      </c>
      <c r="J18" s="4" t="s">
        <v>781</v>
      </c>
      <c r="M18" s="4" t="s">
        <v>769</v>
      </c>
      <c r="N18" s="5">
        <v>17.0</v>
      </c>
      <c r="O18" s="6" t="str">
        <f>IFERROR(__xludf.DUMMYFUNCTION("GOOGLETRANSLATE(C18,""en"",""th"")"),"ลักษณะเด่นของว่าวคืออะไร?")</f>
        <v>ลักษณะเด่นของว่าวคืออะไร?</v>
      </c>
      <c r="P18" s="6" t="str">
        <f>IFERROR(__xludf.DUMMYFUNCTION("GOOGLETRANSLATE(D18,""en"",""th"")"),"มันเป็นว่าวขนาดใหญ่และยาวมาก")</f>
        <v>มันเป็นว่าวขนาดใหญ่และยาวมาก</v>
      </c>
      <c r="Q18" s="6" t="str">
        <f>IFERROR(__xludf.DUMMYFUNCTION("GOOGLETRANSLATE(E18,""en"",""th"")"),"มันเป็นว่าวที่เรียบง่ายมาก")</f>
        <v>มันเป็นว่าวที่เรียบง่ายมาก</v>
      </c>
      <c r="R18" s="6" t="str">
        <f>IFERROR(__xludf.DUMMYFUNCTION("GOOGLETRANSLATE(F18,""en"",""th"")"),"มันเป็นว่าวขนาดเล็กและเบามาก")</f>
        <v>มันเป็นว่าวขนาดเล็กและเบามาก</v>
      </c>
      <c r="S18" s="6" t="str">
        <f>IFERROR(__xludf.DUMMYFUNCTION("GOOGLETRANSLATE(G18,""en"",""th"")"),"มันเป็นว่าวที่มีความซับซ้อนมาก")</f>
        <v>มันเป็นว่าวที่มีความซับซ้อนมาก</v>
      </c>
      <c r="T18" s="6" t="s">
        <v>782</v>
      </c>
      <c r="U18" s="6" t="str">
        <f>IFERROR(__xludf.DUMMYFUNCTION("GOOGLETRANSLATE(I18,""en"",""th"")"),"มันเป็นว่าวขนาดใหญ่และยาวมาก")</f>
        <v>มันเป็นว่าวขนาดใหญ่และยาวมาก</v>
      </c>
      <c r="V18" s="6" t="str">
        <f>IFERROR(__xludf.DUMMYFUNCTION("GOOGLETRANSLATE(J18,""en"",""th"")"),"ว่าวเป็นว่าวที่มีรูปร่างยาวมากและมีท่อ ซึ่งถือเป็นลักษณะเฉพาะและโดดเด่นมาก")</f>
        <v>ว่าวเป็นว่าวที่มีรูปร่างยาวมากและมีท่อ ซึ่งถือเป็นลักษณะเฉพาะและโดดเด่นมาก</v>
      </c>
    </row>
    <row r="19" ht="22.5" customHeight="1">
      <c r="A19" s="4" t="s">
        <v>769</v>
      </c>
      <c r="B19" s="5">
        <v>18.0</v>
      </c>
      <c r="C19" s="4" t="s">
        <v>783</v>
      </c>
      <c r="D19" s="4" t="s">
        <v>784</v>
      </c>
      <c r="E19" s="4" t="s">
        <v>785</v>
      </c>
      <c r="F19" s="4" t="s">
        <v>786</v>
      </c>
      <c r="G19" s="4" t="s">
        <v>47</v>
      </c>
      <c r="H19" s="4" t="s">
        <v>787</v>
      </c>
      <c r="I19" s="4" t="s">
        <v>785</v>
      </c>
      <c r="J19" s="4" t="s">
        <v>788</v>
      </c>
      <c r="M19" s="4" t="s">
        <v>769</v>
      </c>
      <c r="N19" s="5">
        <v>18.0</v>
      </c>
      <c r="O19" s="6" t="str">
        <f>IFERROR(__xludf.DUMMYFUNCTION("GOOGLETRANSLATE(C19,""en"",""th"")"),"ชายคนนี้ยืนอยู่บนเนินเขากับคนอื่นๆ สิ่งนี้บ่งบอกอะไรเกี่ยวกับเหตุการณ์นี้?")</f>
        <v>ชายคนนี้ยืนอยู่บนเนินเขากับคนอื่นๆ สิ่งนี้บ่งบอกอะไรเกี่ยวกับเหตุการณ์นี้?</v>
      </c>
      <c r="P19" s="6" t="str">
        <f>IFERROR(__xludf.DUMMYFUNCTION("GOOGLETRANSLATE(D19,""en"",""th"")"),"เป็นการปฏิบัติแบบไม่เป็นทางการ")</f>
        <v>เป็นการปฏิบัติแบบไม่เป็นทางการ</v>
      </c>
      <c r="Q19" s="6" t="str">
        <f>IFERROR(__xludf.DUMMYFUNCTION("GOOGLETRANSLATE(E19,""en"",""th"")"),"เป็นเทศกาลว่าวแบบเป็นทางการ")</f>
        <v>เป็นเทศกาลว่าวแบบเป็นทางการ</v>
      </c>
      <c r="R19" s="6" t="str">
        <f>IFERROR(__xludf.DUMMYFUNCTION("GOOGLETRANSLATE(F19,""en"",""th"")"),"มันเป็นการฝึกทหาร")</f>
        <v>มันเป็นการฝึกทหาร</v>
      </c>
      <c r="S19" s="6" t="str">
        <f>IFERROR(__xludf.DUMMYFUNCTION("GOOGLETRANSLATE(G19,""en"",""th"")"),"เป็นงานส่วนตัว")</f>
        <v>เป็นงานส่วนตัว</v>
      </c>
      <c r="T19" s="6" t="s">
        <v>789</v>
      </c>
      <c r="U19" s="6" t="str">
        <f>IFERROR(__xludf.DUMMYFUNCTION("GOOGLETRANSLATE(I19,""en"",""th"")"),"เป็นเทศกาลว่าวแบบเป็นทางการ")</f>
        <v>เป็นเทศกาลว่าวแบบเป็นทางการ</v>
      </c>
      <c r="V19" s="6" t="str">
        <f>IFERROR(__xludf.DUMMYFUNCTION("GOOGLETRANSLATE(J19,""en"",""th"")"),"ภาพดังกล่าวแสดงให้เห็นฝูงชนจำนวนมาก ซึ่งแสดงให้เห็นว่างานดังกล่าวเป็นเทศกาลว่าวอย่างเป็นทางการ")</f>
        <v>ภาพดังกล่าวแสดงให้เห็นฝูงชนจำนวนมาก ซึ่งแสดงให้เห็นว่างานดังกล่าวเป็นเทศกาลว่าวอย่างเป็นทางการ</v>
      </c>
    </row>
    <row r="20" ht="22.5" customHeight="1">
      <c r="A20" s="4" t="s">
        <v>769</v>
      </c>
      <c r="B20" s="5">
        <v>19.0</v>
      </c>
      <c r="C20" s="4" t="s">
        <v>741</v>
      </c>
      <c r="D20" s="4" t="s">
        <v>720</v>
      </c>
      <c r="E20" s="4" t="s">
        <v>721</v>
      </c>
      <c r="F20" s="4" t="s">
        <v>722</v>
      </c>
      <c r="G20" s="4" t="s">
        <v>723</v>
      </c>
      <c r="H20" s="4" t="s">
        <v>724</v>
      </c>
      <c r="I20" s="4" t="s">
        <v>720</v>
      </c>
      <c r="J20" s="4" t="s">
        <v>790</v>
      </c>
      <c r="M20" s="4" t="s">
        <v>769</v>
      </c>
      <c r="N20" s="5">
        <v>19.0</v>
      </c>
      <c r="O20" s="6" t="str">
        <f>IFERROR(__xludf.DUMMYFUNCTION("GOOGLETRANSLATE(C20,""en"",""th"")"),"สภาพอากาศเป็นปัจจัยสำคัญของกีฬาชนิดนี้ ภาพที่เห็นสามารถสรุปอะไรได้บ้าง?")</f>
        <v>สภาพอากาศเป็นปัจจัยสำคัญของกีฬาชนิดนี้ ภาพที่เห็นสามารถสรุปอะไรได้บ้าง?</v>
      </c>
      <c r="P20" s="6" t="str">
        <f>IFERROR(__xludf.DUMMYFUNCTION("GOOGLETRANSLATE(D20,""en"",""th"")"),"วันนี้เป็นวันที่มีลมแรงมาก")</f>
        <v>วันนี้เป็นวันที่มีลมแรงมาก</v>
      </c>
      <c r="Q20" s="6" t="str">
        <f>IFERROR(__xludf.DUMMYFUNCTION("GOOGLETRANSLATE(E20,""en"",""th"")"),"เป็นวันที่เงียบสงบมาก")</f>
        <v>เป็นวันที่เงียบสงบมาก</v>
      </c>
      <c r="R20" s="6" t="str">
        <f>IFERROR(__xludf.DUMMYFUNCTION("GOOGLETRANSLATE(F20,""en"",""th"")"),"วันนี้เป็นวันที่มีเมฆมาก")</f>
        <v>วันนี้เป็นวันที่มีเมฆมาก</v>
      </c>
      <c r="S20" s="6" t="str">
        <f>IFERROR(__xludf.DUMMYFUNCTION("GOOGLETRANSLATE(G20,""en"",""th"")"),"เป็นวันที่ฝนตกหนักมาก")</f>
        <v>เป็นวันที่ฝนตกหนักมาก</v>
      </c>
      <c r="T20" s="6" t="s">
        <v>726</v>
      </c>
      <c r="U20" s="6" t="str">
        <f>IFERROR(__xludf.DUMMYFUNCTION("GOOGLETRANSLATE(I20,""en"",""th"")"),"วันนี้เป็นวันที่มีลมแรงมาก")</f>
        <v>วันนี้เป็นวันที่มีลมแรงมาก</v>
      </c>
      <c r="V20" s="6" t="str">
        <f>IFERROR(__xludf.DUMMYFUNCTION("GOOGLETRANSLATE(J20,""en"",""th"")"),"ว่าวกำลังบินสูงบนท้องฟ้า และต้นไม้ก็พลิ้วไหว ซึ่งบ่งบอกว่าวันนี้เป็นวันที่มีลมแรงมาก")</f>
        <v>ว่าวกำลังบินสูงบนท้องฟ้า และต้นไม้ก็พลิ้วไหว ซึ่งบ่งบอกว่าวันนี้เป็นวันที่มีลมแรงมาก</v>
      </c>
    </row>
    <row r="21" ht="22.5" customHeight="1">
      <c r="A21" s="4" t="s">
        <v>769</v>
      </c>
      <c r="B21" s="5">
        <v>20.0</v>
      </c>
      <c r="C21" s="4" t="s">
        <v>154</v>
      </c>
      <c r="D21" s="4" t="s">
        <v>743</v>
      </c>
      <c r="E21" s="4" t="s">
        <v>744</v>
      </c>
      <c r="F21" s="4" t="s">
        <v>126</v>
      </c>
      <c r="G21" s="4" t="s">
        <v>127</v>
      </c>
      <c r="H21" s="4" t="s">
        <v>745</v>
      </c>
      <c r="I21" s="4" t="s">
        <v>126</v>
      </c>
      <c r="J21" s="4" t="s">
        <v>791</v>
      </c>
      <c r="M21" s="4" t="s">
        <v>769</v>
      </c>
      <c r="N21" s="5">
        <v>20.0</v>
      </c>
      <c r="O21" s="6" t="str">
        <f>IFERROR(__xludf.DUMMYFUNCTION("GOOGLETRANSLATE(C21,""en"",""th"")"),"บรรยากาศโดยรวมของภาพเป็นอย่างไร?")</f>
        <v>บรรยากาศโดยรวมของภาพเป็นอย่างไร?</v>
      </c>
      <c r="P21" s="6" t="str">
        <f>IFERROR(__xludf.DUMMYFUNCTION("GOOGLETRANSLATE(D21,""en"",""th"")"),"บรรยากาศตึงเครียดและเงียบสงบ")</f>
        <v>บรรยากาศตึงเครียดและเงียบสงบ</v>
      </c>
      <c r="Q21" s="6" t="str">
        <f>IFERROR(__xludf.DUMMYFUNCTION("GOOGLETRANSLATE(E21,""en"",""th"")"),"บรรยากาศสนุกสนาน มีชีวิตชีวา")</f>
        <v>บรรยากาศสนุกสนาน มีชีวิตชีวา</v>
      </c>
      <c r="R21" s="6" t="str">
        <f>IFERROR(__xludf.DUMMYFUNCTION("GOOGLETRANSLATE(F21,""en"",""th"")"),"แบบเฉลิมฉลองและรื่นเริง")</f>
        <v>แบบเฉลิมฉลองและรื่นเริง</v>
      </c>
      <c r="S21" s="6" t="str">
        <f>IFERROR(__xludf.DUMMYFUNCTION("GOOGLETRANSLATE(G21,""en"",""th"")"),"แบบสบายๆ และผ่อนคลาย")</f>
        <v>แบบสบายๆ และผ่อนคลาย</v>
      </c>
      <c r="T21" s="6" t="s">
        <v>747</v>
      </c>
      <c r="U21" s="6" t="str">
        <f>IFERROR(__xludf.DUMMYFUNCTION("GOOGLETRANSLATE(I21,""en"",""th"")"),"แบบเฉลิมฉลองและรื่นเริง")</f>
        <v>แบบเฉลิมฉลองและรื่นเริง</v>
      </c>
      <c r="V21" s="6" t="str">
        <f>IFERROR(__xludf.DUMMYFUNCTION("GOOGLETRANSLATE(J21,""en"",""th"")"),"ฝูงชนจำนวนมากและว่าวหลากสีสันที่มีเอกลักษณ์เฉพาะตัวสร้างบรรยากาศแห่งการเฉลิมฉลองและรื่นเริง")</f>
        <v>ฝูงชนจำนวนมากและว่าวหลากสีสันที่มีเอกลักษณ์เฉพาะตัวสร้างบรรยากาศแห่งการเฉลิมฉลองและรื่นเริง</v>
      </c>
    </row>
    <row r="22" ht="22.5" customHeight="1">
      <c r="A22" s="4" t="s">
        <v>792</v>
      </c>
      <c r="B22" s="5">
        <v>21.0</v>
      </c>
      <c r="C22" s="4" t="s">
        <v>21</v>
      </c>
      <c r="D22" s="4" t="s">
        <v>793</v>
      </c>
      <c r="E22" s="4" t="s">
        <v>794</v>
      </c>
      <c r="F22" s="4" t="s">
        <v>795</v>
      </c>
      <c r="G22" s="4" t="s">
        <v>796</v>
      </c>
      <c r="H22" s="4" t="s">
        <v>797</v>
      </c>
      <c r="I22" s="4" t="s">
        <v>794</v>
      </c>
      <c r="J22" s="4" t="s">
        <v>798</v>
      </c>
      <c r="M22" s="4" t="s">
        <v>792</v>
      </c>
      <c r="N22" s="5">
        <v>21.0</v>
      </c>
      <c r="O22" s="6" t="str">
        <f>IFERROR(__xludf.DUMMYFUNCTION("GOOGLETRANSLATE(C22,""en"",""th"")"),"ภาพที่แสดงเป็นกิจกรรมหลักอะไร?")</f>
        <v>ภาพที่แสดงเป็นกิจกรรมหลักอะไร?</v>
      </c>
      <c r="P22" s="6" t="str">
        <f>IFERROR(__xludf.DUMMYFUNCTION("GOOGLETRANSLATE(D22,""en"",""th"")"),"มีเด็กผู้หญิงคนหนึ่งกำลังวิ่ง")</f>
        <v>มีเด็กผู้หญิงคนหนึ่งกำลังวิ่ง</v>
      </c>
      <c r="Q22" s="6" t="str">
        <f>IFERROR(__xludf.DUMMYFUNCTION("GOOGLETRANSLATE(E22,""en"",""th"")"),"เด็กผู้หญิงคนหนึ่งกำลังเล่นว่าว")</f>
        <v>เด็กผู้หญิงคนหนึ่งกำลังเล่นว่าว</v>
      </c>
      <c r="R22" s="6" t="str">
        <f>IFERROR(__xludf.DUMMYFUNCTION("GOOGLETRANSLATE(F22,""en"",""th"")"),"สาวน้อยกำลังต่อสู้อยู่")</f>
        <v>สาวน้อยกำลังต่อสู้อยู่</v>
      </c>
      <c r="S22" s="6" t="str">
        <f>IFERROR(__xludf.DUMMYFUNCTION("GOOGLETRANSLATE(G22,""en"",""th"")"),"มีสาวคนหนึ่งกำลังเต้นรำ")</f>
        <v>มีสาวคนหนึ่งกำลังเต้นรำ</v>
      </c>
      <c r="T22" s="6" t="s">
        <v>799</v>
      </c>
      <c r="U22" s="6" t="str">
        <f>IFERROR(__xludf.DUMMYFUNCTION("GOOGLETRANSLATE(I22,""en"",""th"")"),"เด็กผู้หญิงคนหนึ่งกำลังเล่นว่าว")</f>
        <v>เด็กผู้หญิงคนหนึ่งกำลังเล่นว่าว</v>
      </c>
      <c r="V22" s="6" t="str">
        <f>IFERROR(__xludf.DUMMYFUNCTION("GOOGLETRANSLATE(J22,""en"",""th"")"),"รูปภาพแสดงให้เห็นเด็กผู้หญิงกำลังถือว่าวและรอกว่าว โดยมีว่าวลอยอยู่บนท้องฟ้า ซึ่งเป็นสัญญาณชัดเจนว่าเธอกำลังเล่นว่าว")</f>
        <v>รูปภาพแสดงให้เห็นเด็กผู้หญิงกำลังถือว่าวและรอกว่าว โดยมีว่าวลอยอยู่บนท้องฟ้า ซึ่งเป็นสัญญาณชัดเจนว่าเธอกำลังเล่นว่าว</v>
      </c>
    </row>
    <row r="23" ht="22.5" customHeight="1">
      <c r="A23" s="4" t="s">
        <v>792</v>
      </c>
      <c r="B23" s="5">
        <v>22.0</v>
      </c>
      <c r="C23" s="4" t="s">
        <v>756</v>
      </c>
      <c r="D23" s="4" t="s">
        <v>757</v>
      </c>
      <c r="E23" s="4" t="s">
        <v>758</v>
      </c>
      <c r="F23" s="4" t="s">
        <v>759</v>
      </c>
      <c r="G23" s="4" t="s">
        <v>760</v>
      </c>
      <c r="H23" s="4" t="s">
        <v>761</v>
      </c>
      <c r="I23" s="4" t="s">
        <v>759</v>
      </c>
      <c r="J23" s="4" t="s">
        <v>800</v>
      </c>
      <c r="M23" s="4" t="s">
        <v>792</v>
      </c>
      <c r="N23" s="5">
        <v>22.0</v>
      </c>
      <c r="O23" s="6" t="str">
        <f>IFERROR(__xludf.DUMMYFUNCTION("GOOGLETRANSLATE(C23,""en"",""th"")"),"คนกำลังเล่นว่าวอยู่ในสวนสาธารณะ นี่มันหมายความว่ายังไง")</f>
        <v>คนกำลังเล่นว่าวอยู่ในสวนสาธารณะ นี่มันหมายความว่ายังไง</v>
      </c>
      <c r="P23" s="6" t="str">
        <f>IFERROR(__xludf.DUMMYFUNCTION("GOOGLETRANSLATE(D23,""en"",""th"")"),"เป็นเครื่องมือทางการศึกษา")</f>
        <v>เป็นเครื่องมือทางการศึกษา</v>
      </c>
      <c r="Q23" s="6" t="str">
        <f>IFERROR(__xludf.DUMMYFUNCTION("GOOGLETRANSLATE(E23,""en"",""th"")"),"มันเป็นกีฬาที่มีการแข่งขัน")</f>
        <v>มันเป็นกีฬาที่มีการแข่งขัน</v>
      </c>
      <c r="R23" s="6" t="str">
        <f>IFERROR(__xludf.DUMMYFUNCTION("GOOGLETRANSLATE(F23,""en"",""th"")"),"เป็นกิจกรรมยามว่างที่สนุกสนานสำหรับเด็กๆ")</f>
        <v>เป็นกิจกรรมยามว่างที่สนุกสนานสำหรับเด็กๆ</v>
      </c>
      <c r="S23" s="6" t="str">
        <f>IFERROR(__xludf.DUMMYFUNCTION("GOOGLETRANSLATE(G23,""en"",""th"")"),"เป็นงานที่เป็นทางการ")</f>
        <v>เป็นงานที่เป็นทางการ</v>
      </c>
      <c r="T23" s="6" t="s">
        <v>763</v>
      </c>
      <c r="U23" s="6" t="str">
        <f>IFERROR(__xludf.DUMMYFUNCTION("GOOGLETRANSLATE(I23,""en"",""th"")"),"เป็นกิจกรรมยามว่างที่สนุกสนานสำหรับเด็กๆ")</f>
        <v>เป็นกิจกรรมยามว่างที่สนุกสนานสำหรับเด็กๆ</v>
      </c>
      <c r="V23" s="6" t="str">
        <f>IFERROR(__xludf.DUMMYFUNCTION("GOOGLETRANSLATE(J23,""en"",""th"")"),"ภาพเด็กสาวกำลังเล่นว่าวในสวนสาธารณะแสดงให้เห็นว่าการเล่นว่าวเป็นกิจกรรมยามว่างที่สนุกสนานและพักผ่อนหย่อนใจสำหรับเด็กๆ")</f>
        <v>ภาพเด็กสาวกำลังเล่นว่าวในสวนสาธารณะแสดงให้เห็นว่าการเล่นว่าวเป็นกิจกรรมยามว่างที่สนุกสนานและพักผ่อนหย่อนใจสำหรับเด็กๆ</v>
      </c>
    </row>
    <row r="24" ht="22.5" customHeight="1">
      <c r="A24" s="4" t="s">
        <v>792</v>
      </c>
      <c r="B24" s="5">
        <v>23.0</v>
      </c>
      <c r="C24" s="4" t="s">
        <v>695</v>
      </c>
      <c r="D24" s="4" t="s">
        <v>764</v>
      </c>
      <c r="E24" s="4" t="s">
        <v>697</v>
      </c>
      <c r="F24" s="4" t="s">
        <v>698</v>
      </c>
      <c r="G24" s="4" t="s">
        <v>699</v>
      </c>
      <c r="H24" s="4" t="s">
        <v>765</v>
      </c>
      <c r="I24" s="4" t="s">
        <v>801</v>
      </c>
      <c r="J24" s="4" t="s">
        <v>802</v>
      </c>
      <c r="M24" s="4" t="s">
        <v>792</v>
      </c>
      <c r="N24" s="5">
        <v>23.0</v>
      </c>
      <c r="O24" s="6" t="str">
        <f>IFERROR(__xludf.DUMMYFUNCTION("GOOGLETRANSLATE(C24,""en"",""th"")"),"ลักษณะเด่นของว่าวคืออะไร?")</f>
        <v>ลักษณะเด่นของว่าวคืออะไร?</v>
      </c>
      <c r="P24" s="6" t="str">
        <f>IFERROR(__xludf.DUMMYFUNCTION("GOOGLETRANSLATE(D24,""en"",""th"")"),"มันเล็กและเรียบง่ายมาก")</f>
        <v>มันเล็กและเรียบง่ายมาก</v>
      </c>
      <c r="Q24" s="6" t="str">
        <f>IFERROR(__xludf.DUMMYFUNCTION("GOOGLETRANSLATE(E24,""en"",""th"")"),"มันเป็นว่าวที่มีขนาดใหญ่และซับซ้อนมาก")</f>
        <v>มันเป็นว่าวที่มีขนาดใหญ่และซับซ้อนมาก</v>
      </c>
      <c r="R24" s="6" t="str">
        <f>IFERROR(__xludf.DUMMYFUNCTION("GOOGLETRANSLATE(F24,""en"",""th"")"),"มันเป็นว่าวที่เรียบง่ายมาก")</f>
        <v>มันเป็นว่าวที่เรียบง่ายมาก</v>
      </c>
      <c r="S24" s="6" t="str">
        <f>IFERROR(__xludf.DUMMYFUNCTION("GOOGLETRANSLATE(G24,""en"",""th"")"),"มันคือว่าวสายเดี่ยว")</f>
        <v>มันคือว่าวสายเดี่ยว</v>
      </c>
      <c r="T24" s="6" t="s">
        <v>766</v>
      </c>
      <c r="U24" s="6" t="str">
        <f>IFERROR(__xludf.DUMMYFUNCTION("GOOGLETRANSLATE(I24,""en"",""th"")"),"มันเป็นว่าวขนาดเล็กมากและเรียบง่าย")</f>
        <v>มันเป็นว่าวขนาดเล็กมากและเรียบง่าย</v>
      </c>
      <c r="V24" s="6" t="str">
        <f>IFERROR(__xludf.DUMMYFUNCTION("GOOGLETRANSLATE(J24,""en"",""th"")"),"ว่าวเป็นว่าวขนาดเล็กและเรียบง่าย ซึ่งเป็นลักษณะทั่วไปของว่าวเพื่อการพักผ่อนหย่อนใจ")</f>
        <v>ว่าวเป็นว่าวขนาดเล็กและเรียบง่าย ซึ่งเป็นลักษณะทั่วไปของว่าวเพื่อการพักผ่อนหย่อนใจ</v>
      </c>
    </row>
    <row r="25" ht="22.5" customHeight="1">
      <c r="A25" s="4" t="s">
        <v>792</v>
      </c>
      <c r="B25" s="5">
        <v>24.0</v>
      </c>
      <c r="C25" s="4" t="s">
        <v>741</v>
      </c>
      <c r="D25" s="4" t="s">
        <v>720</v>
      </c>
      <c r="E25" s="4" t="s">
        <v>721</v>
      </c>
      <c r="F25" s="4" t="s">
        <v>722</v>
      </c>
      <c r="G25" s="4" t="s">
        <v>723</v>
      </c>
      <c r="H25" s="4" t="s">
        <v>724</v>
      </c>
      <c r="I25" s="4" t="s">
        <v>720</v>
      </c>
      <c r="J25" s="4" t="s">
        <v>790</v>
      </c>
      <c r="M25" s="4" t="s">
        <v>792</v>
      </c>
      <c r="N25" s="5">
        <v>24.0</v>
      </c>
      <c r="O25" s="6" t="str">
        <f>IFERROR(__xludf.DUMMYFUNCTION("GOOGLETRANSLATE(C25,""en"",""th"")"),"สภาพอากาศเป็นปัจจัยสำคัญของกีฬาชนิดนี้ ภาพที่เห็นสามารถสรุปอะไรได้บ้าง?")</f>
        <v>สภาพอากาศเป็นปัจจัยสำคัญของกีฬาชนิดนี้ ภาพที่เห็นสามารถสรุปอะไรได้บ้าง?</v>
      </c>
      <c r="P25" s="6" t="str">
        <f>IFERROR(__xludf.DUMMYFUNCTION("GOOGLETRANSLATE(D25,""en"",""th"")"),"วันนี้เป็นวันที่มีลมแรงมาก")</f>
        <v>วันนี้เป็นวันที่มีลมแรงมาก</v>
      </c>
      <c r="Q25" s="6" t="str">
        <f>IFERROR(__xludf.DUMMYFUNCTION("GOOGLETRANSLATE(E25,""en"",""th"")"),"เป็นวันที่เงียบสงบมาก")</f>
        <v>เป็นวันที่เงียบสงบมาก</v>
      </c>
      <c r="R25" s="6" t="str">
        <f>IFERROR(__xludf.DUMMYFUNCTION("GOOGLETRANSLATE(F25,""en"",""th"")"),"วันนี้เป็นวันที่มีเมฆมาก")</f>
        <v>วันนี้เป็นวันที่มีเมฆมาก</v>
      </c>
      <c r="S25" s="6" t="str">
        <f>IFERROR(__xludf.DUMMYFUNCTION("GOOGLETRANSLATE(G25,""en"",""th"")"),"เป็นวันที่ฝนตกหนักมาก")</f>
        <v>เป็นวันที่ฝนตกหนักมาก</v>
      </c>
      <c r="T25" s="6" t="s">
        <v>726</v>
      </c>
      <c r="U25" s="6" t="str">
        <f>IFERROR(__xludf.DUMMYFUNCTION("GOOGLETRANSLATE(I25,""en"",""th"")"),"วันนี้เป็นวันที่มีลมแรงมาก")</f>
        <v>วันนี้เป็นวันที่มีลมแรงมาก</v>
      </c>
      <c r="V25" s="6" t="str">
        <f>IFERROR(__xludf.DUMMYFUNCTION("GOOGLETRANSLATE(J25,""en"",""th"")"),"ว่าวกำลังบินสูงบนท้องฟ้า และต้นไม้ก็พลิ้วไหว ซึ่งบ่งบอกว่าวันนี้เป็นวันที่มีลมแรงมาก")</f>
        <v>ว่าวกำลังบินสูงบนท้องฟ้า และต้นไม้ก็พลิ้วไหว ซึ่งบ่งบอกว่าวันนี้เป็นวันที่มีลมแรงมาก</v>
      </c>
    </row>
    <row r="26" ht="22.5" customHeight="1">
      <c r="A26" s="4" t="s">
        <v>792</v>
      </c>
      <c r="B26" s="5">
        <v>25.0</v>
      </c>
      <c r="C26" s="4" t="s">
        <v>154</v>
      </c>
      <c r="D26" s="4" t="s">
        <v>743</v>
      </c>
      <c r="E26" s="4" t="s">
        <v>744</v>
      </c>
      <c r="F26" s="4" t="s">
        <v>126</v>
      </c>
      <c r="G26" s="4" t="s">
        <v>127</v>
      </c>
      <c r="H26" s="4" t="s">
        <v>745</v>
      </c>
      <c r="I26" s="4" t="s">
        <v>744</v>
      </c>
      <c r="J26" s="4" t="s">
        <v>803</v>
      </c>
      <c r="M26" s="4" t="s">
        <v>792</v>
      </c>
      <c r="N26" s="5">
        <v>25.0</v>
      </c>
      <c r="O26" s="6" t="str">
        <f>IFERROR(__xludf.DUMMYFUNCTION("GOOGLETRANSLATE(C26,""en"",""th"")"),"บรรยากาศโดยรวมของภาพเป็นอย่างไร?")</f>
        <v>บรรยากาศโดยรวมของภาพเป็นอย่างไร?</v>
      </c>
      <c r="P26" s="6" t="str">
        <f>IFERROR(__xludf.DUMMYFUNCTION("GOOGLETRANSLATE(D26,""en"",""th"")"),"บรรยากาศตึงเครียดและเงียบสงบ")</f>
        <v>บรรยากาศตึงเครียดและเงียบสงบ</v>
      </c>
      <c r="Q26" s="6" t="str">
        <f>IFERROR(__xludf.DUMMYFUNCTION("GOOGLETRANSLATE(E26,""en"",""th"")"),"บรรยากาศสนุกสนาน มีชีวิตชีวา")</f>
        <v>บรรยากาศสนุกสนาน มีชีวิตชีวา</v>
      </c>
      <c r="R26" s="6" t="str">
        <f>IFERROR(__xludf.DUMMYFUNCTION("GOOGLETRANSLATE(F26,""en"",""th"")"),"แบบเฉลิมฉลองและรื่นเริง")</f>
        <v>แบบเฉลิมฉลองและรื่นเริง</v>
      </c>
      <c r="S26" s="6" t="str">
        <f>IFERROR(__xludf.DUMMYFUNCTION("GOOGLETRANSLATE(G26,""en"",""th"")"),"แบบสบายๆ และผ่อนคลาย")</f>
        <v>แบบสบายๆ และผ่อนคลาย</v>
      </c>
      <c r="T26" s="6" t="s">
        <v>747</v>
      </c>
      <c r="U26" s="6" t="str">
        <f>IFERROR(__xludf.DUMMYFUNCTION("GOOGLETRANSLATE(I26,""en"",""th"")"),"บรรยากาศสนุกสนาน มีชีวิตชีวา")</f>
        <v>บรรยากาศสนุกสนาน มีชีวิตชีวา</v>
      </c>
      <c r="V26" s="6" t="str">
        <f>IFERROR(__xludf.DUMMYFUNCTION("GOOGLETRANSLATE(J26,""en"",""th"")"),"เด็กสาวยิ้มและกำลังเล่นว่าวซึ่งสื่อถึงบรรยากาศที่สนุกสนานและมีชีวิตชีวา")</f>
        <v>เด็กสาวยิ้มและกำลังเล่นว่าวซึ่งสื่อถึงบรรยากาศที่สนุกสนานและมีชีวิตชีวา</v>
      </c>
    </row>
    <row r="27" ht="22.5" customHeight="1">
      <c r="A27" s="4" t="s">
        <v>804</v>
      </c>
      <c r="B27" s="5">
        <v>26.0</v>
      </c>
      <c r="C27" s="4" t="s">
        <v>689</v>
      </c>
      <c r="D27" s="4" t="s">
        <v>805</v>
      </c>
      <c r="E27" s="4" t="s">
        <v>806</v>
      </c>
      <c r="F27" s="4" t="s">
        <v>807</v>
      </c>
      <c r="G27" s="4" t="s">
        <v>808</v>
      </c>
      <c r="H27" s="4" t="s">
        <v>809</v>
      </c>
      <c r="I27" s="4" t="s">
        <v>807</v>
      </c>
      <c r="J27" s="4" t="s">
        <v>694</v>
      </c>
      <c r="M27" s="4" t="s">
        <v>804</v>
      </c>
      <c r="N27" s="5">
        <v>26.0</v>
      </c>
      <c r="O27" s="6" t="str">
        <f>IFERROR(__xludf.DUMMYFUNCTION("GOOGLETRANSLATE(C27,""en"",""th"")"),"ว่าวในภาพเรียกว่าอะไร?")</f>
        <v>ว่าวในภาพเรียกว่าอะไร?</v>
      </c>
      <c r="P27" s="6" t="str">
        <f>IFERROR(__xludf.DUMMYFUNCTION("GOOGLETRANSLATE(D27,""en"",""th"")"),"ว่าวไทยโบราณ")</f>
        <v>ว่าวไทยโบราณ</v>
      </c>
      <c r="Q27" s="6" t="str">
        <f>IFERROR(__xludf.DUMMYFUNCTION("GOOGLETRANSLATE(E27,""en"",""th"")"),"ว่าวผาดโผน")</f>
        <v>ว่าวผาดโผน</v>
      </c>
      <c r="R27" s="6" t="str">
        <f>IFERROR(__xludf.DUMMYFUNCTION("GOOGLETRANSLATE(F27,""en"",""th"")"),"ว่าวเรขาคณิตแบบทันสมัย")</f>
        <v>ว่าวเรขาคณิตแบบทันสมัย</v>
      </c>
      <c r="S27" s="6" t="str">
        <f>IFERROR(__xludf.DUMMYFUNCTION("GOOGLETRANSLATE(G27,""en"",""th"")"),"ว่าวกล่อง")</f>
        <v>ว่าวกล่อง</v>
      </c>
      <c r="T27" s="6" t="s">
        <v>810</v>
      </c>
      <c r="U27" s="6" t="str">
        <f>IFERROR(__xludf.DUMMYFUNCTION("GOOGLETRANSLATE(I27,""en"",""th"")"),"ว่าวเรขาคณิตแบบทันสมัย")</f>
        <v>ว่าวเรขาคณิตแบบทันสมัย</v>
      </c>
      <c r="V27" s="6" t="str">
        <f>IFERROR(__xludf.DUMMYFUNCTION("GOOGLETRANSLATE(J27,""en"",""th"")"),"ว่าวมีรูปทรงเรขาคณิตหลายแบบ ซึ่งเป็นลักษณะเฉพาะของว่าวเรขาคณิตสมัยใหม่ ไม่ใช่ว่าวไทยแบบดั้งเดิม")</f>
        <v>ว่าวมีรูปทรงเรขาคณิตหลายแบบ ซึ่งเป็นลักษณะเฉพาะของว่าวเรขาคณิตสมัยใหม่ ไม่ใช่ว่าวไทยแบบดั้งเดิม</v>
      </c>
    </row>
    <row r="28" ht="22.5" customHeight="1">
      <c r="A28" s="4" t="s">
        <v>804</v>
      </c>
      <c r="B28" s="5">
        <v>27.0</v>
      </c>
      <c r="C28" s="4" t="s">
        <v>695</v>
      </c>
      <c r="D28" s="4" t="s">
        <v>696</v>
      </c>
      <c r="E28" s="4" t="s">
        <v>697</v>
      </c>
      <c r="F28" s="4" t="s">
        <v>698</v>
      </c>
      <c r="G28" s="4" t="s">
        <v>699</v>
      </c>
      <c r="H28" s="4" t="s">
        <v>700</v>
      </c>
      <c r="I28" s="4" t="s">
        <v>697</v>
      </c>
      <c r="J28" s="4" t="s">
        <v>701</v>
      </c>
      <c r="M28" s="4" t="s">
        <v>804</v>
      </c>
      <c r="N28" s="5">
        <v>27.0</v>
      </c>
      <c r="O28" s="6" t="str">
        <f>IFERROR(__xludf.DUMMYFUNCTION("GOOGLETRANSLATE(C28,""en"",""th"")"),"ลักษณะเด่นของว่าวคืออะไร?")</f>
        <v>ลักษณะเด่นของว่าวคืออะไร?</v>
      </c>
      <c r="P28" s="6" t="str">
        <f>IFERROR(__xludf.DUMMYFUNCTION("GOOGLETRANSLATE(D28,""en"",""th"")"),"มันเล็กและเบามาก")</f>
        <v>มันเล็กและเบามาก</v>
      </c>
      <c r="Q28" s="6" t="str">
        <f>IFERROR(__xludf.DUMMYFUNCTION("GOOGLETRANSLATE(E28,""en"",""th"")"),"มันเป็นว่าวที่มีขนาดใหญ่และซับซ้อนมาก")</f>
        <v>มันเป็นว่าวที่มีขนาดใหญ่และซับซ้อนมาก</v>
      </c>
      <c r="R28" s="6" t="str">
        <f>IFERROR(__xludf.DUMMYFUNCTION("GOOGLETRANSLATE(F28,""en"",""th"")"),"มันเป็นว่าวที่เรียบง่ายมาก")</f>
        <v>มันเป็นว่าวที่เรียบง่ายมาก</v>
      </c>
      <c r="S28" s="6" t="str">
        <f>IFERROR(__xludf.DUMMYFUNCTION("GOOGLETRANSLATE(G28,""en"",""th"")"),"มันคือว่าวสายเดี่ยว")</f>
        <v>มันคือว่าวสายเดี่ยว</v>
      </c>
      <c r="T28" s="6" t="s">
        <v>702</v>
      </c>
      <c r="U28" s="6" t="str">
        <f>IFERROR(__xludf.DUMMYFUNCTION("GOOGLETRANSLATE(I28,""en"",""th"")"),"มันเป็นว่าวที่มีขนาดใหญ่และซับซ้อนมาก")</f>
        <v>มันเป็นว่าวที่มีขนาดใหญ่และซับซ้อนมาก</v>
      </c>
      <c r="V28" s="6" t="str">
        <f>IFERROR(__xludf.DUMMYFUNCTION("GOOGLETRANSLATE(J28,""en"",""th"")"),"ว่าวประกอบด้วยรูปทรงเรขาคณิตหลายแบบและมีขนาดใหญ่และซับซ้อนมาก ซึ่งต้องใช้ทักษะขั้นสูงในการบิน")</f>
        <v>ว่าวประกอบด้วยรูปทรงเรขาคณิตหลายแบบและมีขนาดใหญ่และซับซ้อนมาก ซึ่งต้องใช้ทักษะขั้นสูงในการบิน</v>
      </c>
    </row>
    <row r="29" ht="22.5" customHeight="1">
      <c r="A29" s="4" t="s">
        <v>804</v>
      </c>
      <c r="B29" s="5">
        <v>28.0</v>
      </c>
      <c r="C29" s="4" t="s">
        <v>703</v>
      </c>
      <c r="D29" s="4" t="s">
        <v>704</v>
      </c>
      <c r="E29" s="4" t="s">
        <v>705</v>
      </c>
      <c r="F29" s="4" t="s">
        <v>706</v>
      </c>
      <c r="G29" s="4" t="s">
        <v>707</v>
      </c>
      <c r="H29" s="4" t="s">
        <v>708</v>
      </c>
      <c r="I29" s="4" t="s">
        <v>707</v>
      </c>
      <c r="J29" s="4" t="s">
        <v>709</v>
      </c>
      <c r="M29" s="4" t="s">
        <v>804</v>
      </c>
      <c r="N29" s="5">
        <v>28.0</v>
      </c>
      <c r="O29" s="6" t="str">
        <f>IFERROR(__xludf.DUMMYFUNCTION("GOOGLETRANSLATE(C29,""en"",""th"")"),"สายทั้ง 2 เส้นของว่าวมีไว้ทำอะไร?")</f>
        <v>สายทั้ง 2 เส้นของว่าวมีไว้ทำอะไร?</v>
      </c>
      <c r="P29" s="6" t="str">
        <f>IFERROR(__xludf.DUMMYFUNCTION("GOOGLETRANSLATE(D29,""en"",""th"")"),"เพื่อให้ว่าวมีเสถียรภาพมากขึ้น")</f>
        <v>เพื่อให้ว่าวมีเสถียรภาพมากขึ้น</v>
      </c>
      <c r="Q29" s="6" t="str">
        <f>IFERROR(__xludf.DUMMYFUNCTION("GOOGLETRANSLATE(E29,""en"",""th"")"),"เพื่อให้ว่าวบินสูงขึ้น")</f>
        <v>เพื่อให้ว่าวบินสูงขึ้น</v>
      </c>
      <c r="R29" s="6" t="str">
        <f>IFERROR(__xludf.DUMMYFUNCTION("GOOGLETRANSLATE(F29,""en"",""th"")"),"เพื่อทำให้ว่าวหมุน")</f>
        <v>เพื่อทำให้ว่าวหมุน</v>
      </c>
      <c r="S29" s="6" t="str">
        <f>IFERROR(__xludf.DUMMYFUNCTION("GOOGLETRANSLATE(G29,""en"",""th"")"),"เพื่อให้สามารถควบคุมว่าวได้ดียิ่งขึ้น")</f>
        <v>เพื่อให้สามารถควบคุมว่าวได้ดียิ่งขึ้น</v>
      </c>
      <c r="T29" s="6" t="s">
        <v>710</v>
      </c>
      <c r="U29" s="6" t="str">
        <f>IFERROR(__xludf.DUMMYFUNCTION("GOOGLETRANSLATE(I29,""en"",""th"")"),"เพื่อให้สามารถควบคุมว่าวได้ดียิ่งขึ้น")</f>
        <v>เพื่อให้สามารถควบคุมว่าวได้ดียิ่งขึ้น</v>
      </c>
      <c r="V29" s="6" t="str">
        <f>IFERROR(__xludf.DUMMYFUNCTION("GOOGLETRANSLATE(J29,""en"",""th"")"),"ว่าวมีสายสองเส้น ซึ่งเป็นคุณสมบัติหลักของว่าวผาดโผน ช่วยให้ผู้บินสามารถควบคุมการเคลื่อนที่และแสดงกลอุบายต่างๆ ได้")</f>
        <v>ว่าวมีสายสองเส้น ซึ่งเป็นคุณสมบัติหลักของว่าวผาดโผน ช่วยให้ผู้บินสามารถควบคุมการเคลื่อนที่และแสดงกลอุบายต่างๆ ได้</v>
      </c>
    </row>
    <row r="30" ht="22.5" customHeight="1">
      <c r="A30" s="4" t="s">
        <v>804</v>
      </c>
      <c r="B30" s="5">
        <v>29.0</v>
      </c>
      <c r="C30" s="4" t="s">
        <v>711</v>
      </c>
      <c r="D30" s="4" t="s">
        <v>712</v>
      </c>
      <c r="E30" s="4" t="s">
        <v>713</v>
      </c>
      <c r="F30" s="4" t="s">
        <v>714</v>
      </c>
      <c r="G30" s="4" t="s">
        <v>715</v>
      </c>
      <c r="H30" s="4" t="s">
        <v>716</v>
      </c>
      <c r="I30" s="4" t="s">
        <v>713</v>
      </c>
      <c r="J30" s="4" t="s">
        <v>717</v>
      </c>
      <c r="M30" s="4" t="s">
        <v>804</v>
      </c>
      <c r="N30" s="5">
        <v>29.0</v>
      </c>
      <c r="O30" s="6" t="str">
        <f>IFERROR(__xludf.DUMMYFUNCTION("GOOGLETRANSLATE(C30,""en"",""th"")"),"เส้นสีขาวบนท้องฟ้ามีไว้ทำอะไร?")</f>
        <v>เส้นสีขาวบนท้องฟ้ามีไว้ทำอะไร?</v>
      </c>
      <c r="P30" s="6" t="str">
        <f>IFERROR(__xludf.DUMMYFUNCTION("GOOGLETRANSLATE(D30,""en"",""th"")"),"พวกมันคือเมฆ")</f>
        <v>พวกมันคือเมฆ</v>
      </c>
      <c r="Q30" s="6" t="str">
        <f>IFERROR(__xludf.DUMMYFUNCTION("GOOGLETRANSLATE(E30,""en"",""th"")"),"มันคือร่องรอยของควันจากเครื่องบิน")</f>
        <v>มันคือร่องรอยของควันจากเครื่องบิน</v>
      </c>
      <c r="R30" s="6" t="str">
        <f>IFERROR(__xludf.DUMMYFUNCTION("GOOGLETRANSLATE(F30,""en"",""th"")"),"มันเป็นเส้นด้ายจากว่าว")</f>
        <v>มันเป็นเส้นด้ายจากว่าว</v>
      </c>
      <c r="S30" s="6" t="str">
        <f>IFERROR(__xludf.DUMMYFUNCTION("GOOGLETRANSLATE(G30,""en"",""th"")"),"พวกมันเป็นสัญลักษณ์ของลม")</f>
        <v>พวกมันเป็นสัญลักษณ์ของลม</v>
      </c>
      <c r="T30" s="6" t="s">
        <v>718</v>
      </c>
      <c r="U30" s="6" t="str">
        <f>IFERROR(__xludf.DUMMYFUNCTION("GOOGLETRANSLATE(I30,""en"",""th"")"),"มันคือร่องรอยของควันจากเครื่องบิน")</f>
        <v>มันคือร่องรอยของควันจากเครื่องบิน</v>
      </c>
      <c r="V30" s="6" t="str">
        <f>IFERROR(__xludf.DUMMYFUNCTION("GOOGLETRANSLATE(J30,""en"",""th"")"),"เส้นสีขาวบนท้องฟ้าคือเส้นควันซึ่งเป็นเมฆยาวบางๆ ที่เกิดจากไอเสียของเครื่องยนต์เจ็ท")</f>
        <v>เส้นสีขาวบนท้องฟ้าคือเส้นควันซึ่งเป็นเมฆยาวบางๆ ที่เกิดจากไอเสียของเครื่องยนต์เจ็ท</v>
      </c>
    </row>
    <row r="31" ht="22.5" customHeight="1">
      <c r="A31" s="4" t="s">
        <v>804</v>
      </c>
      <c r="B31" s="5">
        <v>30.0</v>
      </c>
      <c r="C31" s="4" t="s">
        <v>719</v>
      </c>
      <c r="D31" s="4" t="s">
        <v>720</v>
      </c>
      <c r="E31" s="4" t="s">
        <v>721</v>
      </c>
      <c r="F31" s="4" t="s">
        <v>722</v>
      </c>
      <c r="G31" s="4" t="s">
        <v>723</v>
      </c>
      <c r="H31" s="4" t="s">
        <v>724</v>
      </c>
      <c r="I31" s="4" t="s">
        <v>720</v>
      </c>
      <c r="J31" s="4" t="s">
        <v>725</v>
      </c>
      <c r="M31" s="4" t="s">
        <v>804</v>
      </c>
      <c r="N31" s="5">
        <v>30.0</v>
      </c>
      <c r="O31" s="6" t="str">
        <f>IFERROR(__xludf.DUMMYFUNCTION("GOOGLETRANSLATE(C31,""en"",""th"")"),"จากภาพสามารถสรุปเกี่ยวกับสภาพอากาศได้อย่างไร?")</f>
        <v>จากภาพสามารถสรุปเกี่ยวกับสภาพอากาศได้อย่างไร?</v>
      </c>
      <c r="P31" s="6" t="str">
        <f>IFERROR(__xludf.DUMMYFUNCTION("GOOGLETRANSLATE(D31,""en"",""th"")"),"วันนี้เป็นวันที่มีลมแรงมาก")</f>
        <v>วันนี้เป็นวันที่มีลมแรงมาก</v>
      </c>
      <c r="Q31" s="6" t="str">
        <f>IFERROR(__xludf.DUMMYFUNCTION("GOOGLETRANSLATE(E31,""en"",""th"")"),"เป็นวันที่เงียบสงบมาก")</f>
        <v>เป็นวันที่เงียบสงบมาก</v>
      </c>
      <c r="R31" s="6" t="str">
        <f>IFERROR(__xludf.DUMMYFUNCTION("GOOGLETRANSLATE(F31,""en"",""th"")"),"วันนี้เป็นวันที่มีเมฆมาก")</f>
        <v>วันนี้เป็นวันที่มีเมฆมาก</v>
      </c>
      <c r="S31" s="6" t="str">
        <f>IFERROR(__xludf.DUMMYFUNCTION("GOOGLETRANSLATE(G31,""en"",""th"")"),"เป็นวันที่ฝนตกหนักมาก")</f>
        <v>เป็นวันที่ฝนตกหนักมาก</v>
      </c>
      <c r="T31" s="6" t="s">
        <v>726</v>
      </c>
      <c r="U31" s="6" t="str">
        <f>IFERROR(__xludf.DUMMYFUNCTION("GOOGLETRANSLATE(I31,""en"",""th"")"),"วันนี้เป็นวันที่มีลมแรงมาก")</f>
        <v>วันนี้เป็นวันที่มีลมแรงมาก</v>
      </c>
      <c r="V31" s="6" t="str">
        <f>IFERROR(__xludf.DUMMYFUNCTION("GOOGLETRANSLATE(J31,""en"",""th"")"),"ว่าวกำลังบินสูงบนท้องฟ้า และร่องรอยของลมก็ยาวมาก ซึ่งบ่งบอกว่าวันนี้เป็นวันที่มีลมแรงมาก")</f>
        <v>ว่าวกำลังบินสูงบนท้องฟ้า และร่องรอยของลมก็ยาวมาก ซึ่งบ่งบอกว่าวันนี้เป็นวันที่มีลมแรงมาก</v>
      </c>
    </row>
    <row r="32" ht="22.5" customHeight="1">
      <c r="A32" s="4" t="s">
        <v>811</v>
      </c>
      <c r="B32" s="5">
        <v>31.0</v>
      </c>
      <c r="C32" s="4" t="s">
        <v>21</v>
      </c>
      <c r="D32" s="4" t="s">
        <v>812</v>
      </c>
      <c r="E32" s="4" t="s">
        <v>813</v>
      </c>
      <c r="F32" s="4" t="s">
        <v>814</v>
      </c>
      <c r="G32" s="4" t="s">
        <v>815</v>
      </c>
      <c r="H32" s="4" t="s">
        <v>816</v>
      </c>
      <c r="I32" s="4" t="s">
        <v>813</v>
      </c>
      <c r="J32" s="4" t="s">
        <v>817</v>
      </c>
      <c r="M32" s="4" t="s">
        <v>811</v>
      </c>
      <c r="N32" s="5">
        <v>31.0</v>
      </c>
      <c r="O32" s="6" t="str">
        <f>IFERROR(__xludf.DUMMYFUNCTION("GOOGLETRANSLATE(C32,""en"",""th"")"),"ภาพที่แสดงเป็นกิจกรรมหลักอะไร?")</f>
        <v>ภาพที่แสดงเป็นกิจกรรมหลักอะไร?</v>
      </c>
      <c r="P32" s="6" t="str">
        <f>IFERROR(__xludf.DUMMYFUNCTION("GOOGLETRANSLATE(D32,""en"",""th"")"),"คนๆหนึ่งกำลังเล่นว่าว")</f>
        <v>คนๆหนึ่งกำลังเล่นว่าว</v>
      </c>
      <c r="Q32" s="6" t="str">
        <f>IFERROR(__xludf.DUMMYFUNCTION("GOOGLETRANSLATE(E32,""en"",""th"")"),"กลุ่มคนกำลังเล่นว่าวกันอยู่")</f>
        <v>กลุ่มคนกำลังเล่นว่าวกันอยู่</v>
      </c>
      <c r="R32" s="6" t="str">
        <f>IFERROR(__xludf.DUMMYFUNCTION("GOOGLETRANSLATE(F32,""en"",""th"")"),"เทศกาลว่าว")</f>
        <v>เทศกาลว่าว</v>
      </c>
      <c r="S32" s="6" t="str">
        <f>IFERROR(__xludf.DUMMYFUNCTION("GOOGLETRANSLATE(G32,""en"",""th"")"),"การแข่งขันว่าว")</f>
        <v>การแข่งขันว่าว</v>
      </c>
      <c r="T32" s="6" t="s">
        <v>818</v>
      </c>
      <c r="U32" s="6" t="str">
        <f>IFERROR(__xludf.DUMMYFUNCTION("GOOGLETRANSLATE(I32,""en"",""th"")"),"กลุ่มคนกำลังเล่นว่าวกันอยู่")</f>
        <v>กลุ่มคนกำลังเล่นว่าวกันอยู่</v>
      </c>
      <c r="V32" s="6" t="str">
        <f>IFERROR(__xludf.DUMMYFUNCTION("GOOGLETRANSLATE(J32,""en"",""th"")"),"ภาพแสดงให้เห็นว่ามีว่าวจำนวนมากที่มีรูปร่างและขนาดต่างกันกำลังบินอยู่บนท้องฟ้า ซึ่งเป็นสัญญาณชัดเจนว่ามีคนกลุ่มหนึ่งกำลังเล่นว่าวอยู่")</f>
        <v>ภาพแสดงให้เห็นว่ามีว่าวจำนวนมากที่มีรูปร่างและขนาดต่างกันกำลังบินอยู่บนท้องฟ้า ซึ่งเป็นสัญญาณชัดเจนว่ามีคนกลุ่มหนึ่งกำลังเล่นว่าวอยู่</v>
      </c>
    </row>
    <row r="33" ht="22.5" customHeight="1">
      <c r="A33" s="4" t="s">
        <v>811</v>
      </c>
      <c r="B33" s="5">
        <v>32.0</v>
      </c>
      <c r="C33" s="4" t="s">
        <v>819</v>
      </c>
      <c r="D33" s="4" t="s">
        <v>820</v>
      </c>
      <c r="E33" s="4" t="s">
        <v>821</v>
      </c>
      <c r="F33" s="4" t="s">
        <v>822</v>
      </c>
      <c r="G33" s="4" t="s">
        <v>823</v>
      </c>
      <c r="H33" s="4" t="s">
        <v>824</v>
      </c>
      <c r="I33" s="4" t="s">
        <v>822</v>
      </c>
      <c r="J33" s="4" t="s">
        <v>825</v>
      </c>
      <c r="M33" s="4" t="s">
        <v>811</v>
      </c>
      <c r="N33" s="5">
        <v>32.0</v>
      </c>
      <c r="O33" s="6" t="str">
        <f>IFERROR(__xludf.DUMMYFUNCTION("GOOGLETRANSLATE(C33,""en"",""th"")"),"ลักษณะเด่นของว่าวคืออะไร?")</f>
        <v>ลักษณะเด่นของว่าวคืออะไร?</v>
      </c>
      <c r="P33" s="6" t="str">
        <f>IFERROR(__xludf.DUMMYFUNCTION("GOOGLETRANSLATE(D33,""en"",""th"")"),"พวกเขาทั้งหมดเหมือนกันหมด")</f>
        <v>พวกเขาทั้งหมดเหมือนกันหมด</v>
      </c>
      <c r="Q33" s="6" t="str">
        <f>IFERROR(__xludf.DUMMYFUNCTION("GOOGLETRANSLATE(E33,""en"",""th"")"),"มันทำจากกระดาษทั้งหมด")</f>
        <v>มันทำจากกระดาษทั้งหมด</v>
      </c>
      <c r="R33" s="6" t="str">
        <f>IFERROR(__xludf.DUMMYFUNCTION("GOOGLETRANSLATE(F33,""en"",""th"")"),"พวกมันมีรูปร่างและขนาดที่แตกต่างกัน")</f>
        <v>พวกมันมีรูปร่างและขนาดที่แตกต่างกัน</v>
      </c>
      <c r="S33" s="6" t="str">
        <f>IFERROR(__xludf.DUMMYFUNCTION("GOOGLETRANSLATE(G33,""en"",""th"")"),"พวกมันมีสีเดียวกันหมด")</f>
        <v>พวกมันมีสีเดียวกันหมด</v>
      </c>
      <c r="T33" s="6" t="s">
        <v>826</v>
      </c>
      <c r="U33" s="6" t="str">
        <f>IFERROR(__xludf.DUMMYFUNCTION("GOOGLETRANSLATE(I33,""en"",""th"")"),"พวกมันมีรูปร่างและขนาดที่แตกต่างกัน")</f>
        <v>พวกมันมีรูปร่างและขนาดที่แตกต่างกัน</v>
      </c>
      <c r="V33" s="6" t="str">
        <f>IFERROR(__xludf.DUMMYFUNCTION("GOOGLETRANSLATE(J33,""en"",""th"")"),"ว่าวมีรูปร่างและขนาดที่แตกต่างกัน ซึ่งเป็นจุดเด่นของเทศกาลว่าว โดยผู้คนจะนำว่าวที่มีเอกลักษณ์เฉพาะของตนเองมา")</f>
        <v>ว่าวมีรูปร่างและขนาดที่แตกต่างกัน ซึ่งเป็นจุดเด่นของเทศกาลว่าว โดยผู้คนจะนำว่าวที่มีเอกลักษณ์เฉพาะของตนเองมา</v>
      </c>
    </row>
    <row r="34" ht="22.5" customHeight="1">
      <c r="A34" s="4" t="s">
        <v>811</v>
      </c>
      <c r="B34" s="5">
        <v>33.0</v>
      </c>
      <c r="C34" s="4" t="s">
        <v>827</v>
      </c>
      <c r="D34" s="4" t="s">
        <v>828</v>
      </c>
      <c r="E34" s="4" t="s">
        <v>829</v>
      </c>
      <c r="F34" s="4" t="s">
        <v>830</v>
      </c>
      <c r="G34" s="4" t="s">
        <v>831</v>
      </c>
      <c r="H34" s="4" t="s">
        <v>832</v>
      </c>
      <c r="I34" s="4" t="s">
        <v>831</v>
      </c>
      <c r="J34" s="4" t="s">
        <v>825</v>
      </c>
      <c r="M34" s="4" t="s">
        <v>811</v>
      </c>
      <c r="N34" s="5">
        <v>33.0</v>
      </c>
      <c r="O34" s="6" t="str">
        <f>IFERROR(__xludf.DUMMYFUNCTION("GOOGLETRANSLATE(C34,""en"",""th"")"),"จุดประสงค์ของการเล่นว่าวในฉากนี้คืออะไร?")</f>
        <v>จุดประสงค์ของการเล่นว่าวในฉากนี้คืออะไร?</v>
      </c>
      <c r="P34" s="6" t="str">
        <f>IFERROR(__xludf.DUMMYFUNCTION("GOOGLETRANSLATE(D34,""en"",""th"")"),"เพื่อแสดงความสามารถ")</f>
        <v>เพื่อแสดงความสามารถ</v>
      </c>
      <c r="Q34" s="6" t="str">
        <f>IFERROR(__xludf.DUMMYFUNCTION("GOOGLETRANSLATE(E34,""en"",""th"")"),"การแสดงกลอุบาย")</f>
        <v>การแสดงกลอุบาย</v>
      </c>
      <c r="R34" s="6" t="str">
        <f>IFERROR(__xludf.DUMMYFUNCTION("GOOGLETRANSLATE(F34,""en"",""th"")"),"ที่จะบินสูงไปบนท้องฟ้า")</f>
        <v>ที่จะบินสูงไปบนท้องฟ้า</v>
      </c>
      <c r="S34" s="6" t="str">
        <f>IFERROR(__xludf.DUMMYFUNCTION("GOOGLETRANSLATE(G34,""en"",""th"")"),"เพื่ออวดความหลากหลายของว่าว")</f>
        <v>เพื่ออวดความหลากหลายของว่าว</v>
      </c>
      <c r="T34" s="6" t="s">
        <v>833</v>
      </c>
      <c r="U34" s="6" t="str">
        <f>IFERROR(__xludf.DUMMYFUNCTION("GOOGLETRANSLATE(I34,""en"",""th"")"),"เพื่ออวดความหลากหลายของว่าว")</f>
        <v>เพื่ออวดความหลากหลายของว่าว</v>
      </c>
      <c r="V34" s="6" t="str">
        <f>IFERROR(__xludf.DUMMYFUNCTION("GOOGLETRANSLATE(J34,""en"",""th"")"),"ว่าวมีรูปร่างและขนาดที่แตกต่างกัน ซึ่งเป็นจุดเด่นของเทศกาลว่าว โดยผู้คนจะนำว่าวที่มีเอกลักษณ์เฉพาะของตนเองมา")</f>
        <v>ว่าวมีรูปร่างและขนาดที่แตกต่างกัน ซึ่งเป็นจุดเด่นของเทศกาลว่าว โดยผู้คนจะนำว่าวที่มีเอกลักษณ์เฉพาะของตนเองมา</v>
      </c>
    </row>
    <row r="35" ht="22.5" customHeight="1">
      <c r="A35" s="4" t="s">
        <v>811</v>
      </c>
      <c r="B35" s="5">
        <v>34.0</v>
      </c>
      <c r="C35" s="4" t="s">
        <v>741</v>
      </c>
      <c r="D35" s="4" t="s">
        <v>720</v>
      </c>
      <c r="E35" s="4" t="s">
        <v>721</v>
      </c>
      <c r="F35" s="4" t="s">
        <v>722</v>
      </c>
      <c r="G35" s="4" t="s">
        <v>723</v>
      </c>
      <c r="H35" s="4" t="s">
        <v>724</v>
      </c>
      <c r="I35" s="4" t="s">
        <v>720</v>
      </c>
      <c r="J35" s="4" t="s">
        <v>834</v>
      </c>
      <c r="M35" s="4" t="s">
        <v>811</v>
      </c>
      <c r="N35" s="5">
        <v>34.0</v>
      </c>
      <c r="O35" s="6" t="str">
        <f>IFERROR(__xludf.DUMMYFUNCTION("GOOGLETRANSLATE(C35,""en"",""th"")"),"สภาพอากาศเป็นปัจจัยสำคัญของกีฬาชนิดนี้ ภาพที่เห็นสามารถสรุปอะไรได้บ้าง?")</f>
        <v>สภาพอากาศเป็นปัจจัยสำคัญของกีฬาชนิดนี้ ภาพที่เห็นสามารถสรุปอะไรได้บ้าง?</v>
      </c>
      <c r="P35" s="6" t="str">
        <f>IFERROR(__xludf.DUMMYFUNCTION("GOOGLETRANSLATE(D35,""en"",""th"")"),"วันนี้เป็นวันที่มีลมแรงมาก")</f>
        <v>วันนี้เป็นวันที่มีลมแรงมาก</v>
      </c>
      <c r="Q35" s="6" t="str">
        <f>IFERROR(__xludf.DUMMYFUNCTION("GOOGLETRANSLATE(E35,""en"",""th"")"),"เป็นวันที่เงียบสงบมาก")</f>
        <v>เป็นวันที่เงียบสงบมาก</v>
      </c>
      <c r="R35" s="6" t="str">
        <f>IFERROR(__xludf.DUMMYFUNCTION("GOOGLETRANSLATE(F35,""en"",""th"")"),"วันนี้เป็นวันที่มีเมฆมาก")</f>
        <v>วันนี้เป็นวันที่มีเมฆมาก</v>
      </c>
      <c r="S35" s="6" t="str">
        <f>IFERROR(__xludf.DUMMYFUNCTION("GOOGLETRANSLATE(G35,""en"",""th"")"),"เป็นวันที่ฝนตกหนักมาก")</f>
        <v>เป็นวันที่ฝนตกหนักมาก</v>
      </c>
      <c r="T35" s="6" t="s">
        <v>726</v>
      </c>
      <c r="U35" s="6" t="str">
        <f>IFERROR(__xludf.DUMMYFUNCTION("GOOGLETRANSLATE(I35,""en"",""th"")"),"วันนี้เป็นวันที่มีลมแรงมาก")</f>
        <v>วันนี้เป็นวันที่มีลมแรงมาก</v>
      </c>
      <c r="V35" s="6" t="str">
        <f>IFERROR(__xludf.DUMMYFUNCTION("GOOGLETRANSLATE(J35,""en"",""th"")"),"ว่าวกำลังบินสูงบนท้องฟ้า และเมฆก็เคลื่อนที่เร็วมาก ซึ่งบ่งบอกว่าวันนี้เป็นวันที่มีลมแรงมาก")</f>
        <v>ว่าวกำลังบินสูงบนท้องฟ้า และเมฆก็เคลื่อนที่เร็วมาก ซึ่งบ่งบอกว่าวันนี้เป็นวันที่มีลมแรงมาก</v>
      </c>
    </row>
    <row r="36" ht="22.5" customHeight="1">
      <c r="A36" s="4" t="s">
        <v>811</v>
      </c>
      <c r="B36" s="5">
        <v>35.0</v>
      </c>
      <c r="C36" s="4" t="s">
        <v>154</v>
      </c>
      <c r="D36" s="4" t="s">
        <v>743</v>
      </c>
      <c r="E36" s="4" t="s">
        <v>744</v>
      </c>
      <c r="F36" s="4" t="s">
        <v>126</v>
      </c>
      <c r="G36" s="4" t="s">
        <v>127</v>
      </c>
      <c r="H36" s="4" t="s">
        <v>745</v>
      </c>
      <c r="I36" s="4" t="s">
        <v>126</v>
      </c>
      <c r="J36" s="4" t="s">
        <v>835</v>
      </c>
      <c r="M36" s="4" t="s">
        <v>811</v>
      </c>
      <c r="N36" s="5">
        <v>35.0</v>
      </c>
      <c r="O36" s="6" t="str">
        <f>IFERROR(__xludf.DUMMYFUNCTION("GOOGLETRANSLATE(C36,""en"",""th"")"),"บรรยากาศโดยรวมของภาพเป็นอย่างไร?")</f>
        <v>บรรยากาศโดยรวมของภาพเป็นอย่างไร?</v>
      </c>
      <c r="P36" s="6" t="str">
        <f>IFERROR(__xludf.DUMMYFUNCTION("GOOGLETRANSLATE(D36,""en"",""th"")"),"บรรยากาศตึงเครียดและเงียบสงบ")</f>
        <v>บรรยากาศตึงเครียดและเงียบสงบ</v>
      </c>
      <c r="Q36" s="6" t="str">
        <f>IFERROR(__xludf.DUMMYFUNCTION("GOOGLETRANSLATE(E36,""en"",""th"")"),"บรรยากาศสนุกสนาน มีชีวิตชีวา")</f>
        <v>บรรยากาศสนุกสนาน มีชีวิตชีวา</v>
      </c>
      <c r="R36" s="6" t="str">
        <f>IFERROR(__xludf.DUMMYFUNCTION("GOOGLETRANSLATE(F36,""en"",""th"")"),"แบบเฉลิมฉลองและรื่นเริง")</f>
        <v>แบบเฉลิมฉลองและรื่นเริง</v>
      </c>
      <c r="S36" s="6" t="str">
        <f>IFERROR(__xludf.DUMMYFUNCTION("GOOGLETRANSLATE(G36,""en"",""th"")"),"แบบสบายๆ และผ่อนคลาย")</f>
        <v>แบบสบายๆ และผ่อนคลาย</v>
      </c>
      <c r="T36" s="6" t="s">
        <v>747</v>
      </c>
      <c r="U36" s="6" t="str">
        <f>IFERROR(__xludf.DUMMYFUNCTION("GOOGLETRANSLATE(I36,""en"",""th"")"),"แบบเฉลิมฉลองและรื่นเริง")</f>
        <v>แบบเฉลิมฉลองและรื่นเริง</v>
      </c>
      <c r="V36" s="6" t="str">
        <f>IFERROR(__xludf.DUMMYFUNCTION("GOOGLETRANSLATE(J36,""en"",""th"")"),"จำนวนว่าวที่มากมายและการออกแบบที่มีสีสันไม่ซ้ำใครล้วนสร้างบรรยากาศแห่งการเฉลิมฉลองและรื่นเริง")</f>
        <v>จำนวนว่าวที่มากมายและการออกแบบที่มีสีสันไม่ซ้ำใครล้วนสร้างบรรยากาศแห่งการเฉลิมฉลองและรื่นเริง</v>
      </c>
    </row>
    <row r="37" ht="22.5" customHeight="1">
      <c r="A37" s="4" t="s">
        <v>836</v>
      </c>
      <c r="B37" s="5">
        <v>36.0</v>
      </c>
      <c r="C37" s="4" t="s">
        <v>21</v>
      </c>
      <c r="D37" s="4" t="s">
        <v>837</v>
      </c>
      <c r="E37" s="4" t="s">
        <v>772</v>
      </c>
      <c r="F37" s="4" t="s">
        <v>838</v>
      </c>
      <c r="G37" s="4" t="s">
        <v>773</v>
      </c>
      <c r="H37" s="4" t="s">
        <v>839</v>
      </c>
      <c r="I37" s="4" t="s">
        <v>837</v>
      </c>
      <c r="J37" s="4" t="s">
        <v>840</v>
      </c>
      <c r="M37" s="4" t="s">
        <v>836</v>
      </c>
      <c r="N37" s="5">
        <v>36.0</v>
      </c>
      <c r="O37" s="6" t="str">
        <f>IFERROR(__xludf.DUMMYFUNCTION("GOOGLETRANSLATE(C37,""en"",""th"")"),"ภาพที่แสดงเป็นกิจกรรมหลักอะไร?")</f>
        <v>ภาพที่แสดงเป็นกิจกรรมหลักอะไร?</v>
      </c>
      <c r="P37" s="6" t="str">
        <f>IFERROR(__xludf.DUMMYFUNCTION("GOOGLETRANSLATE(D37,""en"",""th"")"),"ชายคนหนึ่งกำลังเล่นว่าวอยู่บนชายหาด")</f>
        <v>ชายคนหนึ่งกำลังเล่นว่าวอยู่บนชายหาด</v>
      </c>
      <c r="Q37" s="6" t="str">
        <f>IFERROR(__xludf.DUMMYFUNCTION("GOOGLETRANSLATE(E37,""en"",""th"")"),"มีผู้ชายคนหนึ่งกำลังวิ่ง")</f>
        <v>มีผู้ชายคนหนึ่งกำลังวิ่ง</v>
      </c>
      <c r="R37" s="6" t="str">
        <f>IFERROR(__xludf.DUMMYFUNCTION("GOOGLETRANSLATE(F37,""en"",""th"")"),"ผู้ชายคนหนึ่งกำลังว่ายน้ำ")</f>
        <v>ผู้ชายคนหนึ่งกำลังว่ายน้ำ</v>
      </c>
      <c r="S37" s="6" t="str">
        <f>IFERROR(__xludf.DUMMYFUNCTION("GOOGLETRANSLATE(G37,""en"",""th"")"),"มีชายคนหนึ่งยืนอยู่")</f>
        <v>มีชายคนหนึ่งยืนอยู่</v>
      </c>
      <c r="T37" s="6" t="s">
        <v>841</v>
      </c>
      <c r="U37" s="6" t="str">
        <f>IFERROR(__xludf.DUMMYFUNCTION("GOOGLETRANSLATE(I37,""en"",""th"")"),"ชายคนหนึ่งกำลังเล่นว่าวอยู่บนชายหาด")</f>
        <v>ชายคนหนึ่งกำลังเล่นว่าวอยู่บนชายหาด</v>
      </c>
      <c r="V37" s="6" t="str">
        <f>IFERROR(__xludf.DUMMYFUNCTION("GOOGLETRANSLATE(J37,""en"",""th"")"),"รูปภาพแสดงให้เห็นชายคนหนึ่งกำลังถือว่าวและสายว่าวอยู่บนชายหาด โดยมีว่าวลอยอยู่บนท้องฟ้า ซึ่งเป็นสิ่งบ่งชี้ที่ชัดเจนว่าเขากำลังเล่นว่าว")</f>
        <v>รูปภาพแสดงให้เห็นชายคนหนึ่งกำลังถือว่าวและสายว่าวอยู่บนชายหาด โดยมีว่าวลอยอยู่บนท้องฟ้า ซึ่งเป็นสิ่งบ่งชี้ที่ชัดเจนว่าเขากำลังเล่นว่าว</v>
      </c>
    </row>
    <row r="38" ht="22.5" customHeight="1">
      <c r="A38" s="4" t="s">
        <v>836</v>
      </c>
      <c r="B38" s="5">
        <v>37.0</v>
      </c>
      <c r="C38" s="4" t="s">
        <v>695</v>
      </c>
      <c r="D38" s="4" t="s">
        <v>801</v>
      </c>
      <c r="E38" s="4" t="s">
        <v>842</v>
      </c>
      <c r="F38" s="4" t="s">
        <v>698</v>
      </c>
      <c r="G38" s="4" t="s">
        <v>699</v>
      </c>
      <c r="H38" s="4" t="s">
        <v>843</v>
      </c>
      <c r="I38" s="4" t="s">
        <v>842</v>
      </c>
      <c r="J38" s="4" t="s">
        <v>844</v>
      </c>
      <c r="M38" s="4" t="s">
        <v>836</v>
      </c>
      <c r="N38" s="5">
        <v>37.0</v>
      </c>
      <c r="O38" s="6" t="str">
        <f>IFERROR(__xludf.DUMMYFUNCTION("GOOGLETRANSLATE(C38,""en"",""th"")"),"ลักษณะเด่นของว่าวคืออะไร?")</f>
        <v>ลักษณะเด่นของว่าวคืออะไร?</v>
      </c>
      <c r="P38" s="6" t="str">
        <f>IFERROR(__xludf.DUMMYFUNCTION("GOOGLETRANSLATE(D38,""en"",""th"")"),"มันเป็นว่าวขนาดเล็กมากและเรียบง่าย")</f>
        <v>มันเป็นว่าวขนาดเล็กมากและเรียบง่าย</v>
      </c>
      <c r="Q38" s="6" t="str">
        <f>IFERROR(__xludf.DUMMYFUNCTION("GOOGLETRANSLATE(E38,""en"",""th"")"),"มันเป็นว่าวที่มีขนาดใหญ่และมีเอกลักษณ์มาก")</f>
        <v>มันเป็นว่าวที่มีขนาดใหญ่และมีเอกลักษณ์มาก</v>
      </c>
      <c r="R38" s="6" t="str">
        <f>IFERROR(__xludf.DUMMYFUNCTION("GOOGLETRANSLATE(F38,""en"",""th"")"),"มันเป็นว่าวที่เรียบง่ายมาก")</f>
        <v>มันเป็นว่าวที่เรียบง่ายมาก</v>
      </c>
      <c r="S38" s="6" t="str">
        <f>IFERROR(__xludf.DUMMYFUNCTION("GOOGLETRANSLATE(G38,""en"",""th"")"),"มันคือว่าวสายเดี่ยว")</f>
        <v>มันคือว่าวสายเดี่ยว</v>
      </c>
      <c r="T38" s="6" t="s">
        <v>845</v>
      </c>
      <c r="U38" s="6" t="str">
        <f>IFERROR(__xludf.DUMMYFUNCTION("GOOGLETRANSLATE(I38,""en"",""th"")"),"มันเป็นว่าวที่มีขนาดใหญ่และมีเอกลักษณ์มาก")</f>
        <v>มันเป็นว่าวที่มีขนาดใหญ่และมีเอกลักษณ์มาก</v>
      </c>
      <c r="V38" s="6" t="str">
        <f>IFERROR(__xludf.DUMMYFUNCTION("GOOGLETRANSLATE(J38,""en"",""th"")"),"ว่าวเป็นว่าวที่มีขนาดใหญ่และมีลักษณะเฉพาะตัวมาก โดยมีรูปร่างเหมือนตัวการ์ตูนและมีหางยาว ซึ่งต้องใช้ทักษะในการบินขั้นสูง")</f>
        <v>ว่าวเป็นว่าวที่มีขนาดใหญ่และมีลักษณะเฉพาะตัวมาก โดยมีรูปร่างเหมือนตัวการ์ตูนและมีหางยาว ซึ่งต้องใช้ทักษะในการบินขั้นสูง</v>
      </c>
    </row>
    <row r="39" ht="22.5" customHeight="1">
      <c r="A39" s="4" t="s">
        <v>836</v>
      </c>
      <c r="B39" s="5">
        <v>38.0</v>
      </c>
      <c r="C39" s="4" t="s">
        <v>846</v>
      </c>
      <c r="D39" s="4" t="s">
        <v>847</v>
      </c>
      <c r="E39" s="4" t="s">
        <v>705</v>
      </c>
      <c r="F39" s="4" t="s">
        <v>848</v>
      </c>
      <c r="G39" s="4" t="s">
        <v>706</v>
      </c>
      <c r="H39" s="4" t="s">
        <v>849</v>
      </c>
      <c r="I39" s="4" t="s">
        <v>848</v>
      </c>
      <c r="J39" s="4" t="s">
        <v>850</v>
      </c>
      <c r="M39" s="4" t="s">
        <v>836</v>
      </c>
      <c r="N39" s="5">
        <v>38.0</v>
      </c>
      <c r="O39" s="6" t="str">
        <f>IFERROR(__xludf.DUMMYFUNCTION("GOOGLETRANSLATE(C39,""en"",""th"")"),"ผู้ถือสายว่าวมีจุดประสงค์อะไร?")</f>
        <v>ผู้ถือสายว่าวมีจุดประสงค์อะไร?</v>
      </c>
      <c r="P39" s="6" t="str">
        <f>IFERROR(__xludf.DUMMYFUNCTION("GOOGLETRANSLATE(D39,""en"",""th"")"),"เพื่อไม่ให้ว่าวบินหนีไป")</f>
        <v>เพื่อไม่ให้ว่าวบินหนีไป</v>
      </c>
      <c r="Q39" s="6" t="str">
        <f>IFERROR(__xludf.DUMMYFUNCTION("GOOGLETRANSLATE(E39,""en"",""th"")"),"เพื่อให้ว่าวบินสูงขึ้น")</f>
        <v>เพื่อให้ว่าวบินสูงขึ้น</v>
      </c>
      <c r="R39" s="6" t="str">
        <f>IFERROR(__xludf.DUMMYFUNCTION("GOOGLETRANSLATE(F39,""en"",""th"")"),"เพื่อควบคุมการเคลื่อนไหวของว่าว")</f>
        <v>เพื่อควบคุมการเคลื่อนไหวของว่าว</v>
      </c>
      <c r="S39" s="6" t="str">
        <f>IFERROR(__xludf.DUMMYFUNCTION("GOOGLETRANSLATE(G39,""en"",""th"")"),"เพื่อทำให้ว่าวหมุน")</f>
        <v>เพื่อทำให้ว่าวหมุน</v>
      </c>
      <c r="T39" s="6" t="s">
        <v>851</v>
      </c>
      <c r="U39" s="6" t="str">
        <f>IFERROR(__xludf.DUMMYFUNCTION("GOOGLETRANSLATE(I39,""en"",""th"")"),"เพื่อควบคุมการเคลื่อนไหวของว่าว")</f>
        <v>เพื่อควบคุมการเคลื่อนไหวของว่าว</v>
      </c>
      <c r="V39" s="6" t="str">
        <f>IFERROR(__xludf.DUMMYFUNCTION("GOOGLETRANSLATE(J39,""en"",""th"")"),"บุคคลนี้กำลังถือสายว่าวซึ่งใช้ในการควบคุมการเคลื่อนที่ของว่าวและแสดงกลต่างๆ")</f>
        <v>บุคคลนี้กำลังถือสายว่าวซึ่งใช้ในการควบคุมการเคลื่อนที่ของว่าวและแสดงกลต่างๆ</v>
      </c>
    </row>
    <row r="40" ht="22.5" customHeight="1">
      <c r="A40" s="4" t="s">
        <v>836</v>
      </c>
      <c r="B40" s="5">
        <v>39.0</v>
      </c>
      <c r="C40" s="4" t="s">
        <v>741</v>
      </c>
      <c r="D40" s="4" t="s">
        <v>720</v>
      </c>
      <c r="E40" s="4" t="s">
        <v>721</v>
      </c>
      <c r="F40" s="4" t="s">
        <v>722</v>
      </c>
      <c r="G40" s="4" t="s">
        <v>723</v>
      </c>
      <c r="H40" s="4" t="s">
        <v>724</v>
      </c>
      <c r="I40" s="4" t="s">
        <v>720</v>
      </c>
      <c r="J40" s="4" t="s">
        <v>742</v>
      </c>
      <c r="M40" s="4" t="s">
        <v>836</v>
      </c>
      <c r="N40" s="5">
        <v>39.0</v>
      </c>
      <c r="O40" s="6" t="str">
        <f>IFERROR(__xludf.DUMMYFUNCTION("GOOGLETRANSLATE(C40,""en"",""th"")"),"สภาพอากาศเป็นปัจจัยสำคัญของกีฬาชนิดนี้ ภาพที่เห็นสามารถสรุปอะไรได้บ้าง?")</f>
        <v>สภาพอากาศเป็นปัจจัยสำคัญของกีฬาชนิดนี้ ภาพที่เห็นสามารถสรุปอะไรได้บ้าง?</v>
      </c>
      <c r="P40" s="6" t="str">
        <f>IFERROR(__xludf.DUMMYFUNCTION("GOOGLETRANSLATE(D40,""en"",""th"")"),"วันนี้เป็นวันที่มีลมแรงมาก")</f>
        <v>วันนี้เป็นวันที่มีลมแรงมาก</v>
      </c>
      <c r="Q40" s="6" t="str">
        <f>IFERROR(__xludf.DUMMYFUNCTION("GOOGLETRANSLATE(E40,""en"",""th"")"),"เป็นวันที่เงียบสงบมาก")</f>
        <v>เป็นวันที่เงียบสงบมาก</v>
      </c>
      <c r="R40" s="6" t="str">
        <f>IFERROR(__xludf.DUMMYFUNCTION("GOOGLETRANSLATE(F40,""en"",""th"")"),"วันนี้เป็นวันที่มีเมฆมาก")</f>
        <v>วันนี้เป็นวันที่มีเมฆมาก</v>
      </c>
      <c r="S40" s="6" t="str">
        <f>IFERROR(__xludf.DUMMYFUNCTION("GOOGLETRANSLATE(G40,""en"",""th"")"),"เป็นวันที่ฝนตกหนักมาก")</f>
        <v>เป็นวันที่ฝนตกหนักมาก</v>
      </c>
      <c r="T40" s="6" t="s">
        <v>726</v>
      </c>
      <c r="U40" s="6" t="str">
        <f>IFERROR(__xludf.DUMMYFUNCTION("GOOGLETRANSLATE(I40,""en"",""th"")"),"วันนี้เป็นวันที่มีลมแรงมาก")</f>
        <v>วันนี้เป็นวันที่มีลมแรงมาก</v>
      </c>
      <c r="V40" s="6" t="str">
        <f>IFERROR(__xludf.DUMMYFUNCTION("GOOGLETRANSLATE(J40,""en"",""th"")"),"ว่าวกำลังบินสูงบนท้องฟ้า และเมฆก็เคลื่อนที่เร็วมาก ซึ่งบ่งบอกว่าวันนี้เป็นวันที่มีลมแรงมาก")</f>
        <v>ว่าวกำลังบินสูงบนท้องฟ้า และเมฆก็เคลื่อนที่เร็วมาก ซึ่งบ่งบอกว่าวันนี้เป็นวันที่มีลมแรงมาก</v>
      </c>
    </row>
    <row r="41" ht="22.5" customHeight="1">
      <c r="A41" s="4" t="s">
        <v>836</v>
      </c>
      <c r="B41" s="5">
        <v>40.0</v>
      </c>
      <c r="C41" s="4" t="s">
        <v>154</v>
      </c>
      <c r="D41" s="4" t="s">
        <v>743</v>
      </c>
      <c r="E41" s="4" t="s">
        <v>744</v>
      </c>
      <c r="F41" s="4" t="s">
        <v>126</v>
      </c>
      <c r="G41" s="4" t="s">
        <v>127</v>
      </c>
      <c r="H41" s="4" t="s">
        <v>745</v>
      </c>
      <c r="I41" s="4" t="s">
        <v>744</v>
      </c>
      <c r="J41" s="4" t="s">
        <v>852</v>
      </c>
      <c r="M41" s="4" t="s">
        <v>836</v>
      </c>
      <c r="N41" s="5">
        <v>40.0</v>
      </c>
      <c r="O41" s="6" t="str">
        <f>IFERROR(__xludf.DUMMYFUNCTION("GOOGLETRANSLATE(C41,""en"",""th"")"),"บรรยากาศโดยรวมของภาพเป็นอย่างไร?")</f>
        <v>บรรยากาศโดยรวมของภาพเป็นอย่างไร?</v>
      </c>
      <c r="P41" s="6" t="str">
        <f>IFERROR(__xludf.DUMMYFUNCTION("GOOGLETRANSLATE(D41,""en"",""th"")"),"บรรยากาศตึงเครียดและเงียบสงบ")</f>
        <v>บรรยากาศตึงเครียดและเงียบสงบ</v>
      </c>
      <c r="Q41" s="6" t="str">
        <f>IFERROR(__xludf.DUMMYFUNCTION("GOOGLETRANSLATE(E41,""en"",""th"")"),"บรรยากาศสนุกสนาน มีชีวิตชีวา")</f>
        <v>บรรยากาศสนุกสนาน มีชีวิตชีวา</v>
      </c>
      <c r="R41" s="6" t="str">
        <f>IFERROR(__xludf.DUMMYFUNCTION("GOOGLETRANSLATE(F41,""en"",""th"")"),"แบบเฉลิมฉลองและรื่นเริง")</f>
        <v>แบบเฉลิมฉลองและรื่นเริง</v>
      </c>
      <c r="S41" s="6" t="str">
        <f>IFERROR(__xludf.DUMMYFUNCTION("GOOGLETRANSLATE(G41,""en"",""th"")"),"แบบสบายๆ และผ่อนคลาย")</f>
        <v>แบบสบายๆ และผ่อนคลาย</v>
      </c>
      <c r="T41" s="6" t="s">
        <v>747</v>
      </c>
      <c r="U41" s="6" t="str">
        <f>IFERROR(__xludf.DUMMYFUNCTION("GOOGLETRANSLATE(I41,""en"",""th"")"),"บรรยากาศสนุกสนาน มีชีวิตชีวา")</f>
        <v>บรรยากาศสนุกสนาน มีชีวิตชีวา</v>
      </c>
      <c r="V41" s="6" t="str">
        <f>IFERROR(__xludf.DUMMYFUNCTION("GOOGLETRANSLATE(J41,""en"",""th"")"),"ชายคนนี้กำลังยิ้มและกำลังเล่นว่าว ซึ่งสื่อถึงบรรยากาศที่สนุกสนานและมีชีวิตชีวา")</f>
        <v>ชายคนนี้กำลังยิ้มและกำลังเล่นว่าว ซึ่งสื่อถึงบรรยากาศที่สนุกสนานและมีชีวิตชีวา</v>
      </c>
    </row>
    <row r="42" ht="22.5" customHeight="1">
      <c r="A42" s="4" t="s">
        <v>853</v>
      </c>
      <c r="B42" s="5">
        <v>41.0</v>
      </c>
      <c r="C42" s="4" t="s">
        <v>21</v>
      </c>
      <c r="D42" s="4" t="s">
        <v>771</v>
      </c>
      <c r="E42" s="4" t="s">
        <v>813</v>
      </c>
      <c r="F42" s="4" t="s">
        <v>814</v>
      </c>
      <c r="G42" s="4" t="s">
        <v>815</v>
      </c>
      <c r="H42" s="4" t="s">
        <v>854</v>
      </c>
      <c r="I42" s="4" t="s">
        <v>813</v>
      </c>
      <c r="J42" s="4" t="s">
        <v>817</v>
      </c>
      <c r="M42" s="4" t="s">
        <v>853</v>
      </c>
      <c r="N42" s="5">
        <v>41.0</v>
      </c>
      <c r="O42" s="6" t="str">
        <f>IFERROR(__xludf.DUMMYFUNCTION("GOOGLETRANSLATE(C42,""en"",""th"")"),"ภาพที่แสดงเป็นกิจกรรมหลักอะไร?")</f>
        <v>ภาพที่แสดงเป็นกิจกรรมหลักอะไร?</v>
      </c>
      <c r="P42" s="6" t="str">
        <f>IFERROR(__xludf.DUMMYFUNCTION("GOOGLETRANSLATE(D42,""en"",""th"")"),"ชายคนหนึ่งกำลังเล่นว่าว")</f>
        <v>ชายคนหนึ่งกำลังเล่นว่าว</v>
      </c>
      <c r="Q42" s="6" t="str">
        <f>IFERROR(__xludf.DUMMYFUNCTION("GOOGLETRANSLATE(E42,""en"",""th"")"),"กลุ่มคนกำลังเล่นว่าวกันอยู่")</f>
        <v>กลุ่มคนกำลังเล่นว่าวกันอยู่</v>
      </c>
      <c r="R42" s="6" t="str">
        <f>IFERROR(__xludf.DUMMYFUNCTION("GOOGLETRANSLATE(F42,""en"",""th"")"),"เทศกาลว่าว")</f>
        <v>เทศกาลว่าว</v>
      </c>
      <c r="S42" s="6" t="str">
        <f>IFERROR(__xludf.DUMMYFUNCTION("GOOGLETRANSLATE(G42,""en"",""th"")"),"การแข่งขันว่าว")</f>
        <v>การแข่งขันว่าว</v>
      </c>
      <c r="T42" s="6" t="s">
        <v>855</v>
      </c>
      <c r="U42" s="6" t="str">
        <f>IFERROR(__xludf.DUMMYFUNCTION("GOOGLETRANSLATE(I42,""en"",""th"")"),"กลุ่มคนกำลังเล่นว่าวกันอยู่")</f>
        <v>กลุ่มคนกำลังเล่นว่าวกันอยู่</v>
      </c>
      <c r="V42" s="6" t="str">
        <f>IFERROR(__xludf.DUMMYFUNCTION("GOOGLETRANSLATE(J42,""en"",""th"")"),"ภาพแสดงให้เห็นว่ามีว่าวจำนวนมากที่มีรูปร่างและขนาดต่างกันกำลังบินอยู่บนท้องฟ้า ซึ่งเป็นสัญญาณชัดเจนว่ามีคนกลุ่มหนึ่งกำลังเล่นว่าวอยู่")</f>
        <v>ภาพแสดงให้เห็นว่ามีว่าวจำนวนมากที่มีรูปร่างและขนาดต่างกันกำลังบินอยู่บนท้องฟ้า ซึ่งเป็นสัญญาณชัดเจนว่ามีคนกลุ่มหนึ่งกำลังเล่นว่าวอยู่</v>
      </c>
    </row>
    <row r="43" ht="22.5" customHeight="1">
      <c r="A43" s="4" t="s">
        <v>853</v>
      </c>
      <c r="B43" s="5">
        <v>42.0</v>
      </c>
      <c r="C43" s="4" t="s">
        <v>819</v>
      </c>
      <c r="D43" s="4" t="s">
        <v>820</v>
      </c>
      <c r="E43" s="4" t="s">
        <v>821</v>
      </c>
      <c r="F43" s="4" t="s">
        <v>822</v>
      </c>
      <c r="G43" s="4" t="s">
        <v>823</v>
      </c>
      <c r="H43" s="4" t="s">
        <v>824</v>
      </c>
      <c r="I43" s="4" t="s">
        <v>822</v>
      </c>
      <c r="J43" s="4" t="s">
        <v>825</v>
      </c>
      <c r="M43" s="4" t="s">
        <v>853</v>
      </c>
      <c r="N43" s="5">
        <v>42.0</v>
      </c>
      <c r="O43" s="6" t="str">
        <f>IFERROR(__xludf.DUMMYFUNCTION("GOOGLETRANSLATE(C43,""en"",""th"")"),"ลักษณะเด่นของว่าวคืออะไร?")</f>
        <v>ลักษณะเด่นของว่าวคืออะไร?</v>
      </c>
      <c r="P43" s="6" t="str">
        <f>IFERROR(__xludf.DUMMYFUNCTION("GOOGLETRANSLATE(D43,""en"",""th"")"),"พวกเขาทั้งหมดเหมือนกันหมด")</f>
        <v>พวกเขาทั้งหมดเหมือนกันหมด</v>
      </c>
      <c r="Q43" s="6" t="str">
        <f>IFERROR(__xludf.DUMMYFUNCTION("GOOGLETRANSLATE(E43,""en"",""th"")"),"มันทำจากกระดาษทั้งหมด")</f>
        <v>มันทำจากกระดาษทั้งหมด</v>
      </c>
      <c r="R43" s="6" t="str">
        <f>IFERROR(__xludf.DUMMYFUNCTION("GOOGLETRANSLATE(F43,""en"",""th"")"),"พวกมันมีรูปร่างและขนาดที่แตกต่างกัน")</f>
        <v>พวกมันมีรูปร่างและขนาดที่แตกต่างกัน</v>
      </c>
      <c r="S43" s="6" t="str">
        <f>IFERROR(__xludf.DUMMYFUNCTION("GOOGLETRANSLATE(G43,""en"",""th"")"),"พวกมันมีสีเดียวกันหมด")</f>
        <v>พวกมันมีสีเดียวกันหมด</v>
      </c>
      <c r="T43" s="6" t="s">
        <v>826</v>
      </c>
      <c r="U43" s="6" t="str">
        <f>IFERROR(__xludf.DUMMYFUNCTION("GOOGLETRANSLATE(I43,""en"",""th"")"),"พวกมันมีรูปร่างและขนาดที่แตกต่างกัน")</f>
        <v>พวกมันมีรูปร่างและขนาดที่แตกต่างกัน</v>
      </c>
      <c r="V43" s="6" t="str">
        <f>IFERROR(__xludf.DUMMYFUNCTION("GOOGLETRANSLATE(J43,""en"",""th"")"),"ว่าวมีรูปร่างและขนาดที่แตกต่างกัน ซึ่งเป็นจุดเด่นของเทศกาลว่าว โดยผู้คนจะนำว่าวที่มีเอกลักษณ์เฉพาะของตนเองมา")</f>
        <v>ว่าวมีรูปร่างและขนาดที่แตกต่างกัน ซึ่งเป็นจุดเด่นของเทศกาลว่าว โดยผู้คนจะนำว่าวที่มีเอกลักษณ์เฉพาะของตนเองมา</v>
      </c>
    </row>
    <row r="44" ht="22.5" customHeight="1">
      <c r="A44" s="4" t="s">
        <v>853</v>
      </c>
      <c r="B44" s="5">
        <v>43.0</v>
      </c>
      <c r="C44" s="4" t="s">
        <v>827</v>
      </c>
      <c r="D44" s="4" t="s">
        <v>828</v>
      </c>
      <c r="E44" s="4" t="s">
        <v>829</v>
      </c>
      <c r="F44" s="4" t="s">
        <v>830</v>
      </c>
      <c r="G44" s="4" t="s">
        <v>831</v>
      </c>
      <c r="H44" s="4" t="s">
        <v>832</v>
      </c>
      <c r="I44" s="4" t="s">
        <v>831</v>
      </c>
      <c r="J44" s="4" t="s">
        <v>825</v>
      </c>
      <c r="M44" s="4" t="s">
        <v>853</v>
      </c>
      <c r="N44" s="5">
        <v>43.0</v>
      </c>
      <c r="O44" s="6" t="str">
        <f>IFERROR(__xludf.DUMMYFUNCTION("GOOGLETRANSLATE(C44,""en"",""th"")"),"จุดประสงค์ของการเล่นว่าวในฉากนี้คืออะไร?")</f>
        <v>จุดประสงค์ของการเล่นว่าวในฉากนี้คืออะไร?</v>
      </c>
      <c r="P44" s="6" t="str">
        <f>IFERROR(__xludf.DUMMYFUNCTION("GOOGLETRANSLATE(D44,""en"",""th"")"),"เพื่อแสดงความสามารถ")</f>
        <v>เพื่อแสดงความสามารถ</v>
      </c>
      <c r="Q44" s="6" t="str">
        <f>IFERROR(__xludf.DUMMYFUNCTION("GOOGLETRANSLATE(E44,""en"",""th"")"),"การแสดงกลอุบาย")</f>
        <v>การแสดงกลอุบาย</v>
      </c>
      <c r="R44" s="6" t="str">
        <f>IFERROR(__xludf.DUMMYFUNCTION("GOOGLETRANSLATE(F44,""en"",""th"")"),"ที่จะบินสูงไปบนท้องฟ้า")</f>
        <v>ที่จะบินสูงไปบนท้องฟ้า</v>
      </c>
      <c r="S44" s="6" t="str">
        <f>IFERROR(__xludf.DUMMYFUNCTION("GOOGLETRANSLATE(G44,""en"",""th"")"),"เพื่ออวดความหลากหลายของว่าว")</f>
        <v>เพื่ออวดความหลากหลายของว่าว</v>
      </c>
      <c r="T44" s="6" t="s">
        <v>833</v>
      </c>
      <c r="U44" s="6" t="str">
        <f>IFERROR(__xludf.DUMMYFUNCTION("GOOGLETRANSLATE(I44,""en"",""th"")"),"เพื่ออวดความหลากหลายของว่าว")</f>
        <v>เพื่ออวดความหลากหลายของว่าว</v>
      </c>
      <c r="V44" s="6" t="str">
        <f>IFERROR(__xludf.DUMMYFUNCTION("GOOGLETRANSLATE(J44,""en"",""th"")"),"ว่าวมีรูปร่างและขนาดที่แตกต่างกัน ซึ่งเป็นจุดเด่นของเทศกาลว่าว โดยผู้คนจะนำว่าวที่มีเอกลักษณ์เฉพาะของตนเองมา")</f>
        <v>ว่าวมีรูปร่างและขนาดที่แตกต่างกัน ซึ่งเป็นจุดเด่นของเทศกาลว่าว โดยผู้คนจะนำว่าวที่มีเอกลักษณ์เฉพาะของตนเองมา</v>
      </c>
    </row>
    <row r="45" ht="22.5" customHeight="1">
      <c r="A45" s="4" t="s">
        <v>853</v>
      </c>
      <c r="B45" s="5">
        <v>44.0</v>
      </c>
      <c r="C45" s="4" t="s">
        <v>741</v>
      </c>
      <c r="D45" s="4" t="s">
        <v>720</v>
      </c>
      <c r="E45" s="4" t="s">
        <v>721</v>
      </c>
      <c r="F45" s="4" t="s">
        <v>722</v>
      </c>
      <c r="G45" s="4" t="s">
        <v>723</v>
      </c>
      <c r="H45" s="4" t="s">
        <v>724</v>
      </c>
      <c r="I45" s="4" t="s">
        <v>720</v>
      </c>
      <c r="J45" s="4" t="s">
        <v>834</v>
      </c>
      <c r="M45" s="4" t="s">
        <v>853</v>
      </c>
      <c r="N45" s="5">
        <v>44.0</v>
      </c>
      <c r="O45" s="6" t="str">
        <f>IFERROR(__xludf.DUMMYFUNCTION("GOOGLETRANSLATE(C45,""en"",""th"")"),"สภาพอากาศเป็นปัจจัยสำคัญของกีฬาชนิดนี้ ภาพที่เห็นสามารถสรุปอะไรได้บ้าง?")</f>
        <v>สภาพอากาศเป็นปัจจัยสำคัญของกีฬาชนิดนี้ ภาพที่เห็นสามารถสรุปอะไรได้บ้าง?</v>
      </c>
      <c r="P45" s="6" t="str">
        <f>IFERROR(__xludf.DUMMYFUNCTION("GOOGLETRANSLATE(D45,""en"",""th"")"),"วันนี้เป็นวันที่มีลมแรงมาก")</f>
        <v>วันนี้เป็นวันที่มีลมแรงมาก</v>
      </c>
      <c r="Q45" s="6" t="str">
        <f>IFERROR(__xludf.DUMMYFUNCTION("GOOGLETRANSLATE(E45,""en"",""th"")"),"เป็นวันที่เงียบสงบมาก")</f>
        <v>เป็นวันที่เงียบสงบมาก</v>
      </c>
      <c r="R45" s="6" t="str">
        <f>IFERROR(__xludf.DUMMYFUNCTION("GOOGLETRANSLATE(F45,""en"",""th"")"),"วันนี้เป็นวันที่มีเมฆมาก")</f>
        <v>วันนี้เป็นวันที่มีเมฆมาก</v>
      </c>
      <c r="S45" s="6" t="str">
        <f>IFERROR(__xludf.DUMMYFUNCTION("GOOGLETRANSLATE(G45,""en"",""th"")"),"เป็นวันที่ฝนตกหนักมาก")</f>
        <v>เป็นวันที่ฝนตกหนักมาก</v>
      </c>
      <c r="T45" s="6" t="s">
        <v>726</v>
      </c>
      <c r="U45" s="6" t="str">
        <f>IFERROR(__xludf.DUMMYFUNCTION("GOOGLETRANSLATE(I45,""en"",""th"")"),"วันนี้เป็นวันที่มีลมแรงมาก")</f>
        <v>วันนี้เป็นวันที่มีลมแรงมาก</v>
      </c>
      <c r="V45" s="6" t="str">
        <f>IFERROR(__xludf.DUMMYFUNCTION("GOOGLETRANSLATE(J45,""en"",""th"")"),"ว่าวกำลังบินสูงบนท้องฟ้า และเมฆก็เคลื่อนที่เร็วมาก ซึ่งบ่งบอกว่าวันนี้เป็นวันที่มีลมแรงมาก")</f>
        <v>ว่าวกำลังบินสูงบนท้องฟ้า และเมฆก็เคลื่อนที่เร็วมาก ซึ่งบ่งบอกว่าวันนี้เป็นวันที่มีลมแรงมาก</v>
      </c>
    </row>
    <row r="46" ht="22.5" customHeight="1">
      <c r="A46" s="4" t="s">
        <v>853</v>
      </c>
      <c r="B46" s="5">
        <v>45.0</v>
      </c>
      <c r="C46" s="4" t="s">
        <v>154</v>
      </c>
      <c r="D46" s="4" t="s">
        <v>743</v>
      </c>
      <c r="E46" s="4" t="s">
        <v>744</v>
      </c>
      <c r="F46" s="4" t="s">
        <v>126</v>
      </c>
      <c r="G46" s="4" t="s">
        <v>127</v>
      </c>
      <c r="H46" s="4" t="s">
        <v>745</v>
      </c>
      <c r="I46" s="4" t="s">
        <v>126</v>
      </c>
      <c r="J46" s="4" t="s">
        <v>835</v>
      </c>
      <c r="M46" s="4" t="s">
        <v>853</v>
      </c>
      <c r="N46" s="5">
        <v>45.0</v>
      </c>
      <c r="O46" s="6" t="str">
        <f>IFERROR(__xludf.DUMMYFUNCTION("GOOGLETRANSLATE(C46,""en"",""th"")"),"บรรยากาศโดยรวมของภาพเป็นอย่างไร?")</f>
        <v>บรรยากาศโดยรวมของภาพเป็นอย่างไร?</v>
      </c>
      <c r="P46" s="6" t="str">
        <f>IFERROR(__xludf.DUMMYFUNCTION("GOOGLETRANSLATE(D46,""en"",""th"")"),"บรรยากาศตึงเครียดและเงียบสงบ")</f>
        <v>บรรยากาศตึงเครียดและเงียบสงบ</v>
      </c>
      <c r="Q46" s="6" t="str">
        <f>IFERROR(__xludf.DUMMYFUNCTION("GOOGLETRANSLATE(E46,""en"",""th"")"),"บรรยากาศสนุกสนาน มีชีวิตชีวา")</f>
        <v>บรรยากาศสนุกสนาน มีชีวิตชีวา</v>
      </c>
      <c r="R46" s="6" t="str">
        <f>IFERROR(__xludf.DUMMYFUNCTION("GOOGLETRANSLATE(F46,""en"",""th"")"),"แบบเฉลิมฉลองและรื่นเริง")</f>
        <v>แบบเฉลิมฉลองและรื่นเริง</v>
      </c>
      <c r="S46" s="6" t="str">
        <f>IFERROR(__xludf.DUMMYFUNCTION("GOOGLETRANSLATE(G46,""en"",""th"")"),"แบบสบายๆ และผ่อนคลาย")</f>
        <v>แบบสบายๆ และผ่อนคลาย</v>
      </c>
      <c r="T46" s="6" t="s">
        <v>747</v>
      </c>
      <c r="U46" s="6" t="str">
        <f>IFERROR(__xludf.DUMMYFUNCTION("GOOGLETRANSLATE(I46,""en"",""th"")"),"แบบเฉลิมฉลองและรื่นเริง")</f>
        <v>แบบเฉลิมฉลองและรื่นเริง</v>
      </c>
      <c r="V46" s="6" t="str">
        <f>IFERROR(__xludf.DUMMYFUNCTION("GOOGLETRANSLATE(J46,""en"",""th"")"),"จำนวนว่าวที่มากมายและการออกแบบที่มีสีสันไม่ซ้ำใครล้วนสร้างบรรยากาศแห่งการเฉลิมฉลองและรื่นเริง")</f>
        <v>จำนวนว่าวที่มากมายและการออกแบบที่มีสีสันไม่ซ้ำใครล้วนสร้างบรรยากาศแห่งการเฉลิมฉลองและรื่นเริง</v>
      </c>
    </row>
    <row r="47" ht="22.5" customHeight="1">
      <c r="A47" s="4" t="s">
        <v>856</v>
      </c>
      <c r="B47" s="5">
        <v>46.0</v>
      </c>
      <c r="C47" s="4" t="s">
        <v>21</v>
      </c>
      <c r="D47" s="4" t="s">
        <v>771</v>
      </c>
      <c r="E47" s="4" t="s">
        <v>813</v>
      </c>
      <c r="F47" s="4" t="s">
        <v>814</v>
      </c>
      <c r="G47" s="4" t="s">
        <v>815</v>
      </c>
      <c r="H47" s="4" t="s">
        <v>854</v>
      </c>
      <c r="I47" s="4" t="s">
        <v>813</v>
      </c>
      <c r="J47" s="4" t="s">
        <v>817</v>
      </c>
      <c r="M47" s="4" t="s">
        <v>856</v>
      </c>
      <c r="N47" s="5">
        <v>46.0</v>
      </c>
      <c r="O47" s="6" t="str">
        <f>IFERROR(__xludf.DUMMYFUNCTION("GOOGLETRANSLATE(C47,""en"",""th"")"),"ภาพที่แสดงเป็นกิจกรรมหลักอะไร?")</f>
        <v>ภาพที่แสดงเป็นกิจกรรมหลักอะไร?</v>
      </c>
      <c r="P47" s="6" t="str">
        <f>IFERROR(__xludf.DUMMYFUNCTION("GOOGLETRANSLATE(D47,""en"",""th"")"),"ชายคนหนึ่งกำลังเล่นว่าว")</f>
        <v>ชายคนหนึ่งกำลังเล่นว่าว</v>
      </c>
      <c r="Q47" s="6" t="str">
        <f>IFERROR(__xludf.DUMMYFUNCTION("GOOGLETRANSLATE(E47,""en"",""th"")"),"กลุ่มคนกำลังเล่นว่าวกันอยู่")</f>
        <v>กลุ่มคนกำลังเล่นว่าวกันอยู่</v>
      </c>
      <c r="R47" s="6" t="str">
        <f>IFERROR(__xludf.DUMMYFUNCTION("GOOGLETRANSLATE(F47,""en"",""th"")"),"เทศกาลว่าว")</f>
        <v>เทศกาลว่าว</v>
      </c>
      <c r="S47" s="6" t="str">
        <f>IFERROR(__xludf.DUMMYFUNCTION("GOOGLETRANSLATE(G47,""en"",""th"")"),"การแข่งขันว่าว")</f>
        <v>การแข่งขันว่าว</v>
      </c>
      <c r="T47" s="6" t="s">
        <v>855</v>
      </c>
      <c r="U47" s="6" t="str">
        <f>IFERROR(__xludf.DUMMYFUNCTION("GOOGLETRANSLATE(I47,""en"",""th"")"),"กลุ่มคนกำลังเล่นว่าวกันอยู่")</f>
        <v>กลุ่มคนกำลังเล่นว่าวกันอยู่</v>
      </c>
      <c r="V47" s="6" t="str">
        <f>IFERROR(__xludf.DUMMYFUNCTION("GOOGLETRANSLATE(J47,""en"",""th"")"),"ภาพแสดงให้เห็นว่ามีว่าวจำนวนมากที่มีรูปร่างและขนาดต่างกันกำลังบินอยู่บนท้องฟ้า ซึ่งเป็นสัญญาณชัดเจนว่ามีคนกลุ่มหนึ่งกำลังเล่นว่าวอยู่")</f>
        <v>ภาพแสดงให้เห็นว่ามีว่าวจำนวนมากที่มีรูปร่างและขนาดต่างกันกำลังบินอยู่บนท้องฟ้า ซึ่งเป็นสัญญาณชัดเจนว่ามีคนกลุ่มหนึ่งกำลังเล่นว่าวอยู่</v>
      </c>
    </row>
    <row r="48" ht="22.5" customHeight="1">
      <c r="A48" s="4" t="s">
        <v>856</v>
      </c>
      <c r="B48" s="5">
        <v>47.0</v>
      </c>
      <c r="C48" s="4" t="s">
        <v>561</v>
      </c>
      <c r="D48" s="4" t="s">
        <v>857</v>
      </c>
      <c r="E48" s="4" t="s">
        <v>858</v>
      </c>
      <c r="F48" s="4" t="s">
        <v>859</v>
      </c>
      <c r="G48" s="4" t="s">
        <v>860</v>
      </c>
      <c r="H48" s="4" t="s">
        <v>861</v>
      </c>
      <c r="I48" s="4" t="s">
        <v>858</v>
      </c>
      <c r="J48" s="4" t="s">
        <v>862</v>
      </c>
      <c r="M48" s="4" t="s">
        <v>856</v>
      </c>
      <c r="N48" s="5">
        <v>47.0</v>
      </c>
      <c r="O48" s="6" t="str">
        <f>IFERROR(__xludf.DUMMYFUNCTION("GOOGLETRANSLATE(C48,""en"",""th"")"),"ลักษณะเด่นของสภาพแวดล้อมในภาพคืออะไร?")</f>
        <v>ลักษณะเด่นของสภาพแวดล้อมในภาพคืออะไร?</v>
      </c>
      <c r="P48" s="6" t="str">
        <f>IFERROR(__xludf.DUMMYFUNCTION("GOOGLETRANSLATE(D48,""en"",""th"")"),"หญ้าเป็นสีเขียว")</f>
        <v>หญ้าเป็นสีเขียว</v>
      </c>
      <c r="Q48" s="6" t="str">
        <f>IFERROR(__xludf.DUMMYFUNCTION("GOOGLETRANSLATE(E48,""en"",""th"")"),"หญ้าถูกปกคลุมด้วยหิมะ")</f>
        <v>หญ้าถูกปกคลุมด้วยหิมะ</v>
      </c>
      <c r="R48" s="6" t="str">
        <f>IFERROR(__xludf.DUMMYFUNCTION("GOOGLETRANSLATE(F48,""en"",""th"")"),"หญ้าเป็นสีน้ำตาล")</f>
        <v>หญ้าเป็นสีน้ำตาล</v>
      </c>
      <c r="S48" s="6" t="str">
        <f>IFERROR(__xludf.DUMMYFUNCTION("GOOGLETRANSLATE(G48,""en"",""th"")"),"หญ้าเขียวมาก")</f>
        <v>หญ้าเขียวมาก</v>
      </c>
      <c r="T48" s="6" t="s">
        <v>863</v>
      </c>
      <c r="U48" s="6" t="str">
        <f>IFERROR(__xludf.DUMMYFUNCTION("GOOGLETRANSLATE(I48,""en"",""th"")"),"หญ้าถูกปกคลุมด้วยหิมะ")</f>
        <v>หญ้าถูกปกคลุมด้วยหิมะ</v>
      </c>
      <c r="V48" s="6" t="str">
        <f>IFERROR(__xludf.DUMMYFUNCTION("GOOGLETRANSLATE(J48,""en"",""th"")"),"ภาพแสดงให้เห็นพื้นดินถูกปกคลุมด้วยหิมะหนา ซึ่งเป็นสัญญาณชัดเจนว่าเหตุการณ์นี้เกิดขึ้นในสภาพแวดล้อมที่หนาวเย็นมาก")</f>
        <v>ภาพแสดงให้เห็นพื้นดินถูกปกคลุมด้วยหิมะหนา ซึ่งเป็นสัญญาณชัดเจนว่าเหตุการณ์นี้เกิดขึ้นในสภาพแวดล้อมที่หนาวเย็นมาก</v>
      </c>
    </row>
    <row r="49" ht="22.5" customHeight="1">
      <c r="A49" s="4" t="s">
        <v>856</v>
      </c>
      <c r="B49" s="5">
        <v>48.0</v>
      </c>
      <c r="C49" s="4" t="s">
        <v>827</v>
      </c>
      <c r="D49" s="4" t="s">
        <v>828</v>
      </c>
      <c r="E49" s="4" t="s">
        <v>829</v>
      </c>
      <c r="F49" s="4" t="s">
        <v>830</v>
      </c>
      <c r="G49" s="4" t="s">
        <v>831</v>
      </c>
      <c r="H49" s="4" t="s">
        <v>832</v>
      </c>
      <c r="I49" s="4" t="s">
        <v>831</v>
      </c>
      <c r="J49" s="4" t="s">
        <v>825</v>
      </c>
      <c r="M49" s="4" t="s">
        <v>856</v>
      </c>
      <c r="N49" s="5">
        <v>48.0</v>
      </c>
      <c r="O49" s="6" t="str">
        <f>IFERROR(__xludf.DUMMYFUNCTION("GOOGLETRANSLATE(C49,""en"",""th"")"),"จุดประสงค์ของการเล่นว่าวในฉากนี้คืออะไร?")</f>
        <v>จุดประสงค์ของการเล่นว่าวในฉากนี้คืออะไร?</v>
      </c>
      <c r="P49" s="6" t="str">
        <f>IFERROR(__xludf.DUMMYFUNCTION("GOOGLETRANSLATE(D49,""en"",""th"")"),"เพื่อแสดงความสามารถ")</f>
        <v>เพื่อแสดงความสามารถ</v>
      </c>
      <c r="Q49" s="6" t="str">
        <f>IFERROR(__xludf.DUMMYFUNCTION("GOOGLETRANSLATE(E49,""en"",""th"")"),"การแสดงกลอุบาย")</f>
        <v>การแสดงกลอุบาย</v>
      </c>
      <c r="R49" s="6" t="str">
        <f>IFERROR(__xludf.DUMMYFUNCTION("GOOGLETRANSLATE(F49,""en"",""th"")"),"ที่จะบินสูงไปบนท้องฟ้า")</f>
        <v>ที่จะบินสูงไปบนท้องฟ้า</v>
      </c>
      <c r="S49" s="6" t="str">
        <f>IFERROR(__xludf.DUMMYFUNCTION("GOOGLETRANSLATE(G49,""en"",""th"")"),"เพื่ออวดความหลากหลายของว่าว")</f>
        <v>เพื่ออวดความหลากหลายของว่าว</v>
      </c>
      <c r="T49" s="6" t="s">
        <v>833</v>
      </c>
      <c r="U49" s="6" t="str">
        <f>IFERROR(__xludf.DUMMYFUNCTION("GOOGLETRANSLATE(I49,""en"",""th"")"),"เพื่ออวดความหลากหลายของว่าว")</f>
        <v>เพื่ออวดความหลากหลายของว่าว</v>
      </c>
      <c r="V49" s="6" t="str">
        <f>IFERROR(__xludf.DUMMYFUNCTION("GOOGLETRANSLATE(J49,""en"",""th"")"),"ว่าวมีรูปร่างและขนาดที่แตกต่างกัน ซึ่งเป็นจุดเด่นของเทศกาลว่าว โดยผู้คนจะนำว่าวที่มีเอกลักษณ์เฉพาะของตนเองมา")</f>
        <v>ว่าวมีรูปร่างและขนาดที่แตกต่างกัน ซึ่งเป็นจุดเด่นของเทศกาลว่าว โดยผู้คนจะนำว่าวที่มีเอกลักษณ์เฉพาะของตนเองมา</v>
      </c>
    </row>
    <row r="50" ht="22.5" customHeight="1">
      <c r="A50" s="4" t="s">
        <v>856</v>
      </c>
      <c r="B50" s="5">
        <v>49.0</v>
      </c>
      <c r="C50" s="4" t="s">
        <v>741</v>
      </c>
      <c r="D50" s="4" t="s">
        <v>720</v>
      </c>
      <c r="E50" s="4" t="s">
        <v>721</v>
      </c>
      <c r="F50" s="4" t="s">
        <v>722</v>
      </c>
      <c r="G50" s="4" t="s">
        <v>723</v>
      </c>
      <c r="H50" s="4" t="s">
        <v>724</v>
      </c>
      <c r="I50" s="4" t="s">
        <v>720</v>
      </c>
      <c r="J50" s="4" t="s">
        <v>834</v>
      </c>
      <c r="M50" s="4" t="s">
        <v>856</v>
      </c>
      <c r="N50" s="5">
        <v>49.0</v>
      </c>
      <c r="O50" s="6" t="str">
        <f>IFERROR(__xludf.DUMMYFUNCTION("GOOGLETRANSLATE(C50,""en"",""th"")"),"สภาพอากาศเป็นปัจจัยสำคัญของกีฬาชนิดนี้ ภาพที่เห็นสามารถสรุปอะไรได้บ้าง?")</f>
        <v>สภาพอากาศเป็นปัจจัยสำคัญของกีฬาชนิดนี้ ภาพที่เห็นสามารถสรุปอะไรได้บ้าง?</v>
      </c>
      <c r="P50" s="6" t="str">
        <f>IFERROR(__xludf.DUMMYFUNCTION("GOOGLETRANSLATE(D50,""en"",""th"")"),"วันนี้เป็นวันที่มีลมแรงมาก")</f>
        <v>วันนี้เป็นวันที่มีลมแรงมาก</v>
      </c>
      <c r="Q50" s="6" t="str">
        <f>IFERROR(__xludf.DUMMYFUNCTION("GOOGLETRANSLATE(E50,""en"",""th"")"),"เป็นวันที่เงียบสงบมาก")</f>
        <v>เป็นวันที่เงียบสงบมาก</v>
      </c>
      <c r="R50" s="6" t="str">
        <f>IFERROR(__xludf.DUMMYFUNCTION("GOOGLETRANSLATE(F50,""en"",""th"")"),"วันนี้เป็นวันที่มีเมฆมาก")</f>
        <v>วันนี้เป็นวันที่มีเมฆมาก</v>
      </c>
      <c r="S50" s="6" t="str">
        <f>IFERROR(__xludf.DUMMYFUNCTION("GOOGLETRANSLATE(G50,""en"",""th"")"),"เป็นวันที่ฝนตกหนักมาก")</f>
        <v>เป็นวันที่ฝนตกหนักมาก</v>
      </c>
      <c r="T50" s="6" t="s">
        <v>726</v>
      </c>
      <c r="U50" s="6" t="str">
        <f>IFERROR(__xludf.DUMMYFUNCTION("GOOGLETRANSLATE(I50,""en"",""th"")"),"วันนี้เป็นวันที่มีลมแรงมาก")</f>
        <v>วันนี้เป็นวันที่มีลมแรงมาก</v>
      </c>
      <c r="V50" s="6" t="str">
        <f>IFERROR(__xludf.DUMMYFUNCTION("GOOGLETRANSLATE(J50,""en"",""th"")"),"ว่าวกำลังบินสูงบนท้องฟ้า และเมฆก็เคลื่อนที่เร็วมาก ซึ่งบ่งบอกว่าวันนี้เป็นวันที่มีลมแรงมาก")</f>
        <v>ว่าวกำลังบินสูงบนท้องฟ้า และเมฆก็เคลื่อนที่เร็วมาก ซึ่งบ่งบอกว่าวันนี้เป็นวันที่มีลมแรงมาก</v>
      </c>
    </row>
    <row r="51" ht="22.5" customHeight="1">
      <c r="A51" s="4" t="s">
        <v>856</v>
      </c>
      <c r="B51" s="5">
        <v>50.0</v>
      </c>
      <c r="C51" s="4" t="s">
        <v>154</v>
      </c>
      <c r="D51" s="4" t="s">
        <v>743</v>
      </c>
      <c r="E51" s="4" t="s">
        <v>744</v>
      </c>
      <c r="F51" s="4" t="s">
        <v>126</v>
      </c>
      <c r="G51" s="4" t="s">
        <v>127</v>
      </c>
      <c r="H51" s="4" t="s">
        <v>745</v>
      </c>
      <c r="I51" s="4" t="s">
        <v>126</v>
      </c>
      <c r="J51" s="4" t="s">
        <v>835</v>
      </c>
      <c r="M51" s="4" t="s">
        <v>856</v>
      </c>
      <c r="N51" s="5">
        <v>50.0</v>
      </c>
      <c r="O51" s="6" t="str">
        <f>IFERROR(__xludf.DUMMYFUNCTION("GOOGLETRANSLATE(C51,""en"",""th"")"),"บรรยากาศโดยรวมของภาพเป็นอย่างไร?")</f>
        <v>บรรยากาศโดยรวมของภาพเป็นอย่างไร?</v>
      </c>
      <c r="P51" s="6" t="str">
        <f>IFERROR(__xludf.DUMMYFUNCTION("GOOGLETRANSLATE(D51,""en"",""th"")"),"บรรยากาศตึงเครียดและเงียบสงบ")</f>
        <v>บรรยากาศตึงเครียดและเงียบสงบ</v>
      </c>
      <c r="Q51" s="6" t="str">
        <f>IFERROR(__xludf.DUMMYFUNCTION("GOOGLETRANSLATE(E51,""en"",""th"")"),"บรรยากาศสนุกสนาน มีชีวิตชีวา")</f>
        <v>บรรยากาศสนุกสนาน มีชีวิตชีวา</v>
      </c>
      <c r="R51" s="6" t="str">
        <f>IFERROR(__xludf.DUMMYFUNCTION("GOOGLETRANSLATE(F51,""en"",""th"")"),"แบบเฉลิมฉลองและรื่นเริง")</f>
        <v>แบบเฉลิมฉลองและรื่นเริง</v>
      </c>
      <c r="S51" s="6" t="str">
        <f>IFERROR(__xludf.DUMMYFUNCTION("GOOGLETRANSLATE(G51,""en"",""th"")"),"แบบสบายๆ และผ่อนคลาย")</f>
        <v>แบบสบายๆ และผ่อนคลาย</v>
      </c>
      <c r="T51" s="6" t="s">
        <v>747</v>
      </c>
      <c r="U51" s="6" t="str">
        <f>IFERROR(__xludf.DUMMYFUNCTION("GOOGLETRANSLATE(I51,""en"",""th"")"),"แบบเฉลิมฉลองและรื่นเริง")</f>
        <v>แบบเฉลิมฉลองและรื่นเริง</v>
      </c>
      <c r="V51" s="6" t="str">
        <f>IFERROR(__xludf.DUMMYFUNCTION("GOOGLETRANSLATE(J51,""en"",""th"")"),"จำนวนว่าวที่มากมายและการออกแบบที่มีสีสันไม่ซ้ำใครล้วนสร้างบรรยากาศแห่งการเฉลิมฉลองและรื่นเริง")</f>
        <v>จำนวนว่าวที่มากมายและการออกแบบที่มีสีสันไม่ซ้ำใครล้วนสร้างบรรยากาศแห่งการเฉลิมฉลองและรื่นเริง</v>
      </c>
    </row>
    <row r="52" ht="22.5" customHeight="1">
      <c r="A52" s="4" t="s">
        <v>864</v>
      </c>
      <c r="B52" s="5">
        <v>51.0</v>
      </c>
      <c r="C52" s="4" t="s">
        <v>21</v>
      </c>
      <c r="D52" s="4" t="s">
        <v>771</v>
      </c>
      <c r="E52" s="4" t="s">
        <v>772</v>
      </c>
      <c r="F52" s="4" t="s">
        <v>838</v>
      </c>
      <c r="G52" s="4" t="s">
        <v>773</v>
      </c>
      <c r="H52" s="4" t="s">
        <v>865</v>
      </c>
      <c r="I52" s="4" t="s">
        <v>771</v>
      </c>
      <c r="J52" s="4" t="s">
        <v>866</v>
      </c>
      <c r="M52" s="4" t="s">
        <v>864</v>
      </c>
      <c r="N52" s="5">
        <v>51.0</v>
      </c>
      <c r="O52" s="6" t="str">
        <f>IFERROR(__xludf.DUMMYFUNCTION("GOOGLETRANSLATE(C52,""en"",""th"")"),"ภาพที่แสดงเป็นกิจกรรมหลักอะไร?")</f>
        <v>ภาพที่แสดงเป็นกิจกรรมหลักอะไร?</v>
      </c>
      <c r="P52" s="6" t="str">
        <f>IFERROR(__xludf.DUMMYFUNCTION("GOOGLETRANSLATE(D52,""en"",""th"")"),"ชายคนหนึ่งกำลังเล่นว่าว")</f>
        <v>ชายคนหนึ่งกำลังเล่นว่าว</v>
      </c>
      <c r="Q52" s="6" t="str">
        <f>IFERROR(__xludf.DUMMYFUNCTION("GOOGLETRANSLATE(E52,""en"",""th"")"),"มีผู้ชายคนหนึ่งกำลังวิ่ง")</f>
        <v>มีผู้ชายคนหนึ่งกำลังวิ่ง</v>
      </c>
      <c r="R52" s="6" t="str">
        <f>IFERROR(__xludf.DUMMYFUNCTION("GOOGLETRANSLATE(F52,""en"",""th"")"),"ผู้ชายคนหนึ่งกำลังว่ายน้ำ")</f>
        <v>ผู้ชายคนหนึ่งกำลังว่ายน้ำ</v>
      </c>
      <c r="S52" s="6" t="str">
        <f>IFERROR(__xludf.DUMMYFUNCTION("GOOGLETRANSLATE(G52,""en"",""th"")"),"มีชายคนหนึ่งยืนอยู่")</f>
        <v>มีชายคนหนึ่งยืนอยู่</v>
      </c>
      <c r="T52" s="6" t="s">
        <v>867</v>
      </c>
      <c r="U52" s="6" t="str">
        <f>IFERROR(__xludf.DUMMYFUNCTION("GOOGLETRANSLATE(I52,""en"",""th"")"),"ชายคนหนึ่งกำลังเล่นว่าว")</f>
        <v>ชายคนหนึ่งกำลังเล่นว่าว</v>
      </c>
      <c r="V52" s="6" t="str">
        <f>IFERROR(__xludf.DUMMYFUNCTION("GOOGLETRANSLATE(J52,""en"",""th"")"),"รูปภาพแสดงให้เห็นชายคนหนึ่งกำลังถือว่าวตัวใหญ่พร้อมสายว่าวและมีว่าวตัวอื่นๆ บินอยู่ด้านหลัง ซึ่งเป็นสิ่งบ่งชี้ที่ชัดเจนว่าเขากำลังเล่นว่าว")</f>
        <v>รูปภาพแสดงให้เห็นชายคนหนึ่งกำลังถือว่าวตัวใหญ่พร้อมสายว่าวและมีว่าวตัวอื่นๆ บินอยู่ด้านหลัง ซึ่งเป็นสิ่งบ่งชี้ที่ชัดเจนว่าเขากำลังเล่นว่าว</v>
      </c>
    </row>
    <row r="53" ht="22.5" customHeight="1">
      <c r="A53" s="4" t="s">
        <v>864</v>
      </c>
      <c r="B53" s="5">
        <v>52.0</v>
      </c>
      <c r="C53" s="4" t="s">
        <v>695</v>
      </c>
      <c r="D53" s="4" t="s">
        <v>801</v>
      </c>
      <c r="E53" s="4" t="s">
        <v>842</v>
      </c>
      <c r="F53" s="4" t="s">
        <v>698</v>
      </c>
      <c r="G53" s="4" t="s">
        <v>699</v>
      </c>
      <c r="H53" s="4" t="s">
        <v>843</v>
      </c>
      <c r="I53" s="4" t="s">
        <v>842</v>
      </c>
      <c r="J53" s="4" t="s">
        <v>868</v>
      </c>
      <c r="M53" s="4" t="s">
        <v>864</v>
      </c>
      <c r="N53" s="5">
        <v>52.0</v>
      </c>
      <c r="O53" s="6" t="str">
        <f>IFERROR(__xludf.DUMMYFUNCTION("GOOGLETRANSLATE(C53,""en"",""th"")"),"ลักษณะเด่นของว่าวคืออะไร?")</f>
        <v>ลักษณะเด่นของว่าวคืออะไร?</v>
      </c>
      <c r="P53" s="6" t="str">
        <f>IFERROR(__xludf.DUMMYFUNCTION("GOOGLETRANSLATE(D53,""en"",""th"")"),"มันเป็นว่าวขนาดเล็กมากและเรียบง่าย")</f>
        <v>มันเป็นว่าวขนาดเล็กมากและเรียบง่าย</v>
      </c>
      <c r="Q53" s="6" t="str">
        <f>IFERROR(__xludf.DUMMYFUNCTION("GOOGLETRANSLATE(E53,""en"",""th"")"),"มันเป็นว่าวที่มีขนาดใหญ่และมีเอกลักษณ์มาก")</f>
        <v>มันเป็นว่าวที่มีขนาดใหญ่และมีเอกลักษณ์มาก</v>
      </c>
      <c r="R53" s="6" t="str">
        <f>IFERROR(__xludf.DUMMYFUNCTION("GOOGLETRANSLATE(F53,""en"",""th"")"),"มันเป็นว่าวที่เรียบง่ายมาก")</f>
        <v>มันเป็นว่าวที่เรียบง่ายมาก</v>
      </c>
      <c r="S53" s="6" t="str">
        <f>IFERROR(__xludf.DUMMYFUNCTION("GOOGLETRANSLATE(G53,""en"",""th"")"),"มันคือว่าวสายเดี่ยว")</f>
        <v>มันคือว่าวสายเดี่ยว</v>
      </c>
      <c r="T53" s="6" t="s">
        <v>845</v>
      </c>
      <c r="U53" s="6" t="str">
        <f>IFERROR(__xludf.DUMMYFUNCTION("GOOGLETRANSLATE(I53,""en"",""th"")"),"มันเป็นว่าวที่มีขนาดใหญ่และมีเอกลักษณ์มาก")</f>
        <v>มันเป็นว่าวที่มีขนาดใหญ่และมีเอกลักษณ์มาก</v>
      </c>
      <c r="V53" s="6" t="str">
        <f>IFERROR(__xludf.DUMMYFUNCTION("GOOGLETRANSLATE(J53,""en"",""th"")"),"ว่าวเป็นว่าวขนาดใหญ่และมีลักษณะเฉพาะตัวมาก มีรูปร่างเหมือนหน้ากากบาหลีแบบดั้งเดิม ซึ่งต้องใช้ทักษะในการบินขั้นสูง")</f>
        <v>ว่าวเป็นว่าวขนาดใหญ่และมีลักษณะเฉพาะตัวมาก มีรูปร่างเหมือนหน้ากากบาหลีแบบดั้งเดิม ซึ่งต้องใช้ทักษะในการบินขั้นสูง</v>
      </c>
    </row>
    <row r="54" ht="22.5" customHeight="1">
      <c r="A54" s="4" t="s">
        <v>864</v>
      </c>
      <c r="B54" s="5">
        <v>53.0</v>
      </c>
      <c r="C54" s="4" t="s">
        <v>846</v>
      </c>
      <c r="D54" s="4" t="s">
        <v>847</v>
      </c>
      <c r="E54" s="4" t="s">
        <v>705</v>
      </c>
      <c r="F54" s="4" t="s">
        <v>848</v>
      </c>
      <c r="G54" s="4" t="s">
        <v>706</v>
      </c>
      <c r="H54" s="4" t="s">
        <v>849</v>
      </c>
      <c r="I54" s="4" t="s">
        <v>848</v>
      </c>
      <c r="J54" s="4" t="s">
        <v>850</v>
      </c>
      <c r="M54" s="4" t="s">
        <v>864</v>
      </c>
      <c r="N54" s="5">
        <v>53.0</v>
      </c>
      <c r="O54" s="6" t="str">
        <f>IFERROR(__xludf.DUMMYFUNCTION("GOOGLETRANSLATE(C54,""en"",""th"")"),"ผู้ถือสายว่าวมีจุดประสงค์อะไร?")</f>
        <v>ผู้ถือสายว่าวมีจุดประสงค์อะไร?</v>
      </c>
      <c r="P54" s="6" t="str">
        <f>IFERROR(__xludf.DUMMYFUNCTION("GOOGLETRANSLATE(D54,""en"",""th"")"),"เพื่อไม่ให้ว่าวบินหนีไป")</f>
        <v>เพื่อไม่ให้ว่าวบินหนีไป</v>
      </c>
      <c r="Q54" s="6" t="str">
        <f>IFERROR(__xludf.DUMMYFUNCTION("GOOGLETRANSLATE(E54,""en"",""th"")"),"เพื่อให้ว่าวบินสูงขึ้น")</f>
        <v>เพื่อให้ว่าวบินสูงขึ้น</v>
      </c>
      <c r="R54" s="6" t="str">
        <f>IFERROR(__xludf.DUMMYFUNCTION("GOOGLETRANSLATE(F54,""en"",""th"")"),"เพื่อควบคุมการเคลื่อนไหวของว่าว")</f>
        <v>เพื่อควบคุมการเคลื่อนไหวของว่าว</v>
      </c>
      <c r="S54" s="6" t="str">
        <f>IFERROR(__xludf.DUMMYFUNCTION("GOOGLETRANSLATE(G54,""en"",""th"")"),"เพื่อทำให้ว่าวหมุน")</f>
        <v>เพื่อทำให้ว่าวหมุน</v>
      </c>
      <c r="T54" s="6" t="s">
        <v>851</v>
      </c>
      <c r="U54" s="6" t="str">
        <f>IFERROR(__xludf.DUMMYFUNCTION("GOOGLETRANSLATE(I54,""en"",""th"")"),"เพื่อควบคุมการเคลื่อนไหวของว่าว")</f>
        <v>เพื่อควบคุมการเคลื่อนไหวของว่าว</v>
      </c>
      <c r="V54" s="6" t="str">
        <f>IFERROR(__xludf.DUMMYFUNCTION("GOOGLETRANSLATE(J54,""en"",""th"")"),"บุคคลนี้กำลังถือสายว่าวซึ่งใช้ในการควบคุมการเคลื่อนที่ของว่าวและแสดงกลต่างๆ")</f>
        <v>บุคคลนี้กำลังถือสายว่าวซึ่งใช้ในการควบคุมการเคลื่อนที่ของว่าวและแสดงกลต่างๆ</v>
      </c>
    </row>
    <row r="55" ht="22.5" customHeight="1">
      <c r="A55" s="4" t="s">
        <v>864</v>
      </c>
      <c r="B55" s="5">
        <v>54.0</v>
      </c>
      <c r="C55" s="4" t="s">
        <v>869</v>
      </c>
      <c r="D55" s="4" t="s">
        <v>870</v>
      </c>
      <c r="E55" s="4" t="s">
        <v>871</v>
      </c>
      <c r="F55" s="4" t="s">
        <v>872</v>
      </c>
      <c r="G55" s="4" t="s">
        <v>873</v>
      </c>
      <c r="H55" s="4" t="s">
        <v>874</v>
      </c>
      <c r="I55" s="4" t="s">
        <v>871</v>
      </c>
      <c r="J55" s="4" t="s">
        <v>875</v>
      </c>
      <c r="M55" s="4" t="s">
        <v>864</v>
      </c>
      <c r="N55" s="5">
        <v>54.0</v>
      </c>
      <c r="O55" s="6" t="str">
        <f>IFERROR(__xludf.DUMMYFUNCTION("GOOGLETRANSLATE(C55,""en"",""th"")"),"ชายคนนี้สวมเสื้อที่เขียนว่า ""INDONESIA KITE TEAM"" นี่สื่อถึงอะไร?")</f>
        <v>ชายคนนี้สวมเสื้อที่เขียนว่า "INDONESIA KITE TEAM" นี่สื่อถึงอะไร?</v>
      </c>
      <c r="P55" s="6" t="str">
        <f>IFERROR(__xludf.DUMMYFUNCTION("GOOGLETRANSLATE(D55,""en"",""th"")"),"เขาเป็นผู้เล่นที่เล่นแบบสบายๆ")</f>
        <v>เขาเป็นผู้เล่นที่เล่นแบบสบายๆ</v>
      </c>
      <c r="Q55" s="6" t="str">
        <f>IFERROR(__xludf.DUMMYFUNCTION("GOOGLETRANSLATE(E55,""en"",""th"")"),"เขาเป็นสมาชิกทีมชาติ")</f>
        <v>เขาเป็นสมาชิกทีมชาติ</v>
      </c>
      <c r="R55" s="6" t="str">
        <f>IFERROR(__xludf.DUMMYFUNCTION("GOOGLETRANSLATE(F55,""en"",""th"")"),"เขาเป็นผู้ชม")</f>
        <v>เขาเป็นผู้ชม</v>
      </c>
      <c r="S55" s="6" t="str">
        <f>IFERROR(__xludf.DUMMYFUNCTION("GOOGLETRANSLATE(G55,""en"",""th"")"),"เขาเป็นผู้เล่นสมัครเล่น")</f>
        <v>เขาเป็นผู้เล่นสมัครเล่น</v>
      </c>
      <c r="T55" s="6" t="s">
        <v>876</v>
      </c>
      <c r="U55" s="6" t="str">
        <f>IFERROR(__xludf.DUMMYFUNCTION("GOOGLETRANSLATE(I55,""en"",""th"")"),"เขาเป็นสมาชิกทีมชาติ")</f>
        <v>เขาเป็นสมาชิกทีมชาติ</v>
      </c>
      <c r="V55" s="6" t="str">
        <f>IFERROR(__xludf.DUMMYFUNCTION("GOOGLETRANSLATE(J55,""en"",""th"")"),"ชุดที่มีชื่อประเทศและโลโก้ทีมบ่งบอกว่าบุคคลนั้นเป็นนักกีฬาอาชีพที่เป็นตัวแทนของทีมชาติอินโดนีเซีย")</f>
        <v>ชุดที่มีชื่อประเทศและโลโก้ทีมบ่งบอกว่าบุคคลนั้นเป็นนักกีฬาอาชีพที่เป็นตัวแทนของทีมชาติอินโดนีเซีย</v>
      </c>
    </row>
    <row r="56" ht="22.5" customHeight="1">
      <c r="A56" s="4" t="s">
        <v>864</v>
      </c>
      <c r="B56" s="5">
        <v>55.0</v>
      </c>
      <c r="C56" s="4" t="s">
        <v>154</v>
      </c>
      <c r="D56" s="4" t="s">
        <v>743</v>
      </c>
      <c r="E56" s="4" t="s">
        <v>744</v>
      </c>
      <c r="F56" s="4" t="s">
        <v>126</v>
      </c>
      <c r="G56" s="4" t="s">
        <v>127</v>
      </c>
      <c r="H56" s="4" t="s">
        <v>745</v>
      </c>
      <c r="I56" s="4" t="s">
        <v>744</v>
      </c>
      <c r="J56" s="4" t="s">
        <v>852</v>
      </c>
      <c r="M56" s="4" t="s">
        <v>864</v>
      </c>
      <c r="N56" s="5">
        <v>55.0</v>
      </c>
      <c r="O56" s="6" t="str">
        <f>IFERROR(__xludf.DUMMYFUNCTION("GOOGLETRANSLATE(C56,""en"",""th"")"),"บรรยากาศโดยรวมของภาพเป็นอย่างไร?")</f>
        <v>บรรยากาศโดยรวมของภาพเป็นอย่างไร?</v>
      </c>
      <c r="P56" s="6" t="str">
        <f>IFERROR(__xludf.DUMMYFUNCTION("GOOGLETRANSLATE(D56,""en"",""th"")"),"บรรยากาศตึงเครียดและเงียบสงบ")</f>
        <v>บรรยากาศตึงเครียดและเงียบสงบ</v>
      </c>
      <c r="Q56" s="6" t="str">
        <f>IFERROR(__xludf.DUMMYFUNCTION("GOOGLETRANSLATE(E56,""en"",""th"")"),"บรรยากาศสนุกสนาน มีชีวิตชีวา")</f>
        <v>บรรยากาศสนุกสนาน มีชีวิตชีวา</v>
      </c>
      <c r="R56" s="6" t="str">
        <f>IFERROR(__xludf.DUMMYFUNCTION("GOOGLETRANSLATE(F56,""en"",""th"")"),"แบบเฉลิมฉลองและรื่นเริง")</f>
        <v>แบบเฉลิมฉลองและรื่นเริง</v>
      </c>
      <c r="S56" s="6" t="str">
        <f>IFERROR(__xludf.DUMMYFUNCTION("GOOGLETRANSLATE(G56,""en"",""th"")"),"แบบสบายๆ และผ่อนคลาย")</f>
        <v>แบบสบายๆ และผ่อนคลาย</v>
      </c>
      <c r="T56" s="6" t="s">
        <v>747</v>
      </c>
      <c r="U56" s="6" t="str">
        <f>IFERROR(__xludf.DUMMYFUNCTION("GOOGLETRANSLATE(I56,""en"",""th"")"),"บรรยากาศสนุกสนาน มีชีวิตชีวา")</f>
        <v>บรรยากาศสนุกสนาน มีชีวิตชีวา</v>
      </c>
      <c r="V56" s="6" t="str">
        <f>IFERROR(__xludf.DUMMYFUNCTION("GOOGLETRANSLATE(J56,""en"",""th"")"),"ชายคนนี้กำลังยิ้มและกำลังเล่นว่าว ซึ่งสื่อถึงบรรยากาศที่สนุกสนานและมีชีวิตชีวา")</f>
        <v>ชายคนนี้กำลังยิ้มและกำลังเล่นว่าว ซึ่งสื่อถึงบรรยากาศที่สนุกสนานและมีชีวิตชีวา</v>
      </c>
    </row>
    <row r="57" ht="22.5" customHeight="1">
      <c r="A57" s="4" t="s">
        <v>877</v>
      </c>
      <c r="B57" s="5">
        <v>56.0</v>
      </c>
      <c r="C57" s="4" t="s">
        <v>21</v>
      </c>
      <c r="D57" s="4" t="s">
        <v>813</v>
      </c>
      <c r="E57" s="4" t="s">
        <v>814</v>
      </c>
      <c r="F57" s="4" t="s">
        <v>815</v>
      </c>
      <c r="G57" s="4" t="s">
        <v>813</v>
      </c>
      <c r="H57" s="4" t="s">
        <v>878</v>
      </c>
      <c r="I57" s="4" t="s">
        <v>813</v>
      </c>
      <c r="J57" s="4" t="s">
        <v>879</v>
      </c>
      <c r="M57" s="4" t="s">
        <v>877</v>
      </c>
      <c r="N57" s="5">
        <v>56.0</v>
      </c>
      <c r="O57" s="6" t="str">
        <f>IFERROR(__xludf.DUMMYFUNCTION("GOOGLETRANSLATE(C57,""en"",""th"")"),"ภาพที่แสดงเป็นกิจกรรมหลักอะไร?")</f>
        <v>ภาพที่แสดงเป็นกิจกรรมหลักอะไร?</v>
      </c>
      <c r="P57" s="6" t="str">
        <f>IFERROR(__xludf.DUMMYFUNCTION("GOOGLETRANSLATE(D57,""en"",""th"")"),"กลุ่มคนกำลังเล่นว่าวกันอยู่")</f>
        <v>กลุ่มคนกำลังเล่นว่าวกันอยู่</v>
      </c>
      <c r="Q57" s="6" t="str">
        <f>IFERROR(__xludf.DUMMYFUNCTION("GOOGLETRANSLATE(E57,""en"",""th"")"),"เทศกาลว่าว")</f>
        <v>เทศกาลว่าว</v>
      </c>
      <c r="R57" s="6" t="str">
        <f>IFERROR(__xludf.DUMMYFUNCTION("GOOGLETRANSLATE(F57,""en"",""th"")"),"การแข่งขันว่าว")</f>
        <v>การแข่งขันว่าว</v>
      </c>
      <c r="S57" s="6" t="str">
        <f>IFERROR(__xludf.DUMMYFUNCTION("GOOGLETRANSLATE(G57,""en"",""th"")"),"กลุ่มคนกำลังเล่นว่าวกันอยู่")</f>
        <v>กลุ่มคนกำลังเล่นว่าวกันอยู่</v>
      </c>
      <c r="T57" s="6" t="s">
        <v>880</v>
      </c>
      <c r="U57" s="6" t="str">
        <f>IFERROR(__xludf.DUMMYFUNCTION("GOOGLETRANSLATE(I57,""en"",""th"")"),"กลุ่มคนกำลังเล่นว่าวกันอยู่")</f>
        <v>กลุ่มคนกำลังเล่นว่าวกันอยู่</v>
      </c>
      <c r="V57" s="6" t="str">
        <f>IFERROR(__xludf.DUMMYFUNCTION("GOOGLETRANSLATE(J57,""en"",""th"")"),"รูปภาพแสดงให้เห็นกลุ่มคนกำลังเล่นว่าวประดับขนาดใหญ่ใกล้แม่น้ำ โดยมีว่าวตัวอื่นๆ ลอยอยู่บนท้องฟ้า ซึ่งเป็นสิ่งบ่งชี้ชัดเจนว่ามีคนกลุ่มหนึ่งกำลังเล่นว่าวอยู่")</f>
        <v>รูปภาพแสดงให้เห็นกลุ่มคนกำลังเล่นว่าวประดับขนาดใหญ่ใกล้แม่น้ำ โดยมีว่าวตัวอื่นๆ ลอยอยู่บนท้องฟ้า ซึ่งเป็นสิ่งบ่งชี้ชัดเจนว่ามีคนกลุ่มหนึ่งกำลังเล่นว่าวอยู่</v>
      </c>
    </row>
    <row r="58" ht="22.5" customHeight="1">
      <c r="A58" s="4" t="s">
        <v>877</v>
      </c>
      <c r="B58" s="5">
        <v>57.0</v>
      </c>
      <c r="C58" s="4" t="s">
        <v>819</v>
      </c>
      <c r="D58" s="4" t="s">
        <v>820</v>
      </c>
      <c r="E58" s="4" t="s">
        <v>821</v>
      </c>
      <c r="F58" s="4" t="s">
        <v>822</v>
      </c>
      <c r="G58" s="4" t="s">
        <v>823</v>
      </c>
      <c r="H58" s="4" t="s">
        <v>824</v>
      </c>
      <c r="I58" s="4" t="s">
        <v>822</v>
      </c>
      <c r="J58" s="4" t="s">
        <v>825</v>
      </c>
      <c r="M58" s="4" t="s">
        <v>877</v>
      </c>
      <c r="N58" s="5">
        <v>57.0</v>
      </c>
      <c r="O58" s="6" t="str">
        <f>IFERROR(__xludf.DUMMYFUNCTION("GOOGLETRANSLATE(C58,""en"",""th"")"),"ลักษณะเด่นของว่าวคืออะไร?")</f>
        <v>ลักษณะเด่นของว่าวคืออะไร?</v>
      </c>
      <c r="P58" s="6" t="str">
        <f>IFERROR(__xludf.DUMMYFUNCTION("GOOGLETRANSLATE(D58,""en"",""th"")"),"พวกเขาทั้งหมดเหมือนกันหมด")</f>
        <v>พวกเขาทั้งหมดเหมือนกันหมด</v>
      </c>
      <c r="Q58" s="6" t="str">
        <f>IFERROR(__xludf.DUMMYFUNCTION("GOOGLETRANSLATE(E58,""en"",""th"")"),"มันทำจากกระดาษทั้งหมด")</f>
        <v>มันทำจากกระดาษทั้งหมด</v>
      </c>
      <c r="R58" s="6" t="str">
        <f>IFERROR(__xludf.DUMMYFUNCTION("GOOGLETRANSLATE(F58,""en"",""th"")"),"พวกมันมีรูปร่างและขนาดที่แตกต่างกัน")</f>
        <v>พวกมันมีรูปร่างและขนาดที่แตกต่างกัน</v>
      </c>
      <c r="S58" s="6" t="str">
        <f>IFERROR(__xludf.DUMMYFUNCTION("GOOGLETRANSLATE(G58,""en"",""th"")"),"พวกมันมีสีเดียวกันหมด")</f>
        <v>พวกมันมีสีเดียวกันหมด</v>
      </c>
      <c r="T58" s="6" t="s">
        <v>826</v>
      </c>
      <c r="U58" s="6" t="str">
        <f>IFERROR(__xludf.DUMMYFUNCTION("GOOGLETRANSLATE(I58,""en"",""th"")"),"พวกมันมีรูปร่างและขนาดที่แตกต่างกัน")</f>
        <v>พวกมันมีรูปร่างและขนาดที่แตกต่างกัน</v>
      </c>
      <c r="V58" s="6" t="str">
        <f>IFERROR(__xludf.DUMMYFUNCTION("GOOGLETRANSLATE(J58,""en"",""th"")"),"ว่าวมีรูปร่างและขนาดที่แตกต่างกัน ซึ่งเป็นจุดเด่นของเทศกาลว่าว โดยผู้คนจะนำว่าวที่มีเอกลักษณ์เฉพาะของตนเองมา")</f>
        <v>ว่าวมีรูปร่างและขนาดที่แตกต่างกัน ซึ่งเป็นจุดเด่นของเทศกาลว่าว โดยผู้คนจะนำว่าวที่มีเอกลักษณ์เฉพาะของตนเองมา</v>
      </c>
    </row>
    <row r="59" ht="22.5" customHeight="1">
      <c r="A59" s="4" t="s">
        <v>877</v>
      </c>
      <c r="B59" s="5">
        <v>58.0</v>
      </c>
      <c r="C59" s="4" t="s">
        <v>827</v>
      </c>
      <c r="D59" s="4" t="s">
        <v>828</v>
      </c>
      <c r="E59" s="4" t="s">
        <v>829</v>
      </c>
      <c r="F59" s="4" t="s">
        <v>830</v>
      </c>
      <c r="G59" s="4" t="s">
        <v>831</v>
      </c>
      <c r="H59" s="4" t="s">
        <v>832</v>
      </c>
      <c r="I59" s="4" t="s">
        <v>831</v>
      </c>
      <c r="J59" s="4" t="s">
        <v>825</v>
      </c>
      <c r="M59" s="4" t="s">
        <v>877</v>
      </c>
      <c r="N59" s="5">
        <v>58.0</v>
      </c>
      <c r="O59" s="6" t="str">
        <f>IFERROR(__xludf.DUMMYFUNCTION("GOOGLETRANSLATE(C59,""en"",""th"")"),"จุดประสงค์ของการเล่นว่าวในฉากนี้คืออะไร?")</f>
        <v>จุดประสงค์ของการเล่นว่าวในฉากนี้คืออะไร?</v>
      </c>
      <c r="P59" s="6" t="str">
        <f>IFERROR(__xludf.DUMMYFUNCTION("GOOGLETRANSLATE(D59,""en"",""th"")"),"เพื่อแสดงความสามารถ")</f>
        <v>เพื่อแสดงความสามารถ</v>
      </c>
      <c r="Q59" s="6" t="str">
        <f>IFERROR(__xludf.DUMMYFUNCTION("GOOGLETRANSLATE(E59,""en"",""th"")"),"การแสดงกลอุบาย")</f>
        <v>การแสดงกลอุบาย</v>
      </c>
      <c r="R59" s="6" t="str">
        <f>IFERROR(__xludf.DUMMYFUNCTION("GOOGLETRANSLATE(F59,""en"",""th"")"),"ที่จะบินสูงไปบนท้องฟ้า")</f>
        <v>ที่จะบินสูงไปบนท้องฟ้า</v>
      </c>
      <c r="S59" s="6" t="str">
        <f>IFERROR(__xludf.DUMMYFUNCTION("GOOGLETRANSLATE(G59,""en"",""th"")"),"เพื่ออวดความหลากหลายของว่าว")</f>
        <v>เพื่ออวดความหลากหลายของว่าว</v>
      </c>
      <c r="T59" s="6" t="s">
        <v>833</v>
      </c>
      <c r="U59" s="6" t="str">
        <f>IFERROR(__xludf.DUMMYFUNCTION("GOOGLETRANSLATE(I59,""en"",""th"")"),"เพื่ออวดความหลากหลายของว่าว")</f>
        <v>เพื่ออวดความหลากหลายของว่าว</v>
      </c>
      <c r="V59" s="6" t="str">
        <f>IFERROR(__xludf.DUMMYFUNCTION("GOOGLETRANSLATE(J59,""en"",""th"")"),"ว่าวมีรูปร่างและขนาดที่แตกต่างกัน ซึ่งเป็นจุดเด่นของเทศกาลว่าว โดยผู้คนจะนำว่าวที่มีเอกลักษณ์เฉพาะของตนเองมา")</f>
        <v>ว่าวมีรูปร่างและขนาดที่แตกต่างกัน ซึ่งเป็นจุดเด่นของเทศกาลว่าว โดยผู้คนจะนำว่าวที่มีเอกลักษณ์เฉพาะของตนเองมา</v>
      </c>
    </row>
    <row r="60" ht="22.5" customHeight="1">
      <c r="A60" s="4" t="s">
        <v>877</v>
      </c>
      <c r="B60" s="5">
        <v>59.0</v>
      </c>
      <c r="C60" s="4" t="s">
        <v>741</v>
      </c>
      <c r="D60" s="4" t="s">
        <v>720</v>
      </c>
      <c r="E60" s="4" t="s">
        <v>721</v>
      </c>
      <c r="F60" s="4" t="s">
        <v>722</v>
      </c>
      <c r="G60" s="4" t="s">
        <v>723</v>
      </c>
      <c r="H60" s="4" t="s">
        <v>724</v>
      </c>
      <c r="I60" s="4" t="s">
        <v>720</v>
      </c>
      <c r="J60" s="4" t="s">
        <v>834</v>
      </c>
      <c r="M60" s="4" t="s">
        <v>877</v>
      </c>
      <c r="N60" s="5">
        <v>59.0</v>
      </c>
      <c r="O60" s="6" t="str">
        <f>IFERROR(__xludf.DUMMYFUNCTION("GOOGLETRANSLATE(C60,""en"",""th"")"),"สภาพอากาศเป็นปัจจัยสำคัญของกีฬาชนิดนี้ ภาพที่เห็นสามารถสรุปอะไรได้บ้าง?")</f>
        <v>สภาพอากาศเป็นปัจจัยสำคัญของกีฬาชนิดนี้ ภาพที่เห็นสามารถสรุปอะไรได้บ้าง?</v>
      </c>
      <c r="P60" s="6" t="str">
        <f>IFERROR(__xludf.DUMMYFUNCTION("GOOGLETRANSLATE(D60,""en"",""th"")"),"วันนี้เป็นวันที่มีลมแรงมาก")</f>
        <v>วันนี้เป็นวันที่มีลมแรงมาก</v>
      </c>
      <c r="Q60" s="6" t="str">
        <f>IFERROR(__xludf.DUMMYFUNCTION("GOOGLETRANSLATE(E60,""en"",""th"")"),"เป็นวันที่เงียบสงบมาก")</f>
        <v>เป็นวันที่เงียบสงบมาก</v>
      </c>
      <c r="R60" s="6" t="str">
        <f>IFERROR(__xludf.DUMMYFUNCTION("GOOGLETRANSLATE(F60,""en"",""th"")"),"วันนี้เป็นวันที่มีเมฆมาก")</f>
        <v>วันนี้เป็นวันที่มีเมฆมาก</v>
      </c>
      <c r="S60" s="6" t="str">
        <f>IFERROR(__xludf.DUMMYFUNCTION("GOOGLETRANSLATE(G60,""en"",""th"")"),"เป็นวันที่ฝนตกหนักมาก")</f>
        <v>เป็นวันที่ฝนตกหนักมาก</v>
      </c>
      <c r="T60" s="6" t="s">
        <v>726</v>
      </c>
      <c r="U60" s="6" t="str">
        <f>IFERROR(__xludf.DUMMYFUNCTION("GOOGLETRANSLATE(I60,""en"",""th"")"),"วันนี้เป็นวันที่มีลมแรงมาก")</f>
        <v>วันนี้เป็นวันที่มีลมแรงมาก</v>
      </c>
      <c r="V60" s="6" t="str">
        <f>IFERROR(__xludf.DUMMYFUNCTION("GOOGLETRANSLATE(J60,""en"",""th"")"),"ว่าวกำลังบินสูงบนท้องฟ้า และเมฆก็เคลื่อนที่เร็วมาก ซึ่งบ่งบอกว่าวันนี้เป็นวันที่มีลมแรงมาก")</f>
        <v>ว่าวกำลังบินสูงบนท้องฟ้า และเมฆก็เคลื่อนที่เร็วมาก ซึ่งบ่งบอกว่าวันนี้เป็นวันที่มีลมแรงมาก</v>
      </c>
    </row>
    <row r="61" ht="22.5" customHeight="1">
      <c r="A61" s="4" t="s">
        <v>877</v>
      </c>
      <c r="B61" s="5">
        <v>60.0</v>
      </c>
      <c r="C61" s="4" t="s">
        <v>154</v>
      </c>
      <c r="D61" s="4" t="s">
        <v>743</v>
      </c>
      <c r="E61" s="4" t="s">
        <v>744</v>
      </c>
      <c r="F61" s="4" t="s">
        <v>126</v>
      </c>
      <c r="G61" s="4" t="s">
        <v>127</v>
      </c>
      <c r="H61" s="4" t="s">
        <v>745</v>
      </c>
      <c r="I61" s="4" t="s">
        <v>126</v>
      </c>
      <c r="J61" s="4" t="s">
        <v>835</v>
      </c>
      <c r="M61" s="4" t="s">
        <v>877</v>
      </c>
      <c r="N61" s="5">
        <v>60.0</v>
      </c>
      <c r="O61" s="6" t="str">
        <f>IFERROR(__xludf.DUMMYFUNCTION("GOOGLETRANSLATE(C61,""en"",""th"")"),"บรรยากาศโดยรวมของภาพเป็นอย่างไร?")</f>
        <v>บรรยากาศโดยรวมของภาพเป็นอย่างไร?</v>
      </c>
      <c r="P61" s="6" t="str">
        <f>IFERROR(__xludf.DUMMYFUNCTION("GOOGLETRANSLATE(D61,""en"",""th"")"),"บรรยากาศตึงเครียดและเงียบสงบ")</f>
        <v>บรรยากาศตึงเครียดและเงียบสงบ</v>
      </c>
      <c r="Q61" s="6" t="str">
        <f>IFERROR(__xludf.DUMMYFUNCTION("GOOGLETRANSLATE(E61,""en"",""th"")"),"บรรยากาศสนุกสนาน มีชีวิตชีวา")</f>
        <v>บรรยากาศสนุกสนาน มีชีวิตชีวา</v>
      </c>
      <c r="R61" s="6" t="str">
        <f>IFERROR(__xludf.DUMMYFUNCTION("GOOGLETRANSLATE(F61,""en"",""th"")"),"แบบเฉลิมฉลองและรื่นเริง")</f>
        <v>แบบเฉลิมฉลองและรื่นเริง</v>
      </c>
      <c r="S61" s="6" t="str">
        <f>IFERROR(__xludf.DUMMYFUNCTION("GOOGLETRANSLATE(G61,""en"",""th"")"),"แบบสบายๆ และผ่อนคลาย")</f>
        <v>แบบสบายๆ และผ่อนคลาย</v>
      </c>
      <c r="T61" s="6" t="s">
        <v>747</v>
      </c>
      <c r="U61" s="6" t="str">
        <f>IFERROR(__xludf.DUMMYFUNCTION("GOOGLETRANSLATE(I61,""en"",""th"")"),"แบบเฉลิมฉลองและรื่นเริง")</f>
        <v>แบบเฉลิมฉลองและรื่นเริง</v>
      </c>
      <c r="V61" s="6" t="str">
        <f>IFERROR(__xludf.DUMMYFUNCTION("GOOGLETRANSLATE(J61,""en"",""th"")"),"จำนวนว่าวที่มากมายและการออกแบบที่มีสีสันไม่ซ้ำใครล้วนสร้างบรรยากาศแห่งการเฉลิมฉลองและรื่นเริง")</f>
        <v>จำนวนว่าวที่มากมายและการออกแบบที่มีสีสันไม่ซ้ำใครล้วนสร้างบรรยากาศแห่งการเฉลิมฉลองและรื่นเริง</v>
      </c>
    </row>
    <row r="62" ht="22.5" customHeight="1">
      <c r="A62" s="4" t="s">
        <v>881</v>
      </c>
      <c r="B62" s="5">
        <v>61.0</v>
      </c>
      <c r="C62" s="4" t="s">
        <v>882</v>
      </c>
      <c r="D62" s="4" t="s">
        <v>883</v>
      </c>
      <c r="E62" s="4" t="s">
        <v>884</v>
      </c>
      <c r="F62" s="4" t="s">
        <v>814</v>
      </c>
      <c r="G62" s="4" t="s">
        <v>885</v>
      </c>
      <c r="H62" s="4" t="s">
        <v>886</v>
      </c>
      <c r="I62" s="4" t="s">
        <v>883</v>
      </c>
      <c r="J62" s="4" t="s">
        <v>887</v>
      </c>
      <c r="M62" s="4" t="s">
        <v>881</v>
      </c>
      <c r="N62" s="5">
        <v>61.0</v>
      </c>
      <c r="O62" s="6" t="str">
        <f>IFERROR(__xludf.DUMMYFUNCTION("GOOGLETRANSLATE(C62,""en"",""th"")"),"ประเด็นหลักของภาพคืออะไร?")</f>
        <v>ประเด็นหลักของภาพคืออะไร?</v>
      </c>
      <c r="P62" s="6" t="str">
        <f>IFERROR(__xludf.DUMMYFUNCTION("GOOGLETRANSLATE(D62,""en"",""th"")"),"ชุดว่าว")</f>
        <v>ชุดว่าว</v>
      </c>
      <c r="Q62" s="6" t="str">
        <f>IFERROR(__xludf.DUMMYFUNCTION("GOOGLETRANSLATE(E62,""en"",""th"")"),"ว่าวตัวเดียว")</f>
        <v>ว่าวตัวเดียว</v>
      </c>
      <c r="R62" s="6" t="str">
        <f>IFERROR(__xludf.DUMMYFUNCTION("GOOGLETRANSLATE(F62,""en"",""th"")"),"เทศกาลว่าว")</f>
        <v>เทศกาลว่าว</v>
      </c>
      <c r="S62" s="6" t="str">
        <f>IFERROR(__xludf.DUMMYFUNCTION("GOOGLETRANSLATE(G62,""en"",""th"")"),"คนที่กำลังเล่นว่าว")</f>
        <v>คนที่กำลังเล่นว่าว</v>
      </c>
      <c r="T62" s="6" t="s">
        <v>888</v>
      </c>
      <c r="U62" s="6" t="str">
        <f>IFERROR(__xludf.DUMMYFUNCTION("GOOGLETRANSLATE(I62,""en"",""th"")"),"ชุดว่าว")</f>
        <v>ชุดว่าว</v>
      </c>
      <c r="V62" s="6" t="str">
        <f>IFERROR(__xludf.DUMMYFUNCTION("GOOGLETRANSLATE(J62,""en"",""th"")"),"ภาพนี้แสดงให้เห็นภาพระยะใกล้ของว่าวหลากสีสันหลายตัวที่วางซ้อนกัน ซึ่งพร้อมที่จะบิน")</f>
        <v>ภาพนี้แสดงให้เห็นภาพระยะใกล้ของว่าวหลากสีสันหลายตัวที่วางซ้อนกัน ซึ่งพร้อมที่จะบิน</v>
      </c>
    </row>
    <row r="63" ht="22.5" customHeight="1">
      <c r="A63" s="4" t="s">
        <v>881</v>
      </c>
      <c r="B63" s="5">
        <v>62.0</v>
      </c>
      <c r="C63" s="4" t="s">
        <v>819</v>
      </c>
      <c r="D63" s="4" t="s">
        <v>820</v>
      </c>
      <c r="E63" s="4" t="s">
        <v>821</v>
      </c>
      <c r="F63" s="4" t="s">
        <v>822</v>
      </c>
      <c r="G63" s="4" t="s">
        <v>823</v>
      </c>
      <c r="H63" s="4" t="s">
        <v>824</v>
      </c>
      <c r="I63" s="4" t="s">
        <v>822</v>
      </c>
      <c r="J63" s="4" t="s">
        <v>825</v>
      </c>
      <c r="M63" s="4" t="s">
        <v>881</v>
      </c>
      <c r="N63" s="5">
        <v>62.0</v>
      </c>
      <c r="O63" s="6" t="str">
        <f>IFERROR(__xludf.DUMMYFUNCTION("GOOGLETRANSLATE(C63,""en"",""th"")"),"ลักษณะเด่นของว่าวคืออะไร?")</f>
        <v>ลักษณะเด่นของว่าวคืออะไร?</v>
      </c>
      <c r="P63" s="6" t="str">
        <f>IFERROR(__xludf.DUMMYFUNCTION("GOOGLETRANSLATE(D63,""en"",""th"")"),"พวกเขาทั้งหมดเหมือนกันหมด")</f>
        <v>พวกเขาทั้งหมดเหมือนกันหมด</v>
      </c>
      <c r="Q63" s="6" t="str">
        <f>IFERROR(__xludf.DUMMYFUNCTION("GOOGLETRANSLATE(E63,""en"",""th"")"),"มันทำจากกระดาษทั้งหมด")</f>
        <v>มันทำจากกระดาษทั้งหมด</v>
      </c>
      <c r="R63" s="6" t="str">
        <f>IFERROR(__xludf.DUMMYFUNCTION("GOOGLETRANSLATE(F63,""en"",""th"")"),"พวกมันมีรูปร่างและขนาดที่แตกต่างกัน")</f>
        <v>พวกมันมีรูปร่างและขนาดที่แตกต่างกัน</v>
      </c>
      <c r="S63" s="6" t="str">
        <f>IFERROR(__xludf.DUMMYFUNCTION("GOOGLETRANSLATE(G63,""en"",""th"")"),"พวกมันมีสีเดียวกันหมด")</f>
        <v>พวกมันมีสีเดียวกันหมด</v>
      </c>
      <c r="T63" s="6" t="s">
        <v>826</v>
      </c>
      <c r="U63" s="6" t="str">
        <f>IFERROR(__xludf.DUMMYFUNCTION("GOOGLETRANSLATE(I63,""en"",""th"")"),"พวกมันมีรูปร่างและขนาดที่แตกต่างกัน")</f>
        <v>พวกมันมีรูปร่างและขนาดที่แตกต่างกัน</v>
      </c>
      <c r="V63" s="6" t="str">
        <f>IFERROR(__xludf.DUMMYFUNCTION("GOOGLETRANSLATE(J63,""en"",""th"")"),"ว่าวมีรูปร่างและขนาดที่แตกต่างกัน ซึ่งเป็นจุดเด่นของเทศกาลว่าว โดยผู้คนจะนำว่าวที่มีเอกลักษณ์เฉพาะของตนเองมา")</f>
        <v>ว่าวมีรูปร่างและขนาดที่แตกต่างกัน ซึ่งเป็นจุดเด่นของเทศกาลว่าว โดยผู้คนจะนำว่าวที่มีเอกลักษณ์เฉพาะของตนเองมา</v>
      </c>
    </row>
    <row r="64" ht="22.5" customHeight="1">
      <c r="A64" s="4" t="s">
        <v>881</v>
      </c>
      <c r="B64" s="5">
        <v>63.0</v>
      </c>
      <c r="C64" s="4" t="s">
        <v>827</v>
      </c>
      <c r="D64" s="4" t="s">
        <v>828</v>
      </c>
      <c r="E64" s="4" t="s">
        <v>829</v>
      </c>
      <c r="F64" s="4" t="s">
        <v>830</v>
      </c>
      <c r="G64" s="4" t="s">
        <v>831</v>
      </c>
      <c r="H64" s="4" t="s">
        <v>832</v>
      </c>
      <c r="I64" s="4" t="s">
        <v>831</v>
      </c>
      <c r="J64" s="4" t="s">
        <v>825</v>
      </c>
      <c r="M64" s="4" t="s">
        <v>881</v>
      </c>
      <c r="N64" s="5">
        <v>63.0</v>
      </c>
      <c r="O64" s="6" t="str">
        <f>IFERROR(__xludf.DUMMYFUNCTION("GOOGLETRANSLATE(C64,""en"",""th"")"),"จุดประสงค์ของการเล่นว่าวในฉากนี้คืออะไร?")</f>
        <v>จุดประสงค์ของการเล่นว่าวในฉากนี้คืออะไร?</v>
      </c>
      <c r="P64" s="6" t="str">
        <f>IFERROR(__xludf.DUMMYFUNCTION("GOOGLETRANSLATE(D64,""en"",""th"")"),"เพื่อแสดงความสามารถ")</f>
        <v>เพื่อแสดงความสามารถ</v>
      </c>
      <c r="Q64" s="6" t="str">
        <f>IFERROR(__xludf.DUMMYFUNCTION("GOOGLETRANSLATE(E64,""en"",""th"")"),"การแสดงกลอุบาย")</f>
        <v>การแสดงกลอุบาย</v>
      </c>
      <c r="R64" s="6" t="str">
        <f>IFERROR(__xludf.DUMMYFUNCTION("GOOGLETRANSLATE(F64,""en"",""th"")"),"ที่จะบินสูงไปบนท้องฟ้า")</f>
        <v>ที่จะบินสูงไปบนท้องฟ้า</v>
      </c>
      <c r="S64" s="6" t="str">
        <f>IFERROR(__xludf.DUMMYFUNCTION("GOOGLETRANSLATE(G64,""en"",""th"")"),"เพื่ออวดความหลากหลายของว่าว")</f>
        <v>เพื่ออวดความหลากหลายของว่าว</v>
      </c>
      <c r="T64" s="6" t="s">
        <v>833</v>
      </c>
      <c r="U64" s="6" t="str">
        <f>IFERROR(__xludf.DUMMYFUNCTION("GOOGLETRANSLATE(I64,""en"",""th"")"),"เพื่ออวดความหลากหลายของว่าว")</f>
        <v>เพื่ออวดความหลากหลายของว่าว</v>
      </c>
      <c r="V64" s="6" t="str">
        <f>IFERROR(__xludf.DUMMYFUNCTION("GOOGLETRANSLATE(J64,""en"",""th"")"),"ว่าวมีรูปร่างและขนาดที่แตกต่างกัน ซึ่งเป็นจุดเด่นของเทศกาลว่าว โดยผู้คนจะนำว่าวที่มีเอกลักษณ์เฉพาะของตนเองมา")</f>
        <v>ว่าวมีรูปร่างและขนาดที่แตกต่างกัน ซึ่งเป็นจุดเด่นของเทศกาลว่าว โดยผู้คนจะนำว่าวที่มีเอกลักษณ์เฉพาะของตนเองมา</v>
      </c>
    </row>
    <row r="65" ht="22.5" customHeight="1">
      <c r="A65" s="4" t="s">
        <v>881</v>
      </c>
      <c r="B65" s="5">
        <v>64.0</v>
      </c>
      <c r="C65" s="4" t="s">
        <v>741</v>
      </c>
      <c r="D65" s="4" t="s">
        <v>720</v>
      </c>
      <c r="E65" s="4" t="s">
        <v>721</v>
      </c>
      <c r="F65" s="4" t="s">
        <v>722</v>
      </c>
      <c r="G65" s="4" t="s">
        <v>723</v>
      </c>
      <c r="H65" s="4" t="s">
        <v>724</v>
      </c>
      <c r="I65" s="4" t="s">
        <v>720</v>
      </c>
      <c r="J65" s="4" t="s">
        <v>834</v>
      </c>
      <c r="M65" s="4" t="s">
        <v>881</v>
      </c>
      <c r="N65" s="5">
        <v>64.0</v>
      </c>
      <c r="O65" s="6" t="str">
        <f>IFERROR(__xludf.DUMMYFUNCTION("GOOGLETRANSLATE(C65,""en"",""th"")"),"สภาพอากาศเป็นปัจจัยสำคัญของกีฬาชนิดนี้ ภาพที่เห็นสามารถสรุปอะไรได้บ้าง?")</f>
        <v>สภาพอากาศเป็นปัจจัยสำคัญของกีฬาชนิดนี้ ภาพที่เห็นสามารถสรุปอะไรได้บ้าง?</v>
      </c>
      <c r="P65" s="6" t="str">
        <f>IFERROR(__xludf.DUMMYFUNCTION("GOOGLETRANSLATE(D65,""en"",""th"")"),"วันนี้เป็นวันที่มีลมแรงมาก")</f>
        <v>วันนี้เป็นวันที่มีลมแรงมาก</v>
      </c>
      <c r="Q65" s="6" t="str">
        <f>IFERROR(__xludf.DUMMYFUNCTION("GOOGLETRANSLATE(E65,""en"",""th"")"),"เป็นวันที่เงียบสงบมาก")</f>
        <v>เป็นวันที่เงียบสงบมาก</v>
      </c>
      <c r="R65" s="6" t="str">
        <f>IFERROR(__xludf.DUMMYFUNCTION("GOOGLETRANSLATE(F65,""en"",""th"")"),"วันนี้เป็นวันที่มีเมฆมาก")</f>
        <v>วันนี้เป็นวันที่มีเมฆมาก</v>
      </c>
      <c r="S65" s="6" t="str">
        <f>IFERROR(__xludf.DUMMYFUNCTION("GOOGLETRANSLATE(G65,""en"",""th"")"),"เป็นวันที่ฝนตกหนักมาก")</f>
        <v>เป็นวันที่ฝนตกหนักมาก</v>
      </c>
      <c r="T65" s="6" t="s">
        <v>726</v>
      </c>
      <c r="U65" s="6" t="str">
        <f>IFERROR(__xludf.DUMMYFUNCTION("GOOGLETRANSLATE(I65,""en"",""th"")"),"วันนี้เป็นวันที่มีลมแรงมาก")</f>
        <v>วันนี้เป็นวันที่มีลมแรงมาก</v>
      </c>
      <c r="V65" s="6" t="str">
        <f>IFERROR(__xludf.DUMMYFUNCTION("GOOGLETRANSLATE(J65,""en"",""th"")"),"ว่าวกำลังบินสูงบนท้องฟ้า และเมฆก็เคลื่อนที่เร็วมาก ซึ่งบ่งบอกว่าวันนี้เป็นวันที่มีลมแรงมาก")</f>
        <v>ว่าวกำลังบินสูงบนท้องฟ้า และเมฆก็เคลื่อนที่เร็วมาก ซึ่งบ่งบอกว่าวันนี้เป็นวันที่มีลมแรงมาก</v>
      </c>
    </row>
    <row r="66" ht="22.5" customHeight="1">
      <c r="A66" s="4" t="s">
        <v>881</v>
      </c>
      <c r="B66" s="5">
        <v>65.0</v>
      </c>
      <c r="C66" s="4" t="s">
        <v>154</v>
      </c>
      <c r="D66" s="4" t="s">
        <v>743</v>
      </c>
      <c r="E66" s="4" t="s">
        <v>744</v>
      </c>
      <c r="F66" s="4" t="s">
        <v>126</v>
      </c>
      <c r="G66" s="4" t="s">
        <v>127</v>
      </c>
      <c r="H66" s="4" t="s">
        <v>745</v>
      </c>
      <c r="I66" s="4" t="s">
        <v>126</v>
      </c>
      <c r="J66" s="4" t="s">
        <v>835</v>
      </c>
      <c r="M66" s="4" t="s">
        <v>881</v>
      </c>
      <c r="N66" s="5">
        <v>65.0</v>
      </c>
      <c r="O66" s="6" t="str">
        <f>IFERROR(__xludf.DUMMYFUNCTION("GOOGLETRANSLATE(C66,""en"",""th"")"),"บรรยากาศโดยรวมของภาพเป็นอย่างไร?")</f>
        <v>บรรยากาศโดยรวมของภาพเป็นอย่างไร?</v>
      </c>
      <c r="P66" s="6" t="str">
        <f>IFERROR(__xludf.DUMMYFUNCTION("GOOGLETRANSLATE(D66,""en"",""th"")"),"บรรยากาศตึงเครียดและเงียบสงบ")</f>
        <v>บรรยากาศตึงเครียดและเงียบสงบ</v>
      </c>
      <c r="Q66" s="6" t="str">
        <f>IFERROR(__xludf.DUMMYFUNCTION("GOOGLETRANSLATE(E66,""en"",""th"")"),"บรรยากาศสนุกสนาน มีชีวิตชีวา")</f>
        <v>บรรยากาศสนุกสนาน มีชีวิตชีวา</v>
      </c>
      <c r="R66" s="6" t="str">
        <f>IFERROR(__xludf.DUMMYFUNCTION("GOOGLETRANSLATE(F66,""en"",""th"")"),"แบบเฉลิมฉลองและรื่นเริง")</f>
        <v>แบบเฉลิมฉลองและรื่นเริง</v>
      </c>
      <c r="S66" s="6" t="str">
        <f>IFERROR(__xludf.DUMMYFUNCTION("GOOGLETRANSLATE(G66,""en"",""th"")"),"แบบสบายๆ และผ่อนคลาย")</f>
        <v>แบบสบายๆ และผ่อนคลาย</v>
      </c>
      <c r="T66" s="6" t="s">
        <v>747</v>
      </c>
      <c r="U66" s="6" t="str">
        <f>IFERROR(__xludf.DUMMYFUNCTION("GOOGLETRANSLATE(I66,""en"",""th"")"),"แบบเฉลิมฉลองและรื่นเริง")</f>
        <v>แบบเฉลิมฉลองและรื่นเริง</v>
      </c>
      <c r="V66" s="6" t="str">
        <f>IFERROR(__xludf.DUMMYFUNCTION("GOOGLETRANSLATE(J66,""en"",""th"")"),"จำนวนว่าวที่มากมายและการออกแบบที่มีสีสันไม่ซ้ำใครล้วนสร้างบรรยากาศแห่งการเฉลิมฉลองและรื่นเริง")</f>
        <v>จำนวนว่าวที่มากมายและการออกแบบที่มีสีสันไม่ซ้ำใครล้วนสร้างบรรยากาศแห่งการเฉลิมฉลองและรื่นเริง</v>
      </c>
    </row>
    <row r="67" ht="22.5" customHeight="1">
      <c r="A67" s="4" t="s">
        <v>889</v>
      </c>
      <c r="B67" s="5">
        <v>66.0</v>
      </c>
      <c r="C67" s="4" t="s">
        <v>882</v>
      </c>
      <c r="D67" s="4" t="s">
        <v>890</v>
      </c>
      <c r="E67" s="4" t="s">
        <v>814</v>
      </c>
      <c r="F67" s="4" t="s">
        <v>885</v>
      </c>
      <c r="G67" s="4" t="s">
        <v>884</v>
      </c>
      <c r="H67" s="4" t="s">
        <v>891</v>
      </c>
      <c r="I67" s="4" t="s">
        <v>890</v>
      </c>
      <c r="J67" s="4" t="s">
        <v>892</v>
      </c>
      <c r="M67" s="4" t="s">
        <v>889</v>
      </c>
      <c r="N67" s="5">
        <v>66.0</v>
      </c>
      <c r="O67" s="6" t="str">
        <f>IFERROR(__xludf.DUMMYFUNCTION("GOOGLETRANSLATE(C67,""en"",""th"")"),"ประเด็นหลักของภาพคืออะไร?")</f>
        <v>ประเด็นหลักของภาพคืออะไร?</v>
      </c>
      <c r="P67" s="6" t="str">
        <f>IFERROR(__xludf.DUMMYFUNCTION("GOOGLETRANSLATE(D67,""en"",""th"")"),"ว่าว")</f>
        <v>ว่าว</v>
      </c>
      <c r="Q67" s="6" t="str">
        <f>IFERROR(__xludf.DUMMYFUNCTION("GOOGLETRANSLATE(E67,""en"",""th"")"),"เทศกาลว่าว")</f>
        <v>เทศกาลว่าว</v>
      </c>
      <c r="R67" s="6" t="str">
        <f>IFERROR(__xludf.DUMMYFUNCTION("GOOGLETRANSLATE(F67,""en"",""th"")"),"คนที่กำลังเล่นว่าว")</f>
        <v>คนที่กำลังเล่นว่าว</v>
      </c>
      <c r="S67" s="6" t="str">
        <f>IFERROR(__xludf.DUMMYFUNCTION("GOOGLETRANSLATE(G67,""en"",""th"")"),"ว่าวตัวเดียว")</f>
        <v>ว่าวตัวเดียว</v>
      </c>
      <c r="T67" s="6" t="s">
        <v>893</v>
      </c>
      <c r="U67" s="6" t="str">
        <f>IFERROR(__xludf.DUMMYFUNCTION("GOOGLETRANSLATE(I67,""en"",""th"")"),"ว่าว")</f>
        <v>ว่าว</v>
      </c>
      <c r="V67" s="6" t="str">
        <f>IFERROR(__xludf.DUMMYFUNCTION("GOOGLETRANSLATE(J67,""en"",""th"")"),"ภาพแสดงให้เห็นว่าว่าวตัวเดียวซึ่งพร้อมที่จะบินแล้ว")</f>
        <v>ภาพแสดงให้เห็นว่าว่าวตัวเดียวซึ่งพร้อมที่จะบินแล้ว</v>
      </c>
    </row>
    <row r="68" ht="22.5" customHeight="1">
      <c r="A68" s="4" t="s">
        <v>889</v>
      </c>
      <c r="B68" s="5">
        <v>67.0</v>
      </c>
      <c r="C68" s="4" t="s">
        <v>695</v>
      </c>
      <c r="D68" s="4" t="s">
        <v>801</v>
      </c>
      <c r="E68" s="4" t="s">
        <v>842</v>
      </c>
      <c r="F68" s="4" t="s">
        <v>698</v>
      </c>
      <c r="G68" s="4" t="s">
        <v>699</v>
      </c>
      <c r="H68" s="4" t="s">
        <v>843</v>
      </c>
      <c r="I68" s="4" t="s">
        <v>842</v>
      </c>
      <c r="J68" s="4" t="s">
        <v>894</v>
      </c>
      <c r="M68" s="4" t="s">
        <v>889</v>
      </c>
      <c r="N68" s="5">
        <v>67.0</v>
      </c>
      <c r="O68" s="6" t="str">
        <f>IFERROR(__xludf.DUMMYFUNCTION("GOOGLETRANSLATE(C68,""en"",""th"")"),"ลักษณะเด่นของว่าวคืออะไร?")</f>
        <v>ลักษณะเด่นของว่าวคืออะไร?</v>
      </c>
      <c r="P68" s="6" t="str">
        <f>IFERROR(__xludf.DUMMYFUNCTION("GOOGLETRANSLATE(D68,""en"",""th"")"),"มันเป็นว่าวขนาดเล็กมากและเรียบง่าย")</f>
        <v>มันเป็นว่าวขนาดเล็กมากและเรียบง่าย</v>
      </c>
      <c r="Q68" s="6" t="str">
        <f>IFERROR(__xludf.DUMMYFUNCTION("GOOGLETRANSLATE(E68,""en"",""th"")"),"มันเป็นว่าวที่มีขนาดใหญ่และมีเอกลักษณ์มาก")</f>
        <v>มันเป็นว่าวที่มีขนาดใหญ่และมีเอกลักษณ์มาก</v>
      </c>
      <c r="R68" s="6" t="str">
        <f>IFERROR(__xludf.DUMMYFUNCTION("GOOGLETRANSLATE(F68,""en"",""th"")"),"มันเป็นว่าวที่เรียบง่ายมาก")</f>
        <v>มันเป็นว่าวที่เรียบง่ายมาก</v>
      </c>
      <c r="S68" s="6" t="str">
        <f>IFERROR(__xludf.DUMMYFUNCTION("GOOGLETRANSLATE(G68,""en"",""th"")"),"มันคือว่าวสายเดี่ยว")</f>
        <v>มันคือว่าวสายเดี่ยว</v>
      </c>
      <c r="T68" s="6" t="s">
        <v>845</v>
      </c>
      <c r="U68" s="6" t="str">
        <f>IFERROR(__xludf.DUMMYFUNCTION("GOOGLETRANSLATE(I68,""en"",""th"")"),"มันเป็นว่าวที่มีขนาดใหญ่และมีเอกลักษณ์มาก")</f>
        <v>มันเป็นว่าวที่มีขนาดใหญ่และมีเอกลักษณ์มาก</v>
      </c>
      <c r="V68" s="6" t="str">
        <f>IFERROR(__xludf.DUMMYFUNCTION("GOOGLETRANSLATE(J68,""en"",""th"")"),"ว่าวเป็นว่าวที่มีขนาดใหญ่และมีลักษณะเฉพาะตัวมาก มีรูปร่างคล้ายนกไทยโบราณ ซึ่งต้องใช้ทักษะในการบินค่อนข้างสูง")</f>
        <v>ว่าวเป็นว่าวที่มีขนาดใหญ่และมีลักษณะเฉพาะตัวมาก มีรูปร่างคล้ายนกไทยโบราณ ซึ่งต้องใช้ทักษะในการบินค่อนข้างสูง</v>
      </c>
    </row>
    <row r="69" ht="22.5" customHeight="1">
      <c r="A69" s="4" t="s">
        <v>889</v>
      </c>
      <c r="B69" s="5">
        <v>68.0</v>
      </c>
      <c r="C69" s="4" t="s">
        <v>895</v>
      </c>
      <c r="D69" s="4" t="s">
        <v>704</v>
      </c>
      <c r="E69" s="4" t="s">
        <v>705</v>
      </c>
      <c r="F69" s="4" t="s">
        <v>706</v>
      </c>
      <c r="G69" s="4" t="s">
        <v>707</v>
      </c>
      <c r="H69" s="4" t="s">
        <v>708</v>
      </c>
      <c r="I69" s="4" t="s">
        <v>707</v>
      </c>
      <c r="J69" s="4" t="s">
        <v>896</v>
      </c>
      <c r="M69" s="4" t="s">
        <v>889</v>
      </c>
      <c r="N69" s="5">
        <v>68.0</v>
      </c>
      <c r="O69" s="6" t="str">
        <f>IFERROR(__xludf.DUMMYFUNCTION("GOOGLETRANSLATE(C69,""en"",""th"")"),"จุดประสงค์ในการออกแบบว่าวคืออะไร?")</f>
        <v>จุดประสงค์ในการออกแบบว่าวคืออะไร?</v>
      </c>
      <c r="P69" s="6" t="str">
        <f>IFERROR(__xludf.DUMMYFUNCTION("GOOGLETRANSLATE(D69,""en"",""th"")"),"เพื่อให้ว่าวมีเสถียรภาพมากขึ้น")</f>
        <v>เพื่อให้ว่าวมีเสถียรภาพมากขึ้น</v>
      </c>
      <c r="Q69" s="6" t="str">
        <f>IFERROR(__xludf.DUMMYFUNCTION("GOOGLETRANSLATE(E69,""en"",""th"")"),"เพื่อให้ว่าวบินสูงขึ้น")</f>
        <v>เพื่อให้ว่าวบินสูงขึ้น</v>
      </c>
      <c r="R69" s="6" t="str">
        <f>IFERROR(__xludf.DUMMYFUNCTION("GOOGLETRANSLATE(F69,""en"",""th"")"),"เพื่อทำให้ว่าวหมุน")</f>
        <v>เพื่อทำให้ว่าวหมุน</v>
      </c>
      <c r="S69" s="6" t="str">
        <f>IFERROR(__xludf.DUMMYFUNCTION("GOOGLETRANSLATE(G69,""en"",""th"")"),"เพื่อให้สามารถควบคุมว่าวได้ดียิ่งขึ้น")</f>
        <v>เพื่อให้สามารถควบคุมว่าวได้ดียิ่งขึ้น</v>
      </c>
      <c r="T69" s="6" t="s">
        <v>710</v>
      </c>
      <c r="U69" s="6" t="str">
        <f>IFERROR(__xludf.DUMMYFUNCTION("GOOGLETRANSLATE(I69,""en"",""th"")"),"เพื่อให้สามารถควบคุมว่าวได้ดียิ่งขึ้น")</f>
        <v>เพื่อให้สามารถควบคุมว่าวได้ดียิ่งขึ้น</v>
      </c>
      <c r="V69" s="6" t="str">
        <f>IFERROR(__xludf.DUMMYFUNCTION("GOOGLETRANSLATE(J69,""en"",""th"")"),"การออกแบบว่าวที่มีหางยาวและปีกขนาดใหญ่ได้รับการออกแบบมาเพื่อให้ว่าวมีเสถียรภาพและควบคุมได้ดีขึ้นในอากาศ")</f>
        <v>การออกแบบว่าวที่มีหางยาวและปีกขนาดใหญ่ได้รับการออกแบบมาเพื่อให้ว่าวมีเสถียรภาพและควบคุมได้ดีขึ้นในอากาศ</v>
      </c>
    </row>
    <row r="70" ht="22.5" customHeight="1">
      <c r="A70" s="4" t="s">
        <v>889</v>
      </c>
      <c r="B70" s="5">
        <v>69.0</v>
      </c>
      <c r="C70" s="4" t="s">
        <v>154</v>
      </c>
      <c r="D70" s="4" t="s">
        <v>743</v>
      </c>
      <c r="E70" s="4" t="s">
        <v>744</v>
      </c>
      <c r="F70" s="4" t="s">
        <v>126</v>
      </c>
      <c r="G70" s="4" t="s">
        <v>127</v>
      </c>
      <c r="H70" s="4" t="s">
        <v>745</v>
      </c>
      <c r="I70" s="4" t="s">
        <v>126</v>
      </c>
      <c r="J70" s="4" t="s">
        <v>897</v>
      </c>
      <c r="M70" s="4" t="s">
        <v>889</v>
      </c>
      <c r="N70" s="5">
        <v>69.0</v>
      </c>
      <c r="O70" s="6" t="str">
        <f>IFERROR(__xludf.DUMMYFUNCTION("GOOGLETRANSLATE(C70,""en"",""th"")"),"บรรยากาศโดยรวมของภาพเป็นอย่างไร?")</f>
        <v>บรรยากาศโดยรวมของภาพเป็นอย่างไร?</v>
      </c>
      <c r="P70" s="6" t="str">
        <f>IFERROR(__xludf.DUMMYFUNCTION("GOOGLETRANSLATE(D70,""en"",""th"")"),"บรรยากาศตึงเครียดและเงียบสงบ")</f>
        <v>บรรยากาศตึงเครียดและเงียบสงบ</v>
      </c>
      <c r="Q70" s="6" t="str">
        <f>IFERROR(__xludf.DUMMYFUNCTION("GOOGLETRANSLATE(E70,""en"",""th"")"),"บรรยากาศสนุกสนาน มีชีวิตชีวา")</f>
        <v>บรรยากาศสนุกสนาน มีชีวิตชีวา</v>
      </c>
      <c r="R70" s="6" t="str">
        <f>IFERROR(__xludf.DUMMYFUNCTION("GOOGLETRANSLATE(F70,""en"",""th"")"),"แบบเฉลิมฉลองและรื่นเริง")</f>
        <v>แบบเฉลิมฉลองและรื่นเริง</v>
      </c>
      <c r="S70" s="6" t="str">
        <f>IFERROR(__xludf.DUMMYFUNCTION("GOOGLETRANSLATE(G70,""en"",""th"")"),"แบบสบายๆ และผ่อนคลาย")</f>
        <v>แบบสบายๆ และผ่อนคลาย</v>
      </c>
      <c r="T70" s="6" t="s">
        <v>747</v>
      </c>
      <c r="U70" s="6" t="str">
        <f>IFERROR(__xludf.DUMMYFUNCTION("GOOGLETRANSLATE(I70,""en"",""th"")"),"แบบเฉลิมฉลองและรื่นเริง")</f>
        <v>แบบเฉลิมฉลองและรื่นเริง</v>
      </c>
      <c r="V70" s="6" t="str">
        <f>IFERROR(__xludf.DUMMYFUNCTION("GOOGLETRANSLATE(J70,""en"",""th"")"),"สีสันสดใสและการออกแบบที่เป็นเอกลักษณ์ของว่าวช่วยสร้างบรรยากาศแห่งการเฉลิมฉลองและรื่นเริง")</f>
        <v>สีสันสดใสและการออกแบบที่เป็นเอกลักษณ์ของว่าวช่วยสร้างบรรยากาศแห่งการเฉลิมฉลองและรื่นเริง</v>
      </c>
    </row>
    <row r="71" ht="22.5" customHeight="1">
      <c r="A71" s="4" t="s">
        <v>889</v>
      </c>
      <c r="B71" s="5">
        <v>70.0</v>
      </c>
      <c r="C71" s="4" t="s">
        <v>898</v>
      </c>
      <c r="D71" s="4" t="s">
        <v>899</v>
      </c>
      <c r="E71" s="4" t="s">
        <v>900</v>
      </c>
      <c r="F71" s="4" t="s">
        <v>901</v>
      </c>
      <c r="G71" s="4" t="s">
        <v>902</v>
      </c>
      <c r="H71" s="4" t="s">
        <v>903</v>
      </c>
      <c r="I71" s="4" t="s">
        <v>899</v>
      </c>
      <c r="J71" s="4" t="s">
        <v>904</v>
      </c>
      <c r="M71" s="4" t="s">
        <v>889</v>
      </c>
      <c r="N71" s="5">
        <v>70.0</v>
      </c>
      <c r="O71" s="6" t="str">
        <f>IFERROR(__xludf.DUMMYFUNCTION("GOOGLETRANSLATE(C71,""en"",""th"")"),"องค์ประกอบสำคัญของกีฬานี้คืออะไร?")</f>
        <v>องค์ประกอบสำคัญของกีฬานี้คืออะไร?</v>
      </c>
      <c r="P71" s="6" t="str">
        <f>IFERROR(__xludf.DUMMYFUNCTION("GOOGLETRANSLATE(D71,""en"",""th"")"),"ลม.")</f>
        <v>ลม.</v>
      </c>
      <c r="Q71" s="6" t="str">
        <f>IFERROR(__xludf.DUMMYFUNCTION("GOOGLETRANSLATE(E71,""en"",""th"")"),"ดวงอาทิตย์")</f>
        <v>ดวงอาทิตย์</v>
      </c>
      <c r="R71" s="6" t="str">
        <f>IFERROR(__xludf.DUMMYFUNCTION("GOOGLETRANSLATE(F71,""en"",""th"")"),"เมฆหมอก")</f>
        <v>เมฆหมอก</v>
      </c>
      <c r="S71" s="6" t="str">
        <f>IFERROR(__xludf.DUMMYFUNCTION("GOOGLETRANSLATE(G71,""en"",""th"")"),"ฝนตก")</f>
        <v>ฝนตก</v>
      </c>
      <c r="T71" s="6" t="s">
        <v>905</v>
      </c>
      <c r="U71" s="6" t="str">
        <f>IFERROR(__xludf.DUMMYFUNCTION("GOOGLETRANSLATE(I71,""en"",""th"")"),"ลม.")</f>
        <v>ลม.</v>
      </c>
      <c r="V71" s="6" t="str">
        <f>IFERROR(__xludf.DUMMYFUNCTION("GOOGLETRANSLATE(J71,""en"",""th"")"),"ลมเป็นองค์ประกอบสำคัญของกีฬาประเภทนี้ เนื่องจากลมช่วยยกว่าวให้ลอยจากพื้นสู่อากาศ")</f>
        <v>ลมเป็นองค์ประกอบสำคัญของกีฬาประเภทนี้ เนื่องจากลมช่วยยกว่าวให้ลอยจากพื้นสู่อากาศ</v>
      </c>
    </row>
    <row r="72">
      <c r="H72" s="8" t="s">
        <v>364</v>
      </c>
    </row>
    <row r="73">
      <c r="H73" s="8" t="s">
        <v>364</v>
      </c>
    </row>
    <row r="74">
      <c r="H74" s="8" t="s">
        <v>364</v>
      </c>
    </row>
    <row r="75">
      <c r="H75" s="8" t="s">
        <v>364</v>
      </c>
    </row>
    <row r="76">
      <c r="H76" s="8" t="s">
        <v>364</v>
      </c>
    </row>
    <row r="77">
      <c r="H77" s="8" t="s">
        <v>364</v>
      </c>
    </row>
    <row r="78">
      <c r="H78" s="8" t="s">
        <v>364</v>
      </c>
    </row>
    <row r="79">
      <c r="H79" s="8" t="s">
        <v>364</v>
      </c>
    </row>
    <row r="80">
      <c r="H80" s="8" t="s">
        <v>364</v>
      </c>
    </row>
    <row r="81">
      <c r="H81" s="8" t="s">
        <v>364</v>
      </c>
    </row>
    <row r="82">
      <c r="H82" s="8" t="s">
        <v>364</v>
      </c>
    </row>
    <row r="83">
      <c r="H83" s="8" t="s">
        <v>364</v>
      </c>
    </row>
    <row r="84">
      <c r="H84" s="8" t="s">
        <v>364</v>
      </c>
    </row>
    <row r="85">
      <c r="H85" s="8" t="s">
        <v>364</v>
      </c>
    </row>
    <row r="86">
      <c r="H86" s="8" t="s">
        <v>364</v>
      </c>
    </row>
    <row r="87">
      <c r="H87" s="8" t="s">
        <v>364</v>
      </c>
    </row>
    <row r="88">
      <c r="H88" s="8" t="s">
        <v>364</v>
      </c>
    </row>
    <row r="89">
      <c r="H89" s="8" t="s">
        <v>364</v>
      </c>
    </row>
    <row r="90">
      <c r="H90" s="8" t="s">
        <v>364</v>
      </c>
    </row>
    <row r="91">
      <c r="H91" s="8" t="s">
        <v>364</v>
      </c>
    </row>
    <row r="92">
      <c r="H92" s="8" t="s">
        <v>364</v>
      </c>
    </row>
    <row r="93">
      <c r="H93" s="8" t="s">
        <v>364</v>
      </c>
    </row>
    <row r="94">
      <c r="H94" s="8" t="s">
        <v>364</v>
      </c>
    </row>
    <row r="95">
      <c r="H95" s="8" t="s">
        <v>364</v>
      </c>
    </row>
    <row r="96">
      <c r="H96" s="8" t="s">
        <v>364</v>
      </c>
    </row>
    <row r="97">
      <c r="H97" s="8" t="s">
        <v>364</v>
      </c>
    </row>
    <row r="98">
      <c r="H98" s="8" t="s">
        <v>364</v>
      </c>
    </row>
    <row r="99">
      <c r="H99" s="8" t="s">
        <v>364</v>
      </c>
    </row>
    <row r="100">
      <c r="H100" s="8" t="s">
        <v>364</v>
      </c>
    </row>
    <row r="101">
      <c r="H101" s="8" t="s">
        <v>364</v>
      </c>
    </row>
    <row r="102">
      <c r="H102" s="8" t="s">
        <v>364</v>
      </c>
    </row>
    <row r="103">
      <c r="H103" s="8" t="s">
        <v>364</v>
      </c>
    </row>
    <row r="104">
      <c r="H104" s="8" t="s">
        <v>364</v>
      </c>
    </row>
    <row r="105">
      <c r="H105" s="8" t="s">
        <v>364</v>
      </c>
    </row>
    <row r="106">
      <c r="H106" s="8" t="s">
        <v>364</v>
      </c>
    </row>
    <row r="107">
      <c r="H107" s="8" t="s">
        <v>364</v>
      </c>
    </row>
    <row r="108">
      <c r="H108" s="8" t="s">
        <v>364</v>
      </c>
    </row>
    <row r="109">
      <c r="H109" s="8" t="s">
        <v>364</v>
      </c>
    </row>
    <row r="110">
      <c r="H110" s="8" t="s">
        <v>364</v>
      </c>
    </row>
    <row r="111">
      <c r="H111" s="8" t="s">
        <v>364</v>
      </c>
    </row>
    <row r="112">
      <c r="H112" s="8" t="s">
        <v>364</v>
      </c>
    </row>
    <row r="113">
      <c r="H113" s="8" t="s">
        <v>364</v>
      </c>
    </row>
    <row r="114">
      <c r="H114" s="8" t="s">
        <v>364</v>
      </c>
    </row>
    <row r="115">
      <c r="H115" s="8" t="s">
        <v>364</v>
      </c>
    </row>
    <row r="116">
      <c r="H116" s="8" t="s">
        <v>364</v>
      </c>
    </row>
    <row r="117">
      <c r="H117" s="8" t="s">
        <v>364</v>
      </c>
    </row>
    <row r="118">
      <c r="H118" s="8" t="s">
        <v>364</v>
      </c>
    </row>
    <row r="119">
      <c r="H119" s="8" t="s">
        <v>364</v>
      </c>
    </row>
    <row r="120">
      <c r="H120" s="8" t="s">
        <v>364</v>
      </c>
    </row>
    <row r="121">
      <c r="H121" s="8" t="s">
        <v>364</v>
      </c>
    </row>
    <row r="122">
      <c r="H122" s="8" t="s">
        <v>364</v>
      </c>
    </row>
    <row r="123">
      <c r="H123" s="8" t="s">
        <v>364</v>
      </c>
    </row>
    <row r="124">
      <c r="H124" s="8" t="s">
        <v>364</v>
      </c>
    </row>
    <row r="125">
      <c r="H125" s="8" t="s">
        <v>364</v>
      </c>
    </row>
    <row r="126">
      <c r="H126" s="8" t="s">
        <v>364</v>
      </c>
    </row>
    <row r="127">
      <c r="H127" s="8" t="s">
        <v>364</v>
      </c>
    </row>
    <row r="128">
      <c r="H128" s="8" t="s">
        <v>364</v>
      </c>
    </row>
    <row r="129">
      <c r="H129" s="8" t="s">
        <v>364</v>
      </c>
    </row>
    <row r="130">
      <c r="H130" s="8" t="s">
        <v>364</v>
      </c>
    </row>
    <row r="131">
      <c r="H131" s="8" t="s">
        <v>364</v>
      </c>
    </row>
    <row r="132">
      <c r="H132" s="8" t="s">
        <v>364</v>
      </c>
    </row>
    <row r="133">
      <c r="H133" s="8" t="s">
        <v>364</v>
      </c>
    </row>
    <row r="134">
      <c r="H134" s="8" t="s">
        <v>364</v>
      </c>
    </row>
    <row r="135">
      <c r="H135" s="8" t="s">
        <v>364</v>
      </c>
    </row>
    <row r="136">
      <c r="H136" s="8" t="s">
        <v>364</v>
      </c>
    </row>
    <row r="137">
      <c r="H137" s="8" t="s">
        <v>364</v>
      </c>
    </row>
    <row r="138">
      <c r="H138" s="8" t="s">
        <v>364</v>
      </c>
    </row>
    <row r="139">
      <c r="H139" s="8" t="s">
        <v>364</v>
      </c>
    </row>
    <row r="140">
      <c r="H140" s="8" t="s">
        <v>364</v>
      </c>
    </row>
    <row r="141">
      <c r="H141" s="8" t="s">
        <v>364</v>
      </c>
    </row>
    <row r="142">
      <c r="H142" s="8" t="s">
        <v>364</v>
      </c>
    </row>
    <row r="143">
      <c r="H143" s="8" t="s">
        <v>364</v>
      </c>
    </row>
    <row r="144">
      <c r="H144" s="8" t="s">
        <v>364</v>
      </c>
    </row>
    <row r="145">
      <c r="H145" s="8" t="s">
        <v>364</v>
      </c>
    </row>
    <row r="146">
      <c r="H146" s="8" t="s">
        <v>364</v>
      </c>
    </row>
    <row r="147">
      <c r="H147" s="8" t="s">
        <v>364</v>
      </c>
    </row>
    <row r="148">
      <c r="H148" s="8" t="s">
        <v>364</v>
      </c>
    </row>
    <row r="149">
      <c r="H149" s="8" t="s">
        <v>364</v>
      </c>
    </row>
    <row r="150">
      <c r="H150" s="8" t="s">
        <v>364</v>
      </c>
    </row>
    <row r="151">
      <c r="H151" s="8" t="s">
        <v>364</v>
      </c>
    </row>
    <row r="152">
      <c r="H152" s="8" t="s">
        <v>364</v>
      </c>
    </row>
    <row r="153">
      <c r="H153" s="8" t="s">
        <v>364</v>
      </c>
    </row>
    <row r="154">
      <c r="H154" s="8" t="s">
        <v>364</v>
      </c>
    </row>
    <row r="155">
      <c r="H155" s="8" t="s">
        <v>364</v>
      </c>
    </row>
    <row r="156">
      <c r="H156" s="8" t="s">
        <v>364</v>
      </c>
    </row>
    <row r="157">
      <c r="H157" s="8" t="s">
        <v>364</v>
      </c>
    </row>
    <row r="158">
      <c r="H158" s="8" t="s">
        <v>364</v>
      </c>
    </row>
    <row r="159">
      <c r="H159" s="8" t="s">
        <v>364</v>
      </c>
    </row>
    <row r="160">
      <c r="H160" s="8" t="s">
        <v>364</v>
      </c>
    </row>
    <row r="161">
      <c r="H161" s="8" t="s">
        <v>364</v>
      </c>
    </row>
    <row r="162">
      <c r="H162" s="8" t="s">
        <v>364</v>
      </c>
    </row>
    <row r="163">
      <c r="H163" s="8" t="s">
        <v>364</v>
      </c>
    </row>
    <row r="164">
      <c r="H164" s="8" t="s">
        <v>364</v>
      </c>
    </row>
    <row r="165">
      <c r="H165" s="8" t="s">
        <v>364</v>
      </c>
    </row>
    <row r="166">
      <c r="H166" s="8" t="s">
        <v>364</v>
      </c>
    </row>
    <row r="167">
      <c r="H167" s="8" t="s">
        <v>364</v>
      </c>
    </row>
    <row r="168">
      <c r="H168" s="8" t="s">
        <v>364</v>
      </c>
    </row>
    <row r="169">
      <c r="H169" s="8" t="s">
        <v>364</v>
      </c>
    </row>
    <row r="170">
      <c r="H170" s="8" t="s">
        <v>364</v>
      </c>
    </row>
    <row r="171">
      <c r="H171" s="8" t="s">
        <v>364</v>
      </c>
    </row>
    <row r="172">
      <c r="H172" s="8" t="s">
        <v>364</v>
      </c>
    </row>
    <row r="173">
      <c r="H173" s="8" t="s">
        <v>364</v>
      </c>
    </row>
    <row r="174">
      <c r="H174" s="8" t="s">
        <v>364</v>
      </c>
    </row>
    <row r="175">
      <c r="H175" s="8" t="s">
        <v>364</v>
      </c>
    </row>
    <row r="176">
      <c r="H176" s="8" t="s">
        <v>364</v>
      </c>
    </row>
    <row r="177">
      <c r="H177" s="8" t="s">
        <v>364</v>
      </c>
    </row>
    <row r="178">
      <c r="H178" s="8" t="s">
        <v>364</v>
      </c>
    </row>
    <row r="179">
      <c r="H179" s="8" t="s">
        <v>364</v>
      </c>
    </row>
    <row r="180">
      <c r="H180" s="8" t="s">
        <v>364</v>
      </c>
    </row>
    <row r="181">
      <c r="H181" s="8" t="s">
        <v>364</v>
      </c>
    </row>
    <row r="182">
      <c r="H182" s="8" t="s">
        <v>364</v>
      </c>
    </row>
    <row r="183">
      <c r="H183" s="8" t="s">
        <v>364</v>
      </c>
    </row>
    <row r="184">
      <c r="H184" s="8" t="s">
        <v>364</v>
      </c>
    </row>
    <row r="185">
      <c r="H185" s="8" t="s">
        <v>364</v>
      </c>
    </row>
    <row r="186">
      <c r="H186" s="8" t="s">
        <v>364</v>
      </c>
    </row>
    <row r="187">
      <c r="H187" s="8" t="s">
        <v>364</v>
      </c>
    </row>
    <row r="188">
      <c r="H188" s="8" t="s">
        <v>364</v>
      </c>
    </row>
    <row r="189">
      <c r="H189" s="8" t="s">
        <v>364</v>
      </c>
    </row>
    <row r="190">
      <c r="H190" s="8" t="s">
        <v>364</v>
      </c>
    </row>
    <row r="191">
      <c r="H191" s="8" t="s">
        <v>364</v>
      </c>
    </row>
    <row r="192">
      <c r="H192" s="8" t="s">
        <v>364</v>
      </c>
    </row>
    <row r="193">
      <c r="H193" s="8" t="s">
        <v>364</v>
      </c>
    </row>
    <row r="194">
      <c r="H194" s="8" t="s">
        <v>364</v>
      </c>
    </row>
    <row r="195">
      <c r="H195" s="8" t="s">
        <v>364</v>
      </c>
    </row>
    <row r="196">
      <c r="H196" s="8" t="s">
        <v>364</v>
      </c>
    </row>
    <row r="197">
      <c r="H197" s="8" t="s">
        <v>364</v>
      </c>
    </row>
    <row r="198">
      <c r="H198" s="8" t="s">
        <v>364</v>
      </c>
    </row>
    <row r="199">
      <c r="H199" s="8" t="s">
        <v>364</v>
      </c>
    </row>
    <row r="200">
      <c r="H200" s="8" t="s">
        <v>364</v>
      </c>
    </row>
    <row r="201">
      <c r="H201" s="8" t="s">
        <v>364</v>
      </c>
    </row>
    <row r="202">
      <c r="H202" s="8" t="s">
        <v>364</v>
      </c>
    </row>
    <row r="203">
      <c r="H203" s="8" t="s">
        <v>364</v>
      </c>
    </row>
    <row r="204">
      <c r="H204" s="8" t="s">
        <v>364</v>
      </c>
    </row>
    <row r="205">
      <c r="H205" s="8" t="s">
        <v>364</v>
      </c>
    </row>
    <row r="206">
      <c r="H206" s="8" t="s">
        <v>364</v>
      </c>
    </row>
    <row r="207">
      <c r="H207" s="8" t="s">
        <v>364</v>
      </c>
    </row>
    <row r="208">
      <c r="H208" s="8" t="s">
        <v>364</v>
      </c>
    </row>
    <row r="209">
      <c r="H209" s="8" t="s">
        <v>364</v>
      </c>
    </row>
    <row r="210">
      <c r="H210" s="8" t="s">
        <v>364</v>
      </c>
    </row>
    <row r="211">
      <c r="H211" s="8" t="s">
        <v>364</v>
      </c>
    </row>
    <row r="212">
      <c r="H212" s="8" t="s">
        <v>364</v>
      </c>
    </row>
    <row r="213">
      <c r="H213" s="8" t="s">
        <v>364</v>
      </c>
    </row>
    <row r="214">
      <c r="H214" s="8" t="s">
        <v>364</v>
      </c>
    </row>
    <row r="215">
      <c r="H215" s="8" t="s">
        <v>364</v>
      </c>
    </row>
    <row r="216">
      <c r="H216" s="8" t="s">
        <v>364</v>
      </c>
    </row>
    <row r="217">
      <c r="H217" s="8" t="s">
        <v>364</v>
      </c>
    </row>
    <row r="218">
      <c r="H218" s="8" t="s">
        <v>364</v>
      </c>
    </row>
    <row r="219">
      <c r="H219" s="8" t="s">
        <v>364</v>
      </c>
    </row>
    <row r="220">
      <c r="H220" s="8" t="s">
        <v>364</v>
      </c>
    </row>
    <row r="221">
      <c r="H221" s="8" t="s">
        <v>364</v>
      </c>
    </row>
    <row r="222">
      <c r="H222" s="8" t="s">
        <v>364</v>
      </c>
    </row>
    <row r="223">
      <c r="H223" s="8" t="s">
        <v>364</v>
      </c>
    </row>
    <row r="224">
      <c r="H224" s="8" t="s">
        <v>364</v>
      </c>
    </row>
    <row r="225">
      <c r="H225" s="8" t="s">
        <v>364</v>
      </c>
    </row>
    <row r="226">
      <c r="H226" s="8" t="s">
        <v>364</v>
      </c>
    </row>
    <row r="227">
      <c r="H227" s="8" t="s">
        <v>364</v>
      </c>
    </row>
    <row r="228">
      <c r="H228" s="8" t="s">
        <v>364</v>
      </c>
    </row>
    <row r="229">
      <c r="H229" s="8" t="s">
        <v>364</v>
      </c>
    </row>
    <row r="230">
      <c r="H230" s="8" t="s">
        <v>364</v>
      </c>
    </row>
    <row r="231">
      <c r="H231" s="8" t="s">
        <v>364</v>
      </c>
    </row>
    <row r="232">
      <c r="H232" s="8" t="s">
        <v>364</v>
      </c>
    </row>
    <row r="233">
      <c r="H233" s="8" t="s">
        <v>364</v>
      </c>
    </row>
    <row r="234">
      <c r="H234" s="8" t="s">
        <v>364</v>
      </c>
    </row>
    <row r="235">
      <c r="H235" s="8" t="s">
        <v>364</v>
      </c>
    </row>
    <row r="236">
      <c r="H236" s="8" t="s">
        <v>364</v>
      </c>
    </row>
    <row r="237">
      <c r="H237" s="8" t="s">
        <v>364</v>
      </c>
    </row>
    <row r="238">
      <c r="H238" s="8" t="s">
        <v>364</v>
      </c>
    </row>
    <row r="239">
      <c r="H239" s="8" t="s">
        <v>364</v>
      </c>
    </row>
    <row r="240">
      <c r="H240" s="8" t="s">
        <v>364</v>
      </c>
    </row>
    <row r="241">
      <c r="H241" s="8" t="s">
        <v>364</v>
      </c>
    </row>
    <row r="242">
      <c r="H242" s="8" t="s">
        <v>364</v>
      </c>
    </row>
    <row r="243">
      <c r="H243" s="8" t="s">
        <v>364</v>
      </c>
    </row>
    <row r="244">
      <c r="H244" s="8" t="s">
        <v>364</v>
      </c>
    </row>
    <row r="245">
      <c r="H245" s="8" t="s">
        <v>364</v>
      </c>
    </row>
    <row r="246">
      <c r="H246" s="8" t="s">
        <v>364</v>
      </c>
    </row>
    <row r="247">
      <c r="H247" s="8" t="s">
        <v>364</v>
      </c>
    </row>
    <row r="248">
      <c r="H248" s="8" t="s">
        <v>364</v>
      </c>
    </row>
    <row r="249">
      <c r="H249" s="8" t="s">
        <v>364</v>
      </c>
    </row>
    <row r="250">
      <c r="H250" s="8" t="s">
        <v>364</v>
      </c>
    </row>
    <row r="251">
      <c r="H251" s="8" t="s">
        <v>364</v>
      </c>
    </row>
    <row r="252">
      <c r="H252" s="8" t="s">
        <v>364</v>
      </c>
    </row>
    <row r="253">
      <c r="H253" s="8" t="s">
        <v>364</v>
      </c>
    </row>
    <row r="254">
      <c r="H254" s="8" t="s">
        <v>364</v>
      </c>
    </row>
    <row r="255">
      <c r="H255" s="8" t="s">
        <v>364</v>
      </c>
    </row>
    <row r="256">
      <c r="H256" s="8" t="s">
        <v>364</v>
      </c>
    </row>
    <row r="257">
      <c r="H257" s="8" t="s">
        <v>364</v>
      </c>
    </row>
    <row r="258">
      <c r="H258" s="8" t="s">
        <v>364</v>
      </c>
    </row>
    <row r="259">
      <c r="H259" s="8" t="s">
        <v>364</v>
      </c>
    </row>
    <row r="260">
      <c r="H260" s="8" t="s">
        <v>364</v>
      </c>
    </row>
    <row r="261">
      <c r="H261" s="8" t="s">
        <v>364</v>
      </c>
    </row>
    <row r="262">
      <c r="H262" s="8" t="s">
        <v>364</v>
      </c>
    </row>
    <row r="263">
      <c r="H263" s="8" t="s">
        <v>364</v>
      </c>
    </row>
    <row r="264">
      <c r="H264" s="8" t="s">
        <v>364</v>
      </c>
    </row>
    <row r="265">
      <c r="H265" s="8" t="s">
        <v>364</v>
      </c>
    </row>
    <row r="266">
      <c r="H266" s="8" t="s">
        <v>364</v>
      </c>
    </row>
    <row r="267">
      <c r="H267" s="8" t="s">
        <v>364</v>
      </c>
    </row>
    <row r="268">
      <c r="H268" s="8" t="s">
        <v>364</v>
      </c>
    </row>
    <row r="269">
      <c r="H269" s="8" t="s">
        <v>364</v>
      </c>
    </row>
    <row r="270">
      <c r="H270" s="8" t="s">
        <v>364</v>
      </c>
    </row>
    <row r="271">
      <c r="H271" s="8" t="s">
        <v>364</v>
      </c>
    </row>
    <row r="272">
      <c r="H272" s="8" t="s">
        <v>364</v>
      </c>
    </row>
    <row r="273">
      <c r="H273" s="8" t="s">
        <v>364</v>
      </c>
    </row>
    <row r="274">
      <c r="H274" s="8" t="s">
        <v>364</v>
      </c>
    </row>
    <row r="275">
      <c r="H275" s="8" t="s">
        <v>364</v>
      </c>
    </row>
    <row r="276">
      <c r="H276" s="8" t="s">
        <v>364</v>
      </c>
    </row>
    <row r="277">
      <c r="H277" s="8" t="s">
        <v>364</v>
      </c>
    </row>
    <row r="278">
      <c r="H278" s="8" t="s">
        <v>364</v>
      </c>
    </row>
    <row r="279">
      <c r="H279" s="8" t="s">
        <v>364</v>
      </c>
    </row>
    <row r="280">
      <c r="H280" s="8" t="s">
        <v>364</v>
      </c>
    </row>
    <row r="281">
      <c r="H281" s="8" t="s">
        <v>364</v>
      </c>
    </row>
    <row r="282">
      <c r="H282" s="8" t="s">
        <v>364</v>
      </c>
    </row>
    <row r="283">
      <c r="H283" s="8" t="s">
        <v>364</v>
      </c>
    </row>
    <row r="284">
      <c r="H284" s="8" t="s">
        <v>364</v>
      </c>
    </row>
    <row r="285">
      <c r="H285" s="8" t="s">
        <v>364</v>
      </c>
    </row>
    <row r="286">
      <c r="H286" s="8" t="s">
        <v>364</v>
      </c>
    </row>
    <row r="287">
      <c r="H287" s="8" t="s">
        <v>364</v>
      </c>
    </row>
    <row r="288">
      <c r="H288" s="8" t="s">
        <v>364</v>
      </c>
    </row>
    <row r="289">
      <c r="H289" s="8" t="s">
        <v>364</v>
      </c>
    </row>
    <row r="290">
      <c r="H290" s="8" t="s">
        <v>364</v>
      </c>
    </row>
    <row r="291">
      <c r="H291" s="8" t="s">
        <v>364</v>
      </c>
    </row>
    <row r="292">
      <c r="H292" s="8" t="s">
        <v>364</v>
      </c>
    </row>
    <row r="293">
      <c r="H293" s="8" t="s">
        <v>364</v>
      </c>
    </row>
    <row r="294">
      <c r="H294" s="8" t="s">
        <v>364</v>
      </c>
    </row>
    <row r="295">
      <c r="H295" s="8" t="s">
        <v>364</v>
      </c>
    </row>
    <row r="296">
      <c r="H296" s="8" t="s">
        <v>364</v>
      </c>
    </row>
    <row r="297">
      <c r="H297" s="8" t="s">
        <v>364</v>
      </c>
    </row>
    <row r="298">
      <c r="H298" s="8" t="s">
        <v>364</v>
      </c>
    </row>
    <row r="299">
      <c r="H299" s="8" t="s">
        <v>364</v>
      </c>
    </row>
    <row r="300">
      <c r="H300" s="8" t="s">
        <v>364</v>
      </c>
    </row>
    <row r="301">
      <c r="H301" s="8" t="s">
        <v>364</v>
      </c>
    </row>
    <row r="302">
      <c r="H302" s="8" t="s">
        <v>364</v>
      </c>
    </row>
    <row r="303">
      <c r="H303" s="8" t="s">
        <v>364</v>
      </c>
    </row>
    <row r="304">
      <c r="H304" s="8" t="s">
        <v>364</v>
      </c>
    </row>
    <row r="305">
      <c r="H305" s="8" t="s">
        <v>364</v>
      </c>
    </row>
    <row r="306">
      <c r="H306" s="8" t="s">
        <v>364</v>
      </c>
    </row>
    <row r="307">
      <c r="H307" s="8" t="s">
        <v>364</v>
      </c>
    </row>
    <row r="308">
      <c r="H308" s="8" t="s">
        <v>364</v>
      </c>
    </row>
    <row r="309">
      <c r="H309" s="8" t="s">
        <v>364</v>
      </c>
    </row>
    <row r="310">
      <c r="H310" s="8" t="s">
        <v>364</v>
      </c>
    </row>
    <row r="311">
      <c r="H311" s="8" t="s">
        <v>364</v>
      </c>
    </row>
    <row r="312">
      <c r="H312" s="8" t="s">
        <v>364</v>
      </c>
    </row>
    <row r="313">
      <c r="H313" s="8" t="s">
        <v>364</v>
      </c>
    </row>
    <row r="314">
      <c r="H314" s="8" t="s">
        <v>364</v>
      </c>
    </row>
    <row r="315">
      <c r="H315" s="8" t="s">
        <v>364</v>
      </c>
    </row>
    <row r="316">
      <c r="H316" s="8" t="s">
        <v>364</v>
      </c>
    </row>
    <row r="317">
      <c r="H317" s="8" t="s">
        <v>364</v>
      </c>
    </row>
    <row r="318">
      <c r="H318" s="8" t="s">
        <v>364</v>
      </c>
    </row>
    <row r="319">
      <c r="H319" s="8" t="s">
        <v>364</v>
      </c>
    </row>
    <row r="320">
      <c r="H320" s="8" t="s">
        <v>364</v>
      </c>
    </row>
    <row r="321">
      <c r="H321" s="8" t="s">
        <v>364</v>
      </c>
    </row>
    <row r="322">
      <c r="H322" s="8" t="s">
        <v>364</v>
      </c>
    </row>
    <row r="323">
      <c r="H323" s="8" t="s">
        <v>364</v>
      </c>
    </row>
    <row r="324">
      <c r="H324" s="8" t="s">
        <v>364</v>
      </c>
    </row>
    <row r="325">
      <c r="H325" s="8" t="s">
        <v>364</v>
      </c>
    </row>
    <row r="326">
      <c r="H326" s="8" t="s">
        <v>364</v>
      </c>
    </row>
    <row r="327">
      <c r="H327" s="8" t="s">
        <v>364</v>
      </c>
    </row>
    <row r="328">
      <c r="H328" s="8" t="s">
        <v>364</v>
      </c>
    </row>
    <row r="329">
      <c r="H329" s="8" t="s">
        <v>364</v>
      </c>
    </row>
    <row r="330">
      <c r="H330" s="8" t="s">
        <v>364</v>
      </c>
    </row>
    <row r="331">
      <c r="H331" s="8" t="s">
        <v>364</v>
      </c>
    </row>
    <row r="332">
      <c r="H332" s="8" t="s">
        <v>364</v>
      </c>
    </row>
    <row r="333">
      <c r="H333" s="8" t="s">
        <v>364</v>
      </c>
    </row>
    <row r="334">
      <c r="H334" s="8" t="s">
        <v>364</v>
      </c>
    </row>
    <row r="335">
      <c r="H335" s="8" t="s">
        <v>364</v>
      </c>
    </row>
    <row r="336">
      <c r="H336" s="8" t="s">
        <v>364</v>
      </c>
    </row>
    <row r="337">
      <c r="H337" s="8" t="s">
        <v>364</v>
      </c>
    </row>
    <row r="338">
      <c r="H338" s="8" t="s">
        <v>364</v>
      </c>
    </row>
    <row r="339">
      <c r="H339" s="8" t="s">
        <v>364</v>
      </c>
    </row>
    <row r="340">
      <c r="H340" s="8" t="s">
        <v>364</v>
      </c>
    </row>
    <row r="341">
      <c r="H341" s="8" t="s">
        <v>364</v>
      </c>
    </row>
    <row r="342">
      <c r="H342" s="8" t="s">
        <v>364</v>
      </c>
    </row>
    <row r="343">
      <c r="H343" s="8" t="s">
        <v>364</v>
      </c>
    </row>
    <row r="344">
      <c r="H344" s="8" t="s">
        <v>364</v>
      </c>
    </row>
    <row r="345">
      <c r="H345" s="8" t="s">
        <v>364</v>
      </c>
    </row>
    <row r="346">
      <c r="H346" s="8" t="s">
        <v>364</v>
      </c>
    </row>
    <row r="347">
      <c r="H347" s="8" t="s">
        <v>364</v>
      </c>
    </row>
    <row r="348">
      <c r="H348" s="8" t="s">
        <v>364</v>
      </c>
    </row>
    <row r="349">
      <c r="H349" s="8" t="s">
        <v>364</v>
      </c>
    </row>
    <row r="350">
      <c r="H350" s="8" t="s">
        <v>364</v>
      </c>
    </row>
    <row r="351">
      <c r="H351" s="8" t="s">
        <v>364</v>
      </c>
    </row>
    <row r="352">
      <c r="H352" s="8" t="s">
        <v>364</v>
      </c>
    </row>
    <row r="353">
      <c r="H353" s="8" t="s">
        <v>364</v>
      </c>
    </row>
    <row r="354">
      <c r="H354" s="8" t="s">
        <v>364</v>
      </c>
    </row>
    <row r="355">
      <c r="H355" s="8" t="s">
        <v>364</v>
      </c>
    </row>
    <row r="356">
      <c r="H356" s="8" t="s">
        <v>364</v>
      </c>
    </row>
    <row r="357">
      <c r="H357" s="8" t="s">
        <v>364</v>
      </c>
    </row>
    <row r="358">
      <c r="H358" s="8" t="s">
        <v>364</v>
      </c>
    </row>
    <row r="359">
      <c r="H359" s="8" t="s">
        <v>364</v>
      </c>
    </row>
    <row r="360">
      <c r="H360" s="8" t="s">
        <v>364</v>
      </c>
    </row>
    <row r="361">
      <c r="H361" s="8" t="s">
        <v>364</v>
      </c>
    </row>
    <row r="362">
      <c r="H362" s="8" t="s">
        <v>364</v>
      </c>
    </row>
    <row r="363">
      <c r="H363" s="8" t="s">
        <v>364</v>
      </c>
    </row>
    <row r="364">
      <c r="H364" s="8" t="s">
        <v>364</v>
      </c>
    </row>
    <row r="365">
      <c r="H365" s="8" t="s">
        <v>364</v>
      </c>
    </row>
    <row r="366">
      <c r="H366" s="8" t="s">
        <v>364</v>
      </c>
    </row>
    <row r="367">
      <c r="H367" s="8" t="s">
        <v>364</v>
      </c>
    </row>
    <row r="368">
      <c r="H368" s="8" t="s">
        <v>364</v>
      </c>
    </row>
    <row r="369">
      <c r="H369" s="8" t="s">
        <v>364</v>
      </c>
    </row>
    <row r="370">
      <c r="H370" s="8" t="s">
        <v>364</v>
      </c>
    </row>
    <row r="371">
      <c r="H371" s="8" t="s">
        <v>364</v>
      </c>
    </row>
    <row r="372">
      <c r="H372" s="8" t="s">
        <v>364</v>
      </c>
    </row>
    <row r="373">
      <c r="H373" s="8" t="s">
        <v>364</v>
      </c>
    </row>
    <row r="374">
      <c r="H374" s="8" t="s">
        <v>364</v>
      </c>
    </row>
    <row r="375">
      <c r="H375" s="8" t="s">
        <v>364</v>
      </c>
    </row>
    <row r="376">
      <c r="H376" s="8" t="s">
        <v>364</v>
      </c>
    </row>
    <row r="377">
      <c r="H377" s="8" t="s">
        <v>364</v>
      </c>
    </row>
    <row r="378">
      <c r="H378" s="8" t="s">
        <v>364</v>
      </c>
    </row>
    <row r="379">
      <c r="H379" s="8" t="s">
        <v>364</v>
      </c>
    </row>
    <row r="380">
      <c r="H380" s="8" t="s">
        <v>364</v>
      </c>
    </row>
    <row r="381">
      <c r="H381" s="8" t="s">
        <v>364</v>
      </c>
    </row>
    <row r="382">
      <c r="H382" s="8" t="s">
        <v>364</v>
      </c>
    </row>
    <row r="383">
      <c r="H383" s="8" t="s">
        <v>364</v>
      </c>
    </row>
    <row r="384">
      <c r="H384" s="8" t="s">
        <v>364</v>
      </c>
    </row>
    <row r="385">
      <c r="H385" s="8" t="s">
        <v>364</v>
      </c>
    </row>
    <row r="386">
      <c r="H386" s="8" t="s">
        <v>364</v>
      </c>
    </row>
    <row r="387">
      <c r="H387" s="8" t="s">
        <v>364</v>
      </c>
    </row>
    <row r="388">
      <c r="H388" s="8" t="s">
        <v>364</v>
      </c>
    </row>
    <row r="389">
      <c r="H389" s="8" t="s">
        <v>364</v>
      </c>
    </row>
    <row r="390">
      <c r="H390" s="8" t="s">
        <v>364</v>
      </c>
    </row>
    <row r="391">
      <c r="H391" s="8" t="s">
        <v>364</v>
      </c>
    </row>
    <row r="392">
      <c r="H392" s="8" t="s">
        <v>364</v>
      </c>
    </row>
    <row r="393">
      <c r="H393" s="8" t="s">
        <v>364</v>
      </c>
    </row>
    <row r="394">
      <c r="H394" s="8" t="s">
        <v>364</v>
      </c>
    </row>
    <row r="395">
      <c r="H395" s="8" t="s">
        <v>364</v>
      </c>
    </row>
    <row r="396">
      <c r="H396" s="8" t="s">
        <v>364</v>
      </c>
    </row>
    <row r="397">
      <c r="H397" s="8" t="s">
        <v>364</v>
      </c>
    </row>
    <row r="398">
      <c r="H398" s="8" t="s">
        <v>364</v>
      </c>
    </row>
    <row r="399">
      <c r="H399" s="8" t="s">
        <v>364</v>
      </c>
    </row>
    <row r="400">
      <c r="H400" s="8" t="s">
        <v>364</v>
      </c>
    </row>
    <row r="401">
      <c r="H401" s="8" t="s">
        <v>364</v>
      </c>
    </row>
    <row r="402">
      <c r="H402" s="8" t="s">
        <v>364</v>
      </c>
    </row>
    <row r="403">
      <c r="H403" s="8" t="s">
        <v>364</v>
      </c>
    </row>
    <row r="404">
      <c r="H404" s="8" t="s">
        <v>364</v>
      </c>
    </row>
    <row r="405">
      <c r="H405" s="8" t="s">
        <v>364</v>
      </c>
    </row>
    <row r="406">
      <c r="H406" s="8" t="s">
        <v>364</v>
      </c>
    </row>
    <row r="407">
      <c r="H407" s="8" t="s">
        <v>364</v>
      </c>
    </row>
    <row r="408">
      <c r="H408" s="8" t="s">
        <v>364</v>
      </c>
    </row>
    <row r="409">
      <c r="H409" s="8" t="s">
        <v>364</v>
      </c>
    </row>
    <row r="410">
      <c r="H410" s="8" t="s">
        <v>364</v>
      </c>
    </row>
    <row r="411">
      <c r="H411" s="8" t="s">
        <v>364</v>
      </c>
    </row>
    <row r="412">
      <c r="H412" s="8" t="s">
        <v>364</v>
      </c>
    </row>
    <row r="413">
      <c r="H413" s="8" t="s">
        <v>364</v>
      </c>
    </row>
    <row r="414">
      <c r="H414" s="8" t="s">
        <v>364</v>
      </c>
    </row>
    <row r="415">
      <c r="H415" s="8" t="s">
        <v>364</v>
      </c>
    </row>
    <row r="416">
      <c r="H416" s="8" t="s">
        <v>364</v>
      </c>
    </row>
    <row r="417">
      <c r="H417" s="8" t="s">
        <v>364</v>
      </c>
    </row>
    <row r="418">
      <c r="H418" s="8" t="s">
        <v>364</v>
      </c>
    </row>
    <row r="419">
      <c r="H419" s="8" t="s">
        <v>364</v>
      </c>
    </row>
    <row r="420">
      <c r="H420" s="8" t="s">
        <v>364</v>
      </c>
    </row>
    <row r="421">
      <c r="H421" s="8" t="s">
        <v>364</v>
      </c>
    </row>
    <row r="422">
      <c r="H422" s="8" t="s">
        <v>364</v>
      </c>
    </row>
    <row r="423">
      <c r="H423" s="8" t="s">
        <v>364</v>
      </c>
    </row>
    <row r="424">
      <c r="H424" s="8" t="s">
        <v>364</v>
      </c>
    </row>
    <row r="425">
      <c r="H425" s="8" t="s">
        <v>364</v>
      </c>
    </row>
    <row r="426">
      <c r="H426" s="8" t="s">
        <v>364</v>
      </c>
    </row>
    <row r="427">
      <c r="H427" s="8" t="s">
        <v>364</v>
      </c>
    </row>
    <row r="428">
      <c r="H428" s="8" t="s">
        <v>364</v>
      </c>
    </row>
    <row r="429">
      <c r="H429" s="8" t="s">
        <v>364</v>
      </c>
    </row>
    <row r="430">
      <c r="H430" s="8" t="s">
        <v>364</v>
      </c>
    </row>
    <row r="431">
      <c r="H431" s="8" t="s">
        <v>364</v>
      </c>
    </row>
    <row r="432">
      <c r="H432" s="8" t="s">
        <v>364</v>
      </c>
    </row>
    <row r="433">
      <c r="H433" s="8" t="s">
        <v>364</v>
      </c>
    </row>
    <row r="434">
      <c r="H434" s="8" t="s">
        <v>364</v>
      </c>
    </row>
    <row r="435">
      <c r="H435" s="8" t="s">
        <v>364</v>
      </c>
    </row>
    <row r="436">
      <c r="H436" s="8" t="s">
        <v>364</v>
      </c>
    </row>
    <row r="437">
      <c r="H437" s="8" t="s">
        <v>364</v>
      </c>
    </row>
    <row r="438">
      <c r="H438" s="8" t="s">
        <v>364</v>
      </c>
    </row>
    <row r="439">
      <c r="H439" s="8" t="s">
        <v>364</v>
      </c>
    </row>
    <row r="440">
      <c r="H440" s="8" t="s">
        <v>364</v>
      </c>
    </row>
    <row r="441">
      <c r="H441" s="8" t="s">
        <v>364</v>
      </c>
    </row>
    <row r="442">
      <c r="H442" s="8" t="s">
        <v>364</v>
      </c>
    </row>
    <row r="443">
      <c r="H443" s="8" t="s">
        <v>364</v>
      </c>
    </row>
    <row r="444">
      <c r="H444" s="8" t="s">
        <v>364</v>
      </c>
    </row>
    <row r="445">
      <c r="H445" s="8" t="s">
        <v>364</v>
      </c>
    </row>
    <row r="446">
      <c r="H446" s="8" t="s">
        <v>364</v>
      </c>
    </row>
    <row r="447">
      <c r="H447" s="8" t="s">
        <v>364</v>
      </c>
    </row>
    <row r="448">
      <c r="H448" s="8" t="s">
        <v>364</v>
      </c>
    </row>
    <row r="449">
      <c r="H449" s="8" t="s">
        <v>364</v>
      </c>
    </row>
    <row r="450">
      <c r="H450" s="8" t="s">
        <v>364</v>
      </c>
    </row>
    <row r="451">
      <c r="H451" s="8" t="s">
        <v>364</v>
      </c>
    </row>
    <row r="452">
      <c r="H452" s="8" t="s">
        <v>364</v>
      </c>
    </row>
    <row r="453">
      <c r="H453" s="8" t="s">
        <v>364</v>
      </c>
    </row>
    <row r="454">
      <c r="H454" s="8" t="s">
        <v>364</v>
      </c>
    </row>
    <row r="455">
      <c r="H455" s="8" t="s">
        <v>364</v>
      </c>
    </row>
    <row r="456">
      <c r="H456" s="8" t="s">
        <v>364</v>
      </c>
    </row>
    <row r="457">
      <c r="H457" s="8" t="s">
        <v>364</v>
      </c>
    </row>
    <row r="458">
      <c r="H458" s="8" t="s">
        <v>364</v>
      </c>
    </row>
    <row r="459">
      <c r="H459" s="8" t="s">
        <v>364</v>
      </c>
    </row>
    <row r="460">
      <c r="H460" s="8" t="s">
        <v>364</v>
      </c>
    </row>
    <row r="461">
      <c r="H461" s="8" t="s">
        <v>364</v>
      </c>
    </row>
    <row r="462">
      <c r="H462" s="8" t="s">
        <v>364</v>
      </c>
    </row>
    <row r="463">
      <c r="H463" s="8" t="s">
        <v>364</v>
      </c>
    </row>
    <row r="464">
      <c r="H464" s="8" t="s">
        <v>364</v>
      </c>
    </row>
    <row r="465">
      <c r="H465" s="8" t="s">
        <v>364</v>
      </c>
    </row>
    <row r="466">
      <c r="H466" s="8" t="s">
        <v>364</v>
      </c>
    </row>
    <row r="467">
      <c r="H467" s="8" t="s">
        <v>364</v>
      </c>
    </row>
    <row r="468">
      <c r="H468" s="8" t="s">
        <v>364</v>
      </c>
    </row>
    <row r="469">
      <c r="H469" s="8" t="s">
        <v>364</v>
      </c>
    </row>
    <row r="470">
      <c r="H470" s="8" t="s">
        <v>364</v>
      </c>
    </row>
    <row r="471">
      <c r="H471" s="8" t="s">
        <v>364</v>
      </c>
    </row>
    <row r="472">
      <c r="H472" s="8" t="s">
        <v>364</v>
      </c>
    </row>
    <row r="473">
      <c r="H473" s="8" t="s">
        <v>364</v>
      </c>
    </row>
    <row r="474">
      <c r="H474" s="8" t="s">
        <v>364</v>
      </c>
    </row>
    <row r="475">
      <c r="H475" s="8" t="s">
        <v>364</v>
      </c>
    </row>
    <row r="476">
      <c r="H476" s="8" t="s">
        <v>364</v>
      </c>
    </row>
    <row r="477">
      <c r="H477" s="8" t="s">
        <v>364</v>
      </c>
    </row>
    <row r="478">
      <c r="H478" s="8" t="s">
        <v>364</v>
      </c>
    </row>
    <row r="479">
      <c r="H479" s="8" t="s">
        <v>364</v>
      </c>
    </row>
    <row r="480">
      <c r="H480" s="8" t="s">
        <v>364</v>
      </c>
    </row>
    <row r="481">
      <c r="H481" s="8" t="s">
        <v>364</v>
      </c>
    </row>
    <row r="482">
      <c r="H482" s="8" t="s">
        <v>364</v>
      </c>
    </row>
    <row r="483">
      <c r="H483" s="8" t="s">
        <v>364</v>
      </c>
    </row>
    <row r="484">
      <c r="H484" s="8" t="s">
        <v>364</v>
      </c>
    </row>
    <row r="485">
      <c r="H485" s="8" t="s">
        <v>364</v>
      </c>
    </row>
    <row r="486">
      <c r="H486" s="8" t="s">
        <v>364</v>
      </c>
    </row>
    <row r="487">
      <c r="H487" s="8" t="s">
        <v>364</v>
      </c>
    </row>
    <row r="488">
      <c r="H488" s="8" t="s">
        <v>364</v>
      </c>
    </row>
    <row r="489">
      <c r="H489" s="8" t="s">
        <v>364</v>
      </c>
    </row>
    <row r="490">
      <c r="H490" s="8" t="s">
        <v>364</v>
      </c>
    </row>
    <row r="491">
      <c r="H491" s="8" t="s">
        <v>364</v>
      </c>
    </row>
    <row r="492">
      <c r="H492" s="8" t="s">
        <v>364</v>
      </c>
    </row>
    <row r="493">
      <c r="H493" s="8" t="s">
        <v>364</v>
      </c>
    </row>
    <row r="494">
      <c r="H494" s="8" t="s">
        <v>364</v>
      </c>
    </row>
    <row r="495">
      <c r="H495" s="8" t="s">
        <v>364</v>
      </c>
    </row>
    <row r="496">
      <c r="H496" s="8" t="s">
        <v>364</v>
      </c>
    </row>
    <row r="497">
      <c r="H497" s="8" t="s">
        <v>364</v>
      </c>
    </row>
    <row r="498">
      <c r="H498" s="8" t="s">
        <v>364</v>
      </c>
    </row>
    <row r="499">
      <c r="H499" s="8" t="s">
        <v>364</v>
      </c>
    </row>
    <row r="500">
      <c r="H500" s="8" t="s">
        <v>364</v>
      </c>
    </row>
    <row r="501">
      <c r="H501" s="8" t="s">
        <v>364</v>
      </c>
    </row>
    <row r="502">
      <c r="H502" s="8" t="s">
        <v>364</v>
      </c>
    </row>
    <row r="503">
      <c r="H503" s="8" t="s">
        <v>364</v>
      </c>
    </row>
    <row r="504">
      <c r="H504" s="8" t="s">
        <v>364</v>
      </c>
    </row>
    <row r="505">
      <c r="H505" s="8" t="s">
        <v>364</v>
      </c>
    </row>
    <row r="506">
      <c r="H506" s="8" t="s">
        <v>364</v>
      </c>
    </row>
    <row r="507">
      <c r="H507" s="8" t="s">
        <v>364</v>
      </c>
    </row>
    <row r="508">
      <c r="H508" s="8" t="s">
        <v>364</v>
      </c>
    </row>
    <row r="509">
      <c r="H509" s="8" t="s">
        <v>364</v>
      </c>
    </row>
    <row r="510">
      <c r="H510" s="8" t="s">
        <v>364</v>
      </c>
    </row>
    <row r="511">
      <c r="H511" s="8" t="s">
        <v>364</v>
      </c>
    </row>
    <row r="512">
      <c r="H512" s="8" t="s">
        <v>364</v>
      </c>
    </row>
    <row r="513">
      <c r="H513" s="8" t="s">
        <v>364</v>
      </c>
    </row>
    <row r="514">
      <c r="H514" s="8" t="s">
        <v>364</v>
      </c>
    </row>
    <row r="515">
      <c r="H515" s="8" t="s">
        <v>364</v>
      </c>
    </row>
    <row r="516">
      <c r="H516" s="8" t="s">
        <v>364</v>
      </c>
    </row>
    <row r="517">
      <c r="H517" s="8" t="s">
        <v>364</v>
      </c>
    </row>
    <row r="518">
      <c r="H518" s="8" t="s">
        <v>364</v>
      </c>
    </row>
    <row r="519">
      <c r="H519" s="8" t="s">
        <v>364</v>
      </c>
    </row>
    <row r="520">
      <c r="H520" s="8" t="s">
        <v>364</v>
      </c>
    </row>
    <row r="521">
      <c r="H521" s="8" t="s">
        <v>364</v>
      </c>
    </row>
    <row r="522">
      <c r="H522" s="8" t="s">
        <v>364</v>
      </c>
    </row>
    <row r="523">
      <c r="H523" s="8" t="s">
        <v>364</v>
      </c>
    </row>
    <row r="524">
      <c r="H524" s="8" t="s">
        <v>364</v>
      </c>
    </row>
    <row r="525">
      <c r="H525" s="8" t="s">
        <v>364</v>
      </c>
    </row>
    <row r="526">
      <c r="H526" s="8" t="s">
        <v>364</v>
      </c>
    </row>
    <row r="527">
      <c r="H527" s="8" t="s">
        <v>364</v>
      </c>
    </row>
    <row r="528">
      <c r="H528" s="8" t="s">
        <v>364</v>
      </c>
    </row>
    <row r="529">
      <c r="H529" s="8" t="s">
        <v>364</v>
      </c>
    </row>
    <row r="530">
      <c r="H530" s="8" t="s">
        <v>364</v>
      </c>
    </row>
    <row r="531">
      <c r="H531" s="8" t="s">
        <v>364</v>
      </c>
    </row>
    <row r="532">
      <c r="H532" s="8" t="s">
        <v>364</v>
      </c>
    </row>
    <row r="533">
      <c r="H533" s="8" t="s">
        <v>364</v>
      </c>
    </row>
    <row r="534">
      <c r="H534" s="8" t="s">
        <v>364</v>
      </c>
    </row>
    <row r="535">
      <c r="H535" s="8" t="s">
        <v>364</v>
      </c>
    </row>
    <row r="536">
      <c r="H536" s="8" t="s">
        <v>364</v>
      </c>
    </row>
    <row r="537">
      <c r="H537" s="8" t="s">
        <v>364</v>
      </c>
    </row>
    <row r="538">
      <c r="H538" s="8" t="s">
        <v>364</v>
      </c>
    </row>
    <row r="539">
      <c r="H539" s="8" t="s">
        <v>364</v>
      </c>
    </row>
    <row r="540">
      <c r="H540" s="8" t="s">
        <v>364</v>
      </c>
    </row>
    <row r="541">
      <c r="H541" s="8" t="s">
        <v>364</v>
      </c>
    </row>
    <row r="542">
      <c r="H542" s="8" t="s">
        <v>364</v>
      </c>
    </row>
    <row r="543">
      <c r="H543" s="8" t="s">
        <v>364</v>
      </c>
    </row>
    <row r="544">
      <c r="H544" s="8" t="s">
        <v>364</v>
      </c>
    </row>
    <row r="545">
      <c r="H545" s="8" t="s">
        <v>364</v>
      </c>
    </row>
    <row r="546">
      <c r="H546" s="8" t="s">
        <v>364</v>
      </c>
    </row>
    <row r="547">
      <c r="H547" s="8" t="s">
        <v>364</v>
      </c>
    </row>
    <row r="548">
      <c r="H548" s="8" t="s">
        <v>364</v>
      </c>
    </row>
    <row r="549">
      <c r="H549" s="8" t="s">
        <v>364</v>
      </c>
    </row>
    <row r="550">
      <c r="H550" s="8" t="s">
        <v>364</v>
      </c>
    </row>
    <row r="551">
      <c r="H551" s="8" t="s">
        <v>364</v>
      </c>
    </row>
    <row r="552">
      <c r="H552" s="8" t="s">
        <v>364</v>
      </c>
    </row>
    <row r="553">
      <c r="H553" s="8" t="s">
        <v>364</v>
      </c>
    </row>
    <row r="554">
      <c r="H554" s="8" t="s">
        <v>364</v>
      </c>
    </row>
    <row r="555">
      <c r="H555" s="8" t="s">
        <v>364</v>
      </c>
    </row>
    <row r="556">
      <c r="H556" s="8" t="s">
        <v>364</v>
      </c>
    </row>
    <row r="557">
      <c r="H557" s="8" t="s">
        <v>364</v>
      </c>
    </row>
    <row r="558">
      <c r="H558" s="8" t="s">
        <v>364</v>
      </c>
    </row>
    <row r="559">
      <c r="H559" s="8" t="s">
        <v>364</v>
      </c>
    </row>
    <row r="560">
      <c r="H560" s="8" t="s">
        <v>364</v>
      </c>
    </row>
    <row r="561">
      <c r="H561" s="8" t="s">
        <v>364</v>
      </c>
    </row>
    <row r="562">
      <c r="H562" s="8" t="s">
        <v>364</v>
      </c>
    </row>
    <row r="563">
      <c r="H563" s="8" t="s">
        <v>364</v>
      </c>
    </row>
    <row r="564">
      <c r="H564" s="8" t="s">
        <v>364</v>
      </c>
    </row>
    <row r="565">
      <c r="H565" s="8" t="s">
        <v>364</v>
      </c>
    </row>
    <row r="566">
      <c r="H566" s="8" t="s">
        <v>364</v>
      </c>
    </row>
    <row r="567">
      <c r="H567" s="8" t="s">
        <v>364</v>
      </c>
    </row>
    <row r="568">
      <c r="H568" s="8" t="s">
        <v>364</v>
      </c>
    </row>
    <row r="569">
      <c r="H569" s="8" t="s">
        <v>364</v>
      </c>
    </row>
    <row r="570">
      <c r="H570" s="8" t="s">
        <v>364</v>
      </c>
    </row>
    <row r="571">
      <c r="H571" s="8" t="s">
        <v>364</v>
      </c>
    </row>
    <row r="572">
      <c r="H572" s="8" t="s">
        <v>364</v>
      </c>
    </row>
    <row r="573">
      <c r="H573" s="8" t="s">
        <v>364</v>
      </c>
    </row>
    <row r="574">
      <c r="H574" s="8" t="s">
        <v>364</v>
      </c>
    </row>
    <row r="575">
      <c r="H575" s="8" t="s">
        <v>364</v>
      </c>
    </row>
    <row r="576">
      <c r="H576" s="8" t="s">
        <v>364</v>
      </c>
    </row>
    <row r="577">
      <c r="H577" s="8" t="s">
        <v>364</v>
      </c>
    </row>
    <row r="578">
      <c r="H578" s="8" t="s">
        <v>364</v>
      </c>
    </row>
    <row r="579">
      <c r="H579" s="8" t="s">
        <v>364</v>
      </c>
    </row>
    <row r="580">
      <c r="H580" s="8" t="s">
        <v>364</v>
      </c>
    </row>
    <row r="581">
      <c r="H581" s="8" t="s">
        <v>364</v>
      </c>
    </row>
    <row r="582">
      <c r="H582" s="8" t="s">
        <v>364</v>
      </c>
    </row>
    <row r="583">
      <c r="H583" s="8" t="s">
        <v>364</v>
      </c>
    </row>
    <row r="584">
      <c r="H584" s="8" t="s">
        <v>364</v>
      </c>
    </row>
    <row r="585">
      <c r="H585" s="8" t="s">
        <v>364</v>
      </c>
    </row>
    <row r="586">
      <c r="H586" s="8" t="s">
        <v>364</v>
      </c>
    </row>
    <row r="587">
      <c r="H587" s="8" t="s">
        <v>364</v>
      </c>
    </row>
    <row r="588">
      <c r="H588" s="8" t="s">
        <v>364</v>
      </c>
    </row>
    <row r="589">
      <c r="H589" s="8" t="s">
        <v>364</v>
      </c>
    </row>
    <row r="590">
      <c r="H590" s="8" t="s">
        <v>364</v>
      </c>
    </row>
    <row r="591">
      <c r="H591" s="8" t="s">
        <v>364</v>
      </c>
    </row>
    <row r="592">
      <c r="H592" s="8" t="s">
        <v>364</v>
      </c>
    </row>
    <row r="593">
      <c r="H593" s="8" t="s">
        <v>364</v>
      </c>
    </row>
    <row r="594">
      <c r="H594" s="8" t="s">
        <v>364</v>
      </c>
    </row>
    <row r="595">
      <c r="H595" s="8" t="s">
        <v>364</v>
      </c>
    </row>
    <row r="596">
      <c r="H596" s="8" t="s">
        <v>364</v>
      </c>
    </row>
    <row r="597">
      <c r="H597" s="8" t="s">
        <v>364</v>
      </c>
    </row>
    <row r="598">
      <c r="H598" s="8" t="s">
        <v>364</v>
      </c>
    </row>
    <row r="599">
      <c r="H599" s="8" t="s">
        <v>364</v>
      </c>
    </row>
    <row r="600">
      <c r="H600" s="8" t="s">
        <v>364</v>
      </c>
    </row>
    <row r="601">
      <c r="H601" s="8" t="s">
        <v>364</v>
      </c>
    </row>
    <row r="602">
      <c r="H602" s="8" t="s">
        <v>364</v>
      </c>
    </row>
    <row r="603">
      <c r="H603" s="8" t="s">
        <v>364</v>
      </c>
    </row>
    <row r="604">
      <c r="H604" s="8" t="s">
        <v>364</v>
      </c>
    </row>
    <row r="605">
      <c r="H605" s="8" t="s">
        <v>364</v>
      </c>
    </row>
    <row r="606">
      <c r="H606" s="8" t="s">
        <v>364</v>
      </c>
    </row>
    <row r="607">
      <c r="H607" s="8" t="s">
        <v>364</v>
      </c>
    </row>
    <row r="608">
      <c r="H608" s="8" t="s">
        <v>364</v>
      </c>
    </row>
    <row r="609">
      <c r="H609" s="8" t="s">
        <v>364</v>
      </c>
    </row>
    <row r="610">
      <c r="H610" s="8" t="s">
        <v>364</v>
      </c>
    </row>
    <row r="611">
      <c r="H611" s="8" t="s">
        <v>364</v>
      </c>
    </row>
    <row r="612">
      <c r="H612" s="8" t="s">
        <v>364</v>
      </c>
    </row>
    <row r="613">
      <c r="H613" s="8" t="s">
        <v>364</v>
      </c>
    </row>
    <row r="614">
      <c r="H614" s="8" t="s">
        <v>364</v>
      </c>
    </row>
    <row r="615">
      <c r="H615" s="8" t="s">
        <v>364</v>
      </c>
    </row>
    <row r="616">
      <c r="H616" s="8" t="s">
        <v>364</v>
      </c>
    </row>
    <row r="617">
      <c r="H617" s="8" t="s">
        <v>364</v>
      </c>
    </row>
    <row r="618">
      <c r="H618" s="8" t="s">
        <v>364</v>
      </c>
    </row>
    <row r="619">
      <c r="H619" s="8" t="s">
        <v>364</v>
      </c>
    </row>
    <row r="620">
      <c r="H620" s="8" t="s">
        <v>364</v>
      </c>
    </row>
    <row r="621">
      <c r="H621" s="8" t="s">
        <v>364</v>
      </c>
    </row>
    <row r="622">
      <c r="H622" s="8" t="s">
        <v>364</v>
      </c>
    </row>
    <row r="623">
      <c r="H623" s="8" t="s">
        <v>364</v>
      </c>
    </row>
    <row r="624">
      <c r="H624" s="8" t="s">
        <v>364</v>
      </c>
    </row>
    <row r="625">
      <c r="H625" s="8" t="s">
        <v>364</v>
      </c>
    </row>
    <row r="626">
      <c r="H626" s="8" t="s">
        <v>364</v>
      </c>
    </row>
    <row r="627">
      <c r="H627" s="8" t="s">
        <v>364</v>
      </c>
    </row>
    <row r="628">
      <c r="H628" s="8" t="s">
        <v>364</v>
      </c>
    </row>
    <row r="629">
      <c r="H629" s="8" t="s">
        <v>364</v>
      </c>
    </row>
    <row r="630">
      <c r="H630" s="8" t="s">
        <v>364</v>
      </c>
    </row>
    <row r="631">
      <c r="H631" s="8" t="s">
        <v>364</v>
      </c>
    </row>
    <row r="632">
      <c r="H632" s="8" t="s">
        <v>364</v>
      </c>
    </row>
    <row r="633">
      <c r="H633" s="8" t="s">
        <v>364</v>
      </c>
    </row>
    <row r="634">
      <c r="H634" s="8" t="s">
        <v>364</v>
      </c>
    </row>
    <row r="635">
      <c r="H635" s="8" t="s">
        <v>364</v>
      </c>
    </row>
    <row r="636">
      <c r="H636" s="8" t="s">
        <v>364</v>
      </c>
    </row>
    <row r="637">
      <c r="H637" s="8" t="s">
        <v>364</v>
      </c>
    </row>
    <row r="638">
      <c r="H638" s="8" t="s">
        <v>364</v>
      </c>
    </row>
    <row r="639">
      <c r="H639" s="8" t="s">
        <v>364</v>
      </c>
    </row>
    <row r="640">
      <c r="H640" s="8" t="s">
        <v>364</v>
      </c>
    </row>
    <row r="641">
      <c r="H641" s="8" t="s">
        <v>364</v>
      </c>
    </row>
    <row r="642">
      <c r="H642" s="8" t="s">
        <v>364</v>
      </c>
    </row>
    <row r="643">
      <c r="H643" s="8" t="s">
        <v>364</v>
      </c>
    </row>
    <row r="644">
      <c r="H644" s="8" t="s">
        <v>364</v>
      </c>
    </row>
    <row r="645">
      <c r="H645" s="8" t="s">
        <v>364</v>
      </c>
    </row>
    <row r="646">
      <c r="H646" s="8" t="s">
        <v>364</v>
      </c>
    </row>
    <row r="647">
      <c r="H647" s="8" t="s">
        <v>364</v>
      </c>
    </row>
    <row r="648">
      <c r="H648" s="8" t="s">
        <v>364</v>
      </c>
    </row>
    <row r="649">
      <c r="H649" s="8" t="s">
        <v>364</v>
      </c>
    </row>
    <row r="650">
      <c r="H650" s="8" t="s">
        <v>364</v>
      </c>
    </row>
    <row r="651">
      <c r="H651" s="8" t="s">
        <v>364</v>
      </c>
    </row>
    <row r="652">
      <c r="H652" s="8" t="s">
        <v>364</v>
      </c>
    </row>
    <row r="653">
      <c r="H653" s="8" t="s">
        <v>364</v>
      </c>
    </row>
    <row r="654">
      <c r="H654" s="8" t="s">
        <v>364</v>
      </c>
    </row>
    <row r="655">
      <c r="H655" s="8" t="s">
        <v>364</v>
      </c>
    </row>
    <row r="656">
      <c r="H656" s="8" t="s">
        <v>364</v>
      </c>
    </row>
    <row r="657">
      <c r="H657" s="8" t="s">
        <v>364</v>
      </c>
    </row>
    <row r="658">
      <c r="H658" s="8" t="s">
        <v>364</v>
      </c>
    </row>
    <row r="659">
      <c r="H659" s="8" t="s">
        <v>364</v>
      </c>
    </row>
    <row r="660">
      <c r="H660" s="8" t="s">
        <v>364</v>
      </c>
    </row>
    <row r="661">
      <c r="H661" s="8" t="s">
        <v>364</v>
      </c>
    </row>
    <row r="662">
      <c r="H662" s="8" t="s">
        <v>364</v>
      </c>
    </row>
    <row r="663">
      <c r="H663" s="8" t="s">
        <v>364</v>
      </c>
    </row>
    <row r="664">
      <c r="H664" s="8" t="s">
        <v>364</v>
      </c>
    </row>
    <row r="665">
      <c r="H665" s="8" t="s">
        <v>364</v>
      </c>
    </row>
    <row r="666">
      <c r="H666" s="8" t="s">
        <v>364</v>
      </c>
    </row>
    <row r="667">
      <c r="H667" s="8" t="s">
        <v>364</v>
      </c>
    </row>
    <row r="668">
      <c r="H668" s="8" t="s">
        <v>364</v>
      </c>
    </row>
    <row r="669">
      <c r="H669" s="8" t="s">
        <v>364</v>
      </c>
    </row>
    <row r="670">
      <c r="H670" s="8" t="s">
        <v>364</v>
      </c>
    </row>
    <row r="671">
      <c r="H671" s="8" t="s">
        <v>364</v>
      </c>
    </row>
    <row r="672">
      <c r="H672" s="8" t="s">
        <v>364</v>
      </c>
    </row>
    <row r="673">
      <c r="H673" s="8" t="s">
        <v>364</v>
      </c>
    </row>
    <row r="674">
      <c r="H674" s="8" t="s">
        <v>364</v>
      </c>
    </row>
    <row r="675">
      <c r="H675" s="8" t="s">
        <v>364</v>
      </c>
    </row>
    <row r="676">
      <c r="H676" s="8" t="s">
        <v>364</v>
      </c>
    </row>
    <row r="677">
      <c r="H677" s="8" t="s">
        <v>364</v>
      </c>
    </row>
    <row r="678">
      <c r="H678" s="8" t="s">
        <v>364</v>
      </c>
    </row>
    <row r="679">
      <c r="H679" s="8" t="s">
        <v>364</v>
      </c>
    </row>
    <row r="680">
      <c r="H680" s="8" t="s">
        <v>364</v>
      </c>
    </row>
    <row r="681">
      <c r="H681" s="8" t="s">
        <v>364</v>
      </c>
    </row>
    <row r="682">
      <c r="H682" s="8" t="s">
        <v>364</v>
      </c>
    </row>
    <row r="683">
      <c r="H683" s="8" t="s">
        <v>364</v>
      </c>
    </row>
    <row r="684">
      <c r="H684" s="8" t="s">
        <v>364</v>
      </c>
    </row>
    <row r="685">
      <c r="H685" s="8" t="s">
        <v>364</v>
      </c>
    </row>
    <row r="686">
      <c r="H686" s="8" t="s">
        <v>364</v>
      </c>
    </row>
    <row r="687">
      <c r="H687" s="8" t="s">
        <v>364</v>
      </c>
    </row>
    <row r="688">
      <c r="H688" s="8" t="s">
        <v>364</v>
      </c>
    </row>
    <row r="689">
      <c r="H689" s="8" t="s">
        <v>364</v>
      </c>
    </row>
    <row r="690">
      <c r="H690" s="8" t="s">
        <v>364</v>
      </c>
    </row>
    <row r="691">
      <c r="H691" s="8" t="s">
        <v>364</v>
      </c>
    </row>
    <row r="692">
      <c r="H692" s="8" t="s">
        <v>364</v>
      </c>
    </row>
    <row r="693">
      <c r="H693" s="8" t="s">
        <v>364</v>
      </c>
    </row>
    <row r="694">
      <c r="H694" s="8" t="s">
        <v>364</v>
      </c>
    </row>
    <row r="695">
      <c r="H695" s="8" t="s">
        <v>364</v>
      </c>
    </row>
    <row r="696">
      <c r="H696" s="8" t="s">
        <v>364</v>
      </c>
    </row>
    <row r="697">
      <c r="H697" s="8" t="s">
        <v>364</v>
      </c>
    </row>
    <row r="698">
      <c r="H698" s="8" t="s">
        <v>364</v>
      </c>
    </row>
    <row r="699">
      <c r="H699" s="8" t="s">
        <v>364</v>
      </c>
    </row>
    <row r="700">
      <c r="H700" s="8" t="s">
        <v>364</v>
      </c>
    </row>
    <row r="701">
      <c r="H701" s="8" t="s">
        <v>364</v>
      </c>
    </row>
    <row r="702">
      <c r="H702" s="8" t="s">
        <v>364</v>
      </c>
    </row>
    <row r="703">
      <c r="H703" s="8" t="s">
        <v>364</v>
      </c>
    </row>
    <row r="704">
      <c r="H704" s="8" t="s">
        <v>364</v>
      </c>
    </row>
    <row r="705">
      <c r="H705" s="8" t="s">
        <v>364</v>
      </c>
    </row>
    <row r="706">
      <c r="H706" s="8" t="s">
        <v>364</v>
      </c>
    </row>
    <row r="707">
      <c r="H707" s="8" t="s">
        <v>364</v>
      </c>
    </row>
    <row r="708">
      <c r="H708" s="8" t="s">
        <v>364</v>
      </c>
    </row>
    <row r="709">
      <c r="H709" s="8" t="s">
        <v>364</v>
      </c>
    </row>
    <row r="710">
      <c r="H710" s="8" t="s">
        <v>364</v>
      </c>
    </row>
    <row r="711">
      <c r="H711" s="8" t="s">
        <v>364</v>
      </c>
    </row>
    <row r="712">
      <c r="H712" s="8" t="s">
        <v>364</v>
      </c>
    </row>
    <row r="713">
      <c r="H713" s="8" t="s">
        <v>364</v>
      </c>
    </row>
    <row r="714">
      <c r="H714" s="8" t="s">
        <v>364</v>
      </c>
    </row>
    <row r="715">
      <c r="H715" s="8" t="s">
        <v>364</v>
      </c>
    </row>
    <row r="716">
      <c r="H716" s="8" t="s">
        <v>364</v>
      </c>
    </row>
    <row r="717">
      <c r="H717" s="8" t="s">
        <v>364</v>
      </c>
    </row>
    <row r="718">
      <c r="H718" s="8" t="s">
        <v>364</v>
      </c>
    </row>
    <row r="719">
      <c r="H719" s="8" t="s">
        <v>364</v>
      </c>
    </row>
    <row r="720">
      <c r="H720" s="8" t="s">
        <v>364</v>
      </c>
    </row>
    <row r="721">
      <c r="H721" s="8" t="s">
        <v>364</v>
      </c>
    </row>
    <row r="722">
      <c r="H722" s="8" t="s">
        <v>364</v>
      </c>
    </row>
    <row r="723">
      <c r="H723" s="8" t="s">
        <v>364</v>
      </c>
    </row>
    <row r="724">
      <c r="H724" s="8" t="s">
        <v>364</v>
      </c>
    </row>
    <row r="725">
      <c r="H725" s="8" t="s">
        <v>364</v>
      </c>
    </row>
    <row r="726">
      <c r="H726" s="8" t="s">
        <v>364</v>
      </c>
    </row>
    <row r="727">
      <c r="H727" s="8" t="s">
        <v>364</v>
      </c>
    </row>
    <row r="728">
      <c r="H728" s="8" t="s">
        <v>364</v>
      </c>
    </row>
    <row r="729">
      <c r="H729" s="8" t="s">
        <v>364</v>
      </c>
    </row>
    <row r="730">
      <c r="H730" s="8" t="s">
        <v>364</v>
      </c>
    </row>
    <row r="731">
      <c r="H731" s="8" t="s">
        <v>364</v>
      </c>
    </row>
    <row r="732">
      <c r="H732" s="8" t="s">
        <v>364</v>
      </c>
    </row>
    <row r="733">
      <c r="H733" s="8" t="s">
        <v>364</v>
      </c>
    </row>
    <row r="734">
      <c r="H734" s="8" t="s">
        <v>364</v>
      </c>
    </row>
    <row r="735">
      <c r="H735" s="8" t="s">
        <v>364</v>
      </c>
    </row>
    <row r="736">
      <c r="H736" s="8" t="s">
        <v>364</v>
      </c>
    </row>
    <row r="737">
      <c r="H737" s="8" t="s">
        <v>364</v>
      </c>
    </row>
    <row r="738">
      <c r="H738" s="8" t="s">
        <v>364</v>
      </c>
    </row>
    <row r="739">
      <c r="H739" s="8" t="s">
        <v>364</v>
      </c>
    </row>
    <row r="740">
      <c r="H740" s="8" t="s">
        <v>364</v>
      </c>
    </row>
    <row r="741">
      <c r="H741" s="8" t="s">
        <v>364</v>
      </c>
    </row>
    <row r="742">
      <c r="H742" s="8" t="s">
        <v>364</v>
      </c>
    </row>
    <row r="743">
      <c r="H743" s="8" t="s">
        <v>364</v>
      </c>
    </row>
    <row r="744">
      <c r="H744" s="8" t="s">
        <v>364</v>
      </c>
    </row>
    <row r="745">
      <c r="H745" s="8" t="s">
        <v>364</v>
      </c>
    </row>
    <row r="746">
      <c r="H746" s="8" t="s">
        <v>364</v>
      </c>
    </row>
    <row r="747">
      <c r="H747" s="8" t="s">
        <v>364</v>
      </c>
    </row>
    <row r="748">
      <c r="H748" s="8" t="s">
        <v>364</v>
      </c>
    </row>
    <row r="749">
      <c r="H749" s="8" t="s">
        <v>364</v>
      </c>
    </row>
    <row r="750">
      <c r="H750" s="8" t="s">
        <v>364</v>
      </c>
    </row>
    <row r="751">
      <c r="H751" s="8" t="s">
        <v>364</v>
      </c>
    </row>
    <row r="752">
      <c r="H752" s="8" t="s">
        <v>364</v>
      </c>
    </row>
    <row r="753">
      <c r="H753" s="8" t="s">
        <v>364</v>
      </c>
    </row>
    <row r="754">
      <c r="H754" s="8" t="s">
        <v>364</v>
      </c>
    </row>
    <row r="755">
      <c r="H755" s="8" t="s">
        <v>364</v>
      </c>
    </row>
    <row r="756">
      <c r="H756" s="8" t="s">
        <v>364</v>
      </c>
    </row>
    <row r="757">
      <c r="H757" s="8" t="s">
        <v>364</v>
      </c>
    </row>
    <row r="758">
      <c r="H758" s="8" t="s">
        <v>364</v>
      </c>
    </row>
    <row r="759">
      <c r="H759" s="8" t="s">
        <v>364</v>
      </c>
    </row>
    <row r="760">
      <c r="H760" s="8" t="s">
        <v>364</v>
      </c>
    </row>
    <row r="761">
      <c r="H761" s="8" t="s">
        <v>364</v>
      </c>
    </row>
    <row r="762">
      <c r="H762" s="8" t="s">
        <v>364</v>
      </c>
    </row>
    <row r="763">
      <c r="H763" s="8" t="s">
        <v>364</v>
      </c>
    </row>
    <row r="764">
      <c r="H764" s="8" t="s">
        <v>364</v>
      </c>
    </row>
    <row r="765">
      <c r="H765" s="8" t="s">
        <v>364</v>
      </c>
    </row>
    <row r="766">
      <c r="H766" s="8" t="s">
        <v>364</v>
      </c>
    </row>
    <row r="767">
      <c r="H767" s="8" t="s">
        <v>364</v>
      </c>
    </row>
    <row r="768">
      <c r="H768" s="8" t="s">
        <v>364</v>
      </c>
    </row>
    <row r="769">
      <c r="H769" s="8" t="s">
        <v>364</v>
      </c>
    </row>
    <row r="770">
      <c r="H770" s="8" t="s">
        <v>364</v>
      </c>
    </row>
    <row r="771">
      <c r="H771" s="8" t="s">
        <v>364</v>
      </c>
    </row>
    <row r="772">
      <c r="H772" s="8" t="s">
        <v>364</v>
      </c>
    </row>
    <row r="773">
      <c r="H773" s="8" t="s">
        <v>364</v>
      </c>
    </row>
    <row r="774">
      <c r="H774" s="8" t="s">
        <v>364</v>
      </c>
    </row>
    <row r="775">
      <c r="H775" s="8" t="s">
        <v>364</v>
      </c>
    </row>
    <row r="776">
      <c r="H776" s="8" t="s">
        <v>364</v>
      </c>
    </row>
    <row r="777">
      <c r="H777" s="8" t="s">
        <v>364</v>
      </c>
    </row>
    <row r="778">
      <c r="H778" s="8" t="s">
        <v>364</v>
      </c>
    </row>
    <row r="779">
      <c r="H779" s="8" t="s">
        <v>364</v>
      </c>
    </row>
    <row r="780">
      <c r="H780" s="8" t="s">
        <v>364</v>
      </c>
    </row>
    <row r="781">
      <c r="H781" s="8" t="s">
        <v>364</v>
      </c>
    </row>
    <row r="782">
      <c r="H782" s="8" t="s">
        <v>364</v>
      </c>
    </row>
    <row r="783">
      <c r="H783" s="8" t="s">
        <v>364</v>
      </c>
    </row>
    <row r="784">
      <c r="H784" s="8" t="s">
        <v>364</v>
      </c>
    </row>
    <row r="785">
      <c r="H785" s="8" t="s">
        <v>364</v>
      </c>
    </row>
    <row r="786">
      <c r="H786" s="8" t="s">
        <v>364</v>
      </c>
    </row>
    <row r="787">
      <c r="H787" s="8" t="s">
        <v>364</v>
      </c>
    </row>
    <row r="788">
      <c r="H788" s="8" t="s">
        <v>364</v>
      </c>
    </row>
    <row r="789">
      <c r="H789" s="8" t="s">
        <v>364</v>
      </c>
    </row>
    <row r="790">
      <c r="H790" s="8" t="s">
        <v>364</v>
      </c>
    </row>
    <row r="791">
      <c r="H791" s="8" t="s">
        <v>364</v>
      </c>
    </row>
    <row r="792">
      <c r="H792" s="8" t="s">
        <v>364</v>
      </c>
    </row>
    <row r="793">
      <c r="H793" s="8" t="s">
        <v>364</v>
      </c>
    </row>
    <row r="794">
      <c r="H794" s="8" t="s">
        <v>364</v>
      </c>
    </row>
    <row r="795">
      <c r="H795" s="8" t="s">
        <v>364</v>
      </c>
    </row>
    <row r="796">
      <c r="H796" s="8" t="s">
        <v>364</v>
      </c>
    </row>
    <row r="797">
      <c r="H797" s="8" t="s">
        <v>364</v>
      </c>
    </row>
    <row r="798">
      <c r="H798" s="8" t="s">
        <v>364</v>
      </c>
    </row>
    <row r="799">
      <c r="H799" s="8" t="s">
        <v>364</v>
      </c>
    </row>
    <row r="800">
      <c r="H800" s="8" t="s">
        <v>364</v>
      </c>
    </row>
    <row r="801">
      <c r="H801" s="8" t="s">
        <v>364</v>
      </c>
    </row>
    <row r="802">
      <c r="H802" s="8" t="s">
        <v>364</v>
      </c>
    </row>
    <row r="803">
      <c r="H803" s="8" t="s">
        <v>364</v>
      </c>
    </row>
    <row r="804">
      <c r="H804" s="8" t="s">
        <v>364</v>
      </c>
    </row>
    <row r="805">
      <c r="H805" s="8" t="s">
        <v>364</v>
      </c>
    </row>
    <row r="806">
      <c r="H806" s="8" t="s">
        <v>364</v>
      </c>
    </row>
    <row r="807">
      <c r="H807" s="8" t="s">
        <v>364</v>
      </c>
    </row>
    <row r="808">
      <c r="H808" s="8" t="s">
        <v>364</v>
      </c>
    </row>
    <row r="809">
      <c r="H809" s="8" t="s">
        <v>364</v>
      </c>
    </row>
    <row r="810">
      <c r="H810" s="8" t="s">
        <v>364</v>
      </c>
    </row>
    <row r="811">
      <c r="H811" s="8" t="s">
        <v>364</v>
      </c>
    </row>
    <row r="812">
      <c r="H812" s="8" t="s">
        <v>364</v>
      </c>
    </row>
    <row r="813">
      <c r="H813" s="8" t="s">
        <v>364</v>
      </c>
    </row>
    <row r="814">
      <c r="H814" s="8" t="s">
        <v>364</v>
      </c>
    </row>
    <row r="815">
      <c r="H815" s="8" t="s">
        <v>364</v>
      </c>
    </row>
    <row r="816">
      <c r="H816" s="8" t="s">
        <v>364</v>
      </c>
    </row>
    <row r="817">
      <c r="H817" s="8" t="s">
        <v>364</v>
      </c>
    </row>
    <row r="818">
      <c r="H818" s="8" t="s">
        <v>364</v>
      </c>
    </row>
    <row r="819">
      <c r="H819" s="8" t="s">
        <v>364</v>
      </c>
    </row>
    <row r="820">
      <c r="H820" s="8" t="s">
        <v>364</v>
      </c>
    </row>
    <row r="821">
      <c r="H821" s="8" t="s">
        <v>364</v>
      </c>
    </row>
    <row r="822">
      <c r="H822" s="8" t="s">
        <v>364</v>
      </c>
    </row>
    <row r="823">
      <c r="H823" s="8" t="s">
        <v>364</v>
      </c>
    </row>
    <row r="824">
      <c r="H824" s="8" t="s">
        <v>364</v>
      </c>
    </row>
    <row r="825">
      <c r="H825" s="8" t="s">
        <v>364</v>
      </c>
    </row>
    <row r="826">
      <c r="H826" s="8" t="s">
        <v>364</v>
      </c>
    </row>
    <row r="827">
      <c r="H827" s="8" t="s">
        <v>364</v>
      </c>
    </row>
    <row r="828">
      <c r="H828" s="8" t="s">
        <v>364</v>
      </c>
    </row>
    <row r="829">
      <c r="H829" s="8" t="s">
        <v>364</v>
      </c>
    </row>
    <row r="830">
      <c r="H830" s="8" t="s">
        <v>364</v>
      </c>
    </row>
    <row r="831">
      <c r="H831" s="8" t="s">
        <v>364</v>
      </c>
    </row>
    <row r="832">
      <c r="H832" s="8" t="s">
        <v>364</v>
      </c>
    </row>
    <row r="833">
      <c r="H833" s="8" t="s">
        <v>364</v>
      </c>
    </row>
    <row r="834">
      <c r="H834" s="8" t="s">
        <v>364</v>
      </c>
    </row>
    <row r="835">
      <c r="H835" s="8" t="s">
        <v>364</v>
      </c>
    </row>
    <row r="836">
      <c r="H836" s="8" t="s">
        <v>364</v>
      </c>
    </row>
    <row r="837">
      <c r="H837" s="8" t="s">
        <v>364</v>
      </c>
    </row>
    <row r="838">
      <c r="H838" s="8" t="s">
        <v>364</v>
      </c>
    </row>
    <row r="839">
      <c r="H839" s="8" t="s">
        <v>364</v>
      </c>
    </row>
    <row r="840">
      <c r="H840" s="8" t="s">
        <v>364</v>
      </c>
    </row>
    <row r="841">
      <c r="H841" s="8" t="s">
        <v>364</v>
      </c>
    </row>
    <row r="842">
      <c r="H842" s="8" t="s">
        <v>364</v>
      </c>
    </row>
    <row r="843">
      <c r="H843" s="8" t="s">
        <v>364</v>
      </c>
    </row>
    <row r="844">
      <c r="H844" s="8" t="s">
        <v>364</v>
      </c>
    </row>
    <row r="845">
      <c r="H845" s="8" t="s">
        <v>364</v>
      </c>
    </row>
    <row r="846">
      <c r="H846" s="8" t="s">
        <v>364</v>
      </c>
    </row>
    <row r="847">
      <c r="H847" s="8" t="s">
        <v>364</v>
      </c>
    </row>
    <row r="848">
      <c r="H848" s="8" t="s">
        <v>364</v>
      </c>
    </row>
    <row r="849">
      <c r="H849" s="8" t="s">
        <v>364</v>
      </c>
    </row>
    <row r="850">
      <c r="H850" s="8" t="s">
        <v>364</v>
      </c>
    </row>
    <row r="851">
      <c r="H851" s="8" t="s">
        <v>364</v>
      </c>
    </row>
    <row r="852">
      <c r="H852" s="8" t="s">
        <v>364</v>
      </c>
    </row>
    <row r="853">
      <c r="H853" s="8" t="s">
        <v>364</v>
      </c>
    </row>
    <row r="854">
      <c r="H854" s="8" t="s">
        <v>364</v>
      </c>
    </row>
    <row r="855">
      <c r="H855" s="8" t="s">
        <v>364</v>
      </c>
    </row>
    <row r="856">
      <c r="H856" s="8" t="s">
        <v>364</v>
      </c>
    </row>
    <row r="857">
      <c r="H857" s="8" t="s">
        <v>364</v>
      </c>
    </row>
    <row r="858">
      <c r="H858" s="8" t="s">
        <v>364</v>
      </c>
    </row>
    <row r="859">
      <c r="H859" s="8" t="s">
        <v>364</v>
      </c>
    </row>
    <row r="860">
      <c r="H860" s="8" t="s">
        <v>364</v>
      </c>
    </row>
    <row r="861">
      <c r="H861" s="8" t="s">
        <v>364</v>
      </c>
    </row>
    <row r="862">
      <c r="H862" s="8" t="s">
        <v>364</v>
      </c>
    </row>
    <row r="863">
      <c r="H863" s="8" t="s">
        <v>364</v>
      </c>
    </row>
    <row r="864">
      <c r="H864" s="8" t="s">
        <v>364</v>
      </c>
    </row>
    <row r="865">
      <c r="H865" s="8" t="s">
        <v>364</v>
      </c>
    </row>
    <row r="866">
      <c r="H866" s="8" t="s">
        <v>364</v>
      </c>
    </row>
    <row r="867">
      <c r="H867" s="8" t="s">
        <v>364</v>
      </c>
    </row>
    <row r="868">
      <c r="H868" s="8" t="s">
        <v>364</v>
      </c>
    </row>
    <row r="869">
      <c r="H869" s="8" t="s">
        <v>364</v>
      </c>
    </row>
    <row r="870">
      <c r="H870" s="8" t="s">
        <v>364</v>
      </c>
    </row>
    <row r="871">
      <c r="H871" s="8" t="s">
        <v>364</v>
      </c>
    </row>
    <row r="872">
      <c r="H872" s="8" t="s">
        <v>364</v>
      </c>
    </row>
    <row r="873">
      <c r="H873" s="8" t="s">
        <v>364</v>
      </c>
    </row>
    <row r="874">
      <c r="H874" s="8" t="s">
        <v>364</v>
      </c>
    </row>
    <row r="875">
      <c r="H875" s="8" t="s">
        <v>364</v>
      </c>
    </row>
    <row r="876">
      <c r="H876" s="8" t="s">
        <v>364</v>
      </c>
    </row>
    <row r="877">
      <c r="H877" s="8" t="s">
        <v>364</v>
      </c>
    </row>
    <row r="878">
      <c r="H878" s="8" t="s">
        <v>364</v>
      </c>
    </row>
    <row r="879">
      <c r="H879" s="8" t="s">
        <v>364</v>
      </c>
    </row>
    <row r="880">
      <c r="H880" s="8" t="s">
        <v>364</v>
      </c>
    </row>
    <row r="881">
      <c r="H881" s="8" t="s">
        <v>364</v>
      </c>
    </row>
    <row r="882">
      <c r="H882" s="8" t="s">
        <v>364</v>
      </c>
    </row>
    <row r="883">
      <c r="H883" s="8" t="s">
        <v>364</v>
      </c>
    </row>
    <row r="884">
      <c r="H884" s="8" t="s">
        <v>364</v>
      </c>
    </row>
    <row r="885">
      <c r="H885" s="8" t="s">
        <v>364</v>
      </c>
    </row>
    <row r="886">
      <c r="H886" s="8" t="s">
        <v>364</v>
      </c>
    </row>
    <row r="887">
      <c r="H887" s="8" t="s">
        <v>364</v>
      </c>
    </row>
    <row r="888">
      <c r="H888" s="8" t="s">
        <v>364</v>
      </c>
    </row>
    <row r="889">
      <c r="H889" s="8" t="s">
        <v>364</v>
      </c>
    </row>
    <row r="890">
      <c r="H890" s="8" t="s">
        <v>364</v>
      </c>
    </row>
    <row r="891">
      <c r="H891" s="8" t="s">
        <v>364</v>
      </c>
    </row>
    <row r="892">
      <c r="H892" s="8" t="s">
        <v>364</v>
      </c>
    </row>
    <row r="893">
      <c r="H893" s="8" t="s">
        <v>364</v>
      </c>
    </row>
    <row r="894">
      <c r="H894" s="8" t="s">
        <v>364</v>
      </c>
    </row>
    <row r="895">
      <c r="H895" s="8" t="s">
        <v>364</v>
      </c>
    </row>
    <row r="896">
      <c r="H896" s="8" t="s">
        <v>364</v>
      </c>
    </row>
    <row r="897">
      <c r="H897" s="8" t="s">
        <v>364</v>
      </c>
    </row>
    <row r="898">
      <c r="H898" s="8" t="s">
        <v>364</v>
      </c>
    </row>
    <row r="899">
      <c r="H899" s="8" t="s">
        <v>364</v>
      </c>
    </row>
    <row r="900">
      <c r="H900" s="8" t="s">
        <v>364</v>
      </c>
    </row>
    <row r="901">
      <c r="H901" s="8" t="s">
        <v>364</v>
      </c>
    </row>
    <row r="902">
      <c r="H902" s="8" t="s">
        <v>364</v>
      </c>
    </row>
    <row r="903">
      <c r="H903" s="8" t="s">
        <v>364</v>
      </c>
    </row>
    <row r="904">
      <c r="H904" s="8" t="s">
        <v>364</v>
      </c>
    </row>
    <row r="905">
      <c r="H905" s="8" t="s">
        <v>364</v>
      </c>
    </row>
    <row r="906">
      <c r="H906" s="8" t="s">
        <v>364</v>
      </c>
    </row>
    <row r="907">
      <c r="H907" s="8" t="s">
        <v>364</v>
      </c>
    </row>
    <row r="908">
      <c r="H908" s="8" t="s">
        <v>364</v>
      </c>
    </row>
    <row r="909">
      <c r="H909" s="8" t="s">
        <v>364</v>
      </c>
    </row>
    <row r="910">
      <c r="H910" s="8" t="s">
        <v>364</v>
      </c>
    </row>
    <row r="911">
      <c r="H911" s="8" t="s">
        <v>364</v>
      </c>
    </row>
    <row r="912">
      <c r="H912" s="8" t="s">
        <v>364</v>
      </c>
    </row>
    <row r="913">
      <c r="H913" s="8" t="s">
        <v>364</v>
      </c>
    </row>
    <row r="914">
      <c r="H914" s="8" t="s">
        <v>364</v>
      </c>
    </row>
    <row r="915">
      <c r="H915" s="8" t="s">
        <v>364</v>
      </c>
    </row>
    <row r="916">
      <c r="H916" s="8" t="s">
        <v>364</v>
      </c>
    </row>
    <row r="917">
      <c r="H917" s="8" t="s">
        <v>364</v>
      </c>
    </row>
    <row r="918">
      <c r="H918" s="8" t="s">
        <v>364</v>
      </c>
    </row>
    <row r="919">
      <c r="H919" s="8" t="s">
        <v>364</v>
      </c>
    </row>
    <row r="920">
      <c r="H920" s="8" t="s">
        <v>364</v>
      </c>
    </row>
    <row r="921">
      <c r="H921" s="8" t="s">
        <v>364</v>
      </c>
    </row>
    <row r="922">
      <c r="H922" s="8" t="s">
        <v>364</v>
      </c>
    </row>
    <row r="923">
      <c r="H923" s="8" t="s">
        <v>364</v>
      </c>
    </row>
    <row r="924">
      <c r="H924" s="8" t="s">
        <v>364</v>
      </c>
    </row>
    <row r="925">
      <c r="H925" s="8" t="s">
        <v>364</v>
      </c>
    </row>
    <row r="926">
      <c r="H926" s="8" t="s">
        <v>364</v>
      </c>
    </row>
    <row r="927">
      <c r="H927" s="8" t="s">
        <v>364</v>
      </c>
    </row>
    <row r="928">
      <c r="H928" s="8" t="s">
        <v>364</v>
      </c>
    </row>
    <row r="929">
      <c r="H929" s="8" t="s">
        <v>364</v>
      </c>
    </row>
    <row r="930">
      <c r="H930" s="8" t="s">
        <v>364</v>
      </c>
    </row>
    <row r="931">
      <c r="H931" s="8" t="s">
        <v>364</v>
      </c>
    </row>
    <row r="932">
      <c r="H932" s="8" t="s">
        <v>364</v>
      </c>
    </row>
    <row r="933">
      <c r="H933" s="8" t="s">
        <v>364</v>
      </c>
    </row>
    <row r="934">
      <c r="H934" s="8" t="s">
        <v>364</v>
      </c>
    </row>
    <row r="935">
      <c r="H935" s="8" t="s">
        <v>364</v>
      </c>
    </row>
    <row r="936">
      <c r="H936" s="8" t="s">
        <v>364</v>
      </c>
    </row>
    <row r="937">
      <c r="H937" s="8" t="s">
        <v>364</v>
      </c>
    </row>
    <row r="938">
      <c r="H938" s="8" t="s">
        <v>364</v>
      </c>
    </row>
    <row r="939">
      <c r="H939" s="8" t="s">
        <v>364</v>
      </c>
    </row>
    <row r="940">
      <c r="H940" s="8" t="s">
        <v>364</v>
      </c>
    </row>
    <row r="941">
      <c r="H941" s="8" t="s">
        <v>364</v>
      </c>
    </row>
    <row r="942">
      <c r="H942" s="8" t="s">
        <v>364</v>
      </c>
    </row>
    <row r="943">
      <c r="H943" s="8" t="s">
        <v>364</v>
      </c>
    </row>
    <row r="944">
      <c r="H944" s="8" t="s">
        <v>364</v>
      </c>
    </row>
    <row r="945">
      <c r="H945" s="8" t="s">
        <v>364</v>
      </c>
    </row>
    <row r="946">
      <c r="H946" s="8" t="s">
        <v>364</v>
      </c>
    </row>
    <row r="947">
      <c r="H947" s="8" t="s">
        <v>364</v>
      </c>
    </row>
    <row r="948">
      <c r="H948" s="8" t="s">
        <v>364</v>
      </c>
    </row>
    <row r="949">
      <c r="H949" s="8" t="s">
        <v>364</v>
      </c>
    </row>
    <row r="950">
      <c r="H950" s="8" t="s">
        <v>364</v>
      </c>
    </row>
    <row r="951">
      <c r="H951" s="8" t="s">
        <v>364</v>
      </c>
    </row>
    <row r="952">
      <c r="H952" s="8" t="s">
        <v>364</v>
      </c>
    </row>
    <row r="953">
      <c r="H953" s="8" t="s">
        <v>364</v>
      </c>
    </row>
    <row r="954">
      <c r="H954" s="8" t="s">
        <v>364</v>
      </c>
    </row>
    <row r="955">
      <c r="H955" s="8" t="s">
        <v>364</v>
      </c>
    </row>
    <row r="956">
      <c r="H956" s="8" t="s">
        <v>364</v>
      </c>
    </row>
    <row r="957">
      <c r="H957" s="8" t="s">
        <v>364</v>
      </c>
    </row>
    <row r="958">
      <c r="H958" s="8" t="s">
        <v>364</v>
      </c>
    </row>
    <row r="959">
      <c r="H959" s="8" t="s">
        <v>364</v>
      </c>
    </row>
    <row r="960">
      <c r="H960" s="8" t="s">
        <v>364</v>
      </c>
    </row>
    <row r="961">
      <c r="H961" s="8" t="s">
        <v>364</v>
      </c>
    </row>
    <row r="962">
      <c r="H962" s="8" t="s">
        <v>364</v>
      </c>
    </row>
    <row r="963">
      <c r="H963" s="8" t="s">
        <v>364</v>
      </c>
    </row>
    <row r="964">
      <c r="H964" s="8" t="s">
        <v>364</v>
      </c>
    </row>
    <row r="965">
      <c r="H965" s="8" t="s">
        <v>364</v>
      </c>
    </row>
    <row r="966">
      <c r="H966" s="8" t="s">
        <v>364</v>
      </c>
    </row>
    <row r="967">
      <c r="H967" s="8" t="s">
        <v>364</v>
      </c>
    </row>
    <row r="968">
      <c r="H968" s="8" t="s">
        <v>364</v>
      </c>
    </row>
    <row r="969">
      <c r="H969" s="8" t="s">
        <v>364</v>
      </c>
    </row>
    <row r="970">
      <c r="H970" s="8" t="s">
        <v>364</v>
      </c>
    </row>
    <row r="971">
      <c r="H971" s="8" t="s">
        <v>364</v>
      </c>
    </row>
    <row r="972">
      <c r="H972" s="8" t="s">
        <v>364</v>
      </c>
    </row>
    <row r="973">
      <c r="H973" s="8" t="s">
        <v>364</v>
      </c>
    </row>
    <row r="974">
      <c r="H974" s="8" t="s">
        <v>364</v>
      </c>
    </row>
    <row r="975">
      <c r="H975" s="8" t="s">
        <v>364</v>
      </c>
    </row>
    <row r="976">
      <c r="H976" s="8" t="s">
        <v>364</v>
      </c>
    </row>
    <row r="977">
      <c r="H977" s="8" t="s">
        <v>364</v>
      </c>
    </row>
    <row r="978">
      <c r="H978" s="8" t="s">
        <v>364</v>
      </c>
    </row>
    <row r="979">
      <c r="H979" s="8" t="s">
        <v>364</v>
      </c>
    </row>
    <row r="980">
      <c r="H980" s="8" t="s">
        <v>364</v>
      </c>
    </row>
    <row r="981">
      <c r="H981" s="8" t="s">
        <v>364</v>
      </c>
    </row>
    <row r="982">
      <c r="H982" s="8" t="s">
        <v>364</v>
      </c>
    </row>
    <row r="983">
      <c r="H983" s="8" t="s">
        <v>364</v>
      </c>
    </row>
    <row r="984">
      <c r="H984" s="8" t="s">
        <v>364</v>
      </c>
    </row>
    <row r="985">
      <c r="H985" s="8" t="s">
        <v>364</v>
      </c>
    </row>
    <row r="986">
      <c r="H986" s="8" t="s">
        <v>364</v>
      </c>
    </row>
    <row r="987">
      <c r="H987" s="8" t="s">
        <v>364</v>
      </c>
    </row>
    <row r="988">
      <c r="H988" s="8" t="s">
        <v>364</v>
      </c>
    </row>
    <row r="989">
      <c r="H989" s="8" t="s">
        <v>364</v>
      </c>
    </row>
    <row r="990">
      <c r="H990" s="8" t="s">
        <v>364</v>
      </c>
    </row>
    <row r="991">
      <c r="H991" s="8" t="s">
        <v>364</v>
      </c>
    </row>
    <row r="992">
      <c r="H992" s="8" t="s">
        <v>364</v>
      </c>
    </row>
    <row r="993">
      <c r="H993" s="8" t="s">
        <v>364</v>
      </c>
    </row>
    <row r="994">
      <c r="H994" s="8" t="s">
        <v>364</v>
      </c>
    </row>
    <row r="995">
      <c r="H995" s="8" t="s">
        <v>364</v>
      </c>
    </row>
    <row r="996">
      <c r="H996" s="8" t="s">
        <v>364</v>
      </c>
    </row>
    <row r="997">
      <c r="H997" s="8" t="s">
        <v>364</v>
      </c>
    </row>
    <row r="998">
      <c r="H998" s="8" t="s">
        <v>364</v>
      </c>
    </row>
    <row r="999">
      <c r="H999" s="8" t="s">
        <v>364</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16.13"/>
    <col customWidth="1" min="3" max="3" width="37.63"/>
    <col customWidth="1" min="4" max="4" width="25.25"/>
    <col customWidth="1" min="5" max="5" width="37.63"/>
    <col customWidth="1" min="6" max="6" width="26.13"/>
    <col customWidth="1" min="7" max="8" width="26.25"/>
    <col customWidth="1" min="9" max="10" width="37.63"/>
    <col customWidth="1" min="13" max="13" width="18.0"/>
    <col customWidth="1" min="14" max="14" width="12.88"/>
    <col customWidth="1" min="15" max="15" width="37.63"/>
    <col customWidth="1" min="20" max="20" width="17.0"/>
    <col customWidth="1" min="21" max="21" width="13.88"/>
  </cols>
  <sheetData>
    <row r="1" ht="22.5" customHeight="1">
      <c r="A1" s="1" t="s">
        <v>0</v>
      </c>
      <c r="B1" s="1" t="s">
        <v>1</v>
      </c>
      <c r="C1" s="1" t="s">
        <v>2</v>
      </c>
      <c r="D1" s="1" t="s">
        <v>3</v>
      </c>
      <c r="E1" s="1" t="s">
        <v>4</v>
      </c>
      <c r="F1" s="1" t="s">
        <v>5</v>
      </c>
      <c r="G1" s="1" t="s">
        <v>6</v>
      </c>
      <c r="H1" s="1" t="s">
        <v>7</v>
      </c>
      <c r="I1" s="1" t="s">
        <v>8</v>
      </c>
      <c r="J1" s="1" t="s">
        <v>9</v>
      </c>
      <c r="M1" s="1" t="s">
        <v>10</v>
      </c>
      <c r="N1" s="1" t="s">
        <v>11</v>
      </c>
      <c r="O1" s="1" t="s">
        <v>12</v>
      </c>
      <c r="P1" s="1" t="s">
        <v>13</v>
      </c>
      <c r="Q1" s="1" t="s">
        <v>14</v>
      </c>
      <c r="R1" s="1" t="s">
        <v>15</v>
      </c>
      <c r="S1" s="1" t="s">
        <v>16</v>
      </c>
      <c r="T1" s="1" t="s">
        <v>17</v>
      </c>
      <c r="U1" s="1" t="s">
        <v>18</v>
      </c>
      <c r="V1" s="1" t="s">
        <v>19</v>
      </c>
    </row>
    <row r="2" ht="22.5" customHeight="1">
      <c r="A2" s="2" t="s">
        <v>906</v>
      </c>
      <c r="B2" s="3">
        <v>1.0</v>
      </c>
      <c r="C2" s="4" t="s">
        <v>21</v>
      </c>
      <c r="D2" s="4" t="s">
        <v>907</v>
      </c>
      <c r="E2" s="4" t="s">
        <v>908</v>
      </c>
      <c r="F2" s="4" t="s">
        <v>909</v>
      </c>
      <c r="G2" s="4" t="s">
        <v>910</v>
      </c>
      <c r="H2" s="4" t="str">
        <f t="array" ref="H2:H1000">TRIM("(A) " &amp; D2:D1000 &amp; " (B) " &amp; E2:E1000 &amp; " (C) " &amp; F2:F1000 &amp; " (D) " &amp; G2:G1000)</f>
        <v>(A) A gymnastics competition. (B) A badminton match. (C) A Sepak Takraw match. (D) A soccer game.</v>
      </c>
      <c r="I2" s="4" t="s">
        <v>909</v>
      </c>
      <c r="J2" s="4" t="s">
        <v>911</v>
      </c>
      <c r="M2" s="4" t="s">
        <v>906</v>
      </c>
      <c r="N2" s="5">
        <v>1.0</v>
      </c>
      <c r="O2" s="4" t="str">
        <f>IFERROR(__xludf.DUMMYFUNCTION("GOOGLETRANSLATE(C2,""en"",""th"")"),"ภาพที่แสดงเป็นกิจกรรมหลักอะไร?")</f>
        <v>ภาพที่แสดงเป็นกิจกรรมหลักอะไร?</v>
      </c>
      <c r="P2" s="4" t="str">
        <f>IFERROR(__xludf.DUMMYFUNCTION("GOOGLETRANSLATE(D2,""en"",""th"")"),"การแข่งขันยิมนาสติก")</f>
        <v>การแข่งขันยิมนาสติก</v>
      </c>
      <c r="Q2" s="4" t="str">
        <f>IFERROR(__xludf.DUMMYFUNCTION("GOOGLETRANSLATE(E2,""en"",""th"")"),"การแข่งขันแบดมินตัน")</f>
        <v>การแข่งขันแบดมินตัน</v>
      </c>
      <c r="R2" s="4" t="str">
        <f>IFERROR(__xludf.DUMMYFUNCTION("GOOGLETRANSLATE(F2,""en"",""th"")"),"การแข่งขันตะกร้อเซปักตะกร้อ")</f>
        <v>การแข่งขันตะกร้อเซปักตะกร้อ</v>
      </c>
      <c r="S2" s="4" t="str">
        <f>IFERROR(__xludf.DUMMYFUNCTION("GOOGLETRANSLATE(G2,""en"",""th"")"),"เกมฟุตบอล")</f>
        <v>เกมฟุตบอล</v>
      </c>
      <c r="T2" s="4" t="str">
        <f t="array" ref="T2:T71">TRIM(" (A) " &amp; P2:P71 &amp; " (B) " &amp; Q2:Q71 &amp; " (C) " &amp; R2:R71 &amp; " (D) " &amp; S2:S71)</f>
        <v>(A) การแข่งขันยิมนาสติก (B) การแข่งขันแบดมินตัน (C) การแข่งขันตะกร้อเซปักตะกร้อ (D) เกมฟุตบอล</v>
      </c>
      <c r="U2" s="4" t="str">
        <f>IFERROR(__xludf.DUMMYFUNCTION("GOOGLETRANSLATE(I2,""en"",""th"")"),"การแข่งขันตะกร้อเซปักตะกร้อ")</f>
        <v>การแข่งขันตะกร้อเซปักตะกร้อ</v>
      </c>
      <c r="V2" s="4" t="str">
        <f>IFERROR(__xludf.DUMMYFUNCTION("GOOGLETRANSLATE(J2,""en"",""th"")"),"ภาพนี้แสดงให้เห็นผู้เล่นในสนามกำลังเตะลูกบอลที่ถักทอข้ามตาข่าย ซึ่งเป็นเอกลักษณ์เฉพาะของเซปักตะกร้อ กีฬาที่ได้รับความนิยมในเอเชียตะวันออกเฉียงใต้")</f>
        <v>ภาพนี้แสดงให้เห็นผู้เล่นในสนามกำลังเตะลูกบอลที่ถักทอข้ามตาข่าย ซึ่งเป็นเอกลักษณ์เฉพาะของเซปักตะกร้อ กีฬาที่ได้รับความนิยมในเอเชียตะวันออกเฉียงใต้</v>
      </c>
    </row>
    <row r="3" ht="22.5" customHeight="1">
      <c r="A3" s="2" t="s">
        <v>906</v>
      </c>
      <c r="B3" s="3">
        <v>2.0</v>
      </c>
      <c r="C3" s="4" t="s">
        <v>912</v>
      </c>
      <c r="D3" s="4" t="s">
        <v>913</v>
      </c>
      <c r="E3" s="4" t="s">
        <v>914</v>
      </c>
      <c r="F3" s="4" t="s">
        <v>915</v>
      </c>
      <c r="G3" s="4" t="s">
        <v>916</v>
      </c>
      <c r="H3" s="4" t="s">
        <v>917</v>
      </c>
      <c r="I3" s="4" t="s">
        <v>914</v>
      </c>
      <c r="J3" s="4" t="s">
        <v>918</v>
      </c>
      <c r="M3" s="4" t="s">
        <v>906</v>
      </c>
      <c r="N3" s="5">
        <v>2.0</v>
      </c>
      <c r="O3" s="4" t="str">
        <f>IFERROR(__xludf.DUMMYFUNCTION("GOOGLETRANSLATE(C3,""en"",""th"")"),"ลักษณะเด่นของการเคลื่อนไหวของผู้เล่นคืออะไร?")</f>
        <v>ลักษณะเด่นของการเคลื่อนไหวของผู้เล่นคืออะไร?</v>
      </c>
      <c r="P3" s="4" t="str">
        <f>IFERROR(__xludf.DUMMYFUNCTION("GOOGLETRANSLATE(D3,""en"",""th"")"),"การใช้มือ")</f>
        <v>การใช้มือ</v>
      </c>
      <c r="Q3" s="4" t="str">
        <f>IFERROR(__xludf.DUMMYFUNCTION("GOOGLETRANSLATE(E3,""en"",""th"")"),"การใช้เท้า ศีรษะ และหน้าอก")</f>
        <v>การใช้เท้า ศีรษะ และหน้าอก</v>
      </c>
      <c r="R3" s="4" t="str">
        <f>IFERROR(__xludf.DUMMYFUNCTION("GOOGLETRANSLATE(F3,""en"",""th"")"),"การใช้แร็กเกต")</f>
        <v>การใช้แร็กเกต</v>
      </c>
      <c r="S3" s="4" t="str">
        <f>IFERROR(__xludf.DUMMYFUNCTION("GOOGLETRANSLATE(G3,""en"",""th"")"),"การใช้ไม้ตี")</f>
        <v>การใช้ไม้ตี</v>
      </c>
      <c r="T3" s="4" t="s">
        <v>919</v>
      </c>
      <c r="U3" s="4" t="str">
        <f>IFERROR(__xludf.DUMMYFUNCTION("GOOGLETRANSLATE(I3,""en"",""th"")"),"การใช้เท้า ศีรษะ และหน้าอก")</f>
        <v>การใช้เท้า ศีรษะ และหน้าอก</v>
      </c>
      <c r="V3" s="4" t="str">
        <f>IFERROR(__xludf.DUMMYFUNCTION("GOOGLETRANSLATE(J3,""en"",""th"")"),"กีฬาเซปักตะกร้อมีความพิเศษตรงที่ห้ามผู้เล่นใช้มือและต้องใช้เท้า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4" ht="22.5" customHeight="1">
      <c r="A4" s="2" t="s">
        <v>906</v>
      </c>
      <c r="B4" s="3">
        <v>3.0</v>
      </c>
      <c r="C4" s="4" t="s">
        <v>920</v>
      </c>
      <c r="D4" s="4" t="s">
        <v>921</v>
      </c>
      <c r="E4" s="4" t="s">
        <v>922</v>
      </c>
      <c r="F4" s="4" t="s">
        <v>923</v>
      </c>
      <c r="G4" s="4" t="s">
        <v>924</v>
      </c>
      <c r="H4" s="4" t="s">
        <v>925</v>
      </c>
      <c r="I4" s="4" t="s">
        <v>923</v>
      </c>
      <c r="J4" s="4" t="s">
        <v>926</v>
      </c>
      <c r="M4" s="4" t="s">
        <v>906</v>
      </c>
      <c r="N4" s="5">
        <v>3.0</v>
      </c>
      <c r="O4" s="4" t="str">
        <f>IFERROR(__xludf.DUMMYFUNCTION("GOOGLETRANSLATE(C4,""en"",""th"")"),"ลูกบอลทำจากอะไร?")</f>
        <v>ลูกบอลทำจากอะไร?</v>
      </c>
      <c r="P4" s="4" t="str">
        <f>IFERROR(__xludf.DUMMYFUNCTION("GOOGLETRANSLATE(D4,""en"",""th"")"),"ยาง.")</f>
        <v>ยาง.</v>
      </c>
      <c r="Q4" s="4" t="str">
        <f>IFERROR(__xludf.DUMMYFUNCTION("GOOGLETRANSLATE(E4,""en"",""th"")"),"พลาสติก.")</f>
        <v>พลาสติก.</v>
      </c>
      <c r="R4" s="4" t="str">
        <f>IFERROR(__xludf.DUMMYFUNCTION("GOOGLETRANSLATE(F4,""en"",""th"")"),"หวายทอหรือเส้นใยสังเคราะห์")</f>
        <v>หวายทอหรือเส้นใยสังเคราะห์</v>
      </c>
      <c r="S4" s="4" t="str">
        <f>IFERROR(__xludf.DUMMYFUNCTION("GOOGLETRANSLATE(G4,""en"",""th"")"),"หนัง.")</f>
        <v>หนัง.</v>
      </c>
      <c r="T4" s="4" t="s">
        <v>927</v>
      </c>
      <c r="U4" s="4" t="str">
        <f>IFERROR(__xludf.DUMMYFUNCTION("GOOGLETRANSLATE(I4,""en"",""th"")"),"หวายทอหรือเส้นใยสังเคราะห์")</f>
        <v>หวายทอหรือเส้นใยสังเคราะห์</v>
      </c>
      <c r="V4" s="4" t="str">
        <f>IFERROR(__xludf.DUMMYFUNCTION("GOOGLETRANSLATE(J4,""en"",""th"")"),"ลูกตะกร้อซึ่งเรียกว่าลูกตะกร้อนั้นทำมาจากหวายสานโดยทั่วไปหรือในการแข่งขันสมัยใหม่ก็ทำจากเส้นใยพลาสติกสังเคราะห์")</f>
        <v>ลูกตะกร้อซึ่งเรียกว่าลูกตะกร้อนั้นทำมาจากหวายสานโดยทั่วไปหรือในการแข่งขันสมัยใหม่ก็ทำจากเส้นใยพลาสติกสังเคราะห์</v>
      </c>
    </row>
    <row r="5" ht="22.5" customHeight="1">
      <c r="A5" s="2" t="s">
        <v>906</v>
      </c>
      <c r="B5" s="3">
        <v>4.0</v>
      </c>
      <c r="C5" s="4" t="s">
        <v>928</v>
      </c>
      <c r="D5" s="4" t="s">
        <v>828</v>
      </c>
      <c r="E5" s="4" t="s">
        <v>929</v>
      </c>
      <c r="F5" s="4" t="s">
        <v>930</v>
      </c>
      <c r="G5" s="4" t="s">
        <v>931</v>
      </c>
      <c r="H5" s="4" t="s">
        <v>932</v>
      </c>
      <c r="I5" s="4" t="s">
        <v>929</v>
      </c>
      <c r="J5" s="4" t="s">
        <v>933</v>
      </c>
      <c r="M5" s="4" t="s">
        <v>906</v>
      </c>
      <c r="N5" s="5">
        <v>4.0</v>
      </c>
      <c r="O5" s="4" t="str">
        <f>IFERROR(__xludf.DUMMYFUNCTION("GOOGLETRANSLATE(C5,""en"",""th"")"),"จุดประสงค์ของการเตะสูงและท่ากลางอากาศคืออะไร?")</f>
        <v>จุดประสงค์ของการเตะสูงและท่ากลางอากาศคืออะไร?</v>
      </c>
      <c r="P5" s="4" t="str">
        <f>IFERROR(__xludf.DUMMYFUNCTION("GOOGLETRANSLATE(D5,""en"",""th"")"),"เพื่อแสดงความสามารถ")</f>
        <v>เพื่อแสดงความสามารถ</v>
      </c>
      <c r="Q5" s="4" t="str">
        <f>IFERROR(__xludf.DUMMYFUNCTION("GOOGLETRANSLATE(E5,""en"",""th"")"),"การตีลูกให้สูงข้ามตาข่ายทำให้ตีโต้กลับได้ยาก")</f>
        <v>การตีลูกให้สูงข้ามตาข่ายทำให้ตีโต้กลับได้ยาก</v>
      </c>
      <c r="R5" s="4" t="str">
        <f>IFERROR(__xludf.DUMMYFUNCTION("GOOGLETRANSLATE(F5,""en"",""th"")"),"เพื่อยืดเหยียดขา")</f>
        <v>เพื่อยืดเหยียดขา</v>
      </c>
      <c r="S5" s="4" t="str">
        <f>IFERROR(__xludf.DUMMYFUNCTION("GOOGLETRANSLATE(G5,""en"",""th"")"),"เพื่อทำให้เกมยากยิ่งขึ้น")</f>
        <v>เพื่อทำให้เกมยากยิ่งขึ้น</v>
      </c>
      <c r="T5" s="4" t="s">
        <v>934</v>
      </c>
      <c r="U5" s="4" t="str">
        <f>IFERROR(__xludf.DUMMYFUNCTION("GOOGLETRANSLATE(I5,""en"",""th"")"),"การตีลูกให้สูงข้ามตาข่ายทำให้ตีโต้กลับได้ยาก")</f>
        <v>การตีลูกให้สูงข้ามตาข่ายทำให้ตีโต้กลับได้ยาก</v>
      </c>
      <c r="V5" s="4" t="str">
        <f>IFERROR(__xludf.DUMMYFUNCTION("GOOGLETRANSLATE(J5,""en"",""th"")"),"การเตะแบบผาดโผน มักเรียกว่า ""ตบ"" หรือ ""ฆ่า"" ใช้เพื่อตีลูกบอลด้วยพลังและความแม่นยำเหนือตาข่าย ทำให้ทีมฝ่ายตรงข้ามป้องกันได้ยาก")</f>
        <v>การเตะแบบผาดโผน มักเรียกว่า "ตบ" หรือ "ฆ่า" ใช้เพื่อตีลูกบอลด้วยพลังและความแม่นยำเหนือตาข่าย ทำให้ทีมฝ่ายตรงข้ามป้องกันได้ยาก</v>
      </c>
    </row>
    <row r="6" ht="22.5" customHeight="1">
      <c r="A6" s="2" t="s">
        <v>906</v>
      </c>
      <c r="B6" s="3">
        <v>5.0</v>
      </c>
      <c r="C6" s="4" t="s">
        <v>935</v>
      </c>
      <c r="D6" s="4" t="s">
        <v>936</v>
      </c>
      <c r="E6" s="4" t="s">
        <v>937</v>
      </c>
      <c r="F6" s="4" t="s">
        <v>938</v>
      </c>
      <c r="G6" s="4" t="s">
        <v>939</v>
      </c>
      <c r="H6" s="4" t="s">
        <v>940</v>
      </c>
      <c r="I6" s="4" t="s">
        <v>936</v>
      </c>
      <c r="J6" s="4" t="s">
        <v>941</v>
      </c>
      <c r="M6" s="4" t="s">
        <v>906</v>
      </c>
      <c r="N6" s="5">
        <v>5.0</v>
      </c>
      <c r="O6" s="4" t="str">
        <f>IFERROR(__xludf.DUMMYFUNCTION("GOOGLETRANSLATE(C6,""en"",""th"")"),"ผู้เล่นอยู่ในสภาพแวดล้อมประเภทใด?")</f>
        <v>ผู้เล่นอยู่ในสภาพแวดล้อมประเภทใด?</v>
      </c>
      <c r="P6" s="4" t="str">
        <f>IFERROR(__xludf.DUMMYFUNCTION("GOOGLETRANSLATE(D6,""en"",""th"")"),"สนามกีฬาในร่มที่ทันสมัย")</f>
        <v>สนามกีฬาในร่มที่ทันสมัย</v>
      </c>
      <c r="Q6" s="4" t="str">
        <f>IFERROR(__xludf.DUMMYFUNCTION("GOOGLETRANSLATE(E6,""en"",""th"")"),"สนามกลางแจ้งแบบดั้งเดิม")</f>
        <v>สนามกลางแจ้งแบบดั้งเดิม</v>
      </c>
      <c r="R6" s="4" t="str">
        <f>IFERROR(__xludf.DUMMYFUNCTION("GOOGLETRANSLATE(F6,""en"",""th"")"),"ชายหาด")</f>
        <v>ชายหาด</v>
      </c>
      <c r="S6" s="4" t="str">
        <f>IFERROR(__xludf.DUMMYFUNCTION("GOOGLETRANSLATE(G6,""en"",""th"")"),"สวนสาธารณะ")</f>
        <v>สวนสาธารณะ</v>
      </c>
      <c r="T6" s="4" t="s">
        <v>942</v>
      </c>
      <c r="U6" s="4" t="str">
        <f>IFERROR(__xludf.DUMMYFUNCTION("GOOGLETRANSLATE(I6,""en"",""th"")"),"สนามกีฬาในร่มที่ทันสมัย")</f>
        <v>สนามกีฬาในร่มที่ทันสมัย</v>
      </c>
      <c r="V6" s="4" t="str">
        <f>IFERROR(__xludf.DUMMYFUNCTION("GOOGLETRANSLATE(J6,""en"",""th"")"),"ภาพนี้แสดงให้เห็นสนามในร่มพร้อมแสงไฟระดับมืออาชีพ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f>
        <v>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v>
      </c>
    </row>
    <row r="7" ht="22.5" customHeight="1">
      <c r="A7" s="2" t="s">
        <v>943</v>
      </c>
      <c r="B7" s="3">
        <v>6.0</v>
      </c>
      <c r="C7" s="4" t="s">
        <v>21</v>
      </c>
      <c r="D7" s="4" t="s">
        <v>907</v>
      </c>
      <c r="E7" s="4" t="s">
        <v>908</v>
      </c>
      <c r="F7" s="4" t="s">
        <v>909</v>
      </c>
      <c r="G7" s="4" t="s">
        <v>910</v>
      </c>
      <c r="H7" s="4" t="s">
        <v>944</v>
      </c>
      <c r="I7" s="4" t="s">
        <v>909</v>
      </c>
      <c r="J7" s="4" t="s">
        <v>911</v>
      </c>
      <c r="M7" s="4" t="s">
        <v>943</v>
      </c>
      <c r="N7" s="5">
        <v>6.0</v>
      </c>
      <c r="O7" s="4" t="str">
        <f>IFERROR(__xludf.DUMMYFUNCTION("GOOGLETRANSLATE(C7,""en"",""th"")"),"ภาพที่แสดงเป็นกิจกรรมหลักอะไร?")</f>
        <v>ภาพที่แสดงเป็นกิจกรรมหลักอะไร?</v>
      </c>
      <c r="P7" s="4" t="str">
        <f>IFERROR(__xludf.DUMMYFUNCTION("GOOGLETRANSLATE(D7,""en"",""th"")"),"การแข่งขันยิมนาสติก")</f>
        <v>การแข่งขันยิมนาสติก</v>
      </c>
      <c r="Q7" s="4" t="str">
        <f>IFERROR(__xludf.DUMMYFUNCTION("GOOGLETRANSLATE(E7,""en"",""th"")"),"การแข่งขันแบดมินตัน")</f>
        <v>การแข่งขันแบดมินตัน</v>
      </c>
      <c r="R7" s="4" t="str">
        <f>IFERROR(__xludf.DUMMYFUNCTION("GOOGLETRANSLATE(F7,""en"",""th"")"),"การแข่งขันตะกร้อเซปักตะกร้อ")</f>
        <v>การแข่งขันตะกร้อเซปักตะกร้อ</v>
      </c>
      <c r="S7" s="4" t="str">
        <f>IFERROR(__xludf.DUMMYFUNCTION("GOOGLETRANSLATE(G7,""en"",""th"")"),"เกมฟุตบอล")</f>
        <v>เกมฟุตบอล</v>
      </c>
      <c r="T7" s="4" t="s">
        <v>945</v>
      </c>
      <c r="U7" s="4" t="str">
        <f>IFERROR(__xludf.DUMMYFUNCTION("GOOGLETRANSLATE(I7,""en"",""th"")"),"การแข่งขันตะกร้อเซปักตะกร้อ")</f>
        <v>การแข่งขันตะกร้อเซปักตะกร้อ</v>
      </c>
      <c r="V7" s="4" t="str">
        <f>IFERROR(__xludf.DUMMYFUNCTION("GOOGLETRANSLATE(J7,""en"",""th"")"),"ภาพนี้แสดงให้เห็นผู้เล่นในสนามกำลังเตะลูกบอลที่ถักทอข้ามตาข่าย ซึ่งเป็นเอกลักษณ์เฉพาะของเซปักตะกร้อ กีฬาที่ได้รับความนิยมในเอเชียตะวันออกเฉียงใต้")</f>
        <v>ภาพนี้แสดงให้เห็นผู้เล่นในสนามกำลังเตะลูกบอลที่ถักทอข้ามตาข่าย ซึ่งเป็นเอกลักษณ์เฉพาะของเซปักตะกร้อ กีฬาที่ได้รับความนิยมในเอเชียตะวันออกเฉียงใต้</v>
      </c>
    </row>
    <row r="8" ht="22.5" customHeight="1">
      <c r="A8" s="2" t="s">
        <v>943</v>
      </c>
      <c r="B8" s="3">
        <v>7.0</v>
      </c>
      <c r="C8" s="4" t="s">
        <v>912</v>
      </c>
      <c r="D8" s="4" t="s">
        <v>913</v>
      </c>
      <c r="E8" s="4" t="s">
        <v>914</v>
      </c>
      <c r="F8" s="4" t="s">
        <v>915</v>
      </c>
      <c r="G8" s="4" t="s">
        <v>916</v>
      </c>
      <c r="H8" s="4" t="s">
        <v>917</v>
      </c>
      <c r="I8" s="4" t="s">
        <v>914</v>
      </c>
      <c r="J8" s="4" t="s">
        <v>918</v>
      </c>
      <c r="M8" s="4" t="s">
        <v>943</v>
      </c>
      <c r="N8" s="5">
        <v>7.0</v>
      </c>
      <c r="O8" s="4" t="str">
        <f>IFERROR(__xludf.DUMMYFUNCTION("GOOGLETRANSLATE(C8,""en"",""th"")"),"ลักษณะเด่นของการเคลื่อนไหวของผู้เล่นคืออะไร?")</f>
        <v>ลักษณะเด่นของการเคลื่อนไหวของผู้เล่นคืออะไร?</v>
      </c>
      <c r="P8" s="4" t="str">
        <f>IFERROR(__xludf.DUMMYFUNCTION("GOOGLETRANSLATE(D8,""en"",""th"")"),"การใช้มือ")</f>
        <v>การใช้มือ</v>
      </c>
      <c r="Q8" s="4" t="str">
        <f>IFERROR(__xludf.DUMMYFUNCTION("GOOGLETRANSLATE(E8,""en"",""th"")"),"การใช้เท้า ศีรษะ และหน้าอก")</f>
        <v>การใช้เท้า ศีรษะ และหน้าอก</v>
      </c>
      <c r="R8" s="4" t="str">
        <f>IFERROR(__xludf.DUMMYFUNCTION("GOOGLETRANSLATE(F8,""en"",""th"")"),"การใช้แร็กเกต")</f>
        <v>การใช้แร็กเกต</v>
      </c>
      <c r="S8" s="4" t="str">
        <f>IFERROR(__xludf.DUMMYFUNCTION("GOOGLETRANSLATE(G8,""en"",""th"")"),"การใช้ไม้ตี")</f>
        <v>การใช้ไม้ตี</v>
      </c>
      <c r="T8" s="4" t="s">
        <v>919</v>
      </c>
      <c r="U8" s="4" t="str">
        <f>IFERROR(__xludf.DUMMYFUNCTION("GOOGLETRANSLATE(I8,""en"",""th"")"),"การใช้เท้า ศีรษะ และหน้าอก")</f>
        <v>การใช้เท้า ศีรษะ และหน้าอก</v>
      </c>
      <c r="V8" s="4" t="str">
        <f>IFERROR(__xludf.DUMMYFUNCTION("GOOGLETRANSLATE(J8,""en"",""th"")"),"กีฬาเซปักตะกร้อมีความพิเศษตรงที่ห้ามผู้เล่นใช้มือและต้องใช้เท้า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9" ht="22.5" customHeight="1">
      <c r="A9" s="2" t="s">
        <v>943</v>
      </c>
      <c r="B9" s="3">
        <v>8.0</v>
      </c>
      <c r="C9" s="4" t="s">
        <v>920</v>
      </c>
      <c r="D9" s="4" t="s">
        <v>921</v>
      </c>
      <c r="E9" s="4" t="s">
        <v>922</v>
      </c>
      <c r="F9" s="4" t="s">
        <v>923</v>
      </c>
      <c r="G9" s="4" t="s">
        <v>924</v>
      </c>
      <c r="H9" s="4" t="s">
        <v>925</v>
      </c>
      <c r="I9" s="4" t="s">
        <v>923</v>
      </c>
      <c r="J9" s="4" t="s">
        <v>926</v>
      </c>
      <c r="M9" s="4" t="s">
        <v>943</v>
      </c>
      <c r="N9" s="5">
        <v>8.0</v>
      </c>
      <c r="O9" s="4" t="str">
        <f>IFERROR(__xludf.DUMMYFUNCTION("GOOGLETRANSLATE(C9,""en"",""th"")"),"ลูกบอลทำจากอะไร?")</f>
        <v>ลูกบอลทำจากอะไร?</v>
      </c>
      <c r="P9" s="4" t="str">
        <f>IFERROR(__xludf.DUMMYFUNCTION("GOOGLETRANSLATE(D9,""en"",""th"")"),"ยาง.")</f>
        <v>ยาง.</v>
      </c>
      <c r="Q9" s="4" t="str">
        <f>IFERROR(__xludf.DUMMYFUNCTION("GOOGLETRANSLATE(E9,""en"",""th"")"),"พลาสติก.")</f>
        <v>พลาสติก.</v>
      </c>
      <c r="R9" s="4" t="str">
        <f>IFERROR(__xludf.DUMMYFUNCTION("GOOGLETRANSLATE(F9,""en"",""th"")"),"หวายทอหรือเส้นใยสังเคราะห์")</f>
        <v>หวายทอหรือเส้นใยสังเคราะห์</v>
      </c>
      <c r="S9" s="4" t="str">
        <f>IFERROR(__xludf.DUMMYFUNCTION("GOOGLETRANSLATE(G9,""en"",""th"")"),"หนัง.")</f>
        <v>หนัง.</v>
      </c>
      <c r="T9" s="4" t="s">
        <v>927</v>
      </c>
      <c r="U9" s="4" t="str">
        <f>IFERROR(__xludf.DUMMYFUNCTION("GOOGLETRANSLATE(I9,""en"",""th"")"),"หวายทอหรือเส้นใยสังเคราะห์")</f>
        <v>หวายทอหรือเส้นใยสังเคราะห์</v>
      </c>
      <c r="V9" s="4" t="str">
        <f>IFERROR(__xludf.DUMMYFUNCTION("GOOGLETRANSLATE(J9,""en"",""th"")"),"ลูกตะกร้อซึ่งเรียกว่าลูกตะกร้อนั้นทำมาจากหวายสานโดยทั่วไปหรือในการแข่งขันสมัยใหม่ก็ทำจากเส้นใยพลาสติกสังเคราะห์")</f>
        <v>ลูกตะกร้อซึ่งเรียกว่าลูกตะกร้อนั้นทำมาจากหวายสานโดยทั่วไปหรือในการแข่งขันสมัยใหม่ก็ทำจากเส้นใยพลาสติกสังเคราะห์</v>
      </c>
    </row>
    <row r="10" ht="22.5" customHeight="1">
      <c r="A10" s="2" t="s">
        <v>943</v>
      </c>
      <c r="B10" s="3">
        <v>9.0</v>
      </c>
      <c r="C10" s="4" t="s">
        <v>928</v>
      </c>
      <c r="D10" s="4" t="s">
        <v>828</v>
      </c>
      <c r="E10" s="4" t="s">
        <v>929</v>
      </c>
      <c r="F10" s="4" t="s">
        <v>930</v>
      </c>
      <c r="G10" s="4" t="s">
        <v>931</v>
      </c>
      <c r="H10" s="4" t="s">
        <v>932</v>
      </c>
      <c r="I10" s="4" t="s">
        <v>929</v>
      </c>
      <c r="J10" s="4" t="s">
        <v>933</v>
      </c>
      <c r="M10" s="4" t="s">
        <v>943</v>
      </c>
      <c r="N10" s="5">
        <v>9.0</v>
      </c>
      <c r="O10" s="4" t="str">
        <f>IFERROR(__xludf.DUMMYFUNCTION("GOOGLETRANSLATE(C10,""en"",""th"")"),"จุดประสงค์ของการเตะสูงและท่ากลางอากาศคืออะไร?")</f>
        <v>จุดประสงค์ของการเตะสูงและท่ากลางอากาศคืออะไร?</v>
      </c>
      <c r="P10" s="4" t="str">
        <f>IFERROR(__xludf.DUMMYFUNCTION("GOOGLETRANSLATE(D10,""en"",""th"")"),"เพื่อแสดงความสามารถ")</f>
        <v>เพื่อแสดงความสามารถ</v>
      </c>
      <c r="Q10" s="4" t="str">
        <f>IFERROR(__xludf.DUMMYFUNCTION("GOOGLETRANSLATE(E10,""en"",""th"")"),"การตีลูกให้สูงข้ามตาข่ายทำให้ตีโต้กลับได้ยาก")</f>
        <v>การตีลูกให้สูงข้ามตาข่ายทำให้ตีโต้กลับได้ยาก</v>
      </c>
      <c r="R10" s="4" t="str">
        <f>IFERROR(__xludf.DUMMYFUNCTION("GOOGLETRANSLATE(F10,""en"",""th"")"),"เพื่อยืดเหยียดขา")</f>
        <v>เพื่อยืดเหยียดขา</v>
      </c>
      <c r="S10" s="4" t="str">
        <f>IFERROR(__xludf.DUMMYFUNCTION("GOOGLETRANSLATE(G10,""en"",""th"")"),"เพื่อทำให้เกมยากยิ่งขึ้น")</f>
        <v>เพื่อทำให้เกมยากยิ่งขึ้น</v>
      </c>
      <c r="T10" s="4" t="s">
        <v>934</v>
      </c>
      <c r="U10" s="4" t="str">
        <f>IFERROR(__xludf.DUMMYFUNCTION("GOOGLETRANSLATE(I10,""en"",""th"")"),"การตีลูกให้สูงข้ามตาข่ายทำให้ตีโต้กลับได้ยาก")</f>
        <v>การตีลูกให้สูงข้ามตาข่ายทำให้ตีโต้กลับได้ยาก</v>
      </c>
      <c r="V10" s="4" t="str">
        <f>IFERROR(__xludf.DUMMYFUNCTION("GOOGLETRANSLATE(J10,""en"",""th"")"),"การเตะแบบผาดโผน มักเรียกว่า ""ตบ"" หรือ ""ฆ่า"" ใช้เพื่อตีลูกบอลด้วยพลังและความแม่นยำเหนือตาข่าย ทำให้ทีมฝ่ายตรงข้ามป้องกันได้ยาก")</f>
        <v>การเตะแบบผาดโผน มักเรียกว่า "ตบ" หรือ "ฆ่า" ใช้เพื่อตีลูกบอลด้วยพลังและความแม่นยำเหนือตาข่าย ทำให้ทีมฝ่ายตรงข้ามป้องกันได้ยาก</v>
      </c>
    </row>
    <row r="11" ht="22.5" customHeight="1">
      <c r="A11" s="2" t="s">
        <v>943</v>
      </c>
      <c r="B11" s="3">
        <v>10.0</v>
      </c>
      <c r="C11" s="4" t="s">
        <v>935</v>
      </c>
      <c r="D11" s="4" t="s">
        <v>936</v>
      </c>
      <c r="E11" s="4" t="s">
        <v>937</v>
      </c>
      <c r="F11" s="4" t="s">
        <v>938</v>
      </c>
      <c r="G11" s="4" t="s">
        <v>939</v>
      </c>
      <c r="H11" s="4" t="s">
        <v>940</v>
      </c>
      <c r="I11" s="4" t="s">
        <v>936</v>
      </c>
      <c r="J11" s="4" t="s">
        <v>941</v>
      </c>
      <c r="M11" s="4" t="s">
        <v>943</v>
      </c>
      <c r="N11" s="5">
        <v>10.0</v>
      </c>
      <c r="O11" s="4" t="str">
        <f>IFERROR(__xludf.DUMMYFUNCTION("GOOGLETRANSLATE(C11,""en"",""th"")"),"ผู้เล่นอยู่ในสภาพแวดล้อมประเภทใด?")</f>
        <v>ผู้เล่นอยู่ในสภาพแวดล้อมประเภทใด?</v>
      </c>
      <c r="P11" s="4" t="str">
        <f>IFERROR(__xludf.DUMMYFUNCTION("GOOGLETRANSLATE(D11,""en"",""th"")"),"สนามกีฬาในร่มที่ทันสมัย")</f>
        <v>สนามกีฬาในร่มที่ทันสมัย</v>
      </c>
      <c r="Q11" s="4" t="str">
        <f>IFERROR(__xludf.DUMMYFUNCTION("GOOGLETRANSLATE(E11,""en"",""th"")"),"สนามกลางแจ้งแบบดั้งเดิม")</f>
        <v>สนามกลางแจ้งแบบดั้งเดิม</v>
      </c>
      <c r="R11" s="4" t="str">
        <f>IFERROR(__xludf.DUMMYFUNCTION("GOOGLETRANSLATE(F11,""en"",""th"")"),"ชายหาด")</f>
        <v>ชายหาด</v>
      </c>
      <c r="S11" s="4" t="str">
        <f>IFERROR(__xludf.DUMMYFUNCTION("GOOGLETRANSLATE(G11,""en"",""th"")"),"สวนสาธารณะ")</f>
        <v>สวนสาธารณะ</v>
      </c>
      <c r="T11" s="4" t="s">
        <v>942</v>
      </c>
      <c r="U11" s="4" t="str">
        <f>IFERROR(__xludf.DUMMYFUNCTION("GOOGLETRANSLATE(I11,""en"",""th"")"),"สนามกีฬาในร่มที่ทันสมัย")</f>
        <v>สนามกีฬาในร่มที่ทันสมัย</v>
      </c>
      <c r="V11" s="4" t="str">
        <f>IFERROR(__xludf.DUMMYFUNCTION("GOOGLETRANSLATE(J11,""en"",""th"")"),"ภาพนี้แสดงให้เห็นสนามในร่มพร้อมแสงไฟระดับมืออาชีพ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f>
        <v>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v>
      </c>
    </row>
    <row r="12" ht="22.5" customHeight="1">
      <c r="A12" s="2" t="s">
        <v>946</v>
      </c>
      <c r="B12" s="3">
        <v>11.0</v>
      </c>
      <c r="C12" s="4" t="s">
        <v>21</v>
      </c>
      <c r="D12" s="4" t="s">
        <v>908</v>
      </c>
      <c r="E12" s="4" t="s">
        <v>947</v>
      </c>
      <c r="F12" s="4" t="s">
        <v>909</v>
      </c>
      <c r="G12" s="4" t="s">
        <v>948</v>
      </c>
      <c r="H12" s="4" t="s">
        <v>949</v>
      </c>
      <c r="I12" s="4" t="s">
        <v>909</v>
      </c>
      <c r="J12" s="4" t="s">
        <v>950</v>
      </c>
      <c r="M12" s="4" t="s">
        <v>946</v>
      </c>
      <c r="N12" s="5">
        <v>11.0</v>
      </c>
      <c r="O12" s="4" t="str">
        <f>IFERROR(__xludf.DUMMYFUNCTION("GOOGLETRANSLATE(C12,""en"",""th"")"),"ภาพที่แสดงเป็นกิจกรรมหลักอะไร?")</f>
        <v>ภาพที่แสดงเป็นกิจกรรมหลักอะไร?</v>
      </c>
      <c r="P12" s="4" t="str">
        <f>IFERROR(__xludf.DUMMYFUNCTION("GOOGLETRANSLATE(D12,""en"",""th"")"),"การแข่งขันแบดมินตัน")</f>
        <v>การแข่งขันแบดมินตัน</v>
      </c>
      <c r="Q12" s="4" t="str">
        <f>IFERROR(__xludf.DUMMYFUNCTION("GOOGLETRANSLATE(E12,""en"",""th"")"),"เกมวอลเลย์บอล")</f>
        <v>เกมวอลเลย์บอล</v>
      </c>
      <c r="R12" s="4" t="str">
        <f>IFERROR(__xludf.DUMMYFUNCTION("GOOGLETRANSLATE(F12,""en"",""th"")"),"การแข่งขันตะกร้อเซปักตะกร้อ")</f>
        <v>การแข่งขันตะกร้อเซปักตะกร้อ</v>
      </c>
      <c r="S12" s="4" t="str">
        <f>IFERROR(__xludf.DUMMYFUNCTION("GOOGLETRANSLATE(G12,""en"",""th"")"),"เกมฟุตบอล")</f>
        <v>เกมฟุตบอล</v>
      </c>
      <c r="T12" s="4" t="s">
        <v>951</v>
      </c>
      <c r="U12" s="4" t="str">
        <f>IFERROR(__xludf.DUMMYFUNCTION("GOOGLETRANSLATE(I12,""en"",""th"")"),"การแข่งขันตะกร้อเซปักตะกร้อ")</f>
        <v>การแข่งขันตะกร้อเซปักตะกร้อ</v>
      </c>
      <c r="V12" s="4" t="str">
        <f>IFERROR(__xludf.DUMMYFUNCTION("GOOGLETRANSLATE(J12,""en"",""th"")"),"รูปภาพแสดงให้เห็นผู้เล่นในชุดยูนิฟอร์มกำลังเตะลูกบอลที่ถักทอข้ามตาข่าย ซึ่งเป็นสิ่งบ่งชี้ที่ชัดเจนว่าเป็นการแข่งขันตะกร้อ")</f>
        <v>รูปภาพแสดงให้เห็นผู้เล่นในชุดยูนิฟอร์มกำลังเตะลูกบอลที่ถักทอข้ามตาข่าย ซึ่งเป็นสิ่งบ่งชี้ที่ชัดเจนว่าเป็นการแข่งขันตะกร้อ</v>
      </c>
    </row>
    <row r="13" ht="22.5" customHeight="1">
      <c r="A13" s="2" t="s">
        <v>946</v>
      </c>
      <c r="B13" s="3">
        <v>12.0</v>
      </c>
      <c r="C13" s="4" t="s">
        <v>912</v>
      </c>
      <c r="D13" s="4" t="s">
        <v>913</v>
      </c>
      <c r="E13" s="4" t="s">
        <v>914</v>
      </c>
      <c r="F13" s="4" t="s">
        <v>915</v>
      </c>
      <c r="G13" s="4" t="s">
        <v>916</v>
      </c>
      <c r="H13" s="4" t="s">
        <v>917</v>
      </c>
      <c r="I13" s="4" t="s">
        <v>914</v>
      </c>
      <c r="J13" s="4" t="s">
        <v>918</v>
      </c>
      <c r="M13" s="4" t="s">
        <v>946</v>
      </c>
      <c r="N13" s="5">
        <v>12.0</v>
      </c>
      <c r="O13" s="4" t="str">
        <f>IFERROR(__xludf.DUMMYFUNCTION("GOOGLETRANSLATE(C13,""en"",""th"")"),"ลักษณะเด่นของการเคลื่อนไหวของผู้เล่นคืออะไร?")</f>
        <v>ลักษณะเด่นของการเคลื่อนไหวของผู้เล่นคืออะไร?</v>
      </c>
      <c r="P13" s="4" t="str">
        <f>IFERROR(__xludf.DUMMYFUNCTION("GOOGLETRANSLATE(D13,""en"",""th"")"),"การใช้มือ")</f>
        <v>การใช้มือ</v>
      </c>
      <c r="Q13" s="4" t="str">
        <f>IFERROR(__xludf.DUMMYFUNCTION("GOOGLETRANSLATE(E13,""en"",""th"")"),"การใช้เท้า ศีรษะ และหน้าอก")</f>
        <v>การใช้เท้า ศีรษะ และหน้าอก</v>
      </c>
      <c r="R13" s="4" t="str">
        <f>IFERROR(__xludf.DUMMYFUNCTION("GOOGLETRANSLATE(F13,""en"",""th"")"),"การใช้แร็กเกต")</f>
        <v>การใช้แร็กเกต</v>
      </c>
      <c r="S13" s="4" t="str">
        <f>IFERROR(__xludf.DUMMYFUNCTION("GOOGLETRANSLATE(G13,""en"",""th"")"),"การใช้ไม้ตี")</f>
        <v>การใช้ไม้ตี</v>
      </c>
      <c r="T13" s="4" t="s">
        <v>919</v>
      </c>
      <c r="U13" s="4" t="str">
        <f>IFERROR(__xludf.DUMMYFUNCTION("GOOGLETRANSLATE(I13,""en"",""th"")"),"การใช้เท้า ศีรษะ และหน้าอก")</f>
        <v>การใช้เท้า ศีรษะ และหน้าอก</v>
      </c>
      <c r="V13" s="4" t="str">
        <f>IFERROR(__xludf.DUMMYFUNCTION("GOOGLETRANSLATE(J13,""en"",""th"")"),"กีฬาเซปักตะกร้อมีความพิเศษตรงที่ห้ามผู้เล่นใช้มือและต้องใช้เท้า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14" ht="22.5" customHeight="1">
      <c r="A14" s="2" t="s">
        <v>946</v>
      </c>
      <c r="B14" s="3">
        <v>13.0</v>
      </c>
      <c r="C14" s="4" t="s">
        <v>952</v>
      </c>
      <c r="D14" s="4" t="s">
        <v>953</v>
      </c>
      <c r="E14" s="4" t="s">
        <v>954</v>
      </c>
      <c r="F14" s="4" t="s">
        <v>662</v>
      </c>
      <c r="G14" s="4" t="s">
        <v>931</v>
      </c>
      <c r="H14" s="4" t="s">
        <v>955</v>
      </c>
      <c r="I14" s="4" t="s">
        <v>954</v>
      </c>
      <c r="J14" s="4" t="s">
        <v>956</v>
      </c>
      <c r="M14" s="4" t="s">
        <v>946</v>
      </c>
      <c r="N14" s="5">
        <v>13.0</v>
      </c>
      <c r="O14" s="4" t="str">
        <f>IFERROR(__xludf.DUMMYFUNCTION("GOOGLETRANSLATE(C14,""en"",""th"")"),"ผู้เล่นกำลังเตะขาอยู่กลางอากาศ จุดประสงค์ของการเคลื่อนไหวนี้คืออะไร?")</f>
        <v>ผู้เล่นกำลังเตะขาอยู่กลางอากาศ จุดประสงค์ของการเคลื่อนไหวนี้คืออะไร?</v>
      </c>
      <c r="P14" s="4" t="str">
        <f>IFERROR(__xludf.DUMMYFUNCTION("GOOGLETRANSLATE(D14,""en"",""th"")"),"เพื่อยืดขาของเขา")</f>
        <v>เพื่อยืดขาของเขา</v>
      </c>
      <c r="Q14" s="4" t="str">
        <f>IFERROR(__xludf.DUMMYFUNCTION("GOOGLETRANSLATE(E14,""en"",""th"")"),"การตีลูกให้ข้ามตาข่ายไป")</f>
        <v>การตีลูกให้ข้ามตาข่ายไป</v>
      </c>
      <c r="R14" s="4" t="str">
        <f>IFERROR(__xludf.DUMMYFUNCTION("GOOGLETRANSLATE(F14,""en"",""th"")"),"เพื่อแสดงความสามารถของตัวเอง")</f>
        <v>เพื่อแสดงความสามารถของตัวเอง</v>
      </c>
      <c r="S14" s="4" t="str">
        <f>IFERROR(__xludf.DUMMYFUNCTION("GOOGLETRANSLATE(G14,""en"",""th"")"),"เพื่อทำให้เกมยากยิ่งขึ้น")</f>
        <v>เพื่อทำให้เกมยากยิ่งขึ้น</v>
      </c>
      <c r="T14" s="4" t="s">
        <v>957</v>
      </c>
      <c r="U14" s="4" t="str">
        <f>IFERROR(__xludf.DUMMYFUNCTION("GOOGLETRANSLATE(I14,""en"",""th"")"),"การตีลูกให้ข้ามตาข่ายไป")</f>
        <v>การตีลูกให้ข้ามตาข่ายไป</v>
      </c>
      <c r="V14" s="4" t="str">
        <f>IFERROR(__xludf.DUMMYFUNCTION("GOOGLETRANSLATE(J14,""en"",""th"")"),"ผู้เล่นกำลังเตะบอลแรงๆ สูงและแรงสูงเพื่อส่งลูกบอลขึ้นสูงและรวดเร็วข้ามตาข่าย ทำให้ฝ่ายตรงข้ามโต้ตอบได้ยาก")</f>
        <v>ผู้เล่นกำลังเตะบอลแรงๆ สูงและแรงสูงเพื่อส่งลูกบอลขึ้นสูงและรวดเร็วข้ามตาข่าย ทำให้ฝ่ายตรงข้ามโต้ตอบได้ยาก</v>
      </c>
    </row>
    <row r="15" ht="22.5" customHeight="1">
      <c r="A15" s="2" t="s">
        <v>946</v>
      </c>
      <c r="B15" s="3">
        <v>14.0</v>
      </c>
      <c r="C15" s="4" t="s">
        <v>958</v>
      </c>
      <c r="D15" s="4" t="s">
        <v>936</v>
      </c>
      <c r="E15" s="4" t="s">
        <v>937</v>
      </c>
      <c r="F15" s="4" t="s">
        <v>938</v>
      </c>
      <c r="G15" s="4" t="s">
        <v>939</v>
      </c>
      <c r="H15" s="4" t="s">
        <v>940</v>
      </c>
      <c r="I15" s="4" t="s">
        <v>936</v>
      </c>
      <c r="J15" s="4" t="s">
        <v>941</v>
      </c>
      <c r="M15" s="4" t="s">
        <v>946</v>
      </c>
      <c r="N15" s="5">
        <v>14.0</v>
      </c>
      <c r="O15" s="4" t="str">
        <f>IFERROR(__xludf.DUMMYFUNCTION("GOOGLETRANSLATE(C15,""en"",""th"")"),"ผู้เล่นอยู่ในสภาพแวดล้อมประเภทใด?")</f>
        <v>ผู้เล่นอยู่ในสภาพแวดล้อมประเภทใด?</v>
      </c>
      <c r="P15" s="4" t="str">
        <f>IFERROR(__xludf.DUMMYFUNCTION("GOOGLETRANSLATE(D15,""en"",""th"")"),"สนามกีฬาในร่มที่ทันสมัย")</f>
        <v>สนามกีฬาในร่มที่ทันสมัย</v>
      </c>
      <c r="Q15" s="4" t="str">
        <f>IFERROR(__xludf.DUMMYFUNCTION("GOOGLETRANSLATE(E15,""en"",""th"")"),"สนามกลางแจ้งแบบดั้งเดิม")</f>
        <v>สนามกลางแจ้งแบบดั้งเดิม</v>
      </c>
      <c r="R15" s="4" t="str">
        <f>IFERROR(__xludf.DUMMYFUNCTION("GOOGLETRANSLATE(F15,""en"",""th"")"),"ชายหาด")</f>
        <v>ชายหาด</v>
      </c>
      <c r="S15" s="4" t="str">
        <f>IFERROR(__xludf.DUMMYFUNCTION("GOOGLETRANSLATE(G15,""en"",""th"")"),"สวนสาธารณะ")</f>
        <v>สวนสาธารณะ</v>
      </c>
      <c r="T15" s="4" t="s">
        <v>942</v>
      </c>
      <c r="U15" s="4" t="str">
        <f>IFERROR(__xludf.DUMMYFUNCTION("GOOGLETRANSLATE(I15,""en"",""th"")"),"สนามกีฬาในร่มที่ทันสมัย")</f>
        <v>สนามกีฬาในร่มที่ทันสมัย</v>
      </c>
      <c r="V15" s="4" t="str">
        <f>IFERROR(__xludf.DUMMYFUNCTION("GOOGLETRANSLATE(J15,""en"",""th"")"),"ภาพนี้แสดงให้เห็นสนามในร่มพร้อมแสงไฟระดับมืออาชีพ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f>
        <v>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v>
      </c>
    </row>
    <row r="16" ht="22.5" customHeight="1">
      <c r="A16" s="2" t="s">
        <v>946</v>
      </c>
      <c r="B16" s="3">
        <v>15.0</v>
      </c>
      <c r="C16" s="4" t="s">
        <v>959</v>
      </c>
      <c r="D16" s="4" t="s">
        <v>960</v>
      </c>
      <c r="E16" s="4" t="s">
        <v>961</v>
      </c>
      <c r="F16" s="4" t="s">
        <v>962</v>
      </c>
      <c r="G16" s="4" t="s">
        <v>963</v>
      </c>
      <c r="H16" s="4" t="s">
        <v>964</v>
      </c>
      <c r="I16" s="4" t="s">
        <v>961</v>
      </c>
      <c r="J16" s="4" t="s">
        <v>965</v>
      </c>
      <c r="M16" s="4" t="s">
        <v>946</v>
      </c>
      <c r="N16" s="5">
        <v>15.0</v>
      </c>
      <c r="O16" s="4" t="str">
        <f>IFERROR(__xludf.DUMMYFUNCTION("GOOGLETRANSLATE(C16,""en"",""th"")"),"จากภาพนี้สามารถอนุมานสถานะของเกมได้อย่างไร?")</f>
        <v>จากภาพนี้สามารถอนุมานสถานะของเกมได้อย่างไร?</v>
      </c>
      <c r="P16" s="4" t="str">
        <f>IFERROR(__xludf.DUMMYFUNCTION("GOOGLETRANSLATE(D16,""en"",""th"")"),"มันเป็นกีฬาที่ไม่มีใครรู้จัก")</f>
        <v>มันเป็นกีฬาที่ไม่มีใครรู้จัก</v>
      </c>
      <c r="Q16" s="4" t="str">
        <f>IFERROR(__xludf.DUMMYFUNCTION("GOOGLETRANSLATE(E16,""en"",""th"")"),"เป็นกีฬาอาชีพที่มีการจัดการแข่งขันอย่างเป็นระบบ")</f>
        <v>เป็นกีฬาอาชีพที่มีการจัดการแข่งขันอย่างเป็นระบบ</v>
      </c>
      <c r="R16" s="4" t="str">
        <f>IFERROR(__xludf.DUMMYFUNCTION("GOOGLETRANSLATE(F16,""en"",""th"")"),"มันเป็นเพียงกิจกรรมยามว่างธรรมดา")</f>
        <v>มันเป็นเพียงกิจกรรมยามว่างธรรมดา</v>
      </c>
      <c r="S16" s="4" t="str">
        <f>IFERROR(__xludf.DUMMYFUNCTION("GOOGLETRANSLATE(G16,""en"",""th"")"),"มันเป็นเกมสำหรับเด็ก")</f>
        <v>มันเป็นเกมสำหรับเด็ก</v>
      </c>
      <c r="T16" s="4" t="s">
        <v>966</v>
      </c>
      <c r="U16" s="4" t="str">
        <f>IFERROR(__xludf.DUMMYFUNCTION("GOOGLETRANSLATE(I16,""en"",""th"")"),"เป็นกีฬาอาชีพที่มีการจัดการแข่งขันอย่างเป็นระบบ")</f>
        <v>เป็นกีฬาอาชีพที่มีการจัดการแข่งขันอย่างเป็นระบบ</v>
      </c>
      <c r="V16" s="4" t="str">
        <f>IFERROR(__xludf.DUMMYFUNCTION("GOOGLETRANSLATE(J16,""en"",""th"")"),"ทั้งชุดแข่งขัน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f>
        <v>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v>
      </c>
    </row>
    <row r="17" ht="22.5" customHeight="1">
      <c r="A17" s="2" t="s">
        <v>967</v>
      </c>
      <c r="B17" s="3">
        <v>16.0</v>
      </c>
      <c r="C17" s="4" t="s">
        <v>21</v>
      </c>
      <c r="D17" s="4" t="s">
        <v>908</v>
      </c>
      <c r="E17" s="4" t="s">
        <v>947</v>
      </c>
      <c r="F17" s="4" t="s">
        <v>909</v>
      </c>
      <c r="G17" s="4" t="s">
        <v>948</v>
      </c>
      <c r="H17" s="4" t="s">
        <v>949</v>
      </c>
      <c r="I17" s="4" t="s">
        <v>909</v>
      </c>
      <c r="J17" s="4" t="s">
        <v>950</v>
      </c>
      <c r="M17" s="4" t="s">
        <v>967</v>
      </c>
      <c r="N17" s="5">
        <v>16.0</v>
      </c>
      <c r="O17" s="4" t="str">
        <f>IFERROR(__xludf.DUMMYFUNCTION("GOOGLETRANSLATE(C17,""en"",""th"")"),"ภาพที่แสดงเป็นกิจกรรมหลักอะไร?")</f>
        <v>ภาพที่แสดงเป็นกิจกรรมหลักอะไร?</v>
      </c>
      <c r="P17" s="4" t="str">
        <f>IFERROR(__xludf.DUMMYFUNCTION("GOOGLETRANSLATE(D17,""en"",""th"")"),"การแข่งขันแบดมินตัน")</f>
        <v>การแข่งขันแบดมินตัน</v>
      </c>
      <c r="Q17" s="4" t="str">
        <f>IFERROR(__xludf.DUMMYFUNCTION("GOOGLETRANSLATE(E17,""en"",""th"")"),"เกมวอลเลย์บอล")</f>
        <v>เกมวอลเลย์บอล</v>
      </c>
      <c r="R17" s="4" t="str">
        <f>IFERROR(__xludf.DUMMYFUNCTION("GOOGLETRANSLATE(F17,""en"",""th"")"),"การแข่งขันตะกร้อเซปักตะกร้อ")</f>
        <v>การแข่งขันตะกร้อเซปักตะกร้อ</v>
      </c>
      <c r="S17" s="4" t="str">
        <f>IFERROR(__xludf.DUMMYFUNCTION("GOOGLETRANSLATE(G17,""en"",""th"")"),"เกมฟุตบอล")</f>
        <v>เกมฟุตบอล</v>
      </c>
      <c r="T17" s="4" t="s">
        <v>951</v>
      </c>
      <c r="U17" s="4" t="str">
        <f>IFERROR(__xludf.DUMMYFUNCTION("GOOGLETRANSLATE(I17,""en"",""th"")"),"การแข่งขันตะกร้อเซปักตะกร้อ")</f>
        <v>การแข่งขันตะกร้อเซปักตะกร้อ</v>
      </c>
      <c r="V17" s="4" t="str">
        <f>IFERROR(__xludf.DUMMYFUNCTION("GOOGLETRANSLATE(J17,""en"",""th"")"),"รูปภาพแสดงให้เห็นผู้เล่นในชุดยูนิฟอร์มกำลังเตะลูกบอลที่ถักทอข้ามตาข่าย ซึ่งเป็นสิ่งบ่งชี้ที่ชัดเจนว่าเป็นการแข่งขันตะกร้อ")</f>
        <v>รูปภาพแสดงให้เห็นผู้เล่นในชุดยูนิฟอร์มกำลังเตะลูกบอลที่ถักทอข้ามตาข่าย ซึ่งเป็นสิ่งบ่งชี้ที่ชัดเจนว่าเป็นการแข่งขันตะกร้อ</v>
      </c>
    </row>
    <row r="18" ht="22.5" customHeight="1">
      <c r="A18" s="2" t="s">
        <v>967</v>
      </c>
      <c r="B18" s="3">
        <v>17.0</v>
      </c>
      <c r="C18" s="4" t="s">
        <v>912</v>
      </c>
      <c r="D18" s="4" t="s">
        <v>913</v>
      </c>
      <c r="E18" s="4" t="s">
        <v>914</v>
      </c>
      <c r="F18" s="4" t="s">
        <v>915</v>
      </c>
      <c r="G18" s="4" t="s">
        <v>916</v>
      </c>
      <c r="H18" s="4" t="s">
        <v>917</v>
      </c>
      <c r="I18" s="4" t="s">
        <v>914</v>
      </c>
      <c r="J18" s="4" t="s">
        <v>918</v>
      </c>
      <c r="M18" s="4" t="s">
        <v>967</v>
      </c>
      <c r="N18" s="5">
        <v>17.0</v>
      </c>
      <c r="O18" s="4" t="str">
        <f>IFERROR(__xludf.DUMMYFUNCTION("GOOGLETRANSLATE(C18,""en"",""th"")"),"ลักษณะเด่นของการเคลื่อนไหวของผู้เล่นคืออะไร?")</f>
        <v>ลักษณะเด่นของการเคลื่อนไหวของผู้เล่นคืออะไร?</v>
      </c>
      <c r="P18" s="4" t="str">
        <f>IFERROR(__xludf.DUMMYFUNCTION("GOOGLETRANSLATE(D18,""en"",""th"")"),"การใช้มือ")</f>
        <v>การใช้มือ</v>
      </c>
      <c r="Q18" s="4" t="str">
        <f>IFERROR(__xludf.DUMMYFUNCTION("GOOGLETRANSLATE(E18,""en"",""th"")"),"การใช้เท้า ศีรษะ และหน้าอก")</f>
        <v>การใช้เท้า ศีรษะ และหน้าอก</v>
      </c>
      <c r="R18" s="4" t="str">
        <f>IFERROR(__xludf.DUMMYFUNCTION("GOOGLETRANSLATE(F18,""en"",""th"")"),"การใช้แร็กเกต")</f>
        <v>การใช้แร็กเกต</v>
      </c>
      <c r="S18" s="4" t="str">
        <f>IFERROR(__xludf.DUMMYFUNCTION("GOOGLETRANSLATE(G18,""en"",""th"")"),"การใช้ไม้ตี")</f>
        <v>การใช้ไม้ตี</v>
      </c>
      <c r="T18" s="4" t="s">
        <v>919</v>
      </c>
      <c r="U18" s="4" t="str">
        <f>IFERROR(__xludf.DUMMYFUNCTION("GOOGLETRANSLATE(I18,""en"",""th"")"),"การใช้เท้า ศีรษะ และหน้าอก")</f>
        <v>การใช้เท้า ศีรษะ และหน้าอก</v>
      </c>
      <c r="V18" s="4" t="str">
        <f>IFERROR(__xludf.DUMMYFUNCTION("GOOGLETRANSLATE(J18,""en"",""th"")"),"กีฬาเซปักตะกร้อมีความพิเศษตรงที่ห้ามผู้เล่นใช้มือและต้องใช้เท้า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19" ht="22.5" customHeight="1">
      <c r="A19" s="2" t="s">
        <v>967</v>
      </c>
      <c r="B19" s="3">
        <v>18.0</v>
      </c>
      <c r="C19" s="4" t="s">
        <v>952</v>
      </c>
      <c r="D19" s="4" t="s">
        <v>953</v>
      </c>
      <c r="E19" s="4" t="s">
        <v>954</v>
      </c>
      <c r="F19" s="4" t="s">
        <v>662</v>
      </c>
      <c r="G19" s="4" t="s">
        <v>931</v>
      </c>
      <c r="H19" s="4" t="s">
        <v>955</v>
      </c>
      <c r="I19" s="4" t="s">
        <v>954</v>
      </c>
      <c r="J19" s="4" t="s">
        <v>956</v>
      </c>
      <c r="M19" s="4" t="s">
        <v>967</v>
      </c>
      <c r="N19" s="5">
        <v>18.0</v>
      </c>
      <c r="O19" s="4" t="str">
        <f>IFERROR(__xludf.DUMMYFUNCTION("GOOGLETRANSLATE(C19,""en"",""th"")"),"ผู้เล่นกำลังเตะขาอยู่กลางอากาศ จุดประสงค์ของการเคลื่อนไหวนี้คืออะไร?")</f>
        <v>ผู้เล่นกำลังเตะขาอยู่กลางอากาศ จุดประสงค์ของการเคลื่อนไหวนี้คืออะไร?</v>
      </c>
      <c r="P19" s="4" t="str">
        <f>IFERROR(__xludf.DUMMYFUNCTION("GOOGLETRANSLATE(D19,""en"",""th"")"),"เพื่อยืดขาของเขา")</f>
        <v>เพื่อยืดขาของเขา</v>
      </c>
      <c r="Q19" s="4" t="str">
        <f>IFERROR(__xludf.DUMMYFUNCTION("GOOGLETRANSLATE(E19,""en"",""th"")"),"การตีลูกให้ข้ามตาข่ายไป")</f>
        <v>การตีลูกให้ข้ามตาข่ายไป</v>
      </c>
      <c r="R19" s="4" t="str">
        <f>IFERROR(__xludf.DUMMYFUNCTION("GOOGLETRANSLATE(F19,""en"",""th"")"),"เพื่อแสดงความสามารถของตัวเอง")</f>
        <v>เพื่อแสดงความสามารถของตัวเอง</v>
      </c>
      <c r="S19" s="4" t="str">
        <f>IFERROR(__xludf.DUMMYFUNCTION("GOOGLETRANSLATE(G19,""en"",""th"")"),"เพื่อทำให้เกมยากยิ่งขึ้น")</f>
        <v>เพื่อทำให้เกมยากยิ่งขึ้น</v>
      </c>
      <c r="T19" s="4" t="s">
        <v>957</v>
      </c>
      <c r="U19" s="4" t="str">
        <f>IFERROR(__xludf.DUMMYFUNCTION("GOOGLETRANSLATE(I19,""en"",""th"")"),"การตีลูกให้ข้ามตาข่ายไป")</f>
        <v>การตีลูกให้ข้ามตาข่ายไป</v>
      </c>
      <c r="V19" s="4" t="str">
        <f>IFERROR(__xludf.DUMMYFUNCTION("GOOGLETRANSLATE(J19,""en"",""th"")"),"ผู้เล่นกำลังเตะบอลแรงๆ สูงและแรงสูงเพื่อส่งลูกบอลขึ้นสูงและรวดเร็วข้ามตาข่าย ทำให้ฝ่ายตรงข้ามโต้ตอบได้ยาก")</f>
        <v>ผู้เล่นกำลังเตะบอลแรงๆ สูงและแรงสูงเพื่อส่งลูกบอลขึ้นสูงและรวดเร็วข้ามตาข่าย ทำให้ฝ่ายตรงข้ามโต้ตอบได้ยาก</v>
      </c>
    </row>
    <row r="20" ht="22.5" customHeight="1">
      <c r="A20" s="2" t="s">
        <v>967</v>
      </c>
      <c r="B20" s="3">
        <v>19.0</v>
      </c>
      <c r="C20" s="4" t="s">
        <v>935</v>
      </c>
      <c r="D20" s="4" t="s">
        <v>936</v>
      </c>
      <c r="E20" s="4" t="s">
        <v>937</v>
      </c>
      <c r="F20" s="4" t="s">
        <v>938</v>
      </c>
      <c r="G20" s="4" t="s">
        <v>939</v>
      </c>
      <c r="H20" s="4" t="s">
        <v>940</v>
      </c>
      <c r="I20" s="4" t="s">
        <v>936</v>
      </c>
      <c r="J20" s="4" t="s">
        <v>941</v>
      </c>
      <c r="M20" s="4" t="s">
        <v>967</v>
      </c>
      <c r="N20" s="5">
        <v>19.0</v>
      </c>
      <c r="O20" s="4" t="str">
        <f>IFERROR(__xludf.DUMMYFUNCTION("GOOGLETRANSLATE(C20,""en"",""th"")"),"ผู้เล่นอยู่ในสภาพแวดล้อมประเภทใด?")</f>
        <v>ผู้เล่นอยู่ในสภาพแวดล้อมประเภทใด?</v>
      </c>
      <c r="P20" s="4" t="str">
        <f>IFERROR(__xludf.DUMMYFUNCTION("GOOGLETRANSLATE(D20,""en"",""th"")"),"สนามกีฬาในร่มที่ทันสมัย")</f>
        <v>สนามกีฬาในร่มที่ทันสมัย</v>
      </c>
      <c r="Q20" s="4" t="str">
        <f>IFERROR(__xludf.DUMMYFUNCTION("GOOGLETRANSLATE(E20,""en"",""th"")"),"สนามกลางแจ้งแบบดั้งเดิม")</f>
        <v>สนามกลางแจ้งแบบดั้งเดิม</v>
      </c>
      <c r="R20" s="4" t="str">
        <f>IFERROR(__xludf.DUMMYFUNCTION("GOOGLETRANSLATE(F20,""en"",""th"")"),"ชายหาด")</f>
        <v>ชายหาด</v>
      </c>
      <c r="S20" s="4" t="str">
        <f>IFERROR(__xludf.DUMMYFUNCTION("GOOGLETRANSLATE(G20,""en"",""th"")"),"สวนสาธารณะ")</f>
        <v>สวนสาธารณะ</v>
      </c>
      <c r="T20" s="4" t="s">
        <v>942</v>
      </c>
      <c r="U20" s="4" t="str">
        <f>IFERROR(__xludf.DUMMYFUNCTION("GOOGLETRANSLATE(I20,""en"",""th"")"),"สนามกีฬาในร่มที่ทันสมัย")</f>
        <v>สนามกีฬาในร่มที่ทันสมัย</v>
      </c>
      <c r="V20" s="4" t="str">
        <f>IFERROR(__xludf.DUMMYFUNCTION("GOOGLETRANSLATE(J20,""en"",""th"")"),"ภาพนี้แสดงให้เห็นสนามในร่มพร้อมแสงไฟระดับมืออาชีพ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f>
        <v>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v>
      </c>
    </row>
    <row r="21" ht="22.5" customHeight="1">
      <c r="A21" s="2" t="s">
        <v>967</v>
      </c>
      <c r="B21" s="3">
        <v>20.0</v>
      </c>
      <c r="C21" s="4" t="s">
        <v>959</v>
      </c>
      <c r="D21" s="4" t="s">
        <v>960</v>
      </c>
      <c r="E21" s="4" t="s">
        <v>961</v>
      </c>
      <c r="F21" s="4" t="s">
        <v>962</v>
      </c>
      <c r="G21" s="4" t="s">
        <v>963</v>
      </c>
      <c r="H21" s="4" t="s">
        <v>964</v>
      </c>
      <c r="I21" s="4" t="s">
        <v>961</v>
      </c>
      <c r="J21" s="4" t="s">
        <v>965</v>
      </c>
      <c r="M21" s="4" t="s">
        <v>967</v>
      </c>
      <c r="N21" s="5">
        <v>20.0</v>
      </c>
      <c r="O21" s="4" t="str">
        <f>IFERROR(__xludf.DUMMYFUNCTION("GOOGLETRANSLATE(C21,""en"",""th"")"),"จากภาพนี้สามารถอนุมานสถานะของเกมได้อย่างไร?")</f>
        <v>จากภาพนี้สามารถอนุมานสถานะของเกมได้อย่างไร?</v>
      </c>
      <c r="P21" s="4" t="str">
        <f>IFERROR(__xludf.DUMMYFUNCTION("GOOGLETRANSLATE(D21,""en"",""th"")"),"มันเป็นกีฬาที่ไม่มีใครรู้จัก")</f>
        <v>มันเป็นกีฬาที่ไม่มีใครรู้จัก</v>
      </c>
      <c r="Q21" s="4" t="str">
        <f>IFERROR(__xludf.DUMMYFUNCTION("GOOGLETRANSLATE(E21,""en"",""th"")"),"เป็นกีฬาอาชีพที่มีการจัดการแข่งขันอย่างเป็นระบบ")</f>
        <v>เป็นกีฬาอาชีพที่มีการจัดการแข่งขันอย่างเป็นระบบ</v>
      </c>
      <c r="R21" s="4" t="str">
        <f>IFERROR(__xludf.DUMMYFUNCTION("GOOGLETRANSLATE(F21,""en"",""th"")"),"มันเป็นเพียงกิจกรรมยามว่างธรรมดา")</f>
        <v>มันเป็นเพียงกิจกรรมยามว่างธรรมดา</v>
      </c>
      <c r="S21" s="4" t="str">
        <f>IFERROR(__xludf.DUMMYFUNCTION("GOOGLETRANSLATE(G21,""en"",""th"")"),"มันเป็นเกมสำหรับเด็ก")</f>
        <v>มันเป็นเกมสำหรับเด็ก</v>
      </c>
      <c r="T21" s="4" t="s">
        <v>966</v>
      </c>
      <c r="U21" s="4" t="str">
        <f>IFERROR(__xludf.DUMMYFUNCTION("GOOGLETRANSLATE(I21,""en"",""th"")"),"เป็นกีฬาอาชีพที่มีการจัดการแข่งขันอย่างเป็นระบบ")</f>
        <v>เป็นกีฬาอาชีพที่มีการจัดการแข่งขันอย่างเป็นระบบ</v>
      </c>
      <c r="V21" s="4" t="str">
        <f>IFERROR(__xludf.DUMMYFUNCTION("GOOGLETRANSLATE(J21,""en"",""th"")"),"ทั้งชุดแข่งขัน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f>
        <v>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v>
      </c>
    </row>
    <row r="22" ht="22.5" customHeight="1">
      <c r="A22" s="2" t="s">
        <v>968</v>
      </c>
      <c r="B22" s="3">
        <v>21.0</v>
      </c>
      <c r="C22" s="4" t="s">
        <v>21</v>
      </c>
      <c r="D22" s="4" t="s">
        <v>908</v>
      </c>
      <c r="E22" s="4" t="s">
        <v>947</v>
      </c>
      <c r="F22" s="4" t="s">
        <v>909</v>
      </c>
      <c r="G22" s="4" t="s">
        <v>948</v>
      </c>
      <c r="H22" s="4" t="s">
        <v>949</v>
      </c>
      <c r="I22" s="4" t="s">
        <v>909</v>
      </c>
      <c r="J22" s="4" t="s">
        <v>950</v>
      </c>
      <c r="M22" s="4" t="s">
        <v>968</v>
      </c>
      <c r="N22" s="5">
        <v>21.0</v>
      </c>
      <c r="O22" s="4" t="str">
        <f>IFERROR(__xludf.DUMMYFUNCTION("GOOGLETRANSLATE(C22,""en"",""th"")"),"ภาพที่แสดงเป็นกิจกรรมหลักอะไร?")</f>
        <v>ภาพที่แสดงเป็นกิจกรรมหลักอะไร?</v>
      </c>
      <c r="P22" s="4" t="str">
        <f>IFERROR(__xludf.DUMMYFUNCTION("GOOGLETRANSLATE(D22,""en"",""th"")"),"การแข่งขันแบดมินตัน")</f>
        <v>การแข่งขันแบดมินตัน</v>
      </c>
      <c r="Q22" s="4" t="str">
        <f>IFERROR(__xludf.DUMMYFUNCTION("GOOGLETRANSLATE(E22,""en"",""th"")"),"เกมวอลเลย์บอล")</f>
        <v>เกมวอลเลย์บอล</v>
      </c>
      <c r="R22" s="4" t="str">
        <f>IFERROR(__xludf.DUMMYFUNCTION("GOOGLETRANSLATE(F22,""en"",""th"")"),"การแข่งขันตะกร้อเซปักตะกร้อ")</f>
        <v>การแข่งขันตะกร้อเซปักตะกร้อ</v>
      </c>
      <c r="S22" s="4" t="str">
        <f>IFERROR(__xludf.DUMMYFUNCTION("GOOGLETRANSLATE(G22,""en"",""th"")"),"เกมฟุตบอล")</f>
        <v>เกมฟุตบอล</v>
      </c>
      <c r="T22" s="4" t="s">
        <v>951</v>
      </c>
      <c r="U22" s="4" t="str">
        <f>IFERROR(__xludf.DUMMYFUNCTION("GOOGLETRANSLATE(I22,""en"",""th"")"),"การแข่งขันตะกร้อเซปักตะกร้อ")</f>
        <v>การแข่งขันตะกร้อเซปักตะกร้อ</v>
      </c>
      <c r="V22" s="4" t="str">
        <f>IFERROR(__xludf.DUMMYFUNCTION("GOOGLETRANSLATE(J22,""en"",""th"")"),"รูปภาพแสดงให้เห็นผู้เล่นในชุดยูนิฟอร์มกำลังเตะลูกบอลที่ถักทอข้ามตาข่าย ซึ่งเป็นสิ่งบ่งชี้ที่ชัดเจนว่าเป็นการแข่งขันตะกร้อ")</f>
        <v>รูปภาพแสดงให้เห็นผู้เล่นในชุดยูนิฟอร์มกำลังเตะลูกบอลที่ถักทอข้ามตาข่าย ซึ่งเป็นสิ่งบ่งชี้ที่ชัดเจนว่าเป็นการแข่งขันตะกร้อ</v>
      </c>
    </row>
    <row r="23" ht="22.5" customHeight="1">
      <c r="A23" s="2" t="s">
        <v>968</v>
      </c>
      <c r="B23" s="3">
        <v>22.0</v>
      </c>
      <c r="C23" s="4" t="s">
        <v>912</v>
      </c>
      <c r="D23" s="4" t="s">
        <v>913</v>
      </c>
      <c r="E23" s="4" t="s">
        <v>914</v>
      </c>
      <c r="F23" s="4" t="s">
        <v>915</v>
      </c>
      <c r="G23" s="4" t="s">
        <v>916</v>
      </c>
      <c r="H23" s="4" t="s">
        <v>917</v>
      </c>
      <c r="I23" s="4" t="s">
        <v>914</v>
      </c>
      <c r="J23" s="4" t="s">
        <v>918</v>
      </c>
      <c r="M23" s="4" t="s">
        <v>968</v>
      </c>
      <c r="N23" s="5">
        <v>22.0</v>
      </c>
      <c r="O23" s="4" t="str">
        <f>IFERROR(__xludf.DUMMYFUNCTION("GOOGLETRANSLATE(C23,""en"",""th"")"),"ลักษณะเด่นของการเคลื่อนไหวของผู้เล่นคืออะไร?")</f>
        <v>ลักษณะเด่นของการเคลื่อนไหวของผู้เล่นคืออะไร?</v>
      </c>
      <c r="P23" s="4" t="str">
        <f>IFERROR(__xludf.DUMMYFUNCTION("GOOGLETRANSLATE(D23,""en"",""th"")"),"การใช้มือ")</f>
        <v>การใช้มือ</v>
      </c>
      <c r="Q23" s="4" t="str">
        <f>IFERROR(__xludf.DUMMYFUNCTION("GOOGLETRANSLATE(E23,""en"",""th"")"),"การใช้เท้า ศีรษะ และหน้าอก")</f>
        <v>การใช้เท้า ศีรษะ และหน้าอก</v>
      </c>
      <c r="R23" s="4" t="str">
        <f>IFERROR(__xludf.DUMMYFUNCTION("GOOGLETRANSLATE(F23,""en"",""th"")"),"การใช้แร็กเกต")</f>
        <v>การใช้แร็กเกต</v>
      </c>
      <c r="S23" s="4" t="str">
        <f>IFERROR(__xludf.DUMMYFUNCTION("GOOGLETRANSLATE(G23,""en"",""th"")"),"การใช้ไม้ตี")</f>
        <v>การใช้ไม้ตี</v>
      </c>
      <c r="T23" s="4" t="s">
        <v>919</v>
      </c>
      <c r="U23" s="4" t="str">
        <f>IFERROR(__xludf.DUMMYFUNCTION("GOOGLETRANSLATE(I23,""en"",""th"")"),"การใช้เท้า ศีรษะ และหน้าอก")</f>
        <v>การใช้เท้า ศีรษะ และหน้าอก</v>
      </c>
      <c r="V23" s="4" t="str">
        <f>IFERROR(__xludf.DUMMYFUNCTION("GOOGLETRANSLATE(J23,""en"",""th"")"),"กีฬาเซปักตะกร้อมีความพิเศษตรงที่ห้ามผู้เล่นใช้มือและต้องใช้เท้า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24" ht="22.5" customHeight="1">
      <c r="A24" s="2" t="s">
        <v>968</v>
      </c>
      <c r="B24" s="3">
        <v>23.0</v>
      </c>
      <c r="C24" s="4" t="s">
        <v>952</v>
      </c>
      <c r="D24" s="4" t="s">
        <v>953</v>
      </c>
      <c r="E24" s="4" t="s">
        <v>954</v>
      </c>
      <c r="F24" s="4" t="s">
        <v>662</v>
      </c>
      <c r="G24" s="4" t="s">
        <v>931</v>
      </c>
      <c r="H24" s="4" t="s">
        <v>955</v>
      </c>
      <c r="I24" s="4" t="s">
        <v>954</v>
      </c>
      <c r="J24" s="4" t="s">
        <v>956</v>
      </c>
      <c r="M24" s="4" t="s">
        <v>968</v>
      </c>
      <c r="N24" s="5">
        <v>23.0</v>
      </c>
      <c r="O24" s="4" t="str">
        <f>IFERROR(__xludf.DUMMYFUNCTION("GOOGLETRANSLATE(C24,""en"",""th"")"),"ผู้เล่นกำลังเตะขาอยู่กลางอากาศ จุดประสงค์ของการเคลื่อนไหวนี้คืออะไร?")</f>
        <v>ผู้เล่นกำลังเตะขาอยู่กลางอากาศ จุดประสงค์ของการเคลื่อนไหวนี้คืออะไร?</v>
      </c>
      <c r="P24" s="4" t="str">
        <f>IFERROR(__xludf.DUMMYFUNCTION("GOOGLETRANSLATE(D24,""en"",""th"")"),"เพื่อยืดขาของเขา")</f>
        <v>เพื่อยืดขาของเขา</v>
      </c>
      <c r="Q24" s="4" t="str">
        <f>IFERROR(__xludf.DUMMYFUNCTION("GOOGLETRANSLATE(E24,""en"",""th"")"),"การตีลูกให้ข้ามตาข่ายไป")</f>
        <v>การตีลูกให้ข้ามตาข่ายไป</v>
      </c>
      <c r="R24" s="4" t="str">
        <f>IFERROR(__xludf.DUMMYFUNCTION("GOOGLETRANSLATE(F24,""en"",""th"")"),"เพื่อแสดงความสามารถของตัวเอง")</f>
        <v>เพื่อแสดงความสามารถของตัวเอง</v>
      </c>
      <c r="S24" s="4" t="str">
        <f>IFERROR(__xludf.DUMMYFUNCTION("GOOGLETRANSLATE(G24,""en"",""th"")"),"เพื่อทำให้เกมยากยิ่งขึ้น")</f>
        <v>เพื่อทำให้เกมยากยิ่งขึ้น</v>
      </c>
      <c r="T24" s="4" t="s">
        <v>957</v>
      </c>
      <c r="U24" s="4" t="str">
        <f>IFERROR(__xludf.DUMMYFUNCTION("GOOGLETRANSLATE(I24,""en"",""th"")"),"การตีลูกให้ข้ามตาข่ายไป")</f>
        <v>การตีลูกให้ข้ามตาข่ายไป</v>
      </c>
      <c r="V24" s="4" t="str">
        <f>IFERROR(__xludf.DUMMYFUNCTION("GOOGLETRANSLATE(J24,""en"",""th"")"),"ผู้เล่นกำลังเตะบอลแรงๆ สูงและแรงสูงเพื่อส่งลูกบอลขึ้นสูงและรวดเร็วข้ามตาข่าย ทำให้ฝ่ายตรงข้ามโต้ตอบได้ยาก")</f>
        <v>ผู้เล่นกำลังเตะบอลแรงๆ สูงและแรงสูงเพื่อส่งลูกบอลขึ้นสูงและรวดเร็วข้ามตาข่าย ทำให้ฝ่ายตรงข้ามโต้ตอบได้ยาก</v>
      </c>
    </row>
    <row r="25" ht="22.5" customHeight="1">
      <c r="A25" s="2" t="s">
        <v>968</v>
      </c>
      <c r="B25" s="3">
        <v>24.0</v>
      </c>
      <c r="C25" s="4" t="s">
        <v>935</v>
      </c>
      <c r="D25" s="4" t="s">
        <v>936</v>
      </c>
      <c r="E25" s="4" t="s">
        <v>937</v>
      </c>
      <c r="F25" s="4" t="s">
        <v>938</v>
      </c>
      <c r="G25" s="4" t="s">
        <v>939</v>
      </c>
      <c r="H25" s="4" t="s">
        <v>940</v>
      </c>
      <c r="I25" s="4" t="s">
        <v>936</v>
      </c>
      <c r="J25" s="4" t="s">
        <v>941</v>
      </c>
      <c r="M25" s="4" t="s">
        <v>968</v>
      </c>
      <c r="N25" s="5">
        <v>24.0</v>
      </c>
      <c r="O25" s="4" t="str">
        <f>IFERROR(__xludf.DUMMYFUNCTION("GOOGLETRANSLATE(C25,""en"",""th"")"),"ผู้เล่นอยู่ในสภาพแวดล้อมประเภทใด?")</f>
        <v>ผู้เล่นอยู่ในสภาพแวดล้อมประเภทใด?</v>
      </c>
      <c r="P25" s="4" t="str">
        <f>IFERROR(__xludf.DUMMYFUNCTION("GOOGLETRANSLATE(D25,""en"",""th"")"),"สนามกีฬาในร่มที่ทันสมัย")</f>
        <v>สนามกีฬาในร่มที่ทันสมัย</v>
      </c>
      <c r="Q25" s="4" t="str">
        <f>IFERROR(__xludf.DUMMYFUNCTION("GOOGLETRANSLATE(E25,""en"",""th"")"),"สนามกลางแจ้งแบบดั้งเดิม")</f>
        <v>สนามกลางแจ้งแบบดั้งเดิม</v>
      </c>
      <c r="R25" s="4" t="str">
        <f>IFERROR(__xludf.DUMMYFUNCTION("GOOGLETRANSLATE(F25,""en"",""th"")"),"ชายหาด")</f>
        <v>ชายหาด</v>
      </c>
      <c r="S25" s="4" t="str">
        <f>IFERROR(__xludf.DUMMYFUNCTION("GOOGLETRANSLATE(G25,""en"",""th"")"),"สวนสาธารณะ")</f>
        <v>สวนสาธารณะ</v>
      </c>
      <c r="T25" s="4" t="s">
        <v>942</v>
      </c>
      <c r="U25" s="4" t="str">
        <f>IFERROR(__xludf.DUMMYFUNCTION("GOOGLETRANSLATE(I25,""en"",""th"")"),"สนามกีฬาในร่มที่ทันสมัย")</f>
        <v>สนามกีฬาในร่มที่ทันสมัย</v>
      </c>
      <c r="V25" s="4" t="str">
        <f>IFERROR(__xludf.DUMMYFUNCTION("GOOGLETRANSLATE(J25,""en"",""th"")"),"ภาพนี้แสดงให้เห็นสนามในร่มพร้อมแสงไฟระดับมืออาชีพ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f>
        <v>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v>
      </c>
    </row>
    <row r="26" ht="22.5" customHeight="1">
      <c r="A26" s="2" t="s">
        <v>968</v>
      </c>
      <c r="B26" s="3">
        <v>25.0</v>
      </c>
      <c r="C26" s="4" t="s">
        <v>959</v>
      </c>
      <c r="D26" s="4" t="s">
        <v>960</v>
      </c>
      <c r="E26" s="4" t="s">
        <v>961</v>
      </c>
      <c r="F26" s="4" t="s">
        <v>962</v>
      </c>
      <c r="G26" s="4" t="s">
        <v>963</v>
      </c>
      <c r="H26" s="4" t="s">
        <v>964</v>
      </c>
      <c r="I26" s="4" t="s">
        <v>961</v>
      </c>
      <c r="J26" s="4" t="s">
        <v>965</v>
      </c>
      <c r="M26" s="4" t="s">
        <v>968</v>
      </c>
      <c r="N26" s="5">
        <v>25.0</v>
      </c>
      <c r="O26" s="4" t="str">
        <f>IFERROR(__xludf.DUMMYFUNCTION("GOOGLETRANSLATE(C26,""en"",""th"")"),"จากภาพนี้สามารถอนุมานสถานะของเกมได้อย่างไร?")</f>
        <v>จากภาพนี้สามารถอนุมานสถานะของเกมได้อย่างไร?</v>
      </c>
      <c r="P26" s="4" t="str">
        <f>IFERROR(__xludf.DUMMYFUNCTION("GOOGLETRANSLATE(D26,""en"",""th"")"),"มันเป็นกีฬาที่ไม่มีใครรู้จัก")</f>
        <v>มันเป็นกีฬาที่ไม่มีใครรู้จัก</v>
      </c>
      <c r="Q26" s="4" t="str">
        <f>IFERROR(__xludf.DUMMYFUNCTION("GOOGLETRANSLATE(E26,""en"",""th"")"),"เป็นกีฬาอาชีพที่มีการจัดการแข่งขันอย่างเป็นระบบ")</f>
        <v>เป็นกีฬาอาชีพที่มีการจัดการแข่งขันอย่างเป็นระบบ</v>
      </c>
      <c r="R26" s="4" t="str">
        <f>IFERROR(__xludf.DUMMYFUNCTION("GOOGLETRANSLATE(F26,""en"",""th"")"),"มันเป็นเพียงกิจกรรมยามว่างธรรมดา")</f>
        <v>มันเป็นเพียงกิจกรรมยามว่างธรรมดา</v>
      </c>
      <c r="S26" s="4" t="str">
        <f>IFERROR(__xludf.DUMMYFUNCTION("GOOGLETRANSLATE(G26,""en"",""th"")"),"มันเป็นเกมสำหรับเด็ก")</f>
        <v>มันเป็นเกมสำหรับเด็ก</v>
      </c>
      <c r="T26" s="4" t="s">
        <v>966</v>
      </c>
      <c r="U26" s="4" t="str">
        <f>IFERROR(__xludf.DUMMYFUNCTION("GOOGLETRANSLATE(I26,""en"",""th"")"),"เป็นกีฬาอาชีพที่มีการจัดการแข่งขันอย่างเป็นระบบ")</f>
        <v>เป็นกีฬาอาชีพที่มีการจัดการแข่งขันอย่างเป็นระบบ</v>
      </c>
      <c r="V26" s="4" t="str">
        <f>IFERROR(__xludf.DUMMYFUNCTION("GOOGLETRANSLATE(J26,""en"",""th"")"),"ทั้งชุดแข่งขัน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f>
        <v>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v>
      </c>
    </row>
    <row r="27" ht="22.5" customHeight="1">
      <c r="A27" s="2" t="s">
        <v>969</v>
      </c>
      <c r="B27" s="3">
        <v>26.0</v>
      </c>
      <c r="C27" s="4" t="s">
        <v>21</v>
      </c>
      <c r="D27" s="4" t="s">
        <v>908</v>
      </c>
      <c r="E27" s="4" t="s">
        <v>947</v>
      </c>
      <c r="F27" s="4" t="s">
        <v>909</v>
      </c>
      <c r="G27" s="4" t="s">
        <v>948</v>
      </c>
      <c r="H27" s="4" t="s">
        <v>949</v>
      </c>
      <c r="I27" s="4" t="s">
        <v>909</v>
      </c>
      <c r="J27" s="4" t="s">
        <v>950</v>
      </c>
      <c r="M27" s="4" t="s">
        <v>969</v>
      </c>
      <c r="N27" s="5">
        <v>26.0</v>
      </c>
      <c r="O27" s="4" t="str">
        <f>IFERROR(__xludf.DUMMYFUNCTION("GOOGLETRANSLATE(C27,""en"",""th"")"),"ภาพที่แสดงเป็นกิจกรรมหลักอะไร?")</f>
        <v>ภาพที่แสดงเป็นกิจกรรมหลักอะไร?</v>
      </c>
      <c r="P27" s="4" t="str">
        <f>IFERROR(__xludf.DUMMYFUNCTION("GOOGLETRANSLATE(D27,""en"",""th"")"),"การแข่งขันแบดมินตัน")</f>
        <v>การแข่งขันแบดมินตัน</v>
      </c>
      <c r="Q27" s="4" t="str">
        <f>IFERROR(__xludf.DUMMYFUNCTION("GOOGLETRANSLATE(E27,""en"",""th"")"),"เกมวอลเลย์บอล")</f>
        <v>เกมวอลเลย์บอล</v>
      </c>
      <c r="R27" s="4" t="str">
        <f>IFERROR(__xludf.DUMMYFUNCTION("GOOGLETRANSLATE(F27,""en"",""th"")"),"การแข่งขันตะกร้อเซปักตะกร้อ")</f>
        <v>การแข่งขันตะกร้อเซปักตะกร้อ</v>
      </c>
      <c r="S27" s="4" t="str">
        <f>IFERROR(__xludf.DUMMYFUNCTION("GOOGLETRANSLATE(G27,""en"",""th"")"),"เกมฟุตบอล")</f>
        <v>เกมฟุตบอล</v>
      </c>
      <c r="T27" s="4" t="s">
        <v>951</v>
      </c>
      <c r="U27" s="4" t="str">
        <f>IFERROR(__xludf.DUMMYFUNCTION("GOOGLETRANSLATE(I27,""en"",""th"")"),"การแข่งขันตะกร้อเซปักตะกร้อ")</f>
        <v>การแข่งขันตะกร้อเซปักตะกร้อ</v>
      </c>
      <c r="V27" s="4" t="str">
        <f>IFERROR(__xludf.DUMMYFUNCTION("GOOGLETRANSLATE(J27,""en"",""th"")"),"รูปภาพแสดงให้เห็นผู้เล่นในชุดยูนิฟอร์มกำลังเตะลูกบอลที่ถักทอข้ามตาข่าย ซึ่งเป็นสิ่งบ่งชี้ที่ชัดเจนว่าเป็นการแข่งขันตะกร้อ")</f>
        <v>รูปภาพแสดงให้เห็นผู้เล่นในชุดยูนิฟอร์มกำลังเตะลูกบอลที่ถักทอข้ามตาข่าย ซึ่งเป็นสิ่งบ่งชี้ที่ชัดเจนว่าเป็นการแข่งขันตะกร้อ</v>
      </c>
    </row>
    <row r="28" ht="22.5" customHeight="1">
      <c r="A28" s="2" t="s">
        <v>969</v>
      </c>
      <c r="B28" s="3">
        <v>27.0</v>
      </c>
      <c r="C28" s="4" t="s">
        <v>912</v>
      </c>
      <c r="D28" s="4" t="s">
        <v>913</v>
      </c>
      <c r="E28" s="4" t="s">
        <v>914</v>
      </c>
      <c r="F28" s="4" t="s">
        <v>915</v>
      </c>
      <c r="G28" s="4" t="s">
        <v>916</v>
      </c>
      <c r="H28" s="4" t="s">
        <v>917</v>
      </c>
      <c r="I28" s="4" t="s">
        <v>914</v>
      </c>
      <c r="J28" s="4" t="s">
        <v>918</v>
      </c>
      <c r="M28" s="4" t="s">
        <v>969</v>
      </c>
      <c r="N28" s="5">
        <v>27.0</v>
      </c>
      <c r="O28" s="4" t="str">
        <f>IFERROR(__xludf.DUMMYFUNCTION("GOOGLETRANSLATE(C28,""en"",""th"")"),"ลักษณะเด่นของการเคลื่อนไหวของผู้เล่นคืออะไร?")</f>
        <v>ลักษณะเด่นของการเคลื่อนไหวของผู้เล่นคืออะไร?</v>
      </c>
      <c r="P28" s="4" t="str">
        <f>IFERROR(__xludf.DUMMYFUNCTION("GOOGLETRANSLATE(D28,""en"",""th"")"),"การใช้มือ")</f>
        <v>การใช้มือ</v>
      </c>
      <c r="Q28" s="4" t="str">
        <f>IFERROR(__xludf.DUMMYFUNCTION("GOOGLETRANSLATE(E28,""en"",""th"")"),"การใช้เท้า ศีรษะ และหน้าอก")</f>
        <v>การใช้เท้า ศีรษะ และหน้าอก</v>
      </c>
      <c r="R28" s="4" t="str">
        <f>IFERROR(__xludf.DUMMYFUNCTION("GOOGLETRANSLATE(F28,""en"",""th"")"),"การใช้แร็กเกต")</f>
        <v>การใช้แร็กเกต</v>
      </c>
      <c r="S28" s="4" t="str">
        <f>IFERROR(__xludf.DUMMYFUNCTION("GOOGLETRANSLATE(G28,""en"",""th"")"),"การใช้ไม้ตี")</f>
        <v>การใช้ไม้ตี</v>
      </c>
      <c r="T28" s="4" t="s">
        <v>919</v>
      </c>
      <c r="U28" s="4" t="str">
        <f>IFERROR(__xludf.DUMMYFUNCTION("GOOGLETRANSLATE(I28,""en"",""th"")"),"การใช้เท้า ศีรษะ และหน้าอก")</f>
        <v>การใช้เท้า ศีรษะ และหน้าอก</v>
      </c>
      <c r="V28" s="4" t="str">
        <f>IFERROR(__xludf.DUMMYFUNCTION("GOOGLETRANSLATE(J28,""en"",""th"")"),"กีฬาเซปักตะกร้อมีความพิเศษตรงที่ห้ามผู้เล่นใช้มือและต้องใช้เท้า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29" ht="22.5" customHeight="1">
      <c r="A29" s="2" t="s">
        <v>969</v>
      </c>
      <c r="B29" s="3">
        <v>28.0</v>
      </c>
      <c r="C29" s="4" t="s">
        <v>952</v>
      </c>
      <c r="D29" s="4" t="s">
        <v>953</v>
      </c>
      <c r="E29" s="4" t="s">
        <v>954</v>
      </c>
      <c r="F29" s="4" t="s">
        <v>662</v>
      </c>
      <c r="G29" s="4" t="s">
        <v>931</v>
      </c>
      <c r="H29" s="4" t="s">
        <v>955</v>
      </c>
      <c r="I29" s="4" t="s">
        <v>954</v>
      </c>
      <c r="J29" s="4" t="s">
        <v>956</v>
      </c>
      <c r="M29" s="4" t="s">
        <v>969</v>
      </c>
      <c r="N29" s="5">
        <v>28.0</v>
      </c>
      <c r="O29" s="4" t="str">
        <f>IFERROR(__xludf.DUMMYFUNCTION("GOOGLETRANSLATE(C29,""en"",""th"")"),"ผู้เล่นกำลังเตะขาอยู่กลางอากาศ จุดประสงค์ของการเคลื่อนไหวนี้คืออะไร?")</f>
        <v>ผู้เล่นกำลังเตะขาอยู่กลางอากาศ จุดประสงค์ของการเคลื่อนไหวนี้คืออะไร?</v>
      </c>
      <c r="P29" s="4" t="str">
        <f>IFERROR(__xludf.DUMMYFUNCTION("GOOGLETRANSLATE(D29,""en"",""th"")"),"เพื่อยืดขาของเขา")</f>
        <v>เพื่อยืดขาของเขา</v>
      </c>
      <c r="Q29" s="4" t="str">
        <f>IFERROR(__xludf.DUMMYFUNCTION("GOOGLETRANSLATE(E29,""en"",""th"")"),"การตีลูกให้ข้ามตาข่ายไป")</f>
        <v>การตีลูกให้ข้ามตาข่ายไป</v>
      </c>
      <c r="R29" s="4" t="str">
        <f>IFERROR(__xludf.DUMMYFUNCTION("GOOGLETRANSLATE(F29,""en"",""th"")"),"เพื่อแสดงความสามารถของตัวเอง")</f>
        <v>เพื่อแสดงความสามารถของตัวเอง</v>
      </c>
      <c r="S29" s="4" t="str">
        <f>IFERROR(__xludf.DUMMYFUNCTION("GOOGLETRANSLATE(G29,""en"",""th"")"),"เพื่อทำให้เกมยากยิ่งขึ้น")</f>
        <v>เพื่อทำให้เกมยากยิ่งขึ้น</v>
      </c>
      <c r="T29" s="4" t="s">
        <v>957</v>
      </c>
      <c r="U29" s="4" t="str">
        <f>IFERROR(__xludf.DUMMYFUNCTION("GOOGLETRANSLATE(I29,""en"",""th"")"),"การตีลูกให้ข้ามตาข่ายไป")</f>
        <v>การตีลูกให้ข้ามตาข่ายไป</v>
      </c>
      <c r="V29" s="4" t="str">
        <f>IFERROR(__xludf.DUMMYFUNCTION("GOOGLETRANSLATE(J29,""en"",""th"")"),"ผู้เล่นกำลังเตะบอลแรงๆ สูงและแรงสูงเพื่อส่งลูกบอลขึ้นสูงและรวดเร็วข้ามตาข่าย ทำให้ฝ่ายตรงข้ามโต้ตอบได้ยาก")</f>
        <v>ผู้เล่นกำลังเตะบอลแรงๆ สูงและแรงสูงเพื่อส่งลูกบอลขึ้นสูงและรวดเร็วข้ามตาข่าย ทำให้ฝ่ายตรงข้ามโต้ตอบได้ยาก</v>
      </c>
    </row>
    <row r="30" ht="22.5" customHeight="1">
      <c r="A30" s="2" t="s">
        <v>969</v>
      </c>
      <c r="B30" s="3">
        <v>29.0</v>
      </c>
      <c r="C30" s="4" t="s">
        <v>935</v>
      </c>
      <c r="D30" s="4" t="s">
        <v>936</v>
      </c>
      <c r="E30" s="4" t="s">
        <v>937</v>
      </c>
      <c r="F30" s="4" t="s">
        <v>938</v>
      </c>
      <c r="G30" s="4" t="s">
        <v>939</v>
      </c>
      <c r="H30" s="4" t="s">
        <v>940</v>
      </c>
      <c r="I30" s="4" t="s">
        <v>937</v>
      </c>
      <c r="J30" s="4" t="s">
        <v>970</v>
      </c>
      <c r="M30" s="4" t="s">
        <v>969</v>
      </c>
      <c r="N30" s="5">
        <v>29.0</v>
      </c>
      <c r="O30" s="4" t="str">
        <f>IFERROR(__xludf.DUMMYFUNCTION("GOOGLETRANSLATE(C30,""en"",""th"")"),"ผู้เล่นอยู่ในสภาพแวดล้อมประเภทใด?")</f>
        <v>ผู้เล่นอยู่ในสภาพแวดล้อมประเภทใด?</v>
      </c>
      <c r="P30" s="4" t="str">
        <f>IFERROR(__xludf.DUMMYFUNCTION("GOOGLETRANSLATE(D30,""en"",""th"")"),"สนามกีฬาในร่มที่ทันสมัย")</f>
        <v>สนามกีฬาในร่มที่ทันสมัย</v>
      </c>
      <c r="Q30" s="4" t="str">
        <f>IFERROR(__xludf.DUMMYFUNCTION("GOOGLETRANSLATE(E30,""en"",""th"")"),"สนามกลางแจ้งแบบดั้งเดิม")</f>
        <v>สนามกลางแจ้งแบบดั้งเดิม</v>
      </c>
      <c r="R30" s="4" t="str">
        <f>IFERROR(__xludf.DUMMYFUNCTION("GOOGLETRANSLATE(F30,""en"",""th"")"),"ชายหาด")</f>
        <v>ชายหาด</v>
      </c>
      <c r="S30" s="4" t="str">
        <f>IFERROR(__xludf.DUMMYFUNCTION("GOOGLETRANSLATE(G30,""en"",""th"")"),"สวนสาธารณะ")</f>
        <v>สวนสาธารณะ</v>
      </c>
      <c r="T30" s="4" t="s">
        <v>942</v>
      </c>
      <c r="U30" s="4" t="str">
        <f>IFERROR(__xludf.DUMMYFUNCTION("GOOGLETRANSLATE(I30,""en"",""th"")"),"สนามกลางแจ้งแบบดั้งเดิม")</f>
        <v>สนามกลางแจ้งแบบดั้งเดิม</v>
      </c>
      <c r="V30" s="4" t="str">
        <f>IFERROR(__xludf.DUMMYFUNCTION("GOOGLETRANSLATE(J30,""en"",""th"")"),"ภาพนี้แสดงให้เห็นสนามกลางแจ้งที่มีตาข่าย และมีต้นไม้และพืชพรรณสีเขียวเป็นฉากหลัง ซึ่งเป็นฉากทั่วไปของสนามกลางแจ้งแบบดั้งเดิม")</f>
        <v>ภาพนี้แสดงให้เห็นสนามกลางแจ้งที่มีตาข่าย และมีต้นไม้และพืชพรรณสีเขียวเป็นฉากหลัง ซึ่งเป็นฉากทั่วไปของสนามกลางแจ้งแบบดั้งเดิม</v>
      </c>
    </row>
    <row r="31" ht="22.5" customHeight="1">
      <c r="A31" s="2" t="s">
        <v>969</v>
      </c>
      <c r="B31" s="3">
        <v>30.0</v>
      </c>
      <c r="C31" s="4" t="s">
        <v>959</v>
      </c>
      <c r="D31" s="4" t="s">
        <v>960</v>
      </c>
      <c r="E31" s="4" t="s">
        <v>961</v>
      </c>
      <c r="F31" s="4" t="s">
        <v>962</v>
      </c>
      <c r="G31" s="4" t="s">
        <v>963</v>
      </c>
      <c r="H31" s="4" t="s">
        <v>964</v>
      </c>
      <c r="I31" s="4" t="s">
        <v>962</v>
      </c>
      <c r="J31" s="4" t="s">
        <v>971</v>
      </c>
      <c r="M31" s="4" t="s">
        <v>969</v>
      </c>
      <c r="N31" s="5">
        <v>30.0</v>
      </c>
      <c r="O31" s="4" t="str">
        <f>IFERROR(__xludf.DUMMYFUNCTION("GOOGLETRANSLATE(C31,""en"",""th"")"),"จากภาพนี้สามารถอนุมานสถานะของเกมได้อย่างไร?")</f>
        <v>จากภาพนี้สามารถอนุมานสถานะของเกมได้อย่างไร?</v>
      </c>
      <c r="P31" s="4" t="str">
        <f>IFERROR(__xludf.DUMMYFUNCTION("GOOGLETRANSLATE(D31,""en"",""th"")"),"มันเป็นกีฬาที่ไม่มีใครรู้จัก")</f>
        <v>มันเป็นกีฬาที่ไม่มีใครรู้จัก</v>
      </c>
      <c r="Q31" s="4" t="str">
        <f>IFERROR(__xludf.DUMMYFUNCTION("GOOGLETRANSLATE(E31,""en"",""th"")"),"เป็นกีฬาอาชีพที่มีการจัดการแข่งขันอย่างเป็นระบบ")</f>
        <v>เป็นกีฬาอาชีพที่มีการจัดการแข่งขันอย่างเป็นระบบ</v>
      </c>
      <c r="R31" s="4" t="str">
        <f>IFERROR(__xludf.DUMMYFUNCTION("GOOGLETRANSLATE(F31,""en"",""th"")"),"มันเป็นเพียงกิจกรรมยามว่างธรรมดา")</f>
        <v>มันเป็นเพียงกิจกรรมยามว่างธรรมดา</v>
      </c>
      <c r="S31" s="4" t="str">
        <f>IFERROR(__xludf.DUMMYFUNCTION("GOOGLETRANSLATE(G31,""en"",""th"")"),"มันเป็นเกมสำหรับเด็ก")</f>
        <v>มันเป็นเกมสำหรับเด็ก</v>
      </c>
      <c r="T31" s="4" t="s">
        <v>966</v>
      </c>
      <c r="U31" s="4" t="str">
        <f>IFERROR(__xludf.DUMMYFUNCTION("GOOGLETRANSLATE(I31,""en"",""th"")"),"มันเป็นเพียงกิจกรรมยามว่างธรรมดา")</f>
        <v>มันเป็นเพียงกิจกรรมยามว่างธรรมดา</v>
      </c>
      <c r="V31" s="4" t="str">
        <f>IFERROR(__xludf.DUMMYFUNCTION("GOOGLETRANSLATE(J31,""en"",""th"")"),"บรรยากาศที่เป็นกันเอง ไม่มีแสงไฟจากมืออาชีพหรือแบนเนอร์ของผู้สนับสนุน บ่งบอกว่านี่เป็นเพียงกิจกรรมยามว่างสบายๆ")</f>
        <v>บรรยากาศที่เป็นกันเอง ไม่มีแสงไฟจากมืออาชีพหรือแบนเนอร์ของผู้สนับสนุน บ่งบอกว่านี่เป็นเพียงกิจกรรมยามว่างสบายๆ</v>
      </c>
    </row>
    <row r="32" ht="22.5" customHeight="1">
      <c r="A32" s="2" t="s">
        <v>972</v>
      </c>
      <c r="B32" s="3">
        <v>31.0</v>
      </c>
      <c r="C32" s="4" t="s">
        <v>21</v>
      </c>
      <c r="D32" s="4" t="s">
        <v>908</v>
      </c>
      <c r="E32" s="4" t="s">
        <v>947</v>
      </c>
      <c r="F32" s="4" t="s">
        <v>909</v>
      </c>
      <c r="G32" s="4" t="s">
        <v>948</v>
      </c>
      <c r="H32" s="4" t="s">
        <v>949</v>
      </c>
      <c r="I32" s="4" t="s">
        <v>909</v>
      </c>
      <c r="J32" s="4" t="s">
        <v>950</v>
      </c>
      <c r="M32" s="4" t="s">
        <v>972</v>
      </c>
      <c r="N32" s="5">
        <v>31.0</v>
      </c>
      <c r="O32" s="4" t="str">
        <f>IFERROR(__xludf.DUMMYFUNCTION("GOOGLETRANSLATE(C32,""en"",""th"")"),"ภาพที่แสดงเป็นกิจกรรมหลักอะไร?")</f>
        <v>ภาพที่แสดงเป็นกิจกรรมหลักอะไร?</v>
      </c>
      <c r="P32" s="4" t="str">
        <f>IFERROR(__xludf.DUMMYFUNCTION("GOOGLETRANSLATE(D32,""en"",""th"")"),"การแข่งขันแบดมินตัน")</f>
        <v>การแข่งขันแบดมินตัน</v>
      </c>
      <c r="Q32" s="4" t="str">
        <f>IFERROR(__xludf.DUMMYFUNCTION("GOOGLETRANSLATE(E32,""en"",""th"")"),"เกมวอลเลย์บอล")</f>
        <v>เกมวอลเลย์บอล</v>
      </c>
      <c r="R32" s="4" t="str">
        <f>IFERROR(__xludf.DUMMYFUNCTION("GOOGLETRANSLATE(F32,""en"",""th"")"),"การแข่งขันตะกร้อเซปักตะกร้อ")</f>
        <v>การแข่งขันตะกร้อเซปักตะกร้อ</v>
      </c>
      <c r="S32" s="4" t="str">
        <f>IFERROR(__xludf.DUMMYFUNCTION("GOOGLETRANSLATE(G32,""en"",""th"")"),"เกมฟุตบอล")</f>
        <v>เกมฟุตบอล</v>
      </c>
      <c r="T32" s="4" t="s">
        <v>951</v>
      </c>
      <c r="U32" s="4" t="str">
        <f>IFERROR(__xludf.DUMMYFUNCTION("GOOGLETRANSLATE(I32,""en"",""th"")"),"การแข่งขันตะกร้อเซปักตะกร้อ")</f>
        <v>การแข่งขันตะกร้อเซปักตะกร้อ</v>
      </c>
      <c r="V32" s="4" t="str">
        <f>IFERROR(__xludf.DUMMYFUNCTION("GOOGLETRANSLATE(J32,""en"",""th"")"),"รูปภาพแสดงให้เห็นผู้เล่นในชุดยูนิฟอร์มกำลังเตะลูกบอลที่ถักทอข้ามตาข่าย ซึ่งเป็นสิ่งบ่งชี้ที่ชัดเจนว่าเป็นการแข่งขันตะกร้อ")</f>
        <v>รูปภาพแสดงให้เห็นผู้เล่นในชุดยูนิฟอร์มกำลังเตะลูกบอลที่ถักทอข้ามตาข่าย ซึ่งเป็นสิ่งบ่งชี้ที่ชัดเจนว่าเป็นการแข่งขันตะกร้อ</v>
      </c>
    </row>
    <row r="33" ht="22.5" customHeight="1">
      <c r="A33" s="2" t="s">
        <v>972</v>
      </c>
      <c r="B33" s="3">
        <v>32.0</v>
      </c>
      <c r="C33" s="4" t="s">
        <v>912</v>
      </c>
      <c r="D33" s="4" t="s">
        <v>913</v>
      </c>
      <c r="E33" s="4" t="s">
        <v>914</v>
      </c>
      <c r="F33" s="4" t="s">
        <v>915</v>
      </c>
      <c r="G33" s="4" t="s">
        <v>916</v>
      </c>
      <c r="H33" s="4" t="s">
        <v>917</v>
      </c>
      <c r="I33" s="4" t="s">
        <v>914</v>
      </c>
      <c r="J33" s="4" t="s">
        <v>918</v>
      </c>
      <c r="M33" s="4" t="s">
        <v>972</v>
      </c>
      <c r="N33" s="5">
        <v>32.0</v>
      </c>
      <c r="O33" s="4" t="str">
        <f>IFERROR(__xludf.DUMMYFUNCTION("GOOGLETRANSLATE(C33,""en"",""th"")"),"ลักษณะเด่นของการเคลื่อนไหวของผู้เล่นคืออะไร?")</f>
        <v>ลักษณะเด่นของการเคลื่อนไหวของผู้เล่นคืออะไร?</v>
      </c>
      <c r="P33" s="4" t="str">
        <f>IFERROR(__xludf.DUMMYFUNCTION("GOOGLETRANSLATE(D33,""en"",""th"")"),"การใช้มือ")</f>
        <v>การใช้มือ</v>
      </c>
      <c r="Q33" s="4" t="str">
        <f>IFERROR(__xludf.DUMMYFUNCTION("GOOGLETRANSLATE(E33,""en"",""th"")"),"การใช้เท้า ศีรษะ และหน้าอก")</f>
        <v>การใช้เท้า ศีรษะ และหน้าอก</v>
      </c>
      <c r="R33" s="4" t="str">
        <f>IFERROR(__xludf.DUMMYFUNCTION("GOOGLETRANSLATE(F33,""en"",""th"")"),"การใช้แร็กเกต")</f>
        <v>การใช้แร็กเกต</v>
      </c>
      <c r="S33" s="4" t="str">
        <f>IFERROR(__xludf.DUMMYFUNCTION("GOOGLETRANSLATE(G33,""en"",""th"")"),"การใช้ไม้ตี")</f>
        <v>การใช้ไม้ตี</v>
      </c>
      <c r="T33" s="4" t="s">
        <v>919</v>
      </c>
      <c r="U33" s="4" t="str">
        <f>IFERROR(__xludf.DUMMYFUNCTION("GOOGLETRANSLATE(I33,""en"",""th"")"),"การใช้เท้า ศีรษะ และหน้าอก")</f>
        <v>การใช้เท้า ศีรษะ และหน้าอก</v>
      </c>
      <c r="V33" s="4" t="str">
        <f>IFERROR(__xludf.DUMMYFUNCTION("GOOGLETRANSLATE(J33,""en"",""th"")"),"กีฬาเซปักตะกร้อมีความพิเศษตรงที่ห้ามผู้เล่นใช้มือและต้องใช้เท้า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34" ht="22.5" customHeight="1">
      <c r="A34" s="2" t="s">
        <v>972</v>
      </c>
      <c r="B34" s="3">
        <v>33.0</v>
      </c>
      <c r="C34" s="4" t="s">
        <v>952</v>
      </c>
      <c r="D34" s="4" t="s">
        <v>953</v>
      </c>
      <c r="E34" s="4" t="s">
        <v>954</v>
      </c>
      <c r="F34" s="4" t="s">
        <v>662</v>
      </c>
      <c r="G34" s="4" t="s">
        <v>931</v>
      </c>
      <c r="H34" s="4" t="s">
        <v>955</v>
      </c>
      <c r="I34" s="4" t="s">
        <v>954</v>
      </c>
      <c r="J34" s="4" t="s">
        <v>956</v>
      </c>
      <c r="M34" s="4" t="s">
        <v>972</v>
      </c>
      <c r="N34" s="5">
        <v>33.0</v>
      </c>
      <c r="O34" s="4" t="str">
        <f>IFERROR(__xludf.DUMMYFUNCTION("GOOGLETRANSLATE(C34,""en"",""th"")"),"ผู้เล่นกำลังเตะขาอยู่กลางอากาศ จุดประสงค์ของการเคลื่อนไหวนี้คืออะไร?")</f>
        <v>ผู้เล่นกำลังเตะขาอยู่กลางอากาศ จุดประสงค์ของการเคลื่อนไหวนี้คืออะไร?</v>
      </c>
      <c r="P34" s="4" t="str">
        <f>IFERROR(__xludf.DUMMYFUNCTION("GOOGLETRANSLATE(D34,""en"",""th"")"),"เพื่อยืดขาของเขา")</f>
        <v>เพื่อยืดขาของเขา</v>
      </c>
      <c r="Q34" s="4" t="str">
        <f>IFERROR(__xludf.DUMMYFUNCTION("GOOGLETRANSLATE(E34,""en"",""th"")"),"การตีลูกให้ข้ามตาข่ายไป")</f>
        <v>การตีลูกให้ข้ามตาข่ายไป</v>
      </c>
      <c r="R34" s="4" t="str">
        <f>IFERROR(__xludf.DUMMYFUNCTION("GOOGLETRANSLATE(F34,""en"",""th"")"),"เพื่อแสดงความสามารถของตัวเอง")</f>
        <v>เพื่อแสดงความสามารถของตัวเอง</v>
      </c>
      <c r="S34" s="4" t="str">
        <f>IFERROR(__xludf.DUMMYFUNCTION("GOOGLETRANSLATE(G34,""en"",""th"")"),"เพื่อทำให้เกมยากยิ่งขึ้น")</f>
        <v>เพื่อทำให้เกมยากยิ่งขึ้น</v>
      </c>
      <c r="T34" s="4" t="s">
        <v>957</v>
      </c>
      <c r="U34" s="4" t="str">
        <f>IFERROR(__xludf.DUMMYFUNCTION("GOOGLETRANSLATE(I34,""en"",""th"")"),"การตีลูกให้ข้ามตาข่ายไป")</f>
        <v>การตีลูกให้ข้ามตาข่ายไป</v>
      </c>
      <c r="V34" s="4" t="str">
        <f>IFERROR(__xludf.DUMMYFUNCTION("GOOGLETRANSLATE(J34,""en"",""th"")"),"ผู้เล่นกำลังเตะบอลแรงๆ สูงและแรงสูงเพื่อส่งลูกบอลขึ้นสูงและรวดเร็วข้ามตาข่าย ทำให้ฝ่ายตรงข้ามโต้ตอบได้ยาก")</f>
        <v>ผู้เล่นกำลังเตะบอลแรงๆ สูงและแรงสูงเพื่อส่งลูกบอลขึ้นสูงและรวดเร็วข้ามตาข่าย ทำให้ฝ่ายตรงข้ามโต้ตอบได้ยาก</v>
      </c>
    </row>
    <row r="35" ht="22.5" customHeight="1">
      <c r="A35" s="2" t="s">
        <v>972</v>
      </c>
      <c r="B35" s="3">
        <v>34.0</v>
      </c>
      <c r="C35" s="4" t="s">
        <v>935</v>
      </c>
      <c r="D35" s="4" t="s">
        <v>936</v>
      </c>
      <c r="E35" s="4" t="s">
        <v>937</v>
      </c>
      <c r="F35" s="4" t="s">
        <v>938</v>
      </c>
      <c r="G35" s="4" t="s">
        <v>939</v>
      </c>
      <c r="H35" s="4" t="s">
        <v>940</v>
      </c>
      <c r="I35" s="4" t="s">
        <v>936</v>
      </c>
      <c r="J35" s="4" t="s">
        <v>941</v>
      </c>
      <c r="M35" s="4" t="s">
        <v>972</v>
      </c>
      <c r="N35" s="5">
        <v>34.0</v>
      </c>
      <c r="O35" s="4" t="str">
        <f>IFERROR(__xludf.DUMMYFUNCTION("GOOGLETRANSLATE(C35,""en"",""th"")"),"ผู้เล่นอยู่ในสภาพแวดล้อมประเภทใด?")</f>
        <v>ผู้เล่นอยู่ในสภาพแวดล้อมประเภทใด?</v>
      </c>
      <c r="P35" s="4" t="str">
        <f>IFERROR(__xludf.DUMMYFUNCTION("GOOGLETRANSLATE(D35,""en"",""th"")"),"สนามกีฬาในร่มที่ทันสมัย")</f>
        <v>สนามกีฬาในร่มที่ทันสมัย</v>
      </c>
      <c r="Q35" s="4" t="str">
        <f>IFERROR(__xludf.DUMMYFUNCTION("GOOGLETRANSLATE(E35,""en"",""th"")"),"สนามกลางแจ้งแบบดั้งเดิม")</f>
        <v>สนามกลางแจ้งแบบดั้งเดิม</v>
      </c>
      <c r="R35" s="4" t="str">
        <f>IFERROR(__xludf.DUMMYFUNCTION("GOOGLETRANSLATE(F35,""en"",""th"")"),"ชายหาด")</f>
        <v>ชายหาด</v>
      </c>
      <c r="S35" s="4" t="str">
        <f>IFERROR(__xludf.DUMMYFUNCTION("GOOGLETRANSLATE(G35,""en"",""th"")"),"สวนสาธารณะ")</f>
        <v>สวนสาธารณะ</v>
      </c>
      <c r="T35" s="4" t="s">
        <v>942</v>
      </c>
      <c r="U35" s="4" t="str">
        <f>IFERROR(__xludf.DUMMYFUNCTION("GOOGLETRANSLATE(I35,""en"",""th"")"),"สนามกีฬาในร่มที่ทันสมัย")</f>
        <v>สนามกีฬาในร่มที่ทันสมัย</v>
      </c>
      <c r="V35" s="4" t="str">
        <f>IFERROR(__xludf.DUMMYFUNCTION("GOOGLETRANSLATE(J35,""en"",""th"")"),"ภาพนี้แสดงให้เห็นสนามในร่มพร้อมแสงไฟระดับมืออาชีพ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f>
        <v>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v>
      </c>
    </row>
    <row r="36" ht="22.5" customHeight="1">
      <c r="A36" s="2" t="s">
        <v>972</v>
      </c>
      <c r="B36" s="3">
        <v>35.0</v>
      </c>
      <c r="C36" s="4" t="s">
        <v>959</v>
      </c>
      <c r="D36" s="4" t="s">
        <v>960</v>
      </c>
      <c r="E36" s="4" t="s">
        <v>961</v>
      </c>
      <c r="F36" s="4" t="s">
        <v>962</v>
      </c>
      <c r="G36" s="4" t="s">
        <v>963</v>
      </c>
      <c r="H36" s="4" t="s">
        <v>964</v>
      </c>
      <c r="I36" s="4" t="s">
        <v>961</v>
      </c>
      <c r="J36" s="4" t="s">
        <v>965</v>
      </c>
      <c r="M36" s="4" t="s">
        <v>972</v>
      </c>
      <c r="N36" s="5">
        <v>35.0</v>
      </c>
      <c r="O36" s="4" t="str">
        <f>IFERROR(__xludf.DUMMYFUNCTION("GOOGLETRANSLATE(C36,""en"",""th"")"),"จากภาพนี้สามารถอนุมานสถานะของเกมได้อย่างไร?")</f>
        <v>จากภาพนี้สามารถอนุมานสถานะของเกมได้อย่างไร?</v>
      </c>
      <c r="P36" s="4" t="str">
        <f>IFERROR(__xludf.DUMMYFUNCTION("GOOGLETRANSLATE(D36,""en"",""th"")"),"มันเป็นกีฬาที่ไม่มีใครรู้จัก")</f>
        <v>มันเป็นกีฬาที่ไม่มีใครรู้จัก</v>
      </c>
      <c r="Q36" s="4" t="str">
        <f>IFERROR(__xludf.DUMMYFUNCTION("GOOGLETRANSLATE(E36,""en"",""th"")"),"เป็นกีฬาอาชีพที่มีการจัดการแข่งขันอย่างเป็นระบบ")</f>
        <v>เป็นกีฬาอาชีพที่มีการจัดการแข่งขันอย่างเป็นระบบ</v>
      </c>
      <c r="R36" s="4" t="str">
        <f>IFERROR(__xludf.DUMMYFUNCTION("GOOGLETRANSLATE(F36,""en"",""th"")"),"มันเป็นเพียงกิจกรรมยามว่างธรรมดา")</f>
        <v>มันเป็นเพียงกิจกรรมยามว่างธรรมดา</v>
      </c>
      <c r="S36" s="4" t="str">
        <f>IFERROR(__xludf.DUMMYFUNCTION("GOOGLETRANSLATE(G36,""en"",""th"")"),"มันเป็นเกมสำหรับเด็ก")</f>
        <v>มันเป็นเกมสำหรับเด็ก</v>
      </c>
      <c r="T36" s="4" t="s">
        <v>966</v>
      </c>
      <c r="U36" s="4" t="str">
        <f>IFERROR(__xludf.DUMMYFUNCTION("GOOGLETRANSLATE(I36,""en"",""th"")"),"เป็นกีฬาอาชีพที่มีการจัดการแข่งขันอย่างเป็นระบบ")</f>
        <v>เป็นกีฬาอาชีพที่มีการจัดการแข่งขันอย่างเป็นระบบ</v>
      </c>
      <c r="V36" s="4" t="str">
        <f>IFERROR(__xludf.DUMMYFUNCTION("GOOGLETRANSLATE(J36,""en"",""th"")"),"ทั้งชุดแข่งขัน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f>
        <v>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v>
      </c>
    </row>
    <row r="37" ht="22.5" customHeight="1">
      <c r="A37" s="2" t="s">
        <v>973</v>
      </c>
      <c r="B37" s="3">
        <v>36.0</v>
      </c>
      <c r="C37" s="4" t="s">
        <v>882</v>
      </c>
      <c r="D37" s="4" t="s">
        <v>974</v>
      </c>
      <c r="E37" s="4" t="s">
        <v>975</v>
      </c>
      <c r="F37" s="4" t="s">
        <v>976</v>
      </c>
      <c r="G37" s="4" t="s">
        <v>977</v>
      </c>
      <c r="H37" s="4" t="s">
        <v>978</v>
      </c>
      <c r="I37" s="4" t="s">
        <v>975</v>
      </c>
      <c r="J37" s="4" t="s">
        <v>979</v>
      </c>
      <c r="M37" s="4" t="s">
        <v>973</v>
      </c>
      <c r="N37" s="5">
        <v>36.0</v>
      </c>
      <c r="O37" s="4" t="str">
        <f>IFERROR(__xludf.DUMMYFUNCTION("GOOGLETRANSLATE(C37,""en"",""th"")"),"ประเด็นหลักของภาพคืออะไร?")</f>
        <v>ประเด็นหลักของภาพคืออะไร?</v>
      </c>
      <c r="P37" s="4" t="str">
        <f>IFERROR(__xludf.DUMMYFUNCTION("GOOGLETRANSLATE(D37,""en"",""th"")"),"ลูกขนไก่แบดมินตัน")</f>
        <v>ลูกขนไก่แบดมินตัน</v>
      </c>
      <c r="Q37" s="4" t="str">
        <f>IFERROR(__xludf.DUMMYFUNCTION("GOOGLETRANSLATE(E37,""en"",""th"")"),"ลูกตะกร้อ")</f>
        <v>ลูกตะกร้อ</v>
      </c>
      <c r="R37" s="4" t="str">
        <f>IFERROR(__xludf.DUMMYFUNCTION("GOOGLETRANSLATE(F37,""en"",""th"")"),"ลูกวอลเลย์บอล")</f>
        <v>ลูกวอลเลย์บอล</v>
      </c>
      <c r="S37" s="4" t="str">
        <f>IFERROR(__xludf.DUMMYFUNCTION("GOOGLETRANSLATE(G37,""en"",""th"")"),"ลูกเทนนิส")</f>
        <v>ลูกเทนนิส</v>
      </c>
      <c r="T37" s="4" t="s">
        <v>980</v>
      </c>
      <c r="U37" s="4" t="str">
        <f>IFERROR(__xludf.DUMMYFUNCTION("GOOGLETRANSLATE(I37,""en"",""th"")"),"ลูกตะกร้อ")</f>
        <v>ลูกตะกร้อ</v>
      </c>
      <c r="V37" s="4" t="str">
        <f>IFERROR(__xludf.DUMMYFUNCTION("GOOGLETRANSLATE(J37,""en"",""th"")"),"ในภาพเป็นลูกตะกร้อสานกลมมีตาข่ายเป็นพื้นหลัง บ่งบอกชัดเจนว่าเป็นลูกตะกร้อเซปักตะกร้อ")</f>
        <v>ในภาพเป็นลูกตะกร้อสานกลมมีตาข่ายเป็นพื้นหลัง บ่งบอกชัดเจนว่าเป็นลูกตะกร้อเซปักตะกร้อ</v>
      </c>
    </row>
    <row r="38" ht="22.5" customHeight="1">
      <c r="A38" s="2" t="s">
        <v>973</v>
      </c>
      <c r="B38" s="3">
        <v>37.0</v>
      </c>
      <c r="C38" s="4" t="s">
        <v>920</v>
      </c>
      <c r="D38" s="4" t="s">
        <v>921</v>
      </c>
      <c r="E38" s="4" t="s">
        <v>922</v>
      </c>
      <c r="F38" s="4" t="s">
        <v>923</v>
      </c>
      <c r="G38" s="4" t="s">
        <v>924</v>
      </c>
      <c r="H38" s="4" t="s">
        <v>925</v>
      </c>
      <c r="I38" s="4" t="s">
        <v>923</v>
      </c>
      <c r="J38" s="4" t="s">
        <v>926</v>
      </c>
      <c r="M38" s="4" t="s">
        <v>973</v>
      </c>
      <c r="N38" s="5">
        <v>37.0</v>
      </c>
      <c r="O38" s="4" t="str">
        <f>IFERROR(__xludf.DUMMYFUNCTION("GOOGLETRANSLATE(C38,""en"",""th"")"),"ลูกบอลทำจากอะไร?")</f>
        <v>ลูกบอลทำจากอะไร?</v>
      </c>
      <c r="P38" s="4" t="str">
        <f>IFERROR(__xludf.DUMMYFUNCTION("GOOGLETRANSLATE(D38,""en"",""th"")"),"ยาง.")</f>
        <v>ยาง.</v>
      </c>
      <c r="Q38" s="4" t="str">
        <f>IFERROR(__xludf.DUMMYFUNCTION("GOOGLETRANSLATE(E38,""en"",""th"")"),"พลาสติก.")</f>
        <v>พลาสติก.</v>
      </c>
      <c r="R38" s="4" t="str">
        <f>IFERROR(__xludf.DUMMYFUNCTION("GOOGLETRANSLATE(F38,""en"",""th"")"),"หวายทอหรือเส้นใยสังเคราะห์")</f>
        <v>หวายทอหรือเส้นใยสังเคราะห์</v>
      </c>
      <c r="S38" s="4" t="str">
        <f>IFERROR(__xludf.DUMMYFUNCTION("GOOGLETRANSLATE(G38,""en"",""th"")"),"หนัง.")</f>
        <v>หนัง.</v>
      </c>
      <c r="T38" s="4" t="s">
        <v>927</v>
      </c>
      <c r="U38" s="4" t="str">
        <f>IFERROR(__xludf.DUMMYFUNCTION("GOOGLETRANSLATE(I38,""en"",""th"")"),"หวายทอหรือเส้นใยสังเคราะห์")</f>
        <v>หวายทอหรือเส้นใยสังเคราะห์</v>
      </c>
      <c r="V38" s="4" t="str">
        <f>IFERROR(__xludf.DUMMYFUNCTION("GOOGLETRANSLATE(J38,""en"",""th"")"),"ลูกตะกร้อซึ่งเรียกว่าลูกตะกร้อนั้นทำมาจากหวายสานโดยทั่วไปหรือในการแข่งขันสมัยใหม่ก็ทำจากเส้นใยพลาสติกสังเคราะห์")</f>
        <v>ลูกตะกร้อซึ่งเรียกว่าลูกตะกร้อนั้นทำมาจากหวายสานโดยทั่วไปหรือในการแข่งขันสมัยใหม่ก็ทำจากเส้นใยพลาสติกสังเคราะห์</v>
      </c>
    </row>
    <row r="39" ht="22.5" customHeight="1">
      <c r="A39" s="2" t="s">
        <v>973</v>
      </c>
      <c r="B39" s="3">
        <v>38.0</v>
      </c>
      <c r="C39" s="4" t="s">
        <v>981</v>
      </c>
      <c r="D39" s="4" t="s">
        <v>982</v>
      </c>
      <c r="E39" s="4" t="s">
        <v>983</v>
      </c>
      <c r="F39" s="4" t="s">
        <v>984</v>
      </c>
      <c r="G39" s="4" t="s">
        <v>985</v>
      </c>
      <c r="H39" s="4" t="s">
        <v>986</v>
      </c>
      <c r="I39" s="4" t="s">
        <v>983</v>
      </c>
      <c r="J39" s="4" t="s">
        <v>987</v>
      </c>
      <c r="M39" s="4" t="s">
        <v>973</v>
      </c>
      <c r="N39" s="5">
        <v>38.0</v>
      </c>
      <c r="O39" s="4" t="str">
        <f>IFERROR(__xludf.DUMMYFUNCTION("GOOGLETRANSLATE(C39,""en"",""th"")"),"การออกแบบแบบทอมีจุดประสงค์อะไร?")</f>
        <v>การออกแบบแบบทอมีจุดประสงค์อะไร?</v>
      </c>
      <c r="P39" s="4" t="str">
        <f>IFERROR(__xludf.DUMMYFUNCTION("GOOGLETRANSLATE(D39,""en"",""th"")"),"เพื่อให้ลูกบอลมีความทนทานมากขึ้น")</f>
        <v>เพื่อให้ลูกบอลมีความทนทานมากขึ้น</v>
      </c>
      <c r="Q39" s="4" t="str">
        <f>IFERROR(__xludf.DUMMYFUNCTION("GOOGLETRANSLATE(E39,""en"",""th"")"),"เพื่อให้ลูกบอลมีอากาศพลศาสตร์มากขึ้น")</f>
        <v>เพื่อให้ลูกบอลมีอากาศพลศาสตร์มากขึ้น</v>
      </c>
      <c r="R39" s="4" t="str">
        <f>IFERROR(__xludf.DUMMYFUNCTION("GOOGLETRANSLATE(F39,""en"",""th"")"),"เพื่อให้เตะบอลได้สบายยิ่งขึ้น")</f>
        <v>เพื่อให้เตะบอลได้สบายยิ่งขึ้น</v>
      </c>
      <c r="S39" s="4" t="str">
        <f>IFERROR(__xludf.DUMMYFUNCTION("GOOGLETRANSLATE(G39,""en"",""th"")"),"เพื่อให้ลูกบอลดูคลาสสิกมากขึ้น")</f>
        <v>เพื่อให้ลูกบอลดูคลาสสิกมากขึ้น</v>
      </c>
      <c r="T39" s="4" t="s">
        <v>988</v>
      </c>
      <c r="U39" s="4" t="str">
        <f>IFERROR(__xludf.DUMMYFUNCTION("GOOGLETRANSLATE(I39,""en"",""th"")"),"เพื่อให้ลูกบอลมีอากาศพลศาสตร์มากขึ้น")</f>
        <v>เพื่อให้ลูกบอลมีอากาศพลศาสตร์มากขึ้น</v>
      </c>
      <c r="V39" s="4" t="str">
        <f>IFERROR(__xludf.DUMMYFUNCTION("GOOGLETRANSLATE(J39,""en"",""th"")"),"การออกแบบลูกบอลแบบทอช่วยให้รูปแบบการบินมีความเสถียรและคล่องตัว ซึ่งมีความสำคัญอย่างยิ่งต่อเทคนิคการเตะและวอลเลย์ที่เป็นเอกลักษณ์เฉพาะของเกม")</f>
        <v>การออกแบบลูกบอลแบบทอช่วยให้รูปแบบการบินมีความเสถียรและคล่องตัว ซึ่งมีความสำคัญอย่างยิ่งต่อเทคนิคการเตะและวอลเลย์ที่เป็นเอกลักษณ์เฉพาะของเกม</v>
      </c>
    </row>
    <row r="40" ht="22.5" customHeight="1">
      <c r="A40" s="2" t="s">
        <v>973</v>
      </c>
      <c r="B40" s="3">
        <v>39.0</v>
      </c>
      <c r="C40" s="4" t="s">
        <v>989</v>
      </c>
      <c r="D40" s="4" t="s">
        <v>990</v>
      </c>
      <c r="E40" s="4" t="s">
        <v>991</v>
      </c>
      <c r="F40" s="4" t="s">
        <v>992</v>
      </c>
      <c r="G40" s="4" t="s">
        <v>993</v>
      </c>
      <c r="H40" s="4" t="s">
        <v>994</v>
      </c>
      <c r="I40" s="4" t="s">
        <v>991</v>
      </c>
      <c r="J40" s="4" t="s">
        <v>995</v>
      </c>
      <c r="M40" s="4" t="s">
        <v>973</v>
      </c>
      <c r="N40" s="5">
        <v>39.0</v>
      </c>
      <c r="O40" s="4" t="str">
        <f>IFERROR(__xludf.DUMMYFUNCTION("GOOGLETRANSLATE(C40,""en"",""th"")"),"ลูกบอลมีลักษณะเด่นอย่างไร?")</f>
        <v>ลูกบอลมีลักษณะเด่นอย่างไร?</v>
      </c>
      <c r="P40" s="4" t="str">
        <f>IFERROR(__xludf.DUMMYFUNCTION("GOOGLETRANSLATE(D40,""en"",""th"")"),"มันหนักมาก.")</f>
        <v>มันหนักมาก.</v>
      </c>
      <c r="Q40" s="4" t="str">
        <f>IFERROR(__xludf.DUMMYFUNCTION("GOOGLETRANSLATE(E40,""en"",""th"")"),"มันเบาและกลวงมาก")</f>
        <v>มันเบาและกลวงมาก</v>
      </c>
      <c r="R40" s="4" t="str">
        <f>IFERROR(__xludf.DUMMYFUNCTION("GOOGLETRANSLATE(F40,""en"",""th"")"),"มันเป็นลูกบอลที่แข็งแกร่ง")</f>
        <v>มันเป็นลูกบอลที่แข็งแกร่ง</v>
      </c>
      <c r="S40" s="4" t="str">
        <f>IFERROR(__xludf.DUMMYFUNCTION("GOOGLETRANSLATE(G40,""en"",""th"")"),"มันเป็นลูกบอลเด้งดึ๋ง")</f>
        <v>มันเป็นลูกบอลเด้งดึ๋ง</v>
      </c>
      <c r="T40" s="4" t="s">
        <v>996</v>
      </c>
      <c r="U40" s="4" t="str">
        <f>IFERROR(__xludf.DUMMYFUNCTION("GOOGLETRANSLATE(I40,""en"",""th"")"),"มันเบาและกลวงมาก")</f>
        <v>มันเบาและกลวงมาก</v>
      </c>
      <c r="V40" s="4" t="str">
        <f>IFERROR(__xludf.DUMMYFUNCTION("GOOGLETRANSLATE(J40,""en"",""th"")"),"ลูกบอลทำจากวัสดุที่ทอและมีน้ำหนักเบาและกลวงซึ่งทำให้เตะและลอยอยู่กลางอากาศได้ง่าย")</f>
        <v>ลูกบอลทำจากวัสดุที่ทอและมีน้ำหนักเบาและกลวงซึ่งทำให้เตะและลอยอยู่กลางอากาศได้ง่าย</v>
      </c>
    </row>
    <row r="41" ht="22.5" customHeight="1">
      <c r="A41" s="2" t="s">
        <v>973</v>
      </c>
      <c r="B41" s="3">
        <v>40.0</v>
      </c>
      <c r="C41" s="4" t="s">
        <v>997</v>
      </c>
      <c r="D41" s="4" t="s">
        <v>998</v>
      </c>
      <c r="E41" s="4" t="s">
        <v>999</v>
      </c>
      <c r="F41" s="4" t="s">
        <v>1000</v>
      </c>
      <c r="G41" s="4" t="s">
        <v>931</v>
      </c>
      <c r="H41" s="4" t="s">
        <v>1001</v>
      </c>
      <c r="I41" s="4" t="s">
        <v>998</v>
      </c>
      <c r="J41" s="4" t="s">
        <v>1002</v>
      </c>
      <c r="M41" s="4" t="s">
        <v>973</v>
      </c>
      <c r="N41" s="5">
        <v>40.0</v>
      </c>
      <c r="O41" s="4" t="str">
        <f>IFERROR(__xludf.DUMMYFUNCTION("GOOGLETRANSLATE(C41,""en"",""th"")"),"จุดประสงค์ของเน็ตคืออะไร?")</f>
        <v>จุดประสงค์ของเน็ตคืออะไร?</v>
      </c>
      <c r="P41" s="4" t="str">
        <f>IFERROR(__xludf.DUMMYFUNCTION("GOOGLETRANSLATE(D41,""en"",""th"")"),"เพื่อแบ่งทีมและกำหนดพื้นที่การเล่น")</f>
        <v>เพื่อแบ่งทีมและกำหนดพื้นที่การเล่น</v>
      </c>
      <c r="Q41" s="4" t="str">
        <f>IFERROR(__xludf.DUMMYFUNCTION("GOOGLETRANSLATE(E41,""en"",""th"")"),"เพื่อบล็อคลูกบอล")</f>
        <v>เพื่อบล็อคลูกบอล</v>
      </c>
      <c r="R41" s="4" t="str">
        <f>IFERROR(__xludf.DUMMYFUNCTION("GOOGLETRANSLATE(F41,""en"",""th"")"),"เพื่อเพิ่มองค์ประกอบการตกแต่ง")</f>
        <v>เพื่อเพิ่มองค์ประกอบการตกแต่ง</v>
      </c>
      <c r="S41" s="4" t="str">
        <f>IFERROR(__xludf.DUMMYFUNCTION("GOOGLETRANSLATE(G41,""en"",""th"")"),"เพื่อทำให้เกมยากยิ่งขึ้น")</f>
        <v>เพื่อทำให้เกมยากยิ่งขึ้น</v>
      </c>
      <c r="T41" s="4" t="s">
        <v>1003</v>
      </c>
      <c r="U41" s="4" t="str">
        <f>IFERROR(__xludf.DUMMYFUNCTION("GOOGLETRANSLATE(I41,""en"",""th"")"),"เพื่อแบ่งทีมและกำหนดพื้นที่การเล่น")</f>
        <v>เพื่อแบ่งทีมและกำหนดพื้นที่การเล่น</v>
      </c>
      <c r="V41" s="4" t="str">
        <f>IFERROR(__xludf.DUMMYFUNCTION("GOOGLETRANSLATE(J41,""en"",""th"")"),"ตาข่ายเป็นส่วนสำคัญของเกม ใช้เพื่อแบ่งสนามและสร้างสิ่งกีดขวางที่ชัดเจนเพื่อให้เตะบอลข้ามสนามได้")</f>
        <v>ตาข่ายเป็นส่วนสำคัญของเกม ใช้เพื่อแบ่งสนามและสร้างสิ่งกีดขวางที่ชัดเจนเพื่อให้เตะบอลข้ามสนามได้</v>
      </c>
    </row>
    <row r="42" ht="22.5" customHeight="1">
      <c r="A42" s="2" t="s">
        <v>1004</v>
      </c>
      <c r="B42" s="3">
        <v>41.0</v>
      </c>
      <c r="C42" s="4" t="s">
        <v>21</v>
      </c>
      <c r="D42" s="4" t="s">
        <v>908</v>
      </c>
      <c r="E42" s="4" t="s">
        <v>947</v>
      </c>
      <c r="F42" s="4" t="s">
        <v>909</v>
      </c>
      <c r="G42" s="4" t="s">
        <v>948</v>
      </c>
      <c r="H42" s="4" t="s">
        <v>949</v>
      </c>
      <c r="I42" s="4" t="s">
        <v>909</v>
      </c>
      <c r="J42" s="4" t="s">
        <v>911</v>
      </c>
      <c r="M42" s="4" t="s">
        <v>1004</v>
      </c>
      <c r="N42" s="5">
        <v>41.0</v>
      </c>
      <c r="O42" s="4" t="str">
        <f>IFERROR(__xludf.DUMMYFUNCTION("GOOGLETRANSLATE(C42,""en"",""th"")"),"ภาพที่แสดงเป็นกิจกรรมหลักอะไร?")</f>
        <v>ภาพที่แสดงเป็นกิจกรรมหลักอะไร?</v>
      </c>
      <c r="P42" s="4" t="str">
        <f>IFERROR(__xludf.DUMMYFUNCTION("GOOGLETRANSLATE(D42,""en"",""th"")"),"การแข่งขันแบดมินตัน")</f>
        <v>การแข่งขันแบดมินตัน</v>
      </c>
      <c r="Q42" s="4" t="str">
        <f>IFERROR(__xludf.DUMMYFUNCTION("GOOGLETRANSLATE(E42,""en"",""th"")"),"เกมวอลเลย์บอล")</f>
        <v>เกมวอลเลย์บอล</v>
      </c>
      <c r="R42" s="4" t="str">
        <f>IFERROR(__xludf.DUMMYFUNCTION("GOOGLETRANSLATE(F42,""en"",""th"")"),"การแข่งขันตะกร้อเซปักตะกร้อ")</f>
        <v>การแข่งขันตะกร้อเซปักตะกร้อ</v>
      </c>
      <c r="S42" s="4" t="str">
        <f>IFERROR(__xludf.DUMMYFUNCTION("GOOGLETRANSLATE(G42,""en"",""th"")"),"เกมฟุตบอล")</f>
        <v>เกมฟุตบอล</v>
      </c>
      <c r="T42" s="4" t="s">
        <v>951</v>
      </c>
      <c r="U42" s="4" t="str">
        <f>IFERROR(__xludf.DUMMYFUNCTION("GOOGLETRANSLATE(I42,""en"",""th"")"),"การแข่งขันตะกร้อเซปักตะกร้อ")</f>
        <v>การแข่งขันตะกร้อเซปักตะกร้อ</v>
      </c>
      <c r="V42" s="4" t="str">
        <f>IFERROR(__xludf.DUMMYFUNCTION("GOOGLETRANSLATE(J42,""en"",""th"")"),"ภาพนี้แสดงให้เห็นผู้เล่นในสนามกำลังเตะลูกบอลที่ถักทอข้ามตาข่าย ซึ่งเป็นเอกลักษณ์เฉพาะของเซปักตะกร้อ กีฬาที่ได้รับความนิยมในเอเชียตะวันออกเฉียงใต้")</f>
        <v>ภาพนี้แสดงให้เห็นผู้เล่นในสนามกำลังเตะลูกบอลที่ถักทอข้ามตาข่าย ซึ่งเป็นเอกลักษณ์เฉพาะของเซปักตะกร้อ กีฬาที่ได้รับความนิยมในเอเชียตะวันออกเฉียงใต้</v>
      </c>
    </row>
    <row r="43" ht="22.5" customHeight="1">
      <c r="A43" s="2" t="s">
        <v>1004</v>
      </c>
      <c r="B43" s="3">
        <v>42.0</v>
      </c>
      <c r="C43" s="4" t="s">
        <v>912</v>
      </c>
      <c r="D43" s="4" t="s">
        <v>913</v>
      </c>
      <c r="E43" s="4" t="s">
        <v>914</v>
      </c>
      <c r="F43" s="4" t="s">
        <v>915</v>
      </c>
      <c r="G43" s="4" t="s">
        <v>916</v>
      </c>
      <c r="H43" s="4" t="s">
        <v>917</v>
      </c>
      <c r="I43" s="4" t="s">
        <v>914</v>
      </c>
      <c r="J43" s="4" t="s">
        <v>918</v>
      </c>
      <c r="M43" s="4" t="s">
        <v>1004</v>
      </c>
      <c r="N43" s="5">
        <v>42.0</v>
      </c>
      <c r="O43" s="4" t="str">
        <f>IFERROR(__xludf.DUMMYFUNCTION("GOOGLETRANSLATE(C43,""en"",""th"")"),"ลักษณะเด่นของการเคลื่อนไหวของผู้เล่นคืออะไร?")</f>
        <v>ลักษณะเด่นของการเคลื่อนไหวของผู้เล่นคืออะไร?</v>
      </c>
      <c r="P43" s="4" t="str">
        <f>IFERROR(__xludf.DUMMYFUNCTION("GOOGLETRANSLATE(D43,""en"",""th"")"),"การใช้มือ")</f>
        <v>การใช้มือ</v>
      </c>
      <c r="Q43" s="4" t="str">
        <f>IFERROR(__xludf.DUMMYFUNCTION("GOOGLETRANSLATE(E43,""en"",""th"")"),"การใช้เท้า ศีรษะ และหน้าอก")</f>
        <v>การใช้เท้า ศีรษะ และหน้าอก</v>
      </c>
      <c r="R43" s="4" t="str">
        <f>IFERROR(__xludf.DUMMYFUNCTION("GOOGLETRANSLATE(F43,""en"",""th"")"),"การใช้แร็กเกต")</f>
        <v>การใช้แร็กเกต</v>
      </c>
      <c r="S43" s="4" t="str">
        <f>IFERROR(__xludf.DUMMYFUNCTION("GOOGLETRANSLATE(G43,""en"",""th"")"),"การใช้ไม้ตี")</f>
        <v>การใช้ไม้ตี</v>
      </c>
      <c r="T43" s="4" t="s">
        <v>919</v>
      </c>
      <c r="U43" s="4" t="str">
        <f>IFERROR(__xludf.DUMMYFUNCTION("GOOGLETRANSLATE(I43,""en"",""th"")"),"การใช้เท้า ศีรษะ และหน้าอก")</f>
        <v>การใช้เท้า ศีรษะ และหน้าอก</v>
      </c>
      <c r="V43" s="4" t="str">
        <f>IFERROR(__xludf.DUMMYFUNCTION("GOOGLETRANSLATE(J43,""en"",""th"")"),"กีฬาเซปักตะกร้อมีความพิเศษตรงที่ห้ามผู้เล่นใช้มือและต้องใช้เท้า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44" ht="22.5" customHeight="1">
      <c r="A44" s="2" t="s">
        <v>1004</v>
      </c>
      <c r="B44" s="3">
        <v>43.0</v>
      </c>
      <c r="C44" s="4" t="s">
        <v>952</v>
      </c>
      <c r="D44" s="4" t="s">
        <v>953</v>
      </c>
      <c r="E44" s="4" t="s">
        <v>954</v>
      </c>
      <c r="F44" s="4" t="s">
        <v>662</v>
      </c>
      <c r="G44" s="4" t="s">
        <v>931</v>
      </c>
      <c r="H44" s="4" t="s">
        <v>955</v>
      </c>
      <c r="I44" s="4" t="s">
        <v>954</v>
      </c>
      <c r="J44" s="4" t="s">
        <v>956</v>
      </c>
      <c r="M44" s="4" t="s">
        <v>1004</v>
      </c>
      <c r="N44" s="5">
        <v>43.0</v>
      </c>
      <c r="O44" s="4" t="str">
        <f>IFERROR(__xludf.DUMMYFUNCTION("GOOGLETRANSLATE(C44,""en"",""th"")"),"ผู้เล่นกำลังเตะขาอยู่กลางอากาศ จุดประสงค์ของการเคลื่อนไหวนี้คืออะไร?")</f>
        <v>ผู้เล่นกำลังเตะขาอยู่กลางอากาศ จุดประสงค์ของการเคลื่อนไหวนี้คืออะไร?</v>
      </c>
      <c r="P44" s="4" t="str">
        <f>IFERROR(__xludf.DUMMYFUNCTION("GOOGLETRANSLATE(D44,""en"",""th"")"),"เพื่อยืดขาของเขา")</f>
        <v>เพื่อยืดขาของเขา</v>
      </c>
      <c r="Q44" s="4" t="str">
        <f>IFERROR(__xludf.DUMMYFUNCTION("GOOGLETRANSLATE(E44,""en"",""th"")"),"การตีลูกให้ข้ามตาข่ายไป")</f>
        <v>การตีลูกให้ข้ามตาข่ายไป</v>
      </c>
      <c r="R44" s="4" t="str">
        <f>IFERROR(__xludf.DUMMYFUNCTION("GOOGLETRANSLATE(F44,""en"",""th"")"),"เพื่อแสดงความสามารถของตัวเอง")</f>
        <v>เพื่อแสดงความสามารถของตัวเอง</v>
      </c>
      <c r="S44" s="4" t="str">
        <f>IFERROR(__xludf.DUMMYFUNCTION("GOOGLETRANSLATE(G44,""en"",""th"")"),"เพื่อทำให้เกมยากยิ่งขึ้น")</f>
        <v>เพื่อทำให้เกมยากยิ่งขึ้น</v>
      </c>
      <c r="T44" s="4" t="s">
        <v>957</v>
      </c>
      <c r="U44" s="4" t="str">
        <f>IFERROR(__xludf.DUMMYFUNCTION("GOOGLETRANSLATE(I44,""en"",""th"")"),"การตีลูกให้ข้ามตาข่ายไป")</f>
        <v>การตีลูกให้ข้ามตาข่ายไป</v>
      </c>
      <c r="V44" s="4" t="str">
        <f>IFERROR(__xludf.DUMMYFUNCTION("GOOGLETRANSLATE(J44,""en"",""th"")"),"ผู้เล่นกำลังเตะบอลแรงๆ สูงและแรงสูงเพื่อส่งลูกบอลขึ้นสูงและรวดเร็วข้ามตาข่าย ทำให้ฝ่ายตรงข้ามโต้ตอบได้ยาก")</f>
        <v>ผู้เล่นกำลังเตะบอลแรงๆ สูงและแรงสูงเพื่อส่งลูกบอลขึ้นสูงและรวดเร็วข้ามตาข่าย ทำให้ฝ่ายตรงข้ามโต้ตอบได้ยาก</v>
      </c>
    </row>
    <row r="45" ht="22.5" customHeight="1">
      <c r="A45" s="2" t="s">
        <v>1004</v>
      </c>
      <c r="B45" s="3">
        <v>44.0</v>
      </c>
      <c r="C45" s="4" t="s">
        <v>935</v>
      </c>
      <c r="D45" s="4" t="s">
        <v>936</v>
      </c>
      <c r="E45" s="4" t="s">
        <v>937</v>
      </c>
      <c r="F45" s="4" t="s">
        <v>938</v>
      </c>
      <c r="G45" s="4" t="s">
        <v>939</v>
      </c>
      <c r="H45" s="4" t="s">
        <v>940</v>
      </c>
      <c r="I45" s="4" t="s">
        <v>936</v>
      </c>
      <c r="J45" s="4" t="s">
        <v>941</v>
      </c>
      <c r="M45" s="4" t="s">
        <v>1004</v>
      </c>
      <c r="N45" s="5">
        <v>44.0</v>
      </c>
      <c r="O45" s="4" t="str">
        <f>IFERROR(__xludf.DUMMYFUNCTION("GOOGLETRANSLATE(C45,""en"",""th"")"),"ผู้เล่นอยู่ในสภาพแวดล้อมประเภทใด?")</f>
        <v>ผู้เล่นอยู่ในสภาพแวดล้อมประเภทใด?</v>
      </c>
      <c r="P45" s="4" t="str">
        <f>IFERROR(__xludf.DUMMYFUNCTION("GOOGLETRANSLATE(D45,""en"",""th"")"),"สนามกีฬาในร่มที่ทันสมัย")</f>
        <v>สนามกีฬาในร่มที่ทันสมัย</v>
      </c>
      <c r="Q45" s="4" t="str">
        <f>IFERROR(__xludf.DUMMYFUNCTION("GOOGLETRANSLATE(E45,""en"",""th"")"),"สนามกลางแจ้งแบบดั้งเดิม")</f>
        <v>สนามกลางแจ้งแบบดั้งเดิม</v>
      </c>
      <c r="R45" s="4" t="str">
        <f>IFERROR(__xludf.DUMMYFUNCTION("GOOGLETRANSLATE(F45,""en"",""th"")"),"ชายหาด")</f>
        <v>ชายหาด</v>
      </c>
      <c r="S45" s="4" t="str">
        <f>IFERROR(__xludf.DUMMYFUNCTION("GOOGLETRANSLATE(G45,""en"",""th"")"),"สวนสาธารณะ")</f>
        <v>สวนสาธารณะ</v>
      </c>
      <c r="T45" s="4" t="s">
        <v>942</v>
      </c>
      <c r="U45" s="4" t="str">
        <f>IFERROR(__xludf.DUMMYFUNCTION("GOOGLETRANSLATE(I45,""en"",""th"")"),"สนามกีฬาในร่มที่ทันสมัย")</f>
        <v>สนามกีฬาในร่มที่ทันสมัย</v>
      </c>
      <c r="V45" s="4" t="str">
        <f>IFERROR(__xludf.DUMMYFUNCTION("GOOGLETRANSLATE(J45,""en"",""th"")"),"ภาพนี้แสดงให้เห็นสนามในร่มพร้อมแสงไฟระดับมืออาชีพ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f>
        <v>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v>
      </c>
    </row>
    <row r="46" ht="22.5" customHeight="1">
      <c r="A46" s="2" t="s">
        <v>1004</v>
      </c>
      <c r="B46" s="3">
        <v>45.0</v>
      </c>
      <c r="C46" s="4" t="s">
        <v>959</v>
      </c>
      <c r="D46" s="4" t="s">
        <v>960</v>
      </c>
      <c r="E46" s="4" t="s">
        <v>961</v>
      </c>
      <c r="F46" s="4" t="s">
        <v>962</v>
      </c>
      <c r="G46" s="4" t="s">
        <v>963</v>
      </c>
      <c r="H46" s="4" t="s">
        <v>964</v>
      </c>
      <c r="I46" s="4" t="s">
        <v>961</v>
      </c>
      <c r="J46" s="4" t="s">
        <v>965</v>
      </c>
      <c r="M46" s="4" t="s">
        <v>1004</v>
      </c>
      <c r="N46" s="5">
        <v>45.0</v>
      </c>
      <c r="O46" s="4" t="str">
        <f>IFERROR(__xludf.DUMMYFUNCTION("GOOGLETRANSLATE(C46,""en"",""th"")"),"จากภาพนี้สามารถอนุมานสถานะของเกมได้อย่างไร?")</f>
        <v>จากภาพนี้สามารถอนุมานสถานะของเกมได้อย่างไร?</v>
      </c>
      <c r="P46" s="4" t="str">
        <f>IFERROR(__xludf.DUMMYFUNCTION("GOOGLETRANSLATE(D46,""en"",""th"")"),"มันเป็นกีฬาที่ไม่มีใครรู้จัก")</f>
        <v>มันเป็นกีฬาที่ไม่มีใครรู้จัก</v>
      </c>
      <c r="Q46" s="4" t="str">
        <f>IFERROR(__xludf.DUMMYFUNCTION("GOOGLETRANSLATE(E46,""en"",""th"")"),"เป็นกีฬาอาชีพที่มีการจัดการแข่งขันอย่างเป็นระบบ")</f>
        <v>เป็นกีฬาอาชีพที่มีการจัดการแข่งขันอย่างเป็นระบบ</v>
      </c>
      <c r="R46" s="4" t="str">
        <f>IFERROR(__xludf.DUMMYFUNCTION("GOOGLETRANSLATE(F46,""en"",""th"")"),"มันเป็นเพียงกิจกรรมยามว่างธรรมดา")</f>
        <v>มันเป็นเพียงกิจกรรมยามว่างธรรมดา</v>
      </c>
      <c r="S46" s="4" t="str">
        <f>IFERROR(__xludf.DUMMYFUNCTION("GOOGLETRANSLATE(G46,""en"",""th"")"),"มันเป็นเกมสำหรับเด็ก")</f>
        <v>มันเป็นเกมสำหรับเด็ก</v>
      </c>
      <c r="T46" s="4" t="s">
        <v>966</v>
      </c>
      <c r="U46" s="4" t="str">
        <f>IFERROR(__xludf.DUMMYFUNCTION("GOOGLETRANSLATE(I46,""en"",""th"")"),"เป็นกีฬาอาชีพที่มีการจัดการแข่งขันอย่างเป็นระบบ")</f>
        <v>เป็นกีฬาอาชีพที่มีการจัดการแข่งขันอย่างเป็นระบบ</v>
      </c>
      <c r="V46" s="4" t="str">
        <f>IFERROR(__xludf.DUMMYFUNCTION("GOOGLETRANSLATE(J46,""en"",""th"")"),"ทั้งชุดแข่งขัน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f>
        <v>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v>
      </c>
    </row>
    <row r="47" ht="22.5" customHeight="1">
      <c r="A47" s="2" t="s">
        <v>1005</v>
      </c>
      <c r="B47" s="3">
        <v>46.0</v>
      </c>
      <c r="C47" s="4" t="s">
        <v>21</v>
      </c>
      <c r="D47" s="4" t="s">
        <v>908</v>
      </c>
      <c r="E47" s="4" t="s">
        <v>947</v>
      </c>
      <c r="F47" s="4" t="s">
        <v>909</v>
      </c>
      <c r="G47" s="4" t="s">
        <v>948</v>
      </c>
      <c r="H47" s="4" t="s">
        <v>949</v>
      </c>
      <c r="I47" s="4" t="s">
        <v>909</v>
      </c>
      <c r="J47" s="4" t="s">
        <v>950</v>
      </c>
      <c r="M47" s="4" t="s">
        <v>1005</v>
      </c>
      <c r="N47" s="5">
        <v>46.0</v>
      </c>
      <c r="O47" s="4" t="str">
        <f>IFERROR(__xludf.DUMMYFUNCTION("GOOGLETRANSLATE(C47,""en"",""th"")"),"ภาพที่แสดงเป็นกิจกรรมหลักอะไร?")</f>
        <v>ภาพที่แสดงเป็นกิจกรรมหลักอะไร?</v>
      </c>
      <c r="P47" s="4" t="str">
        <f>IFERROR(__xludf.DUMMYFUNCTION("GOOGLETRANSLATE(D47,""en"",""th"")"),"การแข่งขันแบดมินตัน")</f>
        <v>การแข่งขันแบดมินตัน</v>
      </c>
      <c r="Q47" s="4" t="str">
        <f>IFERROR(__xludf.DUMMYFUNCTION("GOOGLETRANSLATE(E47,""en"",""th"")"),"เกมวอลเลย์บอล")</f>
        <v>เกมวอลเลย์บอล</v>
      </c>
      <c r="R47" s="4" t="str">
        <f>IFERROR(__xludf.DUMMYFUNCTION("GOOGLETRANSLATE(F47,""en"",""th"")"),"การแข่งขันตะกร้อเซปักตะกร้อ")</f>
        <v>การแข่งขันตะกร้อเซปักตะกร้อ</v>
      </c>
      <c r="S47" s="4" t="str">
        <f>IFERROR(__xludf.DUMMYFUNCTION("GOOGLETRANSLATE(G47,""en"",""th"")"),"เกมฟุตบอล")</f>
        <v>เกมฟุตบอล</v>
      </c>
      <c r="T47" s="4" t="s">
        <v>951</v>
      </c>
      <c r="U47" s="4" t="str">
        <f>IFERROR(__xludf.DUMMYFUNCTION("GOOGLETRANSLATE(I47,""en"",""th"")"),"การแข่งขันตะกร้อเซปักตะกร้อ")</f>
        <v>การแข่งขันตะกร้อเซปักตะกร้อ</v>
      </c>
      <c r="V47" s="4" t="str">
        <f>IFERROR(__xludf.DUMMYFUNCTION("GOOGLETRANSLATE(J47,""en"",""th"")"),"รูปภาพแสดงให้เห็นผู้เล่นในชุดยูนิฟอร์มกำลังเตะลูกบอลที่ถักทอข้ามตาข่าย ซึ่งเป็นสิ่งบ่งชี้ที่ชัดเจนว่าเป็นการแข่งขันตะกร้อ")</f>
        <v>รูปภาพแสดงให้เห็นผู้เล่นในชุดยูนิฟอร์มกำลังเตะลูกบอลที่ถักทอข้ามตาข่าย ซึ่งเป็นสิ่งบ่งชี้ที่ชัดเจนว่าเป็นการแข่งขันตะกร้อ</v>
      </c>
    </row>
    <row r="48" ht="22.5" customHeight="1">
      <c r="A48" s="2" t="s">
        <v>1005</v>
      </c>
      <c r="B48" s="3">
        <v>47.0</v>
      </c>
      <c r="C48" s="4" t="s">
        <v>912</v>
      </c>
      <c r="D48" s="4" t="s">
        <v>913</v>
      </c>
      <c r="E48" s="4" t="s">
        <v>914</v>
      </c>
      <c r="F48" s="4" t="s">
        <v>915</v>
      </c>
      <c r="G48" s="4" t="s">
        <v>916</v>
      </c>
      <c r="H48" s="4" t="s">
        <v>917</v>
      </c>
      <c r="I48" s="4" t="s">
        <v>914</v>
      </c>
      <c r="J48" s="4" t="s">
        <v>918</v>
      </c>
      <c r="M48" s="4" t="s">
        <v>1005</v>
      </c>
      <c r="N48" s="5">
        <v>47.0</v>
      </c>
      <c r="O48" s="4" t="str">
        <f>IFERROR(__xludf.DUMMYFUNCTION("GOOGLETRANSLATE(C48,""en"",""th"")"),"ลักษณะเด่นของการเคลื่อนไหวของผู้เล่นคืออะไร?")</f>
        <v>ลักษณะเด่นของการเคลื่อนไหวของผู้เล่นคืออะไร?</v>
      </c>
      <c r="P48" s="4" t="str">
        <f>IFERROR(__xludf.DUMMYFUNCTION("GOOGLETRANSLATE(D48,""en"",""th"")"),"การใช้มือ")</f>
        <v>การใช้มือ</v>
      </c>
      <c r="Q48" s="4" t="str">
        <f>IFERROR(__xludf.DUMMYFUNCTION("GOOGLETRANSLATE(E48,""en"",""th"")"),"การใช้เท้า ศีรษะ และหน้าอก")</f>
        <v>การใช้เท้า ศีรษะ และหน้าอก</v>
      </c>
      <c r="R48" s="4" t="str">
        <f>IFERROR(__xludf.DUMMYFUNCTION("GOOGLETRANSLATE(F48,""en"",""th"")"),"การใช้แร็กเกต")</f>
        <v>การใช้แร็กเกต</v>
      </c>
      <c r="S48" s="4" t="str">
        <f>IFERROR(__xludf.DUMMYFUNCTION("GOOGLETRANSLATE(G48,""en"",""th"")"),"การใช้ไม้ตี")</f>
        <v>การใช้ไม้ตี</v>
      </c>
      <c r="T48" s="4" t="s">
        <v>919</v>
      </c>
      <c r="U48" s="4" t="str">
        <f>IFERROR(__xludf.DUMMYFUNCTION("GOOGLETRANSLATE(I48,""en"",""th"")"),"การใช้เท้า ศีรษะ และหน้าอก")</f>
        <v>การใช้เท้า ศีรษะ และหน้าอก</v>
      </c>
      <c r="V48" s="4" t="str">
        <f>IFERROR(__xludf.DUMMYFUNCTION("GOOGLETRANSLATE(J48,""en"",""th"")"),"กีฬาเซปักตะกร้อมีความพิเศษตรงที่ห้ามผู้เล่นใช้มือและต้องใช้เท้า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49" ht="22.5" customHeight="1">
      <c r="A49" s="2" t="s">
        <v>1005</v>
      </c>
      <c r="B49" s="3">
        <v>48.0</v>
      </c>
      <c r="C49" s="4" t="s">
        <v>952</v>
      </c>
      <c r="D49" s="4" t="s">
        <v>953</v>
      </c>
      <c r="E49" s="4" t="s">
        <v>954</v>
      </c>
      <c r="F49" s="4" t="s">
        <v>662</v>
      </c>
      <c r="G49" s="4" t="s">
        <v>931</v>
      </c>
      <c r="H49" s="4" t="s">
        <v>955</v>
      </c>
      <c r="I49" s="4" t="s">
        <v>954</v>
      </c>
      <c r="J49" s="4" t="s">
        <v>956</v>
      </c>
      <c r="M49" s="4" t="s">
        <v>1005</v>
      </c>
      <c r="N49" s="5">
        <v>48.0</v>
      </c>
      <c r="O49" s="4" t="str">
        <f>IFERROR(__xludf.DUMMYFUNCTION("GOOGLETRANSLATE(C49,""en"",""th"")"),"ผู้เล่นกำลังเตะขาอยู่กลางอากาศ จุดประสงค์ของการเคลื่อนไหวนี้คืออะไร?")</f>
        <v>ผู้เล่นกำลังเตะขาอยู่กลางอากาศ จุดประสงค์ของการเคลื่อนไหวนี้คืออะไร?</v>
      </c>
      <c r="P49" s="4" t="str">
        <f>IFERROR(__xludf.DUMMYFUNCTION("GOOGLETRANSLATE(D49,""en"",""th"")"),"เพื่อยืดขาของเขา")</f>
        <v>เพื่อยืดขาของเขา</v>
      </c>
      <c r="Q49" s="4" t="str">
        <f>IFERROR(__xludf.DUMMYFUNCTION("GOOGLETRANSLATE(E49,""en"",""th"")"),"การตีลูกให้ข้ามตาข่ายไป")</f>
        <v>การตีลูกให้ข้ามตาข่ายไป</v>
      </c>
      <c r="R49" s="4" t="str">
        <f>IFERROR(__xludf.DUMMYFUNCTION("GOOGLETRANSLATE(F49,""en"",""th"")"),"เพื่อแสดงความสามารถของตัวเอง")</f>
        <v>เพื่อแสดงความสามารถของตัวเอง</v>
      </c>
      <c r="S49" s="4" t="str">
        <f>IFERROR(__xludf.DUMMYFUNCTION("GOOGLETRANSLATE(G49,""en"",""th"")"),"เพื่อทำให้เกมยากยิ่งขึ้น")</f>
        <v>เพื่อทำให้เกมยากยิ่งขึ้น</v>
      </c>
      <c r="T49" s="4" t="s">
        <v>957</v>
      </c>
      <c r="U49" s="4" t="str">
        <f>IFERROR(__xludf.DUMMYFUNCTION("GOOGLETRANSLATE(I49,""en"",""th"")"),"การตีลูกให้ข้ามตาข่ายไป")</f>
        <v>การตีลูกให้ข้ามตาข่ายไป</v>
      </c>
      <c r="V49" s="4" t="str">
        <f>IFERROR(__xludf.DUMMYFUNCTION("GOOGLETRANSLATE(J49,""en"",""th"")"),"ผู้เล่นกำลังเตะบอลแรงๆ สูงและแรงสูงเพื่อส่งลูกบอลขึ้นสูงและรวดเร็วข้ามตาข่าย ทำให้ฝ่ายตรงข้ามโต้ตอบได้ยาก")</f>
        <v>ผู้เล่นกำลังเตะบอลแรงๆ สูงและแรงสูงเพื่อส่งลูกบอลขึ้นสูงและรวดเร็วข้ามตาข่าย ทำให้ฝ่ายตรงข้ามโต้ตอบได้ยาก</v>
      </c>
    </row>
    <row r="50" ht="22.5" customHeight="1">
      <c r="A50" s="2" t="s">
        <v>1005</v>
      </c>
      <c r="B50" s="3">
        <v>49.0</v>
      </c>
      <c r="C50" s="4" t="s">
        <v>935</v>
      </c>
      <c r="D50" s="4" t="s">
        <v>936</v>
      </c>
      <c r="E50" s="4" t="s">
        <v>937</v>
      </c>
      <c r="F50" s="4" t="s">
        <v>938</v>
      </c>
      <c r="G50" s="4" t="s">
        <v>939</v>
      </c>
      <c r="H50" s="4" t="s">
        <v>940</v>
      </c>
      <c r="I50" s="4" t="s">
        <v>939</v>
      </c>
      <c r="J50" s="4" t="s">
        <v>1006</v>
      </c>
      <c r="M50" s="4" t="s">
        <v>1005</v>
      </c>
      <c r="N50" s="5">
        <v>49.0</v>
      </c>
      <c r="O50" s="4" t="str">
        <f>IFERROR(__xludf.DUMMYFUNCTION("GOOGLETRANSLATE(C50,""en"",""th"")"),"ผู้เล่นอยู่ในสภาพแวดล้อมประเภทใด?")</f>
        <v>ผู้เล่นอยู่ในสภาพแวดล้อมประเภทใด?</v>
      </c>
      <c r="P50" s="4" t="str">
        <f>IFERROR(__xludf.DUMMYFUNCTION("GOOGLETRANSLATE(D50,""en"",""th"")"),"สนามกีฬาในร่มที่ทันสมัย")</f>
        <v>สนามกีฬาในร่มที่ทันสมัย</v>
      </c>
      <c r="Q50" s="4" t="str">
        <f>IFERROR(__xludf.DUMMYFUNCTION("GOOGLETRANSLATE(E50,""en"",""th"")"),"สนามกลางแจ้งแบบดั้งเดิม")</f>
        <v>สนามกลางแจ้งแบบดั้งเดิม</v>
      </c>
      <c r="R50" s="4" t="str">
        <f>IFERROR(__xludf.DUMMYFUNCTION("GOOGLETRANSLATE(F50,""en"",""th"")"),"ชายหาด")</f>
        <v>ชายหาด</v>
      </c>
      <c r="S50" s="4" t="str">
        <f>IFERROR(__xludf.DUMMYFUNCTION("GOOGLETRANSLATE(G50,""en"",""th"")"),"สวนสาธารณะ")</f>
        <v>สวนสาธารณะ</v>
      </c>
      <c r="T50" s="4" t="s">
        <v>942</v>
      </c>
      <c r="U50" s="4" t="str">
        <f>IFERROR(__xludf.DUMMYFUNCTION("GOOGLETRANSLATE(I50,""en"",""th"")"),"สวนสาธารณะ")</f>
        <v>สวนสาธารณะ</v>
      </c>
      <c r="V50" s="4" t="str">
        <f>IFERROR(__xludf.DUMMYFUNCTION("GOOGLETRANSLATE(J50,""en"",""th"")"),"ภาพนี้แสดงให้เห็นสนามกลางแจ้งที่มีตาข่าย และมีต้นไม้และพืชพรรณสีเขียวเป็นฉากหลัง ซึ่งเป็นฉากทั่วไปของสวนสาธารณะ")</f>
        <v>ภาพนี้แสดงให้เห็นสนามกลางแจ้งที่มีตาข่าย และมีต้นไม้และพืชพรรณสีเขียวเป็นฉากหลัง ซึ่งเป็นฉากทั่วไปของสวนสาธารณะ</v>
      </c>
    </row>
    <row r="51" ht="22.5" customHeight="1">
      <c r="A51" s="2" t="s">
        <v>1005</v>
      </c>
      <c r="B51" s="3">
        <v>50.0</v>
      </c>
      <c r="C51" s="4" t="s">
        <v>959</v>
      </c>
      <c r="D51" s="4" t="s">
        <v>960</v>
      </c>
      <c r="E51" s="4" t="s">
        <v>961</v>
      </c>
      <c r="F51" s="4" t="s">
        <v>962</v>
      </c>
      <c r="G51" s="4" t="s">
        <v>963</v>
      </c>
      <c r="H51" s="4" t="s">
        <v>964</v>
      </c>
      <c r="I51" s="4" t="s">
        <v>962</v>
      </c>
      <c r="J51" s="4" t="s">
        <v>971</v>
      </c>
      <c r="M51" s="4" t="s">
        <v>1005</v>
      </c>
      <c r="N51" s="5">
        <v>50.0</v>
      </c>
      <c r="O51" s="4" t="str">
        <f>IFERROR(__xludf.DUMMYFUNCTION("GOOGLETRANSLATE(C51,""en"",""th"")"),"จากภาพนี้สามารถอนุมานสถานะของเกมได้อย่างไร?")</f>
        <v>จากภาพนี้สามารถอนุมานสถานะของเกมได้อย่างไร?</v>
      </c>
      <c r="P51" s="4" t="str">
        <f>IFERROR(__xludf.DUMMYFUNCTION("GOOGLETRANSLATE(D51,""en"",""th"")"),"มันเป็นกีฬาที่ไม่มีใครรู้จัก")</f>
        <v>มันเป็นกีฬาที่ไม่มีใครรู้จัก</v>
      </c>
      <c r="Q51" s="4" t="str">
        <f>IFERROR(__xludf.DUMMYFUNCTION("GOOGLETRANSLATE(E51,""en"",""th"")"),"เป็นกีฬาอาชีพที่มีการจัดการแข่งขันอย่างเป็นระบบ")</f>
        <v>เป็นกีฬาอาชีพที่มีการจัดการแข่งขันอย่างเป็นระบบ</v>
      </c>
      <c r="R51" s="4" t="str">
        <f>IFERROR(__xludf.DUMMYFUNCTION("GOOGLETRANSLATE(F51,""en"",""th"")"),"มันเป็นเพียงกิจกรรมยามว่างธรรมดา")</f>
        <v>มันเป็นเพียงกิจกรรมยามว่างธรรมดา</v>
      </c>
      <c r="S51" s="4" t="str">
        <f>IFERROR(__xludf.DUMMYFUNCTION("GOOGLETRANSLATE(G51,""en"",""th"")"),"มันเป็นเกมสำหรับเด็ก")</f>
        <v>มันเป็นเกมสำหรับเด็ก</v>
      </c>
      <c r="T51" s="4" t="s">
        <v>966</v>
      </c>
      <c r="U51" s="4" t="str">
        <f>IFERROR(__xludf.DUMMYFUNCTION("GOOGLETRANSLATE(I51,""en"",""th"")"),"มันเป็นเพียงกิจกรรมยามว่างธรรมดา")</f>
        <v>มันเป็นเพียงกิจกรรมยามว่างธรรมดา</v>
      </c>
      <c r="V51" s="4" t="str">
        <f>IFERROR(__xludf.DUMMYFUNCTION("GOOGLETRANSLATE(J51,""en"",""th"")"),"บรรยากาศที่เป็นกันเอง ไม่มีแสงไฟจากมืออาชีพหรือแบนเนอร์ของผู้สนับสนุน บ่งบอกว่านี่เป็นเพียงกิจกรรมยามว่างสบายๆ")</f>
        <v>บรรยากาศที่เป็นกันเอง ไม่มีแสงไฟจากมืออาชีพหรือแบนเนอร์ของผู้สนับสนุน บ่งบอกว่านี่เป็นเพียงกิจกรรมยามว่างสบายๆ</v>
      </c>
    </row>
    <row r="52" ht="22.5" customHeight="1">
      <c r="A52" s="2" t="s">
        <v>1007</v>
      </c>
      <c r="B52" s="3">
        <v>51.0</v>
      </c>
      <c r="C52" s="4" t="s">
        <v>21</v>
      </c>
      <c r="D52" s="4" t="s">
        <v>908</v>
      </c>
      <c r="E52" s="4" t="s">
        <v>947</v>
      </c>
      <c r="F52" s="4" t="s">
        <v>909</v>
      </c>
      <c r="G52" s="4" t="s">
        <v>948</v>
      </c>
      <c r="H52" s="4" t="s">
        <v>949</v>
      </c>
      <c r="I52" s="4" t="s">
        <v>909</v>
      </c>
      <c r="J52" s="4" t="s">
        <v>1008</v>
      </c>
      <c r="M52" s="4" t="s">
        <v>1007</v>
      </c>
      <c r="N52" s="5">
        <v>51.0</v>
      </c>
      <c r="O52" s="4" t="str">
        <f>IFERROR(__xludf.DUMMYFUNCTION("GOOGLETRANSLATE(C52,""en"",""th"")"),"ภาพที่แสดงเป็นกิจกรรมหลักอะไร?")</f>
        <v>ภาพที่แสดงเป็นกิจกรรมหลักอะไร?</v>
      </c>
      <c r="P52" s="4" t="str">
        <f>IFERROR(__xludf.DUMMYFUNCTION("GOOGLETRANSLATE(D52,""en"",""th"")"),"การแข่งขันแบดมินตัน")</f>
        <v>การแข่งขันแบดมินตัน</v>
      </c>
      <c r="Q52" s="4" t="str">
        <f>IFERROR(__xludf.DUMMYFUNCTION("GOOGLETRANSLATE(E52,""en"",""th"")"),"เกมวอลเลย์บอล")</f>
        <v>เกมวอลเลย์บอล</v>
      </c>
      <c r="R52" s="4" t="str">
        <f>IFERROR(__xludf.DUMMYFUNCTION("GOOGLETRANSLATE(F52,""en"",""th"")"),"การแข่งขันตะกร้อเซปักตะกร้อ")</f>
        <v>การแข่งขันตะกร้อเซปักตะกร้อ</v>
      </c>
      <c r="S52" s="4" t="str">
        <f>IFERROR(__xludf.DUMMYFUNCTION("GOOGLETRANSLATE(G52,""en"",""th"")"),"เกมฟุตบอล")</f>
        <v>เกมฟุตบอล</v>
      </c>
      <c r="T52" s="4" t="s">
        <v>951</v>
      </c>
      <c r="U52" s="4" t="str">
        <f>IFERROR(__xludf.DUMMYFUNCTION("GOOGLETRANSLATE(I52,""en"",""th"")"),"การแข่งขันตะกร้อเซปักตะกร้อ")</f>
        <v>การแข่งขันตะกร้อเซปักตะกร้อ</v>
      </c>
      <c r="V52" s="4" t="str">
        <f>IFERROR(__xludf.DUMMYFUNCTION("GOOGLETRANSLATE(J52,""en"",""th"")"),"รูปภาพแสดงให้เห็นผู้เล่นในสนามกำลังเตะลูกบอลที่ถักทอข้ามตาข่าย ซึ่งเป็นลักษณะเฉพาะของเซปักตะกร้อ กีฬาที่ได้รับความนิยมในเอเชียตะวันออกเฉียงใต้")</f>
        <v>รูปภาพแสดงให้เห็นผู้เล่นในสนามกำลังเตะลูกบอลที่ถักทอข้ามตาข่าย ซึ่งเป็นลักษณะเฉพาะของเซปักตะกร้อ กีฬาที่ได้รับความนิยมในเอเชียตะวันออกเฉียงใต้</v>
      </c>
    </row>
    <row r="53" ht="22.5" customHeight="1">
      <c r="A53" s="2" t="s">
        <v>1007</v>
      </c>
      <c r="B53" s="3">
        <v>52.0</v>
      </c>
      <c r="C53" s="4" t="s">
        <v>912</v>
      </c>
      <c r="D53" s="4" t="s">
        <v>913</v>
      </c>
      <c r="E53" s="4" t="s">
        <v>914</v>
      </c>
      <c r="F53" s="4" t="s">
        <v>915</v>
      </c>
      <c r="G53" s="4" t="s">
        <v>916</v>
      </c>
      <c r="H53" s="4" t="s">
        <v>917</v>
      </c>
      <c r="I53" s="4" t="s">
        <v>914</v>
      </c>
      <c r="J53" s="4" t="s">
        <v>918</v>
      </c>
      <c r="M53" s="4" t="s">
        <v>1007</v>
      </c>
      <c r="N53" s="5">
        <v>52.0</v>
      </c>
      <c r="O53" s="4" t="str">
        <f>IFERROR(__xludf.DUMMYFUNCTION("GOOGLETRANSLATE(C53,""en"",""th"")"),"ลักษณะเด่นของการเคลื่อนไหวของผู้เล่นคืออะไร?")</f>
        <v>ลักษณะเด่นของการเคลื่อนไหวของผู้เล่นคืออะไร?</v>
      </c>
      <c r="P53" s="4" t="str">
        <f>IFERROR(__xludf.DUMMYFUNCTION("GOOGLETRANSLATE(D53,""en"",""th"")"),"การใช้มือ")</f>
        <v>การใช้มือ</v>
      </c>
      <c r="Q53" s="4" t="str">
        <f>IFERROR(__xludf.DUMMYFUNCTION("GOOGLETRANSLATE(E53,""en"",""th"")"),"การใช้เท้า ศีรษะ และหน้าอก")</f>
        <v>การใช้เท้า ศีรษะ และหน้าอก</v>
      </c>
      <c r="R53" s="4" t="str">
        <f>IFERROR(__xludf.DUMMYFUNCTION("GOOGLETRANSLATE(F53,""en"",""th"")"),"การใช้แร็กเกต")</f>
        <v>การใช้แร็กเกต</v>
      </c>
      <c r="S53" s="4" t="str">
        <f>IFERROR(__xludf.DUMMYFUNCTION("GOOGLETRANSLATE(G53,""en"",""th"")"),"การใช้ไม้ตี")</f>
        <v>การใช้ไม้ตี</v>
      </c>
      <c r="T53" s="4" t="s">
        <v>919</v>
      </c>
      <c r="U53" s="4" t="str">
        <f>IFERROR(__xludf.DUMMYFUNCTION("GOOGLETRANSLATE(I53,""en"",""th"")"),"การใช้เท้า ศีรษะ และหน้าอก")</f>
        <v>การใช้เท้า ศีรษะ และหน้าอก</v>
      </c>
      <c r="V53" s="4" t="str">
        <f>IFERROR(__xludf.DUMMYFUNCTION("GOOGLETRANSLATE(J53,""en"",""th"")"),"กีฬาเซปักตะกร้อมีความพิเศษตรงที่ห้ามผู้เล่นใช้มือและต้องใช้เท้า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54" ht="22.5" customHeight="1">
      <c r="A54" s="2" t="s">
        <v>1007</v>
      </c>
      <c r="B54" s="3">
        <v>53.0</v>
      </c>
      <c r="C54" s="4" t="s">
        <v>920</v>
      </c>
      <c r="D54" s="4" t="s">
        <v>921</v>
      </c>
      <c r="E54" s="4" t="s">
        <v>922</v>
      </c>
      <c r="F54" s="4" t="s">
        <v>923</v>
      </c>
      <c r="G54" s="4" t="s">
        <v>924</v>
      </c>
      <c r="H54" s="4" t="s">
        <v>925</v>
      </c>
      <c r="I54" s="4" t="s">
        <v>923</v>
      </c>
      <c r="J54" s="4" t="s">
        <v>926</v>
      </c>
      <c r="M54" s="4" t="s">
        <v>1007</v>
      </c>
      <c r="N54" s="5">
        <v>53.0</v>
      </c>
      <c r="O54" s="4" t="str">
        <f>IFERROR(__xludf.DUMMYFUNCTION("GOOGLETRANSLATE(C54,""en"",""th"")"),"ลูกบอลทำจากอะไร?")</f>
        <v>ลูกบอลทำจากอะไร?</v>
      </c>
      <c r="P54" s="4" t="str">
        <f>IFERROR(__xludf.DUMMYFUNCTION("GOOGLETRANSLATE(D54,""en"",""th"")"),"ยาง.")</f>
        <v>ยาง.</v>
      </c>
      <c r="Q54" s="4" t="str">
        <f>IFERROR(__xludf.DUMMYFUNCTION("GOOGLETRANSLATE(E54,""en"",""th"")"),"พลาสติก.")</f>
        <v>พลาสติก.</v>
      </c>
      <c r="R54" s="4" t="str">
        <f>IFERROR(__xludf.DUMMYFUNCTION("GOOGLETRANSLATE(F54,""en"",""th"")"),"หวายทอหรือเส้นใยสังเคราะห์")</f>
        <v>หวายทอหรือเส้นใยสังเคราะห์</v>
      </c>
      <c r="S54" s="4" t="str">
        <f>IFERROR(__xludf.DUMMYFUNCTION("GOOGLETRANSLATE(G54,""en"",""th"")"),"หนัง.")</f>
        <v>หนัง.</v>
      </c>
      <c r="T54" s="4" t="s">
        <v>927</v>
      </c>
      <c r="U54" s="4" t="str">
        <f>IFERROR(__xludf.DUMMYFUNCTION("GOOGLETRANSLATE(I54,""en"",""th"")"),"หวายทอหรือเส้นใยสังเคราะห์")</f>
        <v>หวายทอหรือเส้นใยสังเคราะห์</v>
      </c>
      <c r="V54" s="4" t="str">
        <f>IFERROR(__xludf.DUMMYFUNCTION("GOOGLETRANSLATE(J54,""en"",""th"")"),"ลูกตะกร้อซึ่งเรียกว่าลูกตะกร้อนั้นทำมาจากหวายสานโดยทั่วไปหรือในการแข่งขันสมัยใหม่ก็ทำจากเส้นใยพลาสติกสังเคราะห์")</f>
        <v>ลูกตะกร้อซึ่งเรียกว่าลูกตะกร้อนั้นทำมาจากหวายสานโดยทั่วไปหรือในการแข่งขันสมัยใหม่ก็ทำจากเส้นใยพลาสติกสังเคราะห์</v>
      </c>
    </row>
    <row r="55" ht="22.5" customHeight="1">
      <c r="A55" s="2" t="s">
        <v>1007</v>
      </c>
      <c r="B55" s="3">
        <v>54.0</v>
      </c>
      <c r="C55" s="4" t="s">
        <v>928</v>
      </c>
      <c r="D55" s="4" t="s">
        <v>828</v>
      </c>
      <c r="E55" s="4" t="s">
        <v>929</v>
      </c>
      <c r="F55" s="4" t="s">
        <v>930</v>
      </c>
      <c r="G55" s="4" t="s">
        <v>931</v>
      </c>
      <c r="H55" s="4" t="s">
        <v>932</v>
      </c>
      <c r="I55" s="4" t="s">
        <v>929</v>
      </c>
      <c r="J55" s="4" t="s">
        <v>933</v>
      </c>
      <c r="M55" s="4" t="s">
        <v>1007</v>
      </c>
      <c r="N55" s="5">
        <v>54.0</v>
      </c>
      <c r="O55" s="4" t="str">
        <f>IFERROR(__xludf.DUMMYFUNCTION("GOOGLETRANSLATE(C55,""en"",""th"")"),"จุดประสงค์ของการเตะสูงและท่ากลางอากาศคืออะไร?")</f>
        <v>จุดประสงค์ของการเตะสูงและท่ากลางอากาศคืออะไร?</v>
      </c>
      <c r="P55" s="4" t="str">
        <f>IFERROR(__xludf.DUMMYFUNCTION("GOOGLETRANSLATE(D55,""en"",""th"")"),"เพื่อแสดงความสามารถ")</f>
        <v>เพื่อแสดงความสามารถ</v>
      </c>
      <c r="Q55" s="4" t="str">
        <f>IFERROR(__xludf.DUMMYFUNCTION("GOOGLETRANSLATE(E55,""en"",""th"")"),"การตีลูกให้สูงข้ามตาข่ายทำให้ตีโต้กลับได้ยาก")</f>
        <v>การตีลูกให้สูงข้ามตาข่ายทำให้ตีโต้กลับได้ยาก</v>
      </c>
      <c r="R55" s="4" t="str">
        <f>IFERROR(__xludf.DUMMYFUNCTION("GOOGLETRANSLATE(F55,""en"",""th"")"),"เพื่อยืดเหยียดขา")</f>
        <v>เพื่อยืดเหยียดขา</v>
      </c>
      <c r="S55" s="4" t="str">
        <f>IFERROR(__xludf.DUMMYFUNCTION("GOOGLETRANSLATE(G55,""en"",""th"")"),"เพื่อทำให้เกมยากยิ่งขึ้น")</f>
        <v>เพื่อทำให้เกมยากยิ่งขึ้น</v>
      </c>
      <c r="T55" s="4" t="s">
        <v>934</v>
      </c>
      <c r="U55" s="4" t="str">
        <f>IFERROR(__xludf.DUMMYFUNCTION("GOOGLETRANSLATE(I55,""en"",""th"")"),"การตีลูกให้สูงข้ามตาข่ายทำให้ตีโต้กลับได้ยาก")</f>
        <v>การตีลูกให้สูงข้ามตาข่ายทำให้ตีโต้กลับได้ยาก</v>
      </c>
      <c r="V55" s="4" t="str">
        <f>IFERROR(__xludf.DUMMYFUNCTION("GOOGLETRANSLATE(J55,""en"",""th"")"),"การเตะแบบผาดโผน มักเรียกว่า ""ตบ"" หรือ ""ฆ่า"" ใช้เพื่อตีลูกบอลด้วยพลังและความแม่นยำเหนือตาข่าย ทำให้ทีมฝ่ายตรงข้ามป้องกันได้ยาก")</f>
        <v>การเตะแบบผาดโผน มักเรียกว่า "ตบ" หรือ "ฆ่า" ใช้เพื่อตีลูกบอลด้วยพลังและความแม่นยำเหนือตาข่าย ทำให้ทีมฝ่ายตรงข้ามป้องกันได้ยาก</v>
      </c>
    </row>
    <row r="56" ht="22.5" customHeight="1">
      <c r="A56" s="2" t="s">
        <v>1007</v>
      </c>
      <c r="B56" s="3">
        <v>55.0</v>
      </c>
      <c r="C56" s="4" t="s">
        <v>935</v>
      </c>
      <c r="D56" s="4" t="s">
        <v>936</v>
      </c>
      <c r="E56" s="4" t="s">
        <v>937</v>
      </c>
      <c r="F56" s="4" t="s">
        <v>938</v>
      </c>
      <c r="G56" s="4" t="s">
        <v>939</v>
      </c>
      <c r="H56" s="4" t="s">
        <v>940</v>
      </c>
      <c r="I56" s="4" t="s">
        <v>936</v>
      </c>
      <c r="J56" s="4" t="s">
        <v>941</v>
      </c>
      <c r="M56" s="4" t="s">
        <v>1007</v>
      </c>
      <c r="N56" s="5">
        <v>55.0</v>
      </c>
      <c r="O56" s="4" t="str">
        <f>IFERROR(__xludf.DUMMYFUNCTION("GOOGLETRANSLATE(C56,""en"",""th"")"),"ผู้เล่นอยู่ในสภาพแวดล้อมประเภทใด?")</f>
        <v>ผู้เล่นอยู่ในสภาพแวดล้อมประเภทใด?</v>
      </c>
      <c r="P56" s="4" t="str">
        <f>IFERROR(__xludf.DUMMYFUNCTION("GOOGLETRANSLATE(D56,""en"",""th"")"),"สนามกีฬาในร่มที่ทันสมัย")</f>
        <v>สนามกีฬาในร่มที่ทันสมัย</v>
      </c>
      <c r="Q56" s="4" t="str">
        <f>IFERROR(__xludf.DUMMYFUNCTION("GOOGLETRANSLATE(E56,""en"",""th"")"),"สนามกลางแจ้งแบบดั้งเดิม")</f>
        <v>สนามกลางแจ้งแบบดั้งเดิม</v>
      </c>
      <c r="R56" s="4" t="str">
        <f>IFERROR(__xludf.DUMMYFUNCTION("GOOGLETRANSLATE(F56,""en"",""th"")"),"ชายหาด")</f>
        <v>ชายหาด</v>
      </c>
      <c r="S56" s="4" t="str">
        <f>IFERROR(__xludf.DUMMYFUNCTION("GOOGLETRANSLATE(G56,""en"",""th"")"),"สวนสาธารณะ")</f>
        <v>สวนสาธารณะ</v>
      </c>
      <c r="T56" s="4" t="s">
        <v>942</v>
      </c>
      <c r="U56" s="4" t="str">
        <f>IFERROR(__xludf.DUMMYFUNCTION("GOOGLETRANSLATE(I56,""en"",""th"")"),"สนามกีฬาในร่มที่ทันสมัย")</f>
        <v>สนามกีฬาในร่มที่ทันสมัย</v>
      </c>
      <c r="V56" s="4" t="str">
        <f>IFERROR(__xludf.DUMMYFUNCTION("GOOGLETRANSLATE(J56,""en"",""th"")"),"ภาพนี้แสดงให้เห็นสนามในร่มพร้อมแสงไฟระดับมืออาชีพ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f>
        <v>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v>
      </c>
    </row>
    <row r="57" ht="22.5" customHeight="1">
      <c r="A57" s="2" t="s">
        <v>1009</v>
      </c>
      <c r="B57" s="3">
        <v>56.0</v>
      </c>
      <c r="C57" s="4" t="s">
        <v>21</v>
      </c>
      <c r="D57" s="4" t="s">
        <v>907</v>
      </c>
      <c r="E57" s="4" t="s">
        <v>908</v>
      </c>
      <c r="F57" s="4" t="s">
        <v>909</v>
      </c>
      <c r="G57" s="4" t="s">
        <v>910</v>
      </c>
      <c r="H57" s="4" t="s">
        <v>944</v>
      </c>
      <c r="I57" s="4" t="s">
        <v>909</v>
      </c>
      <c r="J57" s="4" t="s">
        <v>911</v>
      </c>
      <c r="M57" s="4" t="s">
        <v>1009</v>
      </c>
      <c r="N57" s="5">
        <v>56.0</v>
      </c>
      <c r="O57" s="4" t="str">
        <f>IFERROR(__xludf.DUMMYFUNCTION("GOOGLETRANSLATE(C57,""en"",""th"")"),"ภาพที่แสดงเป็นกิจกรรมหลักอะไร?")</f>
        <v>ภาพที่แสดงเป็นกิจกรรมหลักอะไร?</v>
      </c>
      <c r="P57" s="4" t="str">
        <f>IFERROR(__xludf.DUMMYFUNCTION("GOOGLETRANSLATE(D57,""en"",""th"")"),"การแข่งขันยิมนาสติก")</f>
        <v>การแข่งขันยิมนาสติก</v>
      </c>
      <c r="Q57" s="4" t="str">
        <f>IFERROR(__xludf.DUMMYFUNCTION("GOOGLETRANSLATE(E57,""en"",""th"")"),"การแข่งขันแบดมินตัน")</f>
        <v>การแข่งขันแบดมินตัน</v>
      </c>
      <c r="R57" s="4" t="str">
        <f>IFERROR(__xludf.DUMMYFUNCTION("GOOGLETRANSLATE(F57,""en"",""th"")"),"การแข่งขันตะกร้อเซปักตะกร้อ")</f>
        <v>การแข่งขันตะกร้อเซปักตะกร้อ</v>
      </c>
      <c r="S57" s="4" t="str">
        <f>IFERROR(__xludf.DUMMYFUNCTION("GOOGLETRANSLATE(G57,""en"",""th"")"),"เกมฟุตบอล")</f>
        <v>เกมฟุตบอล</v>
      </c>
      <c r="T57" s="4" t="s">
        <v>945</v>
      </c>
      <c r="U57" s="4" t="str">
        <f>IFERROR(__xludf.DUMMYFUNCTION("GOOGLETRANSLATE(I57,""en"",""th"")"),"การแข่งขันตะกร้อเซปักตะกร้อ")</f>
        <v>การแข่งขันตะกร้อเซปักตะกร้อ</v>
      </c>
      <c r="V57" s="4" t="str">
        <f>IFERROR(__xludf.DUMMYFUNCTION("GOOGLETRANSLATE(J57,""en"",""th"")"),"ภาพนี้แสดงให้เห็นผู้เล่นในสนามกำลังเตะลูกบอลที่ถักทอข้ามตาข่าย ซึ่งเป็นเอกลักษณ์เฉพาะของเซปักตะกร้อ กีฬาที่ได้รับความนิยมในเอเชียตะวันออกเฉียงใต้")</f>
        <v>ภาพนี้แสดงให้เห็นผู้เล่นในสนามกำลังเตะลูกบอลที่ถักทอข้ามตาข่าย ซึ่งเป็นเอกลักษณ์เฉพาะของเซปักตะกร้อ กีฬาที่ได้รับความนิยมในเอเชียตะวันออกเฉียงใต้</v>
      </c>
    </row>
    <row r="58" ht="22.5" customHeight="1">
      <c r="A58" s="2" t="s">
        <v>1009</v>
      </c>
      <c r="B58" s="3">
        <v>57.0</v>
      </c>
      <c r="C58" s="4" t="s">
        <v>912</v>
      </c>
      <c r="D58" s="4" t="s">
        <v>913</v>
      </c>
      <c r="E58" s="4" t="s">
        <v>914</v>
      </c>
      <c r="F58" s="4" t="s">
        <v>915</v>
      </c>
      <c r="G58" s="4" t="s">
        <v>916</v>
      </c>
      <c r="H58" s="4" t="s">
        <v>917</v>
      </c>
      <c r="I58" s="4" t="s">
        <v>914</v>
      </c>
      <c r="J58" s="4" t="s">
        <v>918</v>
      </c>
      <c r="M58" s="4" t="s">
        <v>1009</v>
      </c>
      <c r="N58" s="5">
        <v>57.0</v>
      </c>
      <c r="O58" s="4" t="str">
        <f>IFERROR(__xludf.DUMMYFUNCTION("GOOGLETRANSLATE(C58,""en"",""th"")"),"ลักษณะเด่นของการเคลื่อนไหวของผู้เล่นคืออะไร?")</f>
        <v>ลักษณะเด่นของการเคลื่อนไหวของผู้เล่นคืออะไร?</v>
      </c>
      <c r="P58" s="4" t="str">
        <f>IFERROR(__xludf.DUMMYFUNCTION("GOOGLETRANSLATE(D58,""en"",""th"")"),"การใช้มือ")</f>
        <v>การใช้มือ</v>
      </c>
      <c r="Q58" s="4" t="str">
        <f>IFERROR(__xludf.DUMMYFUNCTION("GOOGLETRANSLATE(E58,""en"",""th"")"),"การใช้เท้า ศีรษะ และหน้าอก")</f>
        <v>การใช้เท้า ศีรษะ และหน้าอก</v>
      </c>
      <c r="R58" s="4" t="str">
        <f>IFERROR(__xludf.DUMMYFUNCTION("GOOGLETRANSLATE(F58,""en"",""th"")"),"การใช้แร็กเกต")</f>
        <v>การใช้แร็กเกต</v>
      </c>
      <c r="S58" s="4" t="str">
        <f>IFERROR(__xludf.DUMMYFUNCTION("GOOGLETRANSLATE(G58,""en"",""th"")"),"การใช้ไม้ตี")</f>
        <v>การใช้ไม้ตี</v>
      </c>
      <c r="T58" s="4" t="s">
        <v>919</v>
      </c>
      <c r="U58" s="4" t="str">
        <f>IFERROR(__xludf.DUMMYFUNCTION("GOOGLETRANSLATE(I58,""en"",""th"")"),"การใช้เท้า ศีรษะ และหน้าอก")</f>
        <v>การใช้เท้า ศีรษะ และหน้าอก</v>
      </c>
      <c r="V58" s="4" t="str">
        <f>IFERROR(__xludf.DUMMYFUNCTION("GOOGLETRANSLATE(J58,""en"",""th"")"),"กีฬาเซปักตะกร้อมีความพิเศษตรงที่ห้ามผู้เล่นใช้มือและต้องใช้เท้า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59" ht="22.5" customHeight="1">
      <c r="A59" s="2" t="s">
        <v>1009</v>
      </c>
      <c r="B59" s="3">
        <v>58.0</v>
      </c>
      <c r="C59" s="4" t="s">
        <v>920</v>
      </c>
      <c r="D59" s="4" t="s">
        <v>921</v>
      </c>
      <c r="E59" s="4" t="s">
        <v>922</v>
      </c>
      <c r="F59" s="4" t="s">
        <v>923</v>
      </c>
      <c r="G59" s="4" t="s">
        <v>924</v>
      </c>
      <c r="H59" s="4" t="s">
        <v>925</v>
      </c>
      <c r="I59" s="4" t="s">
        <v>923</v>
      </c>
      <c r="J59" s="4" t="s">
        <v>926</v>
      </c>
      <c r="M59" s="4" t="s">
        <v>1009</v>
      </c>
      <c r="N59" s="5">
        <v>58.0</v>
      </c>
      <c r="O59" s="4" t="str">
        <f>IFERROR(__xludf.DUMMYFUNCTION("GOOGLETRANSLATE(C59,""en"",""th"")"),"ลูกบอลทำจากอะไร?")</f>
        <v>ลูกบอลทำจากอะไร?</v>
      </c>
      <c r="P59" s="4" t="str">
        <f>IFERROR(__xludf.DUMMYFUNCTION("GOOGLETRANSLATE(D59,""en"",""th"")"),"ยาง.")</f>
        <v>ยาง.</v>
      </c>
      <c r="Q59" s="4" t="str">
        <f>IFERROR(__xludf.DUMMYFUNCTION("GOOGLETRANSLATE(E59,""en"",""th"")"),"พลาสติก.")</f>
        <v>พลาสติก.</v>
      </c>
      <c r="R59" s="4" t="str">
        <f>IFERROR(__xludf.DUMMYFUNCTION("GOOGLETRANSLATE(F59,""en"",""th"")"),"หวายทอหรือเส้นใยสังเคราะห์")</f>
        <v>หวายทอหรือเส้นใยสังเคราะห์</v>
      </c>
      <c r="S59" s="4" t="str">
        <f>IFERROR(__xludf.DUMMYFUNCTION("GOOGLETRANSLATE(G59,""en"",""th"")"),"หนัง.")</f>
        <v>หนัง.</v>
      </c>
      <c r="T59" s="4" t="s">
        <v>927</v>
      </c>
      <c r="U59" s="4" t="str">
        <f>IFERROR(__xludf.DUMMYFUNCTION("GOOGLETRANSLATE(I59,""en"",""th"")"),"หวายทอหรือเส้นใยสังเคราะห์")</f>
        <v>หวายทอหรือเส้นใยสังเคราะห์</v>
      </c>
      <c r="V59" s="4" t="str">
        <f>IFERROR(__xludf.DUMMYFUNCTION("GOOGLETRANSLATE(J59,""en"",""th"")"),"ลูกตะกร้อซึ่งเรียกว่าลูกตะกร้อนั้นทำมาจากหวายสานโดยทั่วไปหรือในการแข่งขันสมัยใหม่ก็ทำจากเส้นใยพลาสติกสังเคราะห์")</f>
        <v>ลูกตะกร้อซึ่งเรียกว่าลูกตะกร้อนั้นทำมาจากหวายสานโดยทั่วไปหรือในการแข่งขันสมัยใหม่ก็ทำจากเส้นใยพลาสติกสังเคราะห์</v>
      </c>
    </row>
    <row r="60" ht="22.5" customHeight="1">
      <c r="A60" s="2" t="s">
        <v>1009</v>
      </c>
      <c r="B60" s="3">
        <v>59.0</v>
      </c>
      <c r="C60" s="4" t="s">
        <v>928</v>
      </c>
      <c r="D60" s="4" t="s">
        <v>828</v>
      </c>
      <c r="E60" s="4" t="s">
        <v>929</v>
      </c>
      <c r="F60" s="4" t="s">
        <v>930</v>
      </c>
      <c r="G60" s="4" t="s">
        <v>931</v>
      </c>
      <c r="H60" s="4" t="s">
        <v>932</v>
      </c>
      <c r="I60" s="4" t="s">
        <v>929</v>
      </c>
      <c r="J60" s="4" t="s">
        <v>933</v>
      </c>
      <c r="M60" s="4" t="s">
        <v>1009</v>
      </c>
      <c r="N60" s="5">
        <v>59.0</v>
      </c>
      <c r="O60" s="4" t="str">
        <f>IFERROR(__xludf.DUMMYFUNCTION("GOOGLETRANSLATE(C60,""en"",""th"")"),"จุดประสงค์ของการเตะสูงและท่ากลางอากาศคืออะไร?")</f>
        <v>จุดประสงค์ของการเตะสูงและท่ากลางอากาศคืออะไร?</v>
      </c>
      <c r="P60" s="4" t="str">
        <f>IFERROR(__xludf.DUMMYFUNCTION("GOOGLETRANSLATE(D60,""en"",""th"")"),"เพื่อแสดงความสามารถ")</f>
        <v>เพื่อแสดงความสามารถ</v>
      </c>
      <c r="Q60" s="4" t="str">
        <f>IFERROR(__xludf.DUMMYFUNCTION("GOOGLETRANSLATE(E60,""en"",""th"")"),"การตีลูกให้สูงข้ามตาข่ายทำให้ตีโต้กลับได้ยาก")</f>
        <v>การตีลูกให้สูงข้ามตาข่ายทำให้ตีโต้กลับได้ยาก</v>
      </c>
      <c r="R60" s="4" t="str">
        <f>IFERROR(__xludf.DUMMYFUNCTION("GOOGLETRANSLATE(F60,""en"",""th"")"),"เพื่อยืดเหยียดขา")</f>
        <v>เพื่อยืดเหยียดขา</v>
      </c>
      <c r="S60" s="4" t="str">
        <f>IFERROR(__xludf.DUMMYFUNCTION("GOOGLETRANSLATE(G60,""en"",""th"")"),"เพื่อทำให้เกมยากยิ่งขึ้น")</f>
        <v>เพื่อทำให้เกมยากยิ่งขึ้น</v>
      </c>
      <c r="T60" s="4" t="s">
        <v>934</v>
      </c>
      <c r="U60" s="4" t="str">
        <f>IFERROR(__xludf.DUMMYFUNCTION("GOOGLETRANSLATE(I60,""en"",""th"")"),"การตีลูกให้สูงข้ามตาข่ายทำให้ตีโต้กลับได้ยาก")</f>
        <v>การตีลูกให้สูงข้ามตาข่ายทำให้ตีโต้กลับได้ยาก</v>
      </c>
      <c r="V60" s="4" t="str">
        <f>IFERROR(__xludf.DUMMYFUNCTION("GOOGLETRANSLATE(J60,""en"",""th"")"),"การเตะแบบผาดโผน มักเรียกว่า ""ตบ"" หรือ ""ฆ่า"" ใช้เพื่อตีลูกบอลด้วยพลังและความแม่นยำเหนือตาข่าย ทำให้ทีมฝ่ายตรงข้ามป้องกันได้ยาก")</f>
        <v>การเตะแบบผาดโผน มักเรียกว่า "ตบ" หรือ "ฆ่า" ใช้เพื่อตีลูกบอลด้วยพลังและความแม่นยำเหนือตาข่าย ทำให้ทีมฝ่ายตรงข้ามป้องกันได้ยาก</v>
      </c>
    </row>
    <row r="61" ht="22.5" customHeight="1">
      <c r="A61" s="2" t="s">
        <v>1009</v>
      </c>
      <c r="B61" s="3">
        <v>60.0</v>
      </c>
      <c r="C61" s="4" t="s">
        <v>935</v>
      </c>
      <c r="D61" s="4" t="s">
        <v>936</v>
      </c>
      <c r="E61" s="4" t="s">
        <v>937</v>
      </c>
      <c r="F61" s="4" t="s">
        <v>938</v>
      </c>
      <c r="G61" s="4" t="s">
        <v>939</v>
      </c>
      <c r="H61" s="4" t="s">
        <v>940</v>
      </c>
      <c r="I61" s="4" t="s">
        <v>936</v>
      </c>
      <c r="J61" s="4" t="s">
        <v>941</v>
      </c>
      <c r="M61" s="4" t="s">
        <v>1009</v>
      </c>
      <c r="N61" s="5">
        <v>60.0</v>
      </c>
      <c r="O61" s="4" t="str">
        <f>IFERROR(__xludf.DUMMYFUNCTION("GOOGLETRANSLATE(C61,""en"",""th"")"),"ผู้เล่นอยู่ในสภาพแวดล้อมประเภทใด?")</f>
        <v>ผู้เล่นอยู่ในสภาพแวดล้อมประเภทใด?</v>
      </c>
      <c r="P61" s="4" t="str">
        <f>IFERROR(__xludf.DUMMYFUNCTION("GOOGLETRANSLATE(D61,""en"",""th"")"),"สนามกีฬาในร่มที่ทันสมัย")</f>
        <v>สนามกีฬาในร่มที่ทันสมัย</v>
      </c>
      <c r="Q61" s="4" t="str">
        <f>IFERROR(__xludf.DUMMYFUNCTION("GOOGLETRANSLATE(E61,""en"",""th"")"),"สนามกลางแจ้งแบบดั้งเดิม")</f>
        <v>สนามกลางแจ้งแบบดั้งเดิม</v>
      </c>
      <c r="R61" s="4" t="str">
        <f>IFERROR(__xludf.DUMMYFUNCTION("GOOGLETRANSLATE(F61,""en"",""th"")"),"ชายหาด")</f>
        <v>ชายหาด</v>
      </c>
      <c r="S61" s="4" t="str">
        <f>IFERROR(__xludf.DUMMYFUNCTION("GOOGLETRANSLATE(G61,""en"",""th"")"),"สวนสาธารณะ")</f>
        <v>สวนสาธารณะ</v>
      </c>
      <c r="T61" s="4" t="s">
        <v>942</v>
      </c>
      <c r="U61" s="4" t="str">
        <f>IFERROR(__xludf.DUMMYFUNCTION("GOOGLETRANSLATE(I61,""en"",""th"")"),"สนามกีฬาในร่มที่ทันสมัย")</f>
        <v>สนามกีฬาในร่มที่ทันสมัย</v>
      </c>
      <c r="V61" s="4" t="str">
        <f>IFERROR(__xludf.DUMMYFUNCTION("GOOGLETRANSLATE(J61,""en"",""th"")"),"ภาพนี้แสดงให้เห็นสนามในร่มพร้อมแสงไฟระดับมืออาชีพ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f>
        <v>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v>
      </c>
    </row>
    <row r="62" ht="22.5" customHeight="1">
      <c r="A62" s="2" t="s">
        <v>1010</v>
      </c>
      <c r="B62" s="3">
        <v>61.0</v>
      </c>
      <c r="C62" s="4" t="s">
        <v>21</v>
      </c>
      <c r="D62" s="4" t="s">
        <v>908</v>
      </c>
      <c r="E62" s="4" t="s">
        <v>947</v>
      </c>
      <c r="F62" s="4" t="s">
        <v>909</v>
      </c>
      <c r="G62" s="4" t="s">
        <v>948</v>
      </c>
      <c r="H62" s="4" t="s">
        <v>949</v>
      </c>
      <c r="I62" s="4" t="s">
        <v>909</v>
      </c>
      <c r="J62" s="4" t="s">
        <v>950</v>
      </c>
      <c r="M62" s="4" t="s">
        <v>1010</v>
      </c>
      <c r="N62" s="5">
        <v>61.0</v>
      </c>
      <c r="O62" s="4" t="str">
        <f>IFERROR(__xludf.DUMMYFUNCTION("GOOGLETRANSLATE(C62,""en"",""th"")"),"ภาพที่แสดงเป็นกิจกรรมหลักอะไร?")</f>
        <v>ภาพที่แสดงเป็นกิจกรรมหลักอะไร?</v>
      </c>
      <c r="P62" s="4" t="str">
        <f>IFERROR(__xludf.DUMMYFUNCTION("GOOGLETRANSLATE(D62,""en"",""th"")"),"การแข่งขันแบดมินตัน")</f>
        <v>การแข่งขันแบดมินตัน</v>
      </c>
      <c r="Q62" s="4" t="str">
        <f>IFERROR(__xludf.DUMMYFUNCTION("GOOGLETRANSLATE(E62,""en"",""th"")"),"เกมวอลเลย์บอล")</f>
        <v>เกมวอลเลย์บอล</v>
      </c>
      <c r="R62" s="4" t="str">
        <f>IFERROR(__xludf.DUMMYFUNCTION("GOOGLETRANSLATE(F62,""en"",""th"")"),"การแข่งขันตะกร้อเซปักตะกร้อ")</f>
        <v>การแข่งขันตะกร้อเซปักตะกร้อ</v>
      </c>
      <c r="S62" s="4" t="str">
        <f>IFERROR(__xludf.DUMMYFUNCTION("GOOGLETRANSLATE(G62,""en"",""th"")"),"เกมฟุตบอล")</f>
        <v>เกมฟุตบอล</v>
      </c>
      <c r="T62" s="4" t="s">
        <v>951</v>
      </c>
      <c r="U62" s="4" t="str">
        <f>IFERROR(__xludf.DUMMYFUNCTION("GOOGLETRANSLATE(I62,""en"",""th"")"),"การแข่งขันตะกร้อเซปักตะกร้อ")</f>
        <v>การแข่งขันตะกร้อเซปักตะกร้อ</v>
      </c>
      <c r="V62" s="4" t="str">
        <f>IFERROR(__xludf.DUMMYFUNCTION("GOOGLETRANSLATE(J62,""en"",""th"")"),"รูปภาพแสดงให้เห็นผู้เล่นในชุดยูนิฟอร์มกำลังเตะลูกบอลที่ถักทอข้ามตาข่าย ซึ่งเป็นสิ่งบ่งชี้ที่ชัดเจนว่าเป็นการแข่งขันตะกร้อ")</f>
        <v>รูปภาพแสดงให้เห็นผู้เล่นในชุดยูนิฟอร์มกำลังเตะลูกบอลที่ถักทอข้ามตาข่าย ซึ่งเป็นสิ่งบ่งชี้ที่ชัดเจนว่าเป็นการแข่งขันตะกร้อ</v>
      </c>
    </row>
    <row r="63" ht="22.5" customHeight="1">
      <c r="A63" s="2" t="s">
        <v>1010</v>
      </c>
      <c r="B63" s="3">
        <v>62.0</v>
      </c>
      <c r="C63" s="4" t="s">
        <v>912</v>
      </c>
      <c r="D63" s="4" t="s">
        <v>913</v>
      </c>
      <c r="E63" s="4" t="s">
        <v>914</v>
      </c>
      <c r="F63" s="4" t="s">
        <v>915</v>
      </c>
      <c r="G63" s="4" t="s">
        <v>916</v>
      </c>
      <c r="H63" s="4" t="s">
        <v>917</v>
      </c>
      <c r="I63" s="4" t="s">
        <v>914</v>
      </c>
      <c r="J63" s="4" t="s">
        <v>918</v>
      </c>
      <c r="M63" s="4" t="s">
        <v>1010</v>
      </c>
      <c r="N63" s="5">
        <v>62.0</v>
      </c>
      <c r="O63" s="4" t="str">
        <f>IFERROR(__xludf.DUMMYFUNCTION("GOOGLETRANSLATE(C63,""en"",""th"")"),"ลักษณะเด่นของการเคลื่อนไหวของผู้เล่นคืออะไร?")</f>
        <v>ลักษณะเด่นของการเคลื่อนไหวของผู้เล่นคืออะไร?</v>
      </c>
      <c r="P63" s="4" t="str">
        <f>IFERROR(__xludf.DUMMYFUNCTION("GOOGLETRANSLATE(D63,""en"",""th"")"),"การใช้มือ")</f>
        <v>การใช้มือ</v>
      </c>
      <c r="Q63" s="4" t="str">
        <f>IFERROR(__xludf.DUMMYFUNCTION("GOOGLETRANSLATE(E63,""en"",""th"")"),"การใช้เท้า ศีรษะ และหน้าอก")</f>
        <v>การใช้เท้า ศีรษะ และหน้าอก</v>
      </c>
      <c r="R63" s="4" t="str">
        <f>IFERROR(__xludf.DUMMYFUNCTION("GOOGLETRANSLATE(F63,""en"",""th"")"),"การใช้แร็กเกต")</f>
        <v>การใช้แร็กเกต</v>
      </c>
      <c r="S63" s="4" t="str">
        <f>IFERROR(__xludf.DUMMYFUNCTION("GOOGLETRANSLATE(G63,""en"",""th"")"),"การใช้ไม้ตี")</f>
        <v>การใช้ไม้ตี</v>
      </c>
      <c r="T63" s="4" t="s">
        <v>919</v>
      </c>
      <c r="U63" s="4" t="str">
        <f>IFERROR(__xludf.DUMMYFUNCTION("GOOGLETRANSLATE(I63,""en"",""th"")"),"การใช้เท้า ศีรษะ และหน้าอก")</f>
        <v>การใช้เท้า ศีรษะ และหน้าอก</v>
      </c>
      <c r="V63" s="4" t="str">
        <f>IFERROR(__xludf.DUMMYFUNCTION("GOOGLETRANSLATE(J63,""en"",""th"")"),"กีฬาเซปักตะกร้อมีความพิเศษตรงที่ห้ามผู้เล่นใช้มือและต้องใช้เท้า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64" ht="22.5" customHeight="1">
      <c r="A64" s="2" t="s">
        <v>1010</v>
      </c>
      <c r="B64" s="3">
        <v>63.0</v>
      </c>
      <c r="C64" s="4" t="s">
        <v>952</v>
      </c>
      <c r="D64" s="4" t="s">
        <v>953</v>
      </c>
      <c r="E64" s="4" t="s">
        <v>954</v>
      </c>
      <c r="F64" s="4" t="s">
        <v>662</v>
      </c>
      <c r="G64" s="4" t="s">
        <v>931</v>
      </c>
      <c r="H64" s="4" t="s">
        <v>955</v>
      </c>
      <c r="I64" s="4" t="s">
        <v>954</v>
      </c>
      <c r="J64" s="4" t="s">
        <v>956</v>
      </c>
      <c r="M64" s="4" t="s">
        <v>1010</v>
      </c>
      <c r="N64" s="5">
        <v>63.0</v>
      </c>
      <c r="O64" s="4" t="str">
        <f>IFERROR(__xludf.DUMMYFUNCTION("GOOGLETRANSLATE(C64,""en"",""th"")"),"ผู้เล่นกำลังเตะขาอยู่กลางอากาศ จุดประสงค์ของการเคลื่อนไหวนี้คืออะไร?")</f>
        <v>ผู้เล่นกำลังเตะขาอยู่กลางอากาศ จุดประสงค์ของการเคลื่อนไหวนี้คืออะไร?</v>
      </c>
      <c r="P64" s="4" t="str">
        <f>IFERROR(__xludf.DUMMYFUNCTION("GOOGLETRANSLATE(D64,""en"",""th"")"),"เพื่อยืดขาของเขา")</f>
        <v>เพื่อยืดขาของเขา</v>
      </c>
      <c r="Q64" s="4" t="str">
        <f>IFERROR(__xludf.DUMMYFUNCTION("GOOGLETRANSLATE(E64,""en"",""th"")"),"การตีลูกให้ข้ามตาข่ายไป")</f>
        <v>การตีลูกให้ข้ามตาข่ายไป</v>
      </c>
      <c r="R64" s="4" t="str">
        <f>IFERROR(__xludf.DUMMYFUNCTION("GOOGLETRANSLATE(F64,""en"",""th"")"),"เพื่อแสดงความสามารถของตัวเอง")</f>
        <v>เพื่อแสดงความสามารถของตัวเอง</v>
      </c>
      <c r="S64" s="4" t="str">
        <f>IFERROR(__xludf.DUMMYFUNCTION("GOOGLETRANSLATE(G64,""en"",""th"")"),"เพื่อทำให้เกมยากยิ่งขึ้น")</f>
        <v>เพื่อทำให้เกมยากยิ่งขึ้น</v>
      </c>
      <c r="T64" s="4" t="s">
        <v>957</v>
      </c>
      <c r="U64" s="4" t="str">
        <f>IFERROR(__xludf.DUMMYFUNCTION("GOOGLETRANSLATE(I64,""en"",""th"")"),"การตีลูกให้ข้ามตาข่ายไป")</f>
        <v>การตีลูกให้ข้ามตาข่ายไป</v>
      </c>
      <c r="V64" s="4" t="str">
        <f>IFERROR(__xludf.DUMMYFUNCTION("GOOGLETRANSLATE(J64,""en"",""th"")"),"ผู้เล่นกำลังเตะบอลแรงๆ สูงและแรงสูงเพื่อส่งลูกบอลขึ้นสูงและรวดเร็วข้ามตาข่าย ทำให้ฝ่ายตรงข้ามโต้ตอบได้ยาก")</f>
        <v>ผู้เล่นกำลังเตะบอลแรงๆ สูงและแรงสูงเพื่อส่งลูกบอลขึ้นสูงและรวดเร็วข้ามตาข่าย ทำให้ฝ่ายตรงข้ามโต้ตอบได้ยาก</v>
      </c>
    </row>
    <row r="65" ht="22.5" customHeight="1">
      <c r="A65" s="2" t="s">
        <v>1010</v>
      </c>
      <c r="B65" s="3">
        <v>64.0</v>
      </c>
      <c r="C65" s="4" t="s">
        <v>935</v>
      </c>
      <c r="D65" s="4" t="s">
        <v>936</v>
      </c>
      <c r="E65" s="4" t="s">
        <v>937</v>
      </c>
      <c r="F65" s="4" t="s">
        <v>938</v>
      </c>
      <c r="G65" s="4" t="s">
        <v>939</v>
      </c>
      <c r="H65" s="4" t="s">
        <v>940</v>
      </c>
      <c r="I65" s="4" t="s">
        <v>936</v>
      </c>
      <c r="J65" s="4" t="s">
        <v>941</v>
      </c>
      <c r="M65" s="4" t="s">
        <v>1010</v>
      </c>
      <c r="N65" s="5">
        <v>64.0</v>
      </c>
      <c r="O65" s="4" t="str">
        <f>IFERROR(__xludf.DUMMYFUNCTION("GOOGLETRANSLATE(C65,""en"",""th"")"),"ผู้เล่นอยู่ในสภาพแวดล้อมประเภทใด?")</f>
        <v>ผู้เล่นอยู่ในสภาพแวดล้อมประเภทใด?</v>
      </c>
      <c r="P65" s="4" t="str">
        <f>IFERROR(__xludf.DUMMYFUNCTION("GOOGLETRANSLATE(D65,""en"",""th"")"),"สนามกีฬาในร่มที่ทันสมัย")</f>
        <v>สนามกีฬาในร่มที่ทันสมัย</v>
      </c>
      <c r="Q65" s="4" t="str">
        <f>IFERROR(__xludf.DUMMYFUNCTION("GOOGLETRANSLATE(E65,""en"",""th"")"),"สนามกลางแจ้งแบบดั้งเดิม")</f>
        <v>สนามกลางแจ้งแบบดั้งเดิม</v>
      </c>
      <c r="R65" s="4" t="str">
        <f>IFERROR(__xludf.DUMMYFUNCTION("GOOGLETRANSLATE(F65,""en"",""th"")"),"ชายหาด")</f>
        <v>ชายหาด</v>
      </c>
      <c r="S65" s="4" t="str">
        <f>IFERROR(__xludf.DUMMYFUNCTION("GOOGLETRANSLATE(G65,""en"",""th"")"),"สวนสาธารณะ")</f>
        <v>สวนสาธารณะ</v>
      </c>
      <c r="T65" s="4" t="s">
        <v>942</v>
      </c>
      <c r="U65" s="4" t="str">
        <f>IFERROR(__xludf.DUMMYFUNCTION("GOOGLETRANSLATE(I65,""en"",""th"")"),"สนามกีฬาในร่มที่ทันสมัย")</f>
        <v>สนามกีฬาในร่มที่ทันสมัย</v>
      </c>
      <c r="V65" s="4" t="str">
        <f>IFERROR(__xludf.DUMMYFUNCTION("GOOGLETRANSLATE(J65,""en"",""th"")"),"ภาพนี้แสดงให้เห็นสนามในร่มพร้อมแสงไฟระดับมืออาชีพ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f>
        <v>ภาพนี้แสดงให้เห็นสนามในร่มพร้อมแสงไฟระดับมืออาชีพ แบนเนอร์ของผู้สนับสนุน และฝูงชนผู้ชม ซึ่งบ่งชี้ถึงสนามกีฬาระดับมืออาชีพที่ทันสมัย</v>
      </c>
    </row>
    <row r="66" ht="22.5" customHeight="1">
      <c r="A66" s="2" t="s">
        <v>1010</v>
      </c>
      <c r="B66" s="3">
        <v>65.0</v>
      </c>
      <c r="C66" s="4" t="s">
        <v>959</v>
      </c>
      <c r="D66" s="4" t="s">
        <v>960</v>
      </c>
      <c r="E66" s="4" t="s">
        <v>961</v>
      </c>
      <c r="F66" s="4" t="s">
        <v>962</v>
      </c>
      <c r="G66" s="4" t="s">
        <v>963</v>
      </c>
      <c r="H66" s="4" t="s">
        <v>964</v>
      </c>
      <c r="I66" s="4" t="s">
        <v>961</v>
      </c>
      <c r="J66" s="4" t="s">
        <v>965</v>
      </c>
      <c r="M66" s="4" t="s">
        <v>1010</v>
      </c>
      <c r="N66" s="5">
        <v>65.0</v>
      </c>
      <c r="O66" s="4" t="str">
        <f>IFERROR(__xludf.DUMMYFUNCTION("GOOGLETRANSLATE(C66,""en"",""th"")"),"จากภาพนี้สามารถอนุมานสถานะของเกมได้อย่างไร?")</f>
        <v>จากภาพนี้สามารถอนุมานสถานะของเกมได้อย่างไร?</v>
      </c>
      <c r="P66" s="4" t="str">
        <f>IFERROR(__xludf.DUMMYFUNCTION("GOOGLETRANSLATE(D66,""en"",""th"")"),"มันเป็นกีฬาที่ไม่มีใครรู้จัก")</f>
        <v>มันเป็นกีฬาที่ไม่มีใครรู้จัก</v>
      </c>
      <c r="Q66" s="4" t="str">
        <f>IFERROR(__xludf.DUMMYFUNCTION("GOOGLETRANSLATE(E66,""en"",""th"")"),"เป็นกีฬาอาชีพที่มีการจัดการแข่งขันอย่างเป็นระบบ")</f>
        <v>เป็นกีฬาอาชีพที่มีการจัดการแข่งขันอย่างเป็นระบบ</v>
      </c>
      <c r="R66" s="4" t="str">
        <f>IFERROR(__xludf.DUMMYFUNCTION("GOOGLETRANSLATE(F66,""en"",""th"")"),"มันเป็นเพียงกิจกรรมยามว่างธรรมดา")</f>
        <v>มันเป็นเพียงกิจกรรมยามว่างธรรมดา</v>
      </c>
      <c r="S66" s="4" t="str">
        <f>IFERROR(__xludf.DUMMYFUNCTION("GOOGLETRANSLATE(G66,""en"",""th"")"),"มันเป็นเกมสำหรับเด็ก")</f>
        <v>มันเป็นเกมสำหรับเด็ก</v>
      </c>
      <c r="T66" s="4" t="s">
        <v>966</v>
      </c>
      <c r="U66" s="4" t="str">
        <f>IFERROR(__xludf.DUMMYFUNCTION("GOOGLETRANSLATE(I66,""en"",""th"")"),"เป็นกีฬาอาชีพที่มีการจัดการแข่งขันอย่างเป็นระบบ")</f>
        <v>เป็นกีฬาอาชีพที่มีการจัดการแข่งขันอย่างเป็นระบบ</v>
      </c>
      <c r="V66" s="4" t="str">
        <f>IFERROR(__xludf.DUMMYFUNCTION("GOOGLETRANSLATE(J66,""en"",""th"")"),"ทั้งชุดแข่งขัน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f>
        <v>ทั้งชุดแข่งขัน สนามแข่งขัน และตาข่าย ล้วนบ่งบอกว่ากีฬาเซปักตะกร้อได้พัฒนาจากกีฬาที่เล่นเพื่อความบันเทิงทั่วไปมาเป็นกีฬาอาชีพที่มีการจัดการอย่างเป็นระบบ</v>
      </c>
    </row>
    <row r="67" ht="22.5" customHeight="1">
      <c r="A67" s="2" t="s">
        <v>1011</v>
      </c>
      <c r="B67" s="3">
        <v>66.0</v>
      </c>
      <c r="C67" s="4" t="s">
        <v>21</v>
      </c>
      <c r="D67" s="4" t="s">
        <v>908</v>
      </c>
      <c r="E67" s="4" t="s">
        <v>947</v>
      </c>
      <c r="F67" s="4" t="s">
        <v>909</v>
      </c>
      <c r="G67" s="4" t="s">
        <v>948</v>
      </c>
      <c r="H67" s="4" t="s">
        <v>949</v>
      </c>
      <c r="I67" s="4" t="s">
        <v>909</v>
      </c>
      <c r="J67" s="4" t="s">
        <v>950</v>
      </c>
      <c r="M67" s="4" t="s">
        <v>1011</v>
      </c>
      <c r="N67" s="5">
        <v>66.0</v>
      </c>
      <c r="O67" s="4" t="str">
        <f>IFERROR(__xludf.DUMMYFUNCTION("GOOGLETRANSLATE(C67,""en"",""th"")"),"ภาพที่แสดงเป็นกิจกรรมหลักอะไร?")</f>
        <v>ภาพที่แสดงเป็นกิจกรรมหลักอะไร?</v>
      </c>
      <c r="P67" s="4" t="str">
        <f>IFERROR(__xludf.DUMMYFUNCTION("GOOGLETRANSLATE(D67,""en"",""th"")"),"การแข่งขันแบดมินตัน")</f>
        <v>การแข่งขันแบดมินตัน</v>
      </c>
      <c r="Q67" s="4" t="str">
        <f>IFERROR(__xludf.DUMMYFUNCTION("GOOGLETRANSLATE(E67,""en"",""th"")"),"เกมวอลเลย์บอล")</f>
        <v>เกมวอลเลย์บอล</v>
      </c>
      <c r="R67" s="4" t="str">
        <f>IFERROR(__xludf.DUMMYFUNCTION("GOOGLETRANSLATE(F67,""en"",""th"")"),"การแข่งขันตะกร้อเซปักตะกร้อ")</f>
        <v>การแข่งขันตะกร้อเซปักตะกร้อ</v>
      </c>
      <c r="S67" s="4" t="str">
        <f>IFERROR(__xludf.DUMMYFUNCTION("GOOGLETRANSLATE(G67,""en"",""th"")"),"เกมฟุตบอล")</f>
        <v>เกมฟุตบอล</v>
      </c>
      <c r="T67" s="4" t="s">
        <v>951</v>
      </c>
      <c r="U67" s="4" t="str">
        <f>IFERROR(__xludf.DUMMYFUNCTION("GOOGLETRANSLATE(I67,""en"",""th"")"),"การแข่งขันตะกร้อเซปักตะกร้อ")</f>
        <v>การแข่งขันตะกร้อเซปักตะกร้อ</v>
      </c>
      <c r="V67" s="4" t="str">
        <f>IFERROR(__xludf.DUMMYFUNCTION("GOOGLETRANSLATE(J67,""en"",""th"")"),"รูปภาพแสดงให้เห็นผู้เล่นในชุดยูนิฟอร์มกำลังเตะลูกบอลที่ถักทอข้ามตาข่าย ซึ่งเป็นสิ่งบ่งชี้ที่ชัดเจนว่าเป็นการแข่งขันตะกร้อ")</f>
        <v>รูปภาพแสดงให้เห็นผู้เล่นในชุดยูนิฟอร์มกำลังเตะลูกบอลที่ถักทอข้ามตาข่าย ซึ่งเป็นสิ่งบ่งชี้ที่ชัดเจนว่าเป็นการแข่งขันตะกร้อ</v>
      </c>
    </row>
    <row r="68" ht="22.5" customHeight="1">
      <c r="A68" s="2" t="s">
        <v>1011</v>
      </c>
      <c r="B68" s="3">
        <v>67.0</v>
      </c>
      <c r="C68" s="4" t="s">
        <v>912</v>
      </c>
      <c r="D68" s="4" t="s">
        <v>913</v>
      </c>
      <c r="E68" s="4" t="s">
        <v>914</v>
      </c>
      <c r="F68" s="4" t="s">
        <v>915</v>
      </c>
      <c r="G68" s="4" t="s">
        <v>916</v>
      </c>
      <c r="H68" s="4" t="s">
        <v>917</v>
      </c>
      <c r="I68" s="4" t="s">
        <v>914</v>
      </c>
      <c r="J68" s="4" t="s">
        <v>918</v>
      </c>
      <c r="M68" s="4" t="s">
        <v>1011</v>
      </c>
      <c r="N68" s="5">
        <v>67.0</v>
      </c>
      <c r="O68" s="4" t="str">
        <f>IFERROR(__xludf.DUMMYFUNCTION("GOOGLETRANSLATE(C68,""en"",""th"")"),"ลักษณะเด่นของการเคลื่อนไหวของผู้เล่นคืออะไร?")</f>
        <v>ลักษณะเด่นของการเคลื่อนไหวของผู้เล่นคืออะไร?</v>
      </c>
      <c r="P68" s="4" t="str">
        <f>IFERROR(__xludf.DUMMYFUNCTION("GOOGLETRANSLATE(D68,""en"",""th"")"),"การใช้มือ")</f>
        <v>การใช้มือ</v>
      </c>
      <c r="Q68" s="4" t="str">
        <f>IFERROR(__xludf.DUMMYFUNCTION("GOOGLETRANSLATE(E68,""en"",""th"")"),"การใช้เท้า ศีรษะ และหน้าอก")</f>
        <v>การใช้เท้า ศีรษะ และหน้าอก</v>
      </c>
      <c r="R68" s="4" t="str">
        <f>IFERROR(__xludf.DUMMYFUNCTION("GOOGLETRANSLATE(F68,""en"",""th"")"),"การใช้แร็กเกต")</f>
        <v>การใช้แร็กเกต</v>
      </c>
      <c r="S68" s="4" t="str">
        <f>IFERROR(__xludf.DUMMYFUNCTION("GOOGLETRANSLATE(G68,""en"",""th"")"),"การใช้ไม้ตี")</f>
        <v>การใช้ไม้ตี</v>
      </c>
      <c r="T68" s="4" t="s">
        <v>919</v>
      </c>
      <c r="U68" s="4" t="str">
        <f>IFERROR(__xludf.DUMMYFUNCTION("GOOGLETRANSLATE(I68,""en"",""th"")"),"การใช้เท้า ศีรษะ และหน้าอก")</f>
        <v>การใช้เท้า ศีรษะ และหน้าอก</v>
      </c>
      <c r="V68" s="4" t="str">
        <f>IFERROR(__xludf.DUMMYFUNCTION("GOOGLETRANSLATE(J68,""en"",""th"")"),"กีฬาเซปักตะกร้อมีความพิเศษตรงที่ห้ามผู้เล่นใช้มือและต้องใช้เท้า ศีรษะ และหน้าอกในการตีลูกข้ามตาข่าย")</f>
        <v>กีฬาเซปักตะกร้อมีความพิเศษตรงที่ห้ามผู้เล่นใช้มือและต้องใช้เท้า ศีรษะ และหน้าอกในการตีลูกข้ามตาข่าย</v>
      </c>
    </row>
    <row r="69" ht="22.5" customHeight="1">
      <c r="A69" s="2" t="s">
        <v>1011</v>
      </c>
      <c r="B69" s="3">
        <v>68.0</v>
      </c>
      <c r="C69" s="4" t="s">
        <v>952</v>
      </c>
      <c r="D69" s="4" t="s">
        <v>953</v>
      </c>
      <c r="E69" s="4" t="s">
        <v>954</v>
      </c>
      <c r="F69" s="4" t="s">
        <v>662</v>
      </c>
      <c r="G69" s="4" t="s">
        <v>931</v>
      </c>
      <c r="H69" s="4" t="s">
        <v>955</v>
      </c>
      <c r="I69" s="4" t="s">
        <v>954</v>
      </c>
      <c r="J69" s="4" t="s">
        <v>956</v>
      </c>
      <c r="M69" s="4" t="s">
        <v>1011</v>
      </c>
      <c r="N69" s="5">
        <v>68.0</v>
      </c>
      <c r="O69" s="4" t="str">
        <f>IFERROR(__xludf.DUMMYFUNCTION("GOOGLETRANSLATE(C69,""en"",""th"")"),"ผู้เล่นกำลังเตะขาอยู่กลางอากาศ จุดประสงค์ของการเคลื่อนไหวนี้คืออะไร?")</f>
        <v>ผู้เล่นกำลังเตะขาอยู่กลางอากาศ จุดประสงค์ของการเคลื่อนไหวนี้คืออะไร?</v>
      </c>
      <c r="P69" s="4" t="str">
        <f>IFERROR(__xludf.DUMMYFUNCTION("GOOGLETRANSLATE(D69,""en"",""th"")"),"เพื่อยืดขาของเขา")</f>
        <v>เพื่อยืดขาของเขา</v>
      </c>
      <c r="Q69" s="4" t="str">
        <f>IFERROR(__xludf.DUMMYFUNCTION("GOOGLETRANSLATE(E69,""en"",""th"")"),"การตีลูกให้ข้ามตาข่ายไป")</f>
        <v>การตีลูกให้ข้ามตาข่ายไป</v>
      </c>
      <c r="R69" s="4" t="str">
        <f>IFERROR(__xludf.DUMMYFUNCTION("GOOGLETRANSLATE(F69,""en"",""th"")"),"เพื่อแสดงความสามารถของตัวเอง")</f>
        <v>เพื่อแสดงความสามารถของตัวเอง</v>
      </c>
      <c r="S69" s="4" t="str">
        <f>IFERROR(__xludf.DUMMYFUNCTION("GOOGLETRANSLATE(G69,""en"",""th"")"),"เพื่อทำให้เกมยากยิ่งขึ้น")</f>
        <v>เพื่อทำให้เกมยากยิ่งขึ้น</v>
      </c>
      <c r="T69" s="4" t="s">
        <v>957</v>
      </c>
      <c r="U69" s="4" t="str">
        <f>IFERROR(__xludf.DUMMYFUNCTION("GOOGLETRANSLATE(I69,""en"",""th"")"),"การตีลูกให้ข้ามตาข่ายไป")</f>
        <v>การตีลูกให้ข้ามตาข่ายไป</v>
      </c>
      <c r="V69" s="4" t="str">
        <f>IFERROR(__xludf.DUMMYFUNCTION("GOOGLETRANSLATE(J69,""en"",""th"")"),"ผู้เล่นกำลังเตะบอลแรงๆ สูงและแรงสูงเพื่อส่งลูกบอลขึ้นสูงและรวดเร็วข้ามตาข่าย ทำให้ฝ่ายตรงข้ามโต้ตอบได้ยาก")</f>
        <v>ผู้เล่นกำลังเตะบอลแรงๆ สูงและแรงสูงเพื่อส่งลูกบอลขึ้นสูงและรวดเร็วข้ามตาข่าย ทำให้ฝ่ายตรงข้ามโต้ตอบได้ยาก</v>
      </c>
    </row>
    <row r="70" ht="22.5" customHeight="1">
      <c r="A70" s="2" t="s">
        <v>1011</v>
      </c>
      <c r="B70" s="3">
        <v>69.0</v>
      </c>
      <c r="C70" s="4" t="s">
        <v>935</v>
      </c>
      <c r="D70" s="4" t="s">
        <v>936</v>
      </c>
      <c r="E70" s="4" t="s">
        <v>937</v>
      </c>
      <c r="F70" s="4" t="s">
        <v>938</v>
      </c>
      <c r="G70" s="4" t="s">
        <v>939</v>
      </c>
      <c r="H70" s="4" t="s">
        <v>940</v>
      </c>
      <c r="I70" s="4" t="s">
        <v>939</v>
      </c>
      <c r="J70" s="4" t="s">
        <v>1006</v>
      </c>
      <c r="M70" s="4" t="s">
        <v>1011</v>
      </c>
      <c r="N70" s="5">
        <v>69.0</v>
      </c>
      <c r="O70" s="4" t="str">
        <f>IFERROR(__xludf.DUMMYFUNCTION("GOOGLETRANSLATE(C70,""en"",""th"")"),"ผู้เล่นอยู่ในสภาพแวดล้อมประเภทใด?")</f>
        <v>ผู้เล่นอยู่ในสภาพแวดล้อมประเภทใด?</v>
      </c>
      <c r="P70" s="4" t="str">
        <f>IFERROR(__xludf.DUMMYFUNCTION("GOOGLETRANSLATE(D70,""en"",""th"")"),"สนามกีฬาในร่มที่ทันสมัย")</f>
        <v>สนามกีฬาในร่มที่ทันสมัย</v>
      </c>
      <c r="Q70" s="4" t="str">
        <f>IFERROR(__xludf.DUMMYFUNCTION("GOOGLETRANSLATE(E70,""en"",""th"")"),"สนามกลางแจ้งแบบดั้งเดิม")</f>
        <v>สนามกลางแจ้งแบบดั้งเดิม</v>
      </c>
      <c r="R70" s="4" t="str">
        <f>IFERROR(__xludf.DUMMYFUNCTION("GOOGLETRANSLATE(F70,""en"",""th"")"),"ชายหาด")</f>
        <v>ชายหาด</v>
      </c>
      <c r="S70" s="4" t="str">
        <f>IFERROR(__xludf.DUMMYFUNCTION("GOOGLETRANSLATE(G70,""en"",""th"")"),"สวนสาธารณะ")</f>
        <v>สวนสาธารณะ</v>
      </c>
      <c r="T70" s="4" t="s">
        <v>942</v>
      </c>
      <c r="U70" s="4" t="str">
        <f>IFERROR(__xludf.DUMMYFUNCTION("GOOGLETRANSLATE(I70,""en"",""th"")"),"สวนสาธารณะ")</f>
        <v>สวนสาธารณะ</v>
      </c>
      <c r="V70" s="4" t="str">
        <f>IFERROR(__xludf.DUMMYFUNCTION("GOOGLETRANSLATE(J70,""en"",""th"")"),"ภาพนี้แสดงให้เห็นสนามกลางแจ้งที่มีตาข่าย และมีต้นไม้และพืชพรรณสีเขียวเป็นฉากหลัง ซึ่งเป็นฉากทั่วไปของสวนสาธารณะ")</f>
        <v>ภาพนี้แสดงให้เห็นสนามกลางแจ้งที่มีตาข่าย และมีต้นไม้และพืชพรรณสีเขียวเป็นฉากหลัง ซึ่งเป็นฉากทั่วไปของสวนสาธารณะ</v>
      </c>
    </row>
    <row r="71" ht="22.5" customHeight="1">
      <c r="A71" s="2" t="s">
        <v>1011</v>
      </c>
      <c r="B71" s="3">
        <v>70.0</v>
      </c>
      <c r="C71" s="4" t="s">
        <v>959</v>
      </c>
      <c r="D71" s="4" t="s">
        <v>960</v>
      </c>
      <c r="E71" s="4" t="s">
        <v>961</v>
      </c>
      <c r="F71" s="4" t="s">
        <v>962</v>
      </c>
      <c r="G71" s="4" t="s">
        <v>963</v>
      </c>
      <c r="H71" s="4" t="s">
        <v>964</v>
      </c>
      <c r="I71" s="4" t="s">
        <v>962</v>
      </c>
      <c r="J71" s="4" t="s">
        <v>971</v>
      </c>
      <c r="M71" s="4" t="s">
        <v>1011</v>
      </c>
      <c r="N71" s="5">
        <v>70.0</v>
      </c>
      <c r="O71" s="4" t="str">
        <f>IFERROR(__xludf.DUMMYFUNCTION("GOOGLETRANSLATE(C71,""en"",""th"")"),"จากภาพนี้สามารถอนุมานสถานะของเกมได้อย่างไร?")</f>
        <v>จากภาพนี้สามารถอนุมานสถานะของเกมได้อย่างไร?</v>
      </c>
      <c r="P71" s="4" t="str">
        <f>IFERROR(__xludf.DUMMYFUNCTION("GOOGLETRANSLATE(D71,""en"",""th"")"),"มันเป็นกีฬาที่ไม่มีใครรู้จัก")</f>
        <v>มันเป็นกีฬาที่ไม่มีใครรู้จัก</v>
      </c>
      <c r="Q71" s="4" t="str">
        <f>IFERROR(__xludf.DUMMYFUNCTION("GOOGLETRANSLATE(E71,""en"",""th"")"),"เป็นกีฬาอาชีพที่มีการจัดการแข่งขันอย่างเป็นระบบ")</f>
        <v>เป็นกีฬาอาชีพที่มีการจัดการแข่งขันอย่างเป็นระบบ</v>
      </c>
      <c r="R71" s="4" t="str">
        <f>IFERROR(__xludf.DUMMYFUNCTION("GOOGLETRANSLATE(F71,""en"",""th"")"),"มันเป็นเพียงกิจกรรมยามว่างธรรมดา")</f>
        <v>มันเป็นเพียงกิจกรรมยามว่างธรรมดา</v>
      </c>
      <c r="S71" s="4" t="str">
        <f>IFERROR(__xludf.DUMMYFUNCTION("GOOGLETRANSLATE(G71,""en"",""th"")"),"มันเป็นเกมสำหรับเด็ก")</f>
        <v>มันเป็นเกมสำหรับเด็ก</v>
      </c>
      <c r="T71" s="4" t="s">
        <v>966</v>
      </c>
      <c r="U71" s="4" t="str">
        <f>IFERROR(__xludf.DUMMYFUNCTION("GOOGLETRANSLATE(I71,""en"",""th"")"),"มันเป็นเพียงกิจกรรมยามว่างธรรมดา")</f>
        <v>มันเป็นเพียงกิจกรรมยามว่างธรรมดา</v>
      </c>
      <c r="V71" s="4" t="str">
        <f>IFERROR(__xludf.DUMMYFUNCTION("GOOGLETRANSLATE(J71,""en"",""th"")"),"บรรยากาศที่เป็นกันเอง ไม่มีแสงไฟจากมืออาชีพหรือแบนเนอร์ของผู้สนับสนุน บ่งบอกว่านี่เป็นเพียงกิจกรรมยามว่างสบายๆ")</f>
        <v>บรรยากาศที่เป็นกันเอง ไม่มีแสงไฟจากมืออาชีพหรือแบนเนอร์ของผู้สนับสนุน บ่งบอกว่านี่เป็นเพียงกิจกรรมยามว่างสบายๆ</v>
      </c>
    </row>
    <row r="72">
      <c r="H72" s="8" t="s">
        <v>364</v>
      </c>
      <c r="O72" s="9"/>
    </row>
    <row r="73">
      <c r="H73" s="8" t="s">
        <v>364</v>
      </c>
    </row>
    <row r="74">
      <c r="H74" s="8" t="s">
        <v>364</v>
      </c>
    </row>
    <row r="75">
      <c r="H75" s="8" t="s">
        <v>364</v>
      </c>
    </row>
    <row r="76">
      <c r="H76" s="8" t="s">
        <v>364</v>
      </c>
    </row>
    <row r="77">
      <c r="H77" s="8" t="s">
        <v>364</v>
      </c>
    </row>
    <row r="78">
      <c r="H78" s="8" t="s">
        <v>364</v>
      </c>
    </row>
    <row r="79">
      <c r="H79" s="8" t="s">
        <v>364</v>
      </c>
    </row>
    <row r="80">
      <c r="H80" s="8" t="s">
        <v>364</v>
      </c>
    </row>
    <row r="81">
      <c r="H81" s="8" t="s">
        <v>364</v>
      </c>
    </row>
    <row r="82">
      <c r="H82" s="8" t="s">
        <v>364</v>
      </c>
    </row>
    <row r="83">
      <c r="H83" s="8" t="s">
        <v>364</v>
      </c>
    </row>
    <row r="84">
      <c r="H84" s="8" t="s">
        <v>364</v>
      </c>
    </row>
    <row r="85">
      <c r="H85" s="8" t="s">
        <v>364</v>
      </c>
    </row>
    <row r="86">
      <c r="H86" s="8" t="s">
        <v>364</v>
      </c>
    </row>
    <row r="87">
      <c r="H87" s="8" t="s">
        <v>364</v>
      </c>
    </row>
    <row r="88">
      <c r="H88" s="8" t="s">
        <v>364</v>
      </c>
    </row>
    <row r="89">
      <c r="H89" s="8" t="s">
        <v>364</v>
      </c>
    </row>
    <row r="90">
      <c r="H90" s="8" t="s">
        <v>364</v>
      </c>
    </row>
    <row r="91">
      <c r="H91" s="8" t="s">
        <v>364</v>
      </c>
    </row>
    <row r="92">
      <c r="H92" s="8" t="s">
        <v>364</v>
      </c>
    </row>
    <row r="93">
      <c r="H93" s="8" t="s">
        <v>364</v>
      </c>
    </row>
    <row r="94">
      <c r="H94" s="8" t="s">
        <v>364</v>
      </c>
    </row>
    <row r="95">
      <c r="H95" s="8" t="s">
        <v>364</v>
      </c>
    </row>
    <row r="96">
      <c r="H96" s="8" t="s">
        <v>364</v>
      </c>
    </row>
    <row r="97">
      <c r="H97" s="8" t="s">
        <v>364</v>
      </c>
    </row>
    <row r="98">
      <c r="H98" s="8" t="s">
        <v>364</v>
      </c>
    </row>
    <row r="99">
      <c r="H99" s="8" t="s">
        <v>364</v>
      </c>
    </row>
    <row r="100">
      <c r="H100" s="8" t="s">
        <v>364</v>
      </c>
    </row>
    <row r="101">
      <c r="H101" s="8" t="s">
        <v>364</v>
      </c>
    </row>
    <row r="102">
      <c r="H102" s="8" t="s">
        <v>364</v>
      </c>
    </row>
    <row r="103">
      <c r="H103" s="8" t="s">
        <v>364</v>
      </c>
    </row>
    <row r="104">
      <c r="H104" s="8" t="s">
        <v>364</v>
      </c>
    </row>
    <row r="105">
      <c r="H105" s="8" t="s">
        <v>364</v>
      </c>
    </row>
    <row r="106">
      <c r="H106" s="8" t="s">
        <v>364</v>
      </c>
    </row>
    <row r="107">
      <c r="H107" s="8" t="s">
        <v>364</v>
      </c>
    </row>
    <row r="108">
      <c r="H108" s="8" t="s">
        <v>364</v>
      </c>
    </row>
    <row r="109">
      <c r="H109" s="8" t="s">
        <v>364</v>
      </c>
    </row>
    <row r="110">
      <c r="H110" s="8" t="s">
        <v>364</v>
      </c>
    </row>
    <row r="111">
      <c r="H111" s="8" t="s">
        <v>364</v>
      </c>
    </row>
    <row r="112">
      <c r="H112" s="8" t="s">
        <v>364</v>
      </c>
    </row>
    <row r="113">
      <c r="H113" s="8" t="s">
        <v>364</v>
      </c>
    </row>
    <row r="114">
      <c r="H114" s="8" t="s">
        <v>364</v>
      </c>
    </row>
    <row r="115">
      <c r="H115" s="8" t="s">
        <v>364</v>
      </c>
    </row>
    <row r="116">
      <c r="H116" s="8" t="s">
        <v>364</v>
      </c>
    </row>
    <row r="117">
      <c r="H117" s="8" t="s">
        <v>364</v>
      </c>
    </row>
    <row r="118">
      <c r="H118" s="8" t="s">
        <v>364</v>
      </c>
    </row>
    <row r="119">
      <c r="H119" s="8" t="s">
        <v>364</v>
      </c>
    </row>
    <row r="120">
      <c r="H120" s="8" t="s">
        <v>364</v>
      </c>
    </row>
    <row r="121">
      <c r="H121" s="8" t="s">
        <v>364</v>
      </c>
    </row>
    <row r="122">
      <c r="H122" s="8" t="s">
        <v>364</v>
      </c>
    </row>
    <row r="123">
      <c r="H123" s="8" t="s">
        <v>364</v>
      </c>
    </row>
    <row r="124">
      <c r="H124" s="8" t="s">
        <v>364</v>
      </c>
    </row>
    <row r="125">
      <c r="H125" s="8" t="s">
        <v>364</v>
      </c>
    </row>
    <row r="126">
      <c r="H126" s="8" t="s">
        <v>364</v>
      </c>
    </row>
    <row r="127">
      <c r="H127" s="8" t="s">
        <v>364</v>
      </c>
    </row>
    <row r="128">
      <c r="H128" s="8" t="s">
        <v>364</v>
      </c>
    </row>
    <row r="129">
      <c r="H129" s="8" t="s">
        <v>364</v>
      </c>
    </row>
    <row r="130">
      <c r="H130" s="8" t="s">
        <v>364</v>
      </c>
    </row>
    <row r="131">
      <c r="H131" s="8" t="s">
        <v>364</v>
      </c>
    </row>
    <row r="132">
      <c r="H132" s="8" t="s">
        <v>364</v>
      </c>
    </row>
    <row r="133">
      <c r="H133" s="8" t="s">
        <v>364</v>
      </c>
    </row>
    <row r="134">
      <c r="H134" s="8" t="s">
        <v>364</v>
      </c>
    </row>
    <row r="135">
      <c r="H135" s="8" t="s">
        <v>364</v>
      </c>
    </row>
    <row r="136">
      <c r="H136" s="8" t="s">
        <v>364</v>
      </c>
    </row>
    <row r="137">
      <c r="H137" s="8" t="s">
        <v>364</v>
      </c>
    </row>
    <row r="138">
      <c r="H138" s="8" t="s">
        <v>364</v>
      </c>
    </row>
    <row r="139">
      <c r="H139" s="8" t="s">
        <v>364</v>
      </c>
    </row>
    <row r="140">
      <c r="H140" s="8" t="s">
        <v>364</v>
      </c>
    </row>
    <row r="141">
      <c r="H141" s="8" t="s">
        <v>364</v>
      </c>
    </row>
    <row r="142">
      <c r="H142" s="8" t="s">
        <v>364</v>
      </c>
    </row>
    <row r="143">
      <c r="H143" s="8" t="s">
        <v>364</v>
      </c>
    </row>
    <row r="144">
      <c r="H144" s="8" t="s">
        <v>364</v>
      </c>
    </row>
    <row r="145">
      <c r="H145" s="8" t="s">
        <v>364</v>
      </c>
    </row>
    <row r="146">
      <c r="H146" s="8" t="s">
        <v>364</v>
      </c>
    </row>
    <row r="147">
      <c r="H147" s="8" t="s">
        <v>364</v>
      </c>
    </row>
    <row r="148">
      <c r="H148" s="8" t="s">
        <v>364</v>
      </c>
    </row>
    <row r="149">
      <c r="H149" s="8" t="s">
        <v>364</v>
      </c>
    </row>
    <row r="150">
      <c r="H150" s="8" t="s">
        <v>364</v>
      </c>
    </row>
    <row r="151">
      <c r="H151" s="8" t="s">
        <v>364</v>
      </c>
    </row>
    <row r="152">
      <c r="H152" s="8" t="s">
        <v>364</v>
      </c>
    </row>
    <row r="153">
      <c r="H153" s="8" t="s">
        <v>364</v>
      </c>
    </row>
    <row r="154">
      <c r="H154" s="8" t="s">
        <v>364</v>
      </c>
    </row>
    <row r="155">
      <c r="H155" s="8" t="s">
        <v>364</v>
      </c>
    </row>
    <row r="156">
      <c r="H156" s="8" t="s">
        <v>364</v>
      </c>
    </row>
    <row r="157">
      <c r="H157" s="8" t="s">
        <v>364</v>
      </c>
    </row>
    <row r="158">
      <c r="H158" s="8" t="s">
        <v>364</v>
      </c>
    </row>
    <row r="159">
      <c r="H159" s="8" t="s">
        <v>364</v>
      </c>
    </row>
    <row r="160">
      <c r="H160" s="8" t="s">
        <v>364</v>
      </c>
    </row>
    <row r="161">
      <c r="H161" s="8" t="s">
        <v>364</v>
      </c>
    </row>
    <row r="162">
      <c r="H162" s="8" t="s">
        <v>364</v>
      </c>
    </row>
    <row r="163">
      <c r="H163" s="8" t="s">
        <v>364</v>
      </c>
    </row>
    <row r="164">
      <c r="H164" s="8" t="s">
        <v>364</v>
      </c>
    </row>
    <row r="165">
      <c r="H165" s="8" t="s">
        <v>364</v>
      </c>
    </row>
    <row r="166">
      <c r="H166" s="8" t="s">
        <v>364</v>
      </c>
    </row>
    <row r="167">
      <c r="H167" s="8" t="s">
        <v>364</v>
      </c>
    </row>
    <row r="168">
      <c r="H168" s="8" t="s">
        <v>364</v>
      </c>
    </row>
    <row r="169">
      <c r="H169" s="8" t="s">
        <v>364</v>
      </c>
    </row>
    <row r="170">
      <c r="H170" s="8" t="s">
        <v>364</v>
      </c>
    </row>
    <row r="171">
      <c r="H171" s="8" t="s">
        <v>364</v>
      </c>
    </row>
    <row r="172">
      <c r="H172" s="8" t="s">
        <v>364</v>
      </c>
    </row>
    <row r="173">
      <c r="H173" s="8" t="s">
        <v>364</v>
      </c>
    </row>
    <row r="174">
      <c r="H174" s="8" t="s">
        <v>364</v>
      </c>
    </row>
    <row r="175">
      <c r="H175" s="8" t="s">
        <v>364</v>
      </c>
    </row>
    <row r="176">
      <c r="H176" s="8" t="s">
        <v>364</v>
      </c>
    </row>
    <row r="177">
      <c r="H177" s="8" t="s">
        <v>364</v>
      </c>
    </row>
    <row r="178">
      <c r="H178" s="8" t="s">
        <v>364</v>
      </c>
    </row>
    <row r="179">
      <c r="H179" s="8" t="s">
        <v>364</v>
      </c>
    </row>
    <row r="180">
      <c r="H180" s="8" t="s">
        <v>364</v>
      </c>
    </row>
    <row r="181">
      <c r="H181" s="8" t="s">
        <v>364</v>
      </c>
    </row>
    <row r="182">
      <c r="H182" s="8" t="s">
        <v>364</v>
      </c>
    </row>
    <row r="183">
      <c r="H183" s="8" t="s">
        <v>364</v>
      </c>
    </row>
    <row r="184">
      <c r="H184" s="8" t="s">
        <v>364</v>
      </c>
    </row>
    <row r="185">
      <c r="H185" s="8" t="s">
        <v>364</v>
      </c>
    </row>
    <row r="186">
      <c r="H186" s="8" t="s">
        <v>364</v>
      </c>
    </row>
    <row r="187">
      <c r="H187" s="8" t="s">
        <v>364</v>
      </c>
    </row>
    <row r="188">
      <c r="H188" s="8" t="s">
        <v>364</v>
      </c>
    </row>
    <row r="189">
      <c r="H189" s="8" t="s">
        <v>364</v>
      </c>
    </row>
    <row r="190">
      <c r="H190" s="8" t="s">
        <v>364</v>
      </c>
    </row>
    <row r="191">
      <c r="H191" s="8" t="s">
        <v>364</v>
      </c>
    </row>
    <row r="192">
      <c r="H192" s="8" t="s">
        <v>364</v>
      </c>
    </row>
    <row r="193">
      <c r="H193" s="8" t="s">
        <v>364</v>
      </c>
    </row>
    <row r="194">
      <c r="H194" s="8" t="s">
        <v>364</v>
      </c>
    </row>
    <row r="195">
      <c r="H195" s="8" t="s">
        <v>364</v>
      </c>
    </row>
    <row r="196">
      <c r="H196" s="8" t="s">
        <v>364</v>
      </c>
    </row>
    <row r="197">
      <c r="H197" s="8" t="s">
        <v>364</v>
      </c>
    </row>
    <row r="198">
      <c r="H198" s="8" t="s">
        <v>364</v>
      </c>
    </row>
    <row r="199">
      <c r="H199" s="8" t="s">
        <v>364</v>
      </c>
    </row>
    <row r="200">
      <c r="H200" s="8" t="s">
        <v>364</v>
      </c>
    </row>
    <row r="201">
      <c r="H201" s="8" t="s">
        <v>364</v>
      </c>
    </row>
    <row r="202">
      <c r="H202" s="8" t="s">
        <v>364</v>
      </c>
    </row>
    <row r="203">
      <c r="H203" s="8" t="s">
        <v>364</v>
      </c>
    </row>
    <row r="204">
      <c r="H204" s="8" t="s">
        <v>364</v>
      </c>
    </row>
    <row r="205">
      <c r="H205" s="8" t="s">
        <v>364</v>
      </c>
    </row>
    <row r="206">
      <c r="H206" s="8" t="s">
        <v>364</v>
      </c>
    </row>
    <row r="207">
      <c r="H207" s="8" t="s">
        <v>364</v>
      </c>
    </row>
    <row r="208">
      <c r="H208" s="8" t="s">
        <v>364</v>
      </c>
    </row>
    <row r="209">
      <c r="H209" s="8" t="s">
        <v>364</v>
      </c>
    </row>
    <row r="210">
      <c r="H210" s="8" t="s">
        <v>364</v>
      </c>
    </row>
    <row r="211">
      <c r="H211" s="8" t="s">
        <v>364</v>
      </c>
    </row>
    <row r="212">
      <c r="H212" s="8" t="s">
        <v>364</v>
      </c>
    </row>
    <row r="213">
      <c r="H213" s="8" t="s">
        <v>364</v>
      </c>
    </row>
    <row r="214">
      <c r="H214" s="8" t="s">
        <v>364</v>
      </c>
    </row>
    <row r="215">
      <c r="H215" s="8" t="s">
        <v>364</v>
      </c>
    </row>
    <row r="216">
      <c r="H216" s="8" t="s">
        <v>364</v>
      </c>
    </row>
    <row r="217">
      <c r="H217" s="8" t="s">
        <v>364</v>
      </c>
    </row>
    <row r="218">
      <c r="H218" s="8" t="s">
        <v>364</v>
      </c>
    </row>
    <row r="219">
      <c r="H219" s="8" t="s">
        <v>364</v>
      </c>
    </row>
    <row r="220">
      <c r="H220" s="8" t="s">
        <v>364</v>
      </c>
    </row>
    <row r="221">
      <c r="H221" s="8" t="s">
        <v>364</v>
      </c>
    </row>
    <row r="222">
      <c r="H222" s="8" t="s">
        <v>364</v>
      </c>
    </row>
    <row r="223">
      <c r="H223" s="8" t="s">
        <v>364</v>
      </c>
    </row>
    <row r="224">
      <c r="H224" s="8" t="s">
        <v>364</v>
      </c>
    </row>
    <row r="225">
      <c r="H225" s="8" t="s">
        <v>364</v>
      </c>
    </row>
    <row r="226">
      <c r="H226" s="8" t="s">
        <v>364</v>
      </c>
    </row>
    <row r="227">
      <c r="H227" s="8" t="s">
        <v>364</v>
      </c>
    </row>
    <row r="228">
      <c r="H228" s="8" t="s">
        <v>364</v>
      </c>
    </row>
    <row r="229">
      <c r="H229" s="8" t="s">
        <v>364</v>
      </c>
    </row>
    <row r="230">
      <c r="H230" s="8" t="s">
        <v>364</v>
      </c>
    </row>
    <row r="231">
      <c r="H231" s="8" t="s">
        <v>364</v>
      </c>
    </row>
    <row r="232">
      <c r="H232" s="8" t="s">
        <v>364</v>
      </c>
    </row>
    <row r="233">
      <c r="H233" s="8" t="s">
        <v>364</v>
      </c>
    </row>
    <row r="234">
      <c r="H234" s="8" t="s">
        <v>364</v>
      </c>
    </row>
    <row r="235">
      <c r="H235" s="8" t="s">
        <v>364</v>
      </c>
    </row>
    <row r="236">
      <c r="H236" s="8" t="s">
        <v>364</v>
      </c>
    </row>
    <row r="237">
      <c r="H237" s="8" t="s">
        <v>364</v>
      </c>
    </row>
    <row r="238">
      <c r="H238" s="8" t="s">
        <v>364</v>
      </c>
    </row>
    <row r="239">
      <c r="H239" s="8" t="s">
        <v>364</v>
      </c>
    </row>
    <row r="240">
      <c r="H240" s="8" t="s">
        <v>364</v>
      </c>
    </row>
    <row r="241">
      <c r="H241" s="8" t="s">
        <v>364</v>
      </c>
    </row>
    <row r="242">
      <c r="H242" s="8" t="s">
        <v>364</v>
      </c>
    </row>
    <row r="243">
      <c r="H243" s="8" t="s">
        <v>364</v>
      </c>
    </row>
    <row r="244">
      <c r="H244" s="8" t="s">
        <v>364</v>
      </c>
    </row>
    <row r="245">
      <c r="H245" s="8" t="s">
        <v>364</v>
      </c>
    </row>
    <row r="246">
      <c r="H246" s="8" t="s">
        <v>364</v>
      </c>
    </row>
    <row r="247">
      <c r="H247" s="8" t="s">
        <v>364</v>
      </c>
    </row>
    <row r="248">
      <c r="H248" s="8" t="s">
        <v>364</v>
      </c>
    </row>
    <row r="249">
      <c r="H249" s="8" t="s">
        <v>364</v>
      </c>
    </row>
    <row r="250">
      <c r="H250" s="8" t="s">
        <v>364</v>
      </c>
    </row>
    <row r="251">
      <c r="H251" s="8" t="s">
        <v>364</v>
      </c>
    </row>
    <row r="252">
      <c r="H252" s="8" t="s">
        <v>364</v>
      </c>
    </row>
    <row r="253">
      <c r="H253" s="8" t="s">
        <v>364</v>
      </c>
    </row>
    <row r="254">
      <c r="H254" s="8" t="s">
        <v>364</v>
      </c>
    </row>
    <row r="255">
      <c r="H255" s="8" t="s">
        <v>364</v>
      </c>
    </row>
    <row r="256">
      <c r="H256" s="8" t="s">
        <v>364</v>
      </c>
    </row>
    <row r="257">
      <c r="H257" s="8" t="s">
        <v>364</v>
      </c>
    </row>
    <row r="258">
      <c r="H258" s="8" t="s">
        <v>364</v>
      </c>
    </row>
    <row r="259">
      <c r="H259" s="8" t="s">
        <v>364</v>
      </c>
    </row>
    <row r="260">
      <c r="H260" s="8" t="s">
        <v>364</v>
      </c>
    </row>
    <row r="261">
      <c r="H261" s="8" t="s">
        <v>364</v>
      </c>
    </row>
    <row r="262">
      <c r="H262" s="8" t="s">
        <v>364</v>
      </c>
    </row>
    <row r="263">
      <c r="H263" s="8" t="s">
        <v>364</v>
      </c>
    </row>
    <row r="264">
      <c r="H264" s="8" t="s">
        <v>364</v>
      </c>
    </row>
    <row r="265">
      <c r="H265" s="8" t="s">
        <v>364</v>
      </c>
    </row>
    <row r="266">
      <c r="H266" s="8" t="s">
        <v>364</v>
      </c>
    </row>
    <row r="267">
      <c r="H267" s="8" t="s">
        <v>364</v>
      </c>
    </row>
    <row r="268">
      <c r="H268" s="8" t="s">
        <v>364</v>
      </c>
    </row>
    <row r="269">
      <c r="H269" s="8" t="s">
        <v>364</v>
      </c>
    </row>
    <row r="270">
      <c r="H270" s="8" t="s">
        <v>364</v>
      </c>
    </row>
    <row r="271">
      <c r="H271" s="8" t="s">
        <v>364</v>
      </c>
    </row>
    <row r="272">
      <c r="H272" s="8" t="s">
        <v>364</v>
      </c>
    </row>
    <row r="273">
      <c r="H273" s="8" t="s">
        <v>364</v>
      </c>
    </row>
    <row r="274">
      <c r="H274" s="8" t="s">
        <v>364</v>
      </c>
    </row>
    <row r="275">
      <c r="H275" s="8" t="s">
        <v>364</v>
      </c>
    </row>
    <row r="276">
      <c r="H276" s="8" t="s">
        <v>364</v>
      </c>
    </row>
    <row r="277">
      <c r="H277" s="8" t="s">
        <v>364</v>
      </c>
    </row>
    <row r="278">
      <c r="H278" s="8" t="s">
        <v>364</v>
      </c>
    </row>
    <row r="279">
      <c r="H279" s="8" t="s">
        <v>364</v>
      </c>
    </row>
    <row r="280">
      <c r="H280" s="8" t="s">
        <v>364</v>
      </c>
    </row>
    <row r="281">
      <c r="H281" s="8" t="s">
        <v>364</v>
      </c>
    </row>
    <row r="282">
      <c r="H282" s="8" t="s">
        <v>364</v>
      </c>
    </row>
    <row r="283">
      <c r="H283" s="8" t="s">
        <v>364</v>
      </c>
    </row>
    <row r="284">
      <c r="H284" s="8" t="s">
        <v>364</v>
      </c>
    </row>
    <row r="285">
      <c r="H285" s="8" t="s">
        <v>364</v>
      </c>
    </row>
    <row r="286">
      <c r="H286" s="8" t="s">
        <v>364</v>
      </c>
    </row>
    <row r="287">
      <c r="H287" s="8" t="s">
        <v>364</v>
      </c>
    </row>
    <row r="288">
      <c r="H288" s="8" t="s">
        <v>364</v>
      </c>
    </row>
    <row r="289">
      <c r="H289" s="8" t="s">
        <v>364</v>
      </c>
    </row>
    <row r="290">
      <c r="H290" s="8" t="s">
        <v>364</v>
      </c>
    </row>
    <row r="291">
      <c r="H291" s="8" t="s">
        <v>364</v>
      </c>
    </row>
    <row r="292">
      <c r="H292" s="8" t="s">
        <v>364</v>
      </c>
    </row>
    <row r="293">
      <c r="H293" s="8" t="s">
        <v>364</v>
      </c>
    </row>
    <row r="294">
      <c r="H294" s="8" t="s">
        <v>364</v>
      </c>
    </row>
    <row r="295">
      <c r="H295" s="8" t="s">
        <v>364</v>
      </c>
    </row>
    <row r="296">
      <c r="H296" s="8" t="s">
        <v>364</v>
      </c>
    </row>
    <row r="297">
      <c r="H297" s="8" t="s">
        <v>364</v>
      </c>
    </row>
    <row r="298">
      <c r="H298" s="8" t="s">
        <v>364</v>
      </c>
    </row>
    <row r="299">
      <c r="H299" s="8" t="s">
        <v>364</v>
      </c>
    </row>
    <row r="300">
      <c r="H300" s="8" t="s">
        <v>364</v>
      </c>
    </row>
    <row r="301">
      <c r="H301" s="8" t="s">
        <v>364</v>
      </c>
    </row>
    <row r="302">
      <c r="H302" s="8" t="s">
        <v>364</v>
      </c>
    </row>
    <row r="303">
      <c r="H303" s="8" t="s">
        <v>364</v>
      </c>
    </row>
    <row r="304">
      <c r="H304" s="8" t="s">
        <v>364</v>
      </c>
    </row>
    <row r="305">
      <c r="H305" s="8" t="s">
        <v>364</v>
      </c>
    </row>
    <row r="306">
      <c r="H306" s="8" t="s">
        <v>364</v>
      </c>
    </row>
    <row r="307">
      <c r="H307" s="8" t="s">
        <v>364</v>
      </c>
    </row>
    <row r="308">
      <c r="H308" s="8" t="s">
        <v>364</v>
      </c>
    </row>
    <row r="309">
      <c r="H309" s="8" t="s">
        <v>364</v>
      </c>
    </row>
    <row r="310">
      <c r="H310" s="8" t="s">
        <v>364</v>
      </c>
    </row>
    <row r="311">
      <c r="H311" s="8" t="s">
        <v>364</v>
      </c>
    </row>
    <row r="312">
      <c r="H312" s="8" t="s">
        <v>364</v>
      </c>
    </row>
    <row r="313">
      <c r="H313" s="8" t="s">
        <v>364</v>
      </c>
    </row>
    <row r="314">
      <c r="H314" s="8" t="s">
        <v>364</v>
      </c>
    </row>
    <row r="315">
      <c r="H315" s="8" t="s">
        <v>364</v>
      </c>
    </row>
    <row r="316">
      <c r="H316" s="8" t="s">
        <v>364</v>
      </c>
    </row>
    <row r="317">
      <c r="H317" s="8" t="s">
        <v>364</v>
      </c>
    </row>
    <row r="318">
      <c r="H318" s="8" t="s">
        <v>364</v>
      </c>
    </row>
    <row r="319">
      <c r="H319" s="8" t="s">
        <v>364</v>
      </c>
    </row>
    <row r="320">
      <c r="H320" s="8" t="s">
        <v>364</v>
      </c>
    </row>
    <row r="321">
      <c r="H321" s="8" t="s">
        <v>364</v>
      </c>
    </row>
    <row r="322">
      <c r="H322" s="8" t="s">
        <v>364</v>
      </c>
    </row>
    <row r="323">
      <c r="H323" s="8" t="s">
        <v>364</v>
      </c>
    </row>
    <row r="324">
      <c r="H324" s="8" t="s">
        <v>364</v>
      </c>
    </row>
    <row r="325">
      <c r="H325" s="8" t="s">
        <v>364</v>
      </c>
    </row>
    <row r="326">
      <c r="H326" s="8" t="s">
        <v>364</v>
      </c>
    </row>
    <row r="327">
      <c r="H327" s="8" t="s">
        <v>364</v>
      </c>
    </row>
    <row r="328">
      <c r="H328" s="8" t="s">
        <v>364</v>
      </c>
    </row>
    <row r="329">
      <c r="H329" s="8" t="s">
        <v>364</v>
      </c>
    </row>
    <row r="330">
      <c r="H330" s="8" t="s">
        <v>364</v>
      </c>
    </row>
    <row r="331">
      <c r="H331" s="8" t="s">
        <v>364</v>
      </c>
    </row>
    <row r="332">
      <c r="H332" s="8" t="s">
        <v>364</v>
      </c>
    </row>
    <row r="333">
      <c r="H333" s="8" t="s">
        <v>364</v>
      </c>
    </row>
    <row r="334">
      <c r="H334" s="8" t="s">
        <v>364</v>
      </c>
    </row>
    <row r="335">
      <c r="H335" s="8" t="s">
        <v>364</v>
      </c>
    </row>
    <row r="336">
      <c r="H336" s="8" t="s">
        <v>364</v>
      </c>
    </row>
    <row r="337">
      <c r="H337" s="8" t="s">
        <v>364</v>
      </c>
    </row>
    <row r="338">
      <c r="H338" s="8" t="s">
        <v>364</v>
      </c>
    </row>
    <row r="339">
      <c r="H339" s="8" t="s">
        <v>364</v>
      </c>
    </row>
    <row r="340">
      <c r="H340" s="8" t="s">
        <v>364</v>
      </c>
    </row>
    <row r="341">
      <c r="H341" s="8" t="s">
        <v>364</v>
      </c>
    </row>
    <row r="342">
      <c r="H342" s="8" t="s">
        <v>364</v>
      </c>
    </row>
    <row r="343">
      <c r="H343" s="8" t="s">
        <v>364</v>
      </c>
    </row>
    <row r="344">
      <c r="H344" s="8" t="s">
        <v>364</v>
      </c>
    </row>
    <row r="345">
      <c r="H345" s="8" t="s">
        <v>364</v>
      </c>
    </row>
    <row r="346">
      <c r="H346" s="8" t="s">
        <v>364</v>
      </c>
    </row>
    <row r="347">
      <c r="H347" s="8" t="s">
        <v>364</v>
      </c>
    </row>
    <row r="348">
      <c r="H348" s="8" t="s">
        <v>364</v>
      </c>
    </row>
    <row r="349">
      <c r="H349" s="8" t="s">
        <v>364</v>
      </c>
    </row>
    <row r="350">
      <c r="H350" s="8" t="s">
        <v>364</v>
      </c>
    </row>
    <row r="351">
      <c r="H351" s="8" t="s">
        <v>364</v>
      </c>
    </row>
    <row r="352">
      <c r="H352" s="8" t="s">
        <v>364</v>
      </c>
    </row>
    <row r="353">
      <c r="H353" s="8" t="s">
        <v>364</v>
      </c>
    </row>
    <row r="354">
      <c r="H354" s="8" t="s">
        <v>364</v>
      </c>
    </row>
    <row r="355">
      <c r="H355" s="8" t="s">
        <v>364</v>
      </c>
    </row>
    <row r="356">
      <c r="H356" s="8" t="s">
        <v>364</v>
      </c>
    </row>
    <row r="357">
      <c r="H357" s="8" t="s">
        <v>364</v>
      </c>
    </row>
    <row r="358">
      <c r="H358" s="8" t="s">
        <v>364</v>
      </c>
    </row>
    <row r="359">
      <c r="H359" s="8" t="s">
        <v>364</v>
      </c>
    </row>
    <row r="360">
      <c r="H360" s="8" t="s">
        <v>364</v>
      </c>
    </row>
    <row r="361">
      <c r="H361" s="8" t="s">
        <v>364</v>
      </c>
    </row>
    <row r="362">
      <c r="H362" s="8" t="s">
        <v>364</v>
      </c>
    </row>
    <row r="363">
      <c r="H363" s="8" t="s">
        <v>364</v>
      </c>
    </row>
    <row r="364">
      <c r="H364" s="8" t="s">
        <v>364</v>
      </c>
    </row>
    <row r="365">
      <c r="H365" s="8" t="s">
        <v>364</v>
      </c>
    </row>
    <row r="366">
      <c r="H366" s="8" t="s">
        <v>364</v>
      </c>
    </row>
    <row r="367">
      <c r="H367" s="8" t="s">
        <v>364</v>
      </c>
    </row>
    <row r="368">
      <c r="H368" s="8" t="s">
        <v>364</v>
      </c>
    </row>
    <row r="369">
      <c r="H369" s="8" t="s">
        <v>364</v>
      </c>
    </row>
    <row r="370">
      <c r="H370" s="8" t="s">
        <v>364</v>
      </c>
    </row>
    <row r="371">
      <c r="H371" s="8" t="s">
        <v>364</v>
      </c>
    </row>
    <row r="372">
      <c r="H372" s="8" t="s">
        <v>364</v>
      </c>
    </row>
    <row r="373">
      <c r="H373" s="8" t="s">
        <v>364</v>
      </c>
    </row>
    <row r="374">
      <c r="H374" s="8" t="s">
        <v>364</v>
      </c>
    </row>
    <row r="375">
      <c r="H375" s="8" t="s">
        <v>364</v>
      </c>
    </row>
    <row r="376">
      <c r="H376" s="8" t="s">
        <v>364</v>
      </c>
    </row>
    <row r="377">
      <c r="H377" s="8" t="s">
        <v>364</v>
      </c>
    </row>
    <row r="378">
      <c r="H378" s="8" t="s">
        <v>364</v>
      </c>
    </row>
    <row r="379">
      <c r="H379" s="8" t="s">
        <v>364</v>
      </c>
    </row>
    <row r="380">
      <c r="H380" s="8" t="s">
        <v>364</v>
      </c>
    </row>
    <row r="381">
      <c r="H381" s="8" t="s">
        <v>364</v>
      </c>
    </row>
    <row r="382">
      <c r="H382" s="8" t="s">
        <v>364</v>
      </c>
    </row>
    <row r="383">
      <c r="H383" s="8" t="s">
        <v>364</v>
      </c>
    </row>
    <row r="384">
      <c r="H384" s="8" t="s">
        <v>364</v>
      </c>
    </row>
    <row r="385">
      <c r="H385" s="8" t="s">
        <v>364</v>
      </c>
    </row>
    <row r="386">
      <c r="H386" s="8" t="s">
        <v>364</v>
      </c>
    </row>
    <row r="387">
      <c r="H387" s="8" t="s">
        <v>364</v>
      </c>
    </row>
    <row r="388">
      <c r="H388" s="8" t="s">
        <v>364</v>
      </c>
    </row>
    <row r="389">
      <c r="H389" s="8" t="s">
        <v>364</v>
      </c>
    </row>
    <row r="390">
      <c r="H390" s="8" t="s">
        <v>364</v>
      </c>
    </row>
    <row r="391">
      <c r="H391" s="8" t="s">
        <v>364</v>
      </c>
    </row>
    <row r="392">
      <c r="H392" s="8" t="s">
        <v>364</v>
      </c>
    </row>
    <row r="393">
      <c r="H393" s="8" t="s">
        <v>364</v>
      </c>
    </row>
    <row r="394">
      <c r="H394" s="8" t="s">
        <v>364</v>
      </c>
    </row>
    <row r="395">
      <c r="H395" s="8" t="s">
        <v>364</v>
      </c>
    </row>
    <row r="396">
      <c r="H396" s="8" t="s">
        <v>364</v>
      </c>
    </row>
    <row r="397">
      <c r="H397" s="8" t="s">
        <v>364</v>
      </c>
    </row>
    <row r="398">
      <c r="H398" s="8" t="s">
        <v>364</v>
      </c>
    </row>
    <row r="399">
      <c r="H399" s="8" t="s">
        <v>364</v>
      </c>
    </row>
    <row r="400">
      <c r="H400" s="8" t="s">
        <v>364</v>
      </c>
    </row>
    <row r="401">
      <c r="H401" s="8" t="s">
        <v>364</v>
      </c>
    </row>
    <row r="402">
      <c r="H402" s="8" t="s">
        <v>364</v>
      </c>
    </row>
    <row r="403">
      <c r="H403" s="8" t="s">
        <v>364</v>
      </c>
    </row>
    <row r="404">
      <c r="H404" s="8" t="s">
        <v>364</v>
      </c>
    </row>
    <row r="405">
      <c r="H405" s="8" t="s">
        <v>364</v>
      </c>
    </row>
    <row r="406">
      <c r="H406" s="8" t="s">
        <v>364</v>
      </c>
    </row>
    <row r="407">
      <c r="H407" s="8" t="s">
        <v>364</v>
      </c>
    </row>
    <row r="408">
      <c r="H408" s="8" t="s">
        <v>364</v>
      </c>
    </row>
    <row r="409">
      <c r="H409" s="8" t="s">
        <v>364</v>
      </c>
    </row>
    <row r="410">
      <c r="H410" s="8" t="s">
        <v>364</v>
      </c>
    </row>
    <row r="411">
      <c r="H411" s="8" t="s">
        <v>364</v>
      </c>
    </row>
    <row r="412">
      <c r="H412" s="8" t="s">
        <v>364</v>
      </c>
    </row>
    <row r="413">
      <c r="H413" s="8" t="s">
        <v>364</v>
      </c>
    </row>
    <row r="414">
      <c r="H414" s="8" t="s">
        <v>364</v>
      </c>
    </row>
    <row r="415">
      <c r="H415" s="8" t="s">
        <v>364</v>
      </c>
    </row>
    <row r="416">
      <c r="H416" s="8" t="s">
        <v>364</v>
      </c>
    </row>
    <row r="417">
      <c r="H417" s="8" t="s">
        <v>364</v>
      </c>
    </row>
    <row r="418">
      <c r="H418" s="8" t="s">
        <v>364</v>
      </c>
    </row>
    <row r="419">
      <c r="H419" s="8" t="s">
        <v>364</v>
      </c>
    </row>
    <row r="420">
      <c r="H420" s="8" t="s">
        <v>364</v>
      </c>
    </row>
    <row r="421">
      <c r="H421" s="8" t="s">
        <v>364</v>
      </c>
    </row>
    <row r="422">
      <c r="H422" s="8" t="s">
        <v>364</v>
      </c>
    </row>
    <row r="423">
      <c r="H423" s="8" t="s">
        <v>364</v>
      </c>
    </row>
    <row r="424">
      <c r="H424" s="8" t="s">
        <v>364</v>
      </c>
    </row>
    <row r="425">
      <c r="H425" s="8" t="s">
        <v>364</v>
      </c>
    </row>
    <row r="426">
      <c r="H426" s="8" t="s">
        <v>364</v>
      </c>
    </row>
    <row r="427">
      <c r="H427" s="8" t="s">
        <v>364</v>
      </c>
    </row>
    <row r="428">
      <c r="H428" s="8" t="s">
        <v>364</v>
      </c>
    </row>
    <row r="429">
      <c r="H429" s="8" t="s">
        <v>364</v>
      </c>
    </row>
    <row r="430">
      <c r="H430" s="8" t="s">
        <v>364</v>
      </c>
    </row>
    <row r="431">
      <c r="H431" s="8" t="s">
        <v>364</v>
      </c>
    </row>
    <row r="432">
      <c r="H432" s="8" t="s">
        <v>364</v>
      </c>
    </row>
    <row r="433">
      <c r="H433" s="8" t="s">
        <v>364</v>
      </c>
    </row>
    <row r="434">
      <c r="H434" s="8" t="s">
        <v>364</v>
      </c>
    </row>
    <row r="435">
      <c r="H435" s="8" t="s">
        <v>364</v>
      </c>
    </row>
    <row r="436">
      <c r="H436" s="8" t="s">
        <v>364</v>
      </c>
    </row>
    <row r="437">
      <c r="H437" s="8" t="s">
        <v>364</v>
      </c>
    </row>
    <row r="438">
      <c r="H438" s="8" t="s">
        <v>364</v>
      </c>
    </row>
    <row r="439">
      <c r="H439" s="8" t="s">
        <v>364</v>
      </c>
    </row>
    <row r="440">
      <c r="H440" s="8" t="s">
        <v>364</v>
      </c>
    </row>
    <row r="441">
      <c r="H441" s="8" t="s">
        <v>364</v>
      </c>
    </row>
    <row r="442">
      <c r="H442" s="8" t="s">
        <v>364</v>
      </c>
    </row>
    <row r="443">
      <c r="H443" s="8" t="s">
        <v>364</v>
      </c>
    </row>
    <row r="444">
      <c r="H444" s="8" t="s">
        <v>364</v>
      </c>
    </row>
    <row r="445">
      <c r="H445" s="8" t="s">
        <v>364</v>
      </c>
    </row>
    <row r="446">
      <c r="H446" s="8" t="s">
        <v>364</v>
      </c>
    </row>
    <row r="447">
      <c r="H447" s="8" t="s">
        <v>364</v>
      </c>
    </row>
    <row r="448">
      <c r="H448" s="8" t="s">
        <v>364</v>
      </c>
    </row>
    <row r="449">
      <c r="H449" s="8" t="s">
        <v>364</v>
      </c>
    </row>
    <row r="450">
      <c r="H450" s="8" t="s">
        <v>364</v>
      </c>
    </row>
    <row r="451">
      <c r="H451" s="8" t="s">
        <v>364</v>
      </c>
    </row>
    <row r="452">
      <c r="H452" s="8" t="s">
        <v>364</v>
      </c>
    </row>
    <row r="453">
      <c r="H453" s="8" t="s">
        <v>364</v>
      </c>
    </row>
    <row r="454">
      <c r="H454" s="8" t="s">
        <v>364</v>
      </c>
    </row>
    <row r="455">
      <c r="H455" s="8" t="s">
        <v>364</v>
      </c>
    </row>
    <row r="456">
      <c r="H456" s="8" t="s">
        <v>364</v>
      </c>
    </row>
    <row r="457">
      <c r="H457" s="8" t="s">
        <v>364</v>
      </c>
    </row>
    <row r="458">
      <c r="H458" s="8" t="s">
        <v>364</v>
      </c>
    </row>
    <row r="459">
      <c r="H459" s="8" t="s">
        <v>364</v>
      </c>
    </row>
    <row r="460">
      <c r="H460" s="8" t="s">
        <v>364</v>
      </c>
    </row>
    <row r="461">
      <c r="H461" s="8" t="s">
        <v>364</v>
      </c>
    </row>
    <row r="462">
      <c r="H462" s="8" t="s">
        <v>364</v>
      </c>
    </row>
    <row r="463">
      <c r="H463" s="8" t="s">
        <v>364</v>
      </c>
    </row>
    <row r="464">
      <c r="H464" s="8" t="s">
        <v>364</v>
      </c>
    </row>
    <row r="465">
      <c r="H465" s="8" t="s">
        <v>364</v>
      </c>
    </row>
    <row r="466">
      <c r="H466" s="8" t="s">
        <v>364</v>
      </c>
    </row>
    <row r="467">
      <c r="H467" s="8" t="s">
        <v>364</v>
      </c>
    </row>
    <row r="468">
      <c r="H468" s="8" t="s">
        <v>364</v>
      </c>
    </row>
    <row r="469">
      <c r="H469" s="8" t="s">
        <v>364</v>
      </c>
    </row>
    <row r="470">
      <c r="H470" s="8" t="s">
        <v>364</v>
      </c>
    </row>
    <row r="471">
      <c r="H471" s="8" t="s">
        <v>364</v>
      </c>
    </row>
    <row r="472">
      <c r="H472" s="8" t="s">
        <v>364</v>
      </c>
    </row>
    <row r="473">
      <c r="H473" s="8" t="s">
        <v>364</v>
      </c>
    </row>
    <row r="474">
      <c r="H474" s="8" t="s">
        <v>364</v>
      </c>
    </row>
    <row r="475">
      <c r="H475" s="8" t="s">
        <v>364</v>
      </c>
    </row>
    <row r="476">
      <c r="H476" s="8" t="s">
        <v>364</v>
      </c>
    </row>
    <row r="477">
      <c r="H477" s="8" t="s">
        <v>364</v>
      </c>
    </row>
    <row r="478">
      <c r="H478" s="8" t="s">
        <v>364</v>
      </c>
    </row>
    <row r="479">
      <c r="H479" s="8" t="s">
        <v>364</v>
      </c>
    </row>
    <row r="480">
      <c r="H480" s="8" t="s">
        <v>364</v>
      </c>
    </row>
    <row r="481">
      <c r="H481" s="8" t="s">
        <v>364</v>
      </c>
    </row>
    <row r="482">
      <c r="H482" s="8" t="s">
        <v>364</v>
      </c>
    </row>
    <row r="483">
      <c r="H483" s="8" t="s">
        <v>364</v>
      </c>
    </row>
    <row r="484">
      <c r="H484" s="8" t="s">
        <v>364</v>
      </c>
    </row>
    <row r="485">
      <c r="H485" s="8" t="s">
        <v>364</v>
      </c>
    </row>
    <row r="486">
      <c r="H486" s="8" t="s">
        <v>364</v>
      </c>
    </row>
    <row r="487">
      <c r="H487" s="8" t="s">
        <v>364</v>
      </c>
    </row>
    <row r="488">
      <c r="H488" s="8" t="s">
        <v>364</v>
      </c>
    </row>
    <row r="489">
      <c r="H489" s="8" t="s">
        <v>364</v>
      </c>
    </row>
    <row r="490">
      <c r="H490" s="8" t="s">
        <v>364</v>
      </c>
    </row>
    <row r="491">
      <c r="H491" s="8" t="s">
        <v>364</v>
      </c>
    </row>
    <row r="492">
      <c r="H492" s="8" t="s">
        <v>364</v>
      </c>
    </row>
    <row r="493">
      <c r="H493" s="8" t="s">
        <v>364</v>
      </c>
    </row>
    <row r="494">
      <c r="H494" s="8" t="s">
        <v>364</v>
      </c>
    </row>
    <row r="495">
      <c r="H495" s="8" t="s">
        <v>364</v>
      </c>
    </row>
    <row r="496">
      <c r="H496" s="8" t="s">
        <v>364</v>
      </c>
    </row>
    <row r="497">
      <c r="H497" s="8" t="s">
        <v>364</v>
      </c>
    </row>
    <row r="498">
      <c r="H498" s="8" t="s">
        <v>364</v>
      </c>
    </row>
    <row r="499">
      <c r="H499" s="8" t="s">
        <v>364</v>
      </c>
    </row>
    <row r="500">
      <c r="H500" s="8" t="s">
        <v>364</v>
      </c>
    </row>
    <row r="501">
      <c r="H501" s="8" t="s">
        <v>364</v>
      </c>
    </row>
    <row r="502">
      <c r="H502" s="8" t="s">
        <v>364</v>
      </c>
    </row>
    <row r="503">
      <c r="H503" s="8" t="s">
        <v>364</v>
      </c>
    </row>
    <row r="504">
      <c r="H504" s="8" t="s">
        <v>364</v>
      </c>
    </row>
    <row r="505">
      <c r="H505" s="8" t="s">
        <v>364</v>
      </c>
    </row>
    <row r="506">
      <c r="H506" s="8" t="s">
        <v>364</v>
      </c>
    </row>
    <row r="507">
      <c r="H507" s="8" t="s">
        <v>364</v>
      </c>
    </row>
    <row r="508">
      <c r="H508" s="8" t="s">
        <v>364</v>
      </c>
    </row>
    <row r="509">
      <c r="H509" s="8" t="s">
        <v>364</v>
      </c>
    </row>
    <row r="510">
      <c r="H510" s="8" t="s">
        <v>364</v>
      </c>
    </row>
    <row r="511">
      <c r="H511" s="8" t="s">
        <v>364</v>
      </c>
    </row>
    <row r="512">
      <c r="H512" s="8" t="s">
        <v>364</v>
      </c>
    </row>
    <row r="513">
      <c r="H513" s="8" t="s">
        <v>364</v>
      </c>
    </row>
    <row r="514">
      <c r="H514" s="8" t="s">
        <v>364</v>
      </c>
    </row>
    <row r="515">
      <c r="H515" s="8" t="s">
        <v>364</v>
      </c>
    </row>
    <row r="516">
      <c r="H516" s="8" t="s">
        <v>364</v>
      </c>
    </row>
    <row r="517">
      <c r="H517" s="8" t="s">
        <v>364</v>
      </c>
    </row>
    <row r="518">
      <c r="H518" s="8" t="s">
        <v>364</v>
      </c>
    </row>
    <row r="519">
      <c r="H519" s="8" t="s">
        <v>364</v>
      </c>
    </row>
    <row r="520">
      <c r="H520" s="8" t="s">
        <v>364</v>
      </c>
    </row>
    <row r="521">
      <c r="H521" s="8" t="s">
        <v>364</v>
      </c>
    </row>
    <row r="522">
      <c r="H522" s="8" t="s">
        <v>364</v>
      </c>
    </row>
    <row r="523">
      <c r="H523" s="8" t="s">
        <v>364</v>
      </c>
    </row>
    <row r="524">
      <c r="H524" s="8" t="s">
        <v>364</v>
      </c>
    </row>
    <row r="525">
      <c r="H525" s="8" t="s">
        <v>364</v>
      </c>
    </row>
    <row r="526">
      <c r="H526" s="8" t="s">
        <v>364</v>
      </c>
    </row>
    <row r="527">
      <c r="H527" s="8" t="s">
        <v>364</v>
      </c>
    </row>
    <row r="528">
      <c r="H528" s="8" t="s">
        <v>364</v>
      </c>
    </row>
    <row r="529">
      <c r="H529" s="8" t="s">
        <v>364</v>
      </c>
    </row>
    <row r="530">
      <c r="H530" s="8" t="s">
        <v>364</v>
      </c>
    </row>
    <row r="531">
      <c r="H531" s="8" t="s">
        <v>364</v>
      </c>
    </row>
    <row r="532">
      <c r="H532" s="8" t="s">
        <v>364</v>
      </c>
    </row>
    <row r="533">
      <c r="H533" s="8" t="s">
        <v>364</v>
      </c>
    </row>
    <row r="534">
      <c r="H534" s="8" t="s">
        <v>364</v>
      </c>
    </row>
    <row r="535">
      <c r="H535" s="8" t="s">
        <v>364</v>
      </c>
    </row>
    <row r="536">
      <c r="H536" s="8" t="s">
        <v>364</v>
      </c>
    </row>
    <row r="537">
      <c r="H537" s="8" t="s">
        <v>364</v>
      </c>
    </row>
    <row r="538">
      <c r="H538" s="8" t="s">
        <v>364</v>
      </c>
    </row>
    <row r="539">
      <c r="H539" s="8" t="s">
        <v>364</v>
      </c>
    </row>
    <row r="540">
      <c r="H540" s="8" t="s">
        <v>364</v>
      </c>
    </row>
    <row r="541">
      <c r="H541" s="8" t="s">
        <v>364</v>
      </c>
    </row>
    <row r="542">
      <c r="H542" s="8" t="s">
        <v>364</v>
      </c>
    </row>
    <row r="543">
      <c r="H543" s="8" t="s">
        <v>364</v>
      </c>
    </row>
    <row r="544">
      <c r="H544" s="8" t="s">
        <v>364</v>
      </c>
    </row>
    <row r="545">
      <c r="H545" s="8" t="s">
        <v>364</v>
      </c>
    </row>
    <row r="546">
      <c r="H546" s="8" t="s">
        <v>364</v>
      </c>
    </row>
    <row r="547">
      <c r="H547" s="8" t="s">
        <v>364</v>
      </c>
    </row>
    <row r="548">
      <c r="H548" s="8" t="s">
        <v>364</v>
      </c>
    </row>
    <row r="549">
      <c r="H549" s="8" t="s">
        <v>364</v>
      </c>
    </row>
    <row r="550">
      <c r="H550" s="8" t="s">
        <v>364</v>
      </c>
    </row>
    <row r="551">
      <c r="H551" s="8" t="s">
        <v>364</v>
      </c>
    </row>
    <row r="552">
      <c r="H552" s="8" t="s">
        <v>364</v>
      </c>
    </row>
    <row r="553">
      <c r="H553" s="8" t="s">
        <v>364</v>
      </c>
    </row>
    <row r="554">
      <c r="H554" s="8" t="s">
        <v>364</v>
      </c>
    </row>
    <row r="555">
      <c r="H555" s="8" t="s">
        <v>364</v>
      </c>
    </row>
    <row r="556">
      <c r="H556" s="8" t="s">
        <v>364</v>
      </c>
    </row>
    <row r="557">
      <c r="H557" s="8" t="s">
        <v>364</v>
      </c>
    </row>
    <row r="558">
      <c r="H558" s="8" t="s">
        <v>364</v>
      </c>
    </row>
    <row r="559">
      <c r="H559" s="8" t="s">
        <v>364</v>
      </c>
    </row>
    <row r="560">
      <c r="H560" s="8" t="s">
        <v>364</v>
      </c>
    </row>
    <row r="561">
      <c r="H561" s="8" t="s">
        <v>364</v>
      </c>
    </row>
    <row r="562">
      <c r="H562" s="8" t="s">
        <v>364</v>
      </c>
    </row>
    <row r="563">
      <c r="H563" s="8" t="s">
        <v>364</v>
      </c>
    </row>
    <row r="564">
      <c r="H564" s="8" t="s">
        <v>364</v>
      </c>
    </row>
    <row r="565">
      <c r="H565" s="8" t="s">
        <v>364</v>
      </c>
    </row>
    <row r="566">
      <c r="H566" s="8" t="s">
        <v>364</v>
      </c>
    </row>
    <row r="567">
      <c r="H567" s="8" t="s">
        <v>364</v>
      </c>
    </row>
    <row r="568">
      <c r="H568" s="8" t="s">
        <v>364</v>
      </c>
    </row>
    <row r="569">
      <c r="H569" s="8" t="s">
        <v>364</v>
      </c>
    </row>
    <row r="570">
      <c r="H570" s="8" t="s">
        <v>364</v>
      </c>
    </row>
    <row r="571">
      <c r="H571" s="8" t="s">
        <v>364</v>
      </c>
    </row>
    <row r="572">
      <c r="H572" s="8" t="s">
        <v>364</v>
      </c>
    </row>
    <row r="573">
      <c r="H573" s="8" t="s">
        <v>364</v>
      </c>
    </row>
    <row r="574">
      <c r="H574" s="8" t="s">
        <v>364</v>
      </c>
    </row>
    <row r="575">
      <c r="H575" s="8" t="s">
        <v>364</v>
      </c>
    </row>
    <row r="576">
      <c r="H576" s="8" t="s">
        <v>364</v>
      </c>
    </row>
    <row r="577">
      <c r="H577" s="8" t="s">
        <v>364</v>
      </c>
    </row>
    <row r="578">
      <c r="H578" s="8" t="s">
        <v>364</v>
      </c>
    </row>
    <row r="579">
      <c r="H579" s="8" t="s">
        <v>364</v>
      </c>
    </row>
    <row r="580">
      <c r="H580" s="8" t="s">
        <v>364</v>
      </c>
    </row>
    <row r="581">
      <c r="H581" s="8" t="s">
        <v>364</v>
      </c>
    </row>
    <row r="582">
      <c r="H582" s="8" t="s">
        <v>364</v>
      </c>
    </row>
    <row r="583">
      <c r="H583" s="8" t="s">
        <v>364</v>
      </c>
    </row>
    <row r="584">
      <c r="H584" s="8" t="s">
        <v>364</v>
      </c>
    </row>
    <row r="585">
      <c r="H585" s="8" t="s">
        <v>364</v>
      </c>
    </row>
    <row r="586">
      <c r="H586" s="8" t="s">
        <v>364</v>
      </c>
    </row>
    <row r="587">
      <c r="H587" s="8" t="s">
        <v>364</v>
      </c>
    </row>
    <row r="588">
      <c r="H588" s="8" t="s">
        <v>364</v>
      </c>
    </row>
    <row r="589">
      <c r="H589" s="8" t="s">
        <v>364</v>
      </c>
    </row>
    <row r="590">
      <c r="H590" s="8" t="s">
        <v>364</v>
      </c>
    </row>
    <row r="591">
      <c r="H591" s="8" t="s">
        <v>364</v>
      </c>
    </row>
    <row r="592">
      <c r="H592" s="8" t="s">
        <v>364</v>
      </c>
    </row>
    <row r="593">
      <c r="H593" s="8" t="s">
        <v>364</v>
      </c>
    </row>
    <row r="594">
      <c r="H594" s="8" t="s">
        <v>364</v>
      </c>
    </row>
    <row r="595">
      <c r="H595" s="8" t="s">
        <v>364</v>
      </c>
    </row>
    <row r="596">
      <c r="H596" s="8" t="s">
        <v>364</v>
      </c>
    </row>
    <row r="597">
      <c r="H597" s="8" t="s">
        <v>364</v>
      </c>
    </row>
    <row r="598">
      <c r="H598" s="8" t="s">
        <v>364</v>
      </c>
    </row>
    <row r="599">
      <c r="H599" s="8" t="s">
        <v>364</v>
      </c>
    </row>
    <row r="600">
      <c r="H600" s="8" t="s">
        <v>364</v>
      </c>
    </row>
    <row r="601">
      <c r="H601" s="8" t="s">
        <v>364</v>
      </c>
    </row>
    <row r="602">
      <c r="H602" s="8" t="s">
        <v>364</v>
      </c>
    </row>
    <row r="603">
      <c r="H603" s="8" t="s">
        <v>364</v>
      </c>
    </row>
    <row r="604">
      <c r="H604" s="8" t="s">
        <v>364</v>
      </c>
    </row>
    <row r="605">
      <c r="H605" s="8" t="s">
        <v>364</v>
      </c>
    </row>
    <row r="606">
      <c r="H606" s="8" t="s">
        <v>364</v>
      </c>
    </row>
    <row r="607">
      <c r="H607" s="8" t="s">
        <v>364</v>
      </c>
    </row>
    <row r="608">
      <c r="H608" s="8" t="s">
        <v>364</v>
      </c>
    </row>
    <row r="609">
      <c r="H609" s="8" t="s">
        <v>364</v>
      </c>
    </row>
    <row r="610">
      <c r="H610" s="8" t="s">
        <v>364</v>
      </c>
    </row>
    <row r="611">
      <c r="H611" s="8" t="s">
        <v>364</v>
      </c>
    </row>
    <row r="612">
      <c r="H612" s="8" t="s">
        <v>364</v>
      </c>
    </row>
    <row r="613">
      <c r="H613" s="8" t="s">
        <v>364</v>
      </c>
    </row>
    <row r="614">
      <c r="H614" s="8" t="s">
        <v>364</v>
      </c>
    </row>
    <row r="615">
      <c r="H615" s="8" t="s">
        <v>364</v>
      </c>
    </row>
    <row r="616">
      <c r="H616" s="8" t="s">
        <v>364</v>
      </c>
    </row>
    <row r="617">
      <c r="H617" s="8" t="s">
        <v>364</v>
      </c>
    </row>
    <row r="618">
      <c r="H618" s="8" t="s">
        <v>364</v>
      </c>
    </row>
    <row r="619">
      <c r="H619" s="8" t="s">
        <v>364</v>
      </c>
    </row>
    <row r="620">
      <c r="H620" s="8" t="s">
        <v>364</v>
      </c>
    </row>
    <row r="621">
      <c r="H621" s="8" t="s">
        <v>364</v>
      </c>
    </row>
    <row r="622">
      <c r="H622" s="8" t="s">
        <v>364</v>
      </c>
    </row>
    <row r="623">
      <c r="H623" s="8" t="s">
        <v>364</v>
      </c>
    </row>
    <row r="624">
      <c r="H624" s="8" t="s">
        <v>364</v>
      </c>
    </row>
    <row r="625">
      <c r="H625" s="8" t="s">
        <v>364</v>
      </c>
    </row>
    <row r="626">
      <c r="H626" s="8" t="s">
        <v>364</v>
      </c>
    </row>
    <row r="627">
      <c r="H627" s="8" t="s">
        <v>364</v>
      </c>
    </row>
    <row r="628">
      <c r="H628" s="8" t="s">
        <v>364</v>
      </c>
    </row>
    <row r="629">
      <c r="H629" s="8" t="s">
        <v>364</v>
      </c>
    </row>
    <row r="630">
      <c r="H630" s="8" t="s">
        <v>364</v>
      </c>
    </row>
    <row r="631">
      <c r="H631" s="8" t="s">
        <v>364</v>
      </c>
    </row>
    <row r="632">
      <c r="H632" s="8" t="s">
        <v>364</v>
      </c>
    </row>
    <row r="633">
      <c r="H633" s="8" t="s">
        <v>364</v>
      </c>
    </row>
    <row r="634">
      <c r="H634" s="8" t="s">
        <v>364</v>
      </c>
    </row>
    <row r="635">
      <c r="H635" s="8" t="s">
        <v>364</v>
      </c>
    </row>
    <row r="636">
      <c r="H636" s="8" t="s">
        <v>364</v>
      </c>
    </row>
    <row r="637">
      <c r="H637" s="8" t="s">
        <v>364</v>
      </c>
    </row>
    <row r="638">
      <c r="H638" s="8" t="s">
        <v>364</v>
      </c>
    </row>
    <row r="639">
      <c r="H639" s="8" t="s">
        <v>364</v>
      </c>
    </row>
    <row r="640">
      <c r="H640" s="8" t="s">
        <v>364</v>
      </c>
    </row>
    <row r="641">
      <c r="H641" s="8" t="s">
        <v>364</v>
      </c>
    </row>
    <row r="642">
      <c r="H642" s="8" t="s">
        <v>364</v>
      </c>
    </row>
    <row r="643">
      <c r="H643" s="8" t="s">
        <v>364</v>
      </c>
    </row>
    <row r="644">
      <c r="H644" s="8" t="s">
        <v>364</v>
      </c>
    </row>
    <row r="645">
      <c r="H645" s="8" t="s">
        <v>364</v>
      </c>
    </row>
    <row r="646">
      <c r="H646" s="8" t="s">
        <v>364</v>
      </c>
    </row>
    <row r="647">
      <c r="H647" s="8" t="s">
        <v>364</v>
      </c>
    </row>
    <row r="648">
      <c r="H648" s="8" t="s">
        <v>364</v>
      </c>
    </row>
    <row r="649">
      <c r="H649" s="8" t="s">
        <v>364</v>
      </c>
    </row>
    <row r="650">
      <c r="H650" s="8" t="s">
        <v>364</v>
      </c>
    </row>
    <row r="651">
      <c r="H651" s="8" t="s">
        <v>364</v>
      </c>
    </row>
    <row r="652">
      <c r="H652" s="8" t="s">
        <v>364</v>
      </c>
    </row>
    <row r="653">
      <c r="H653" s="8" t="s">
        <v>364</v>
      </c>
    </row>
    <row r="654">
      <c r="H654" s="8" t="s">
        <v>364</v>
      </c>
    </row>
    <row r="655">
      <c r="H655" s="8" t="s">
        <v>364</v>
      </c>
    </row>
    <row r="656">
      <c r="H656" s="8" t="s">
        <v>364</v>
      </c>
    </row>
    <row r="657">
      <c r="H657" s="8" t="s">
        <v>364</v>
      </c>
    </row>
    <row r="658">
      <c r="H658" s="8" t="s">
        <v>364</v>
      </c>
    </row>
    <row r="659">
      <c r="H659" s="8" t="s">
        <v>364</v>
      </c>
    </row>
    <row r="660">
      <c r="H660" s="8" t="s">
        <v>364</v>
      </c>
    </row>
    <row r="661">
      <c r="H661" s="8" t="s">
        <v>364</v>
      </c>
    </row>
    <row r="662">
      <c r="H662" s="8" t="s">
        <v>364</v>
      </c>
    </row>
    <row r="663">
      <c r="H663" s="8" t="s">
        <v>364</v>
      </c>
    </row>
    <row r="664">
      <c r="H664" s="8" t="s">
        <v>364</v>
      </c>
    </row>
    <row r="665">
      <c r="H665" s="8" t="s">
        <v>364</v>
      </c>
    </row>
    <row r="666">
      <c r="H666" s="8" t="s">
        <v>364</v>
      </c>
    </row>
    <row r="667">
      <c r="H667" s="8" t="s">
        <v>364</v>
      </c>
    </row>
    <row r="668">
      <c r="H668" s="8" t="s">
        <v>364</v>
      </c>
    </row>
    <row r="669">
      <c r="H669" s="8" t="s">
        <v>364</v>
      </c>
    </row>
    <row r="670">
      <c r="H670" s="8" t="s">
        <v>364</v>
      </c>
    </row>
    <row r="671">
      <c r="H671" s="8" t="s">
        <v>364</v>
      </c>
    </row>
    <row r="672">
      <c r="H672" s="8" t="s">
        <v>364</v>
      </c>
    </row>
    <row r="673">
      <c r="H673" s="8" t="s">
        <v>364</v>
      </c>
    </row>
    <row r="674">
      <c r="H674" s="8" t="s">
        <v>364</v>
      </c>
    </row>
    <row r="675">
      <c r="H675" s="8" t="s">
        <v>364</v>
      </c>
    </row>
    <row r="676">
      <c r="H676" s="8" t="s">
        <v>364</v>
      </c>
    </row>
    <row r="677">
      <c r="H677" s="8" t="s">
        <v>364</v>
      </c>
    </row>
    <row r="678">
      <c r="H678" s="8" t="s">
        <v>364</v>
      </c>
    </row>
    <row r="679">
      <c r="H679" s="8" t="s">
        <v>364</v>
      </c>
    </row>
    <row r="680">
      <c r="H680" s="8" t="s">
        <v>364</v>
      </c>
    </row>
    <row r="681">
      <c r="H681" s="8" t="s">
        <v>364</v>
      </c>
    </row>
    <row r="682">
      <c r="H682" s="8" t="s">
        <v>364</v>
      </c>
    </row>
    <row r="683">
      <c r="H683" s="8" t="s">
        <v>364</v>
      </c>
    </row>
    <row r="684">
      <c r="H684" s="8" t="s">
        <v>364</v>
      </c>
    </row>
    <row r="685">
      <c r="H685" s="8" t="s">
        <v>364</v>
      </c>
    </row>
    <row r="686">
      <c r="H686" s="8" t="s">
        <v>364</v>
      </c>
    </row>
    <row r="687">
      <c r="H687" s="8" t="s">
        <v>364</v>
      </c>
    </row>
    <row r="688">
      <c r="H688" s="8" t="s">
        <v>364</v>
      </c>
    </row>
    <row r="689">
      <c r="H689" s="8" t="s">
        <v>364</v>
      </c>
    </row>
    <row r="690">
      <c r="H690" s="8" t="s">
        <v>364</v>
      </c>
    </row>
    <row r="691">
      <c r="H691" s="8" t="s">
        <v>364</v>
      </c>
    </row>
    <row r="692">
      <c r="H692" s="8" t="s">
        <v>364</v>
      </c>
    </row>
    <row r="693">
      <c r="H693" s="8" t="s">
        <v>364</v>
      </c>
    </row>
    <row r="694">
      <c r="H694" s="8" t="s">
        <v>364</v>
      </c>
    </row>
    <row r="695">
      <c r="H695" s="8" t="s">
        <v>364</v>
      </c>
    </row>
    <row r="696">
      <c r="H696" s="8" t="s">
        <v>364</v>
      </c>
    </row>
    <row r="697">
      <c r="H697" s="8" t="s">
        <v>364</v>
      </c>
    </row>
    <row r="698">
      <c r="H698" s="8" t="s">
        <v>364</v>
      </c>
    </row>
    <row r="699">
      <c r="H699" s="8" t="s">
        <v>364</v>
      </c>
    </row>
    <row r="700">
      <c r="H700" s="8" t="s">
        <v>364</v>
      </c>
    </row>
    <row r="701">
      <c r="H701" s="8" t="s">
        <v>364</v>
      </c>
    </row>
    <row r="702">
      <c r="H702" s="8" t="s">
        <v>364</v>
      </c>
    </row>
    <row r="703">
      <c r="H703" s="8" t="s">
        <v>364</v>
      </c>
    </row>
    <row r="704">
      <c r="H704" s="8" t="s">
        <v>364</v>
      </c>
    </row>
    <row r="705">
      <c r="H705" s="8" t="s">
        <v>364</v>
      </c>
    </row>
    <row r="706">
      <c r="H706" s="8" t="s">
        <v>364</v>
      </c>
    </row>
    <row r="707">
      <c r="H707" s="8" t="s">
        <v>364</v>
      </c>
    </row>
    <row r="708">
      <c r="H708" s="8" t="s">
        <v>364</v>
      </c>
    </row>
    <row r="709">
      <c r="H709" s="8" t="s">
        <v>364</v>
      </c>
    </row>
    <row r="710">
      <c r="H710" s="8" t="s">
        <v>364</v>
      </c>
    </row>
    <row r="711">
      <c r="H711" s="8" t="s">
        <v>364</v>
      </c>
    </row>
    <row r="712">
      <c r="H712" s="8" t="s">
        <v>364</v>
      </c>
    </row>
    <row r="713">
      <c r="H713" s="8" t="s">
        <v>364</v>
      </c>
    </row>
    <row r="714">
      <c r="H714" s="8" t="s">
        <v>364</v>
      </c>
    </row>
    <row r="715">
      <c r="H715" s="8" t="s">
        <v>364</v>
      </c>
    </row>
    <row r="716">
      <c r="H716" s="8" t="s">
        <v>364</v>
      </c>
    </row>
    <row r="717">
      <c r="H717" s="8" t="s">
        <v>364</v>
      </c>
    </row>
    <row r="718">
      <c r="H718" s="8" t="s">
        <v>364</v>
      </c>
    </row>
    <row r="719">
      <c r="H719" s="8" t="s">
        <v>364</v>
      </c>
    </row>
    <row r="720">
      <c r="H720" s="8" t="s">
        <v>364</v>
      </c>
    </row>
    <row r="721">
      <c r="H721" s="8" t="s">
        <v>364</v>
      </c>
    </row>
    <row r="722">
      <c r="H722" s="8" t="s">
        <v>364</v>
      </c>
    </row>
    <row r="723">
      <c r="H723" s="8" t="s">
        <v>364</v>
      </c>
    </row>
    <row r="724">
      <c r="H724" s="8" t="s">
        <v>364</v>
      </c>
    </row>
    <row r="725">
      <c r="H725" s="8" t="s">
        <v>364</v>
      </c>
    </row>
    <row r="726">
      <c r="H726" s="8" t="s">
        <v>364</v>
      </c>
    </row>
    <row r="727">
      <c r="H727" s="8" t="s">
        <v>364</v>
      </c>
    </row>
    <row r="728">
      <c r="H728" s="8" t="s">
        <v>364</v>
      </c>
    </row>
    <row r="729">
      <c r="H729" s="8" t="s">
        <v>364</v>
      </c>
    </row>
    <row r="730">
      <c r="H730" s="8" t="s">
        <v>364</v>
      </c>
    </row>
    <row r="731">
      <c r="H731" s="8" t="s">
        <v>364</v>
      </c>
    </row>
    <row r="732">
      <c r="H732" s="8" t="s">
        <v>364</v>
      </c>
    </row>
    <row r="733">
      <c r="H733" s="8" t="s">
        <v>364</v>
      </c>
    </row>
    <row r="734">
      <c r="H734" s="8" t="s">
        <v>364</v>
      </c>
    </row>
    <row r="735">
      <c r="H735" s="8" t="s">
        <v>364</v>
      </c>
    </row>
    <row r="736">
      <c r="H736" s="8" t="s">
        <v>364</v>
      </c>
    </row>
    <row r="737">
      <c r="H737" s="8" t="s">
        <v>364</v>
      </c>
    </row>
    <row r="738">
      <c r="H738" s="8" t="s">
        <v>364</v>
      </c>
    </row>
    <row r="739">
      <c r="H739" s="8" t="s">
        <v>364</v>
      </c>
    </row>
    <row r="740">
      <c r="H740" s="8" t="s">
        <v>364</v>
      </c>
    </row>
    <row r="741">
      <c r="H741" s="8" t="s">
        <v>364</v>
      </c>
    </row>
    <row r="742">
      <c r="H742" s="8" t="s">
        <v>364</v>
      </c>
    </row>
    <row r="743">
      <c r="H743" s="8" t="s">
        <v>364</v>
      </c>
    </row>
    <row r="744">
      <c r="H744" s="8" t="s">
        <v>364</v>
      </c>
    </row>
    <row r="745">
      <c r="H745" s="8" t="s">
        <v>364</v>
      </c>
    </row>
    <row r="746">
      <c r="H746" s="8" t="s">
        <v>364</v>
      </c>
    </row>
    <row r="747">
      <c r="H747" s="8" t="s">
        <v>364</v>
      </c>
    </row>
    <row r="748">
      <c r="H748" s="8" t="s">
        <v>364</v>
      </c>
    </row>
    <row r="749">
      <c r="H749" s="8" t="s">
        <v>364</v>
      </c>
    </row>
    <row r="750">
      <c r="H750" s="8" t="s">
        <v>364</v>
      </c>
    </row>
    <row r="751">
      <c r="H751" s="8" t="s">
        <v>364</v>
      </c>
    </row>
    <row r="752">
      <c r="H752" s="8" t="s">
        <v>364</v>
      </c>
    </row>
    <row r="753">
      <c r="H753" s="8" t="s">
        <v>364</v>
      </c>
    </row>
    <row r="754">
      <c r="H754" s="8" t="s">
        <v>364</v>
      </c>
    </row>
    <row r="755">
      <c r="H755" s="8" t="s">
        <v>364</v>
      </c>
    </row>
    <row r="756">
      <c r="H756" s="8" t="s">
        <v>364</v>
      </c>
    </row>
    <row r="757">
      <c r="H757" s="8" t="s">
        <v>364</v>
      </c>
    </row>
    <row r="758">
      <c r="H758" s="8" t="s">
        <v>364</v>
      </c>
    </row>
    <row r="759">
      <c r="H759" s="8" t="s">
        <v>364</v>
      </c>
    </row>
    <row r="760">
      <c r="H760" s="8" t="s">
        <v>364</v>
      </c>
    </row>
    <row r="761">
      <c r="H761" s="8" t="s">
        <v>364</v>
      </c>
    </row>
    <row r="762">
      <c r="H762" s="8" t="s">
        <v>364</v>
      </c>
    </row>
    <row r="763">
      <c r="H763" s="8" t="s">
        <v>364</v>
      </c>
    </row>
    <row r="764">
      <c r="H764" s="8" t="s">
        <v>364</v>
      </c>
    </row>
    <row r="765">
      <c r="H765" s="8" t="s">
        <v>364</v>
      </c>
    </row>
    <row r="766">
      <c r="H766" s="8" t="s">
        <v>364</v>
      </c>
    </row>
    <row r="767">
      <c r="H767" s="8" t="s">
        <v>364</v>
      </c>
    </row>
    <row r="768">
      <c r="H768" s="8" t="s">
        <v>364</v>
      </c>
    </row>
    <row r="769">
      <c r="H769" s="8" t="s">
        <v>364</v>
      </c>
    </row>
    <row r="770">
      <c r="H770" s="8" t="s">
        <v>364</v>
      </c>
    </row>
    <row r="771">
      <c r="H771" s="8" t="s">
        <v>364</v>
      </c>
    </row>
    <row r="772">
      <c r="H772" s="8" t="s">
        <v>364</v>
      </c>
    </row>
    <row r="773">
      <c r="H773" s="8" t="s">
        <v>364</v>
      </c>
    </row>
    <row r="774">
      <c r="H774" s="8" t="s">
        <v>364</v>
      </c>
    </row>
    <row r="775">
      <c r="H775" s="8" t="s">
        <v>364</v>
      </c>
    </row>
    <row r="776">
      <c r="H776" s="8" t="s">
        <v>364</v>
      </c>
    </row>
    <row r="777">
      <c r="H777" s="8" t="s">
        <v>364</v>
      </c>
    </row>
    <row r="778">
      <c r="H778" s="8" t="s">
        <v>364</v>
      </c>
    </row>
    <row r="779">
      <c r="H779" s="8" t="s">
        <v>364</v>
      </c>
    </row>
    <row r="780">
      <c r="H780" s="8" t="s">
        <v>364</v>
      </c>
    </row>
    <row r="781">
      <c r="H781" s="8" t="s">
        <v>364</v>
      </c>
    </row>
    <row r="782">
      <c r="H782" s="8" t="s">
        <v>364</v>
      </c>
    </row>
    <row r="783">
      <c r="H783" s="8" t="s">
        <v>364</v>
      </c>
    </row>
    <row r="784">
      <c r="H784" s="8" t="s">
        <v>364</v>
      </c>
    </row>
    <row r="785">
      <c r="H785" s="8" t="s">
        <v>364</v>
      </c>
    </row>
    <row r="786">
      <c r="H786" s="8" t="s">
        <v>364</v>
      </c>
    </row>
    <row r="787">
      <c r="H787" s="8" t="s">
        <v>364</v>
      </c>
    </row>
    <row r="788">
      <c r="H788" s="8" t="s">
        <v>364</v>
      </c>
    </row>
    <row r="789">
      <c r="H789" s="8" t="s">
        <v>364</v>
      </c>
    </row>
    <row r="790">
      <c r="H790" s="8" t="s">
        <v>364</v>
      </c>
    </row>
    <row r="791">
      <c r="H791" s="8" t="s">
        <v>364</v>
      </c>
    </row>
    <row r="792">
      <c r="H792" s="8" t="s">
        <v>364</v>
      </c>
    </row>
    <row r="793">
      <c r="H793" s="8" t="s">
        <v>364</v>
      </c>
    </row>
    <row r="794">
      <c r="H794" s="8" t="s">
        <v>364</v>
      </c>
    </row>
    <row r="795">
      <c r="H795" s="8" t="s">
        <v>364</v>
      </c>
    </row>
    <row r="796">
      <c r="H796" s="8" t="s">
        <v>364</v>
      </c>
    </row>
    <row r="797">
      <c r="H797" s="8" t="s">
        <v>364</v>
      </c>
    </row>
    <row r="798">
      <c r="H798" s="8" t="s">
        <v>364</v>
      </c>
    </row>
    <row r="799">
      <c r="H799" s="8" t="s">
        <v>364</v>
      </c>
    </row>
    <row r="800">
      <c r="H800" s="8" t="s">
        <v>364</v>
      </c>
    </row>
    <row r="801">
      <c r="H801" s="8" t="s">
        <v>364</v>
      </c>
    </row>
    <row r="802">
      <c r="H802" s="8" t="s">
        <v>364</v>
      </c>
    </row>
    <row r="803">
      <c r="H803" s="8" t="s">
        <v>364</v>
      </c>
    </row>
    <row r="804">
      <c r="H804" s="8" t="s">
        <v>364</v>
      </c>
    </row>
    <row r="805">
      <c r="H805" s="8" t="s">
        <v>364</v>
      </c>
    </row>
    <row r="806">
      <c r="H806" s="8" t="s">
        <v>364</v>
      </c>
    </row>
    <row r="807">
      <c r="H807" s="8" t="s">
        <v>364</v>
      </c>
    </row>
    <row r="808">
      <c r="H808" s="8" t="s">
        <v>364</v>
      </c>
    </row>
    <row r="809">
      <c r="H809" s="8" t="s">
        <v>364</v>
      </c>
    </row>
    <row r="810">
      <c r="H810" s="8" t="s">
        <v>364</v>
      </c>
    </row>
    <row r="811">
      <c r="H811" s="8" t="s">
        <v>364</v>
      </c>
    </row>
    <row r="812">
      <c r="H812" s="8" t="s">
        <v>364</v>
      </c>
    </row>
    <row r="813">
      <c r="H813" s="8" t="s">
        <v>364</v>
      </c>
    </row>
    <row r="814">
      <c r="H814" s="8" t="s">
        <v>364</v>
      </c>
    </row>
    <row r="815">
      <c r="H815" s="8" t="s">
        <v>364</v>
      </c>
    </row>
    <row r="816">
      <c r="H816" s="8" t="s">
        <v>364</v>
      </c>
    </row>
    <row r="817">
      <c r="H817" s="8" t="s">
        <v>364</v>
      </c>
    </row>
    <row r="818">
      <c r="H818" s="8" t="s">
        <v>364</v>
      </c>
    </row>
    <row r="819">
      <c r="H819" s="8" t="s">
        <v>364</v>
      </c>
    </row>
    <row r="820">
      <c r="H820" s="8" t="s">
        <v>364</v>
      </c>
    </row>
    <row r="821">
      <c r="H821" s="8" t="s">
        <v>364</v>
      </c>
    </row>
    <row r="822">
      <c r="H822" s="8" t="s">
        <v>364</v>
      </c>
    </row>
    <row r="823">
      <c r="H823" s="8" t="s">
        <v>364</v>
      </c>
    </row>
    <row r="824">
      <c r="H824" s="8" t="s">
        <v>364</v>
      </c>
    </row>
    <row r="825">
      <c r="H825" s="8" t="s">
        <v>364</v>
      </c>
    </row>
    <row r="826">
      <c r="H826" s="8" t="s">
        <v>364</v>
      </c>
    </row>
    <row r="827">
      <c r="H827" s="8" t="s">
        <v>364</v>
      </c>
    </row>
    <row r="828">
      <c r="H828" s="8" t="s">
        <v>364</v>
      </c>
    </row>
    <row r="829">
      <c r="H829" s="8" t="s">
        <v>364</v>
      </c>
    </row>
    <row r="830">
      <c r="H830" s="8" t="s">
        <v>364</v>
      </c>
    </row>
    <row r="831">
      <c r="H831" s="8" t="s">
        <v>364</v>
      </c>
    </row>
    <row r="832">
      <c r="H832" s="8" t="s">
        <v>364</v>
      </c>
    </row>
    <row r="833">
      <c r="H833" s="8" t="s">
        <v>364</v>
      </c>
    </row>
    <row r="834">
      <c r="H834" s="8" t="s">
        <v>364</v>
      </c>
    </row>
    <row r="835">
      <c r="H835" s="8" t="s">
        <v>364</v>
      </c>
    </row>
    <row r="836">
      <c r="H836" s="8" t="s">
        <v>364</v>
      </c>
    </row>
    <row r="837">
      <c r="H837" s="8" t="s">
        <v>364</v>
      </c>
    </row>
    <row r="838">
      <c r="H838" s="8" t="s">
        <v>364</v>
      </c>
    </row>
    <row r="839">
      <c r="H839" s="8" t="s">
        <v>364</v>
      </c>
    </row>
    <row r="840">
      <c r="H840" s="8" t="s">
        <v>364</v>
      </c>
    </row>
    <row r="841">
      <c r="H841" s="8" t="s">
        <v>364</v>
      </c>
    </row>
    <row r="842">
      <c r="H842" s="8" t="s">
        <v>364</v>
      </c>
    </row>
    <row r="843">
      <c r="H843" s="8" t="s">
        <v>364</v>
      </c>
    </row>
    <row r="844">
      <c r="H844" s="8" t="s">
        <v>364</v>
      </c>
    </row>
    <row r="845">
      <c r="H845" s="8" t="s">
        <v>364</v>
      </c>
    </row>
    <row r="846">
      <c r="H846" s="8" t="s">
        <v>364</v>
      </c>
    </row>
    <row r="847">
      <c r="H847" s="8" t="s">
        <v>364</v>
      </c>
    </row>
    <row r="848">
      <c r="H848" s="8" t="s">
        <v>364</v>
      </c>
    </row>
    <row r="849">
      <c r="H849" s="8" t="s">
        <v>364</v>
      </c>
    </row>
    <row r="850">
      <c r="H850" s="8" t="s">
        <v>364</v>
      </c>
    </row>
    <row r="851">
      <c r="H851" s="8" t="s">
        <v>364</v>
      </c>
    </row>
    <row r="852">
      <c r="H852" s="8" t="s">
        <v>364</v>
      </c>
    </row>
    <row r="853">
      <c r="H853" s="8" t="s">
        <v>364</v>
      </c>
    </row>
    <row r="854">
      <c r="H854" s="8" t="s">
        <v>364</v>
      </c>
    </row>
    <row r="855">
      <c r="H855" s="8" t="s">
        <v>364</v>
      </c>
    </row>
    <row r="856">
      <c r="H856" s="8" t="s">
        <v>364</v>
      </c>
    </row>
    <row r="857">
      <c r="H857" s="8" t="s">
        <v>364</v>
      </c>
    </row>
    <row r="858">
      <c r="H858" s="8" t="s">
        <v>364</v>
      </c>
    </row>
    <row r="859">
      <c r="H859" s="8" t="s">
        <v>364</v>
      </c>
    </row>
    <row r="860">
      <c r="H860" s="8" t="s">
        <v>364</v>
      </c>
    </row>
    <row r="861">
      <c r="H861" s="8" t="s">
        <v>364</v>
      </c>
    </row>
    <row r="862">
      <c r="H862" s="8" t="s">
        <v>364</v>
      </c>
    </row>
    <row r="863">
      <c r="H863" s="8" t="s">
        <v>364</v>
      </c>
    </row>
    <row r="864">
      <c r="H864" s="8" t="s">
        <v>364</v>
      </c>
    </row>
    <row r="865">
      <c r="H865" s="8" t="s">
        <v>364</v>
      </c>
    </row>
    <row r="866">
      <c r="H866" s="8" t="s">
        <v>364</v>
      </c>
    </row>
    <row r="867">
      <c r="H867" s="8" t="s">
        <v>364</v>
      </c>
    </row>
    <row r="868">
      <c r="H868" s="8" t="s">
        <v>364</v>
      </c>
    </row>
    <row r="869">
      <c r="H869" s="8" t="s">
        <v>364</v>
      </c>
    </row>
    <row r="870">
      <c r="H870" s="8" t="s">
        <v>364</v>
      </c>
    </row>
    <row r="871">
      <c r="H871" s="8" t="s">
        <v>364</v>
      </c>
    </row>
    <row r="872">
      <c r="H872" s="8" t="s">
        <v>364</v>
      </c>
    </row>
    <row r="873">
      <c r="H873" s="8" t="s">
        <v>364</v>
      </c>
    </row>
    <row r="874">
      <c r="H874" s="8" t="s">
        <v>364</v>
      </c>
    </row>
    <row r="875">
      <c r="H875" s="8" t="s">
        <v>364</v>
      </c>
    </row>
    <row r="876">
      <c r="H876" s="8" t="s">
        <v>364</v>
      </c>
    </row>
    <row r="877">
      <c r="H877" s="8" t="s">
        <v>364</v>
      </c>
    </row>
    <row r="878">
      <c r="H878" s="8" t="s">
        <v>364</v>
      </c>
    </row>
    <row r="879">
      <c r="H879" s="8" t="s">
        <v>364</v>
      </c>
    </row>
    <row r="880">
      <c r="H880" s="8" t="s">
        <v>364</v>
      </c>
    </row>
    <row r="881">
      <c r="H881" s="8" t="s">
        <v>364</v>
      </c>
    </row>
    <row r="882">
      <c r="H882" s="8" t="s">
        <v>364</v>
      </c>
    </row>
    <row r="883">
      <c r="H883" s="8" t="s">
        <v>364</v>
      </c>
    </row>
    <row r="884">
      <c r="H884" s="8" t="s">
        <v>364</v>
      </c>
    </row>
    <row r="885">
      <c r="H885" s="8" t="s">
        <v>364</v>
      </c>
    </row>
    <row r="886">
      <c r="H886" s="8" t="s">
        <v>364</v>
      </c>
    </row>
    <row r="887">
      <c r="H887" s="8" t="s">
        <v>364</v>
      </c>
    </row>
    <row r="888">
      <c r="H888" s="8" t="s">
        <v>364</v>
      </c>
    </row>
    <row r="889">
      <c r="H889" s="8" t="s">
        <v>364</v>
      </c>
    </row>
    <row r="890">
      <c r="H890" s="8" t="s">
        <v>364</v>
      </c>
    </row>
    <row r="891">
      <c r="H891" s="8" t="s">
        <v>364</v>
      </c>
    </row>
    <row r="892">
      <c r="H892" s="8" t="s">
        <v>364</v>
      </c>
    </row>
    <row r="893">
      <c r="H893" s="8" t="s">
        <v>364</v>
      </c>
    </row>
    <row r="894">
      <c r="H894" s="8" t="s">
        <v>364</v>
      </c>
    </row>
    <row r="895">
      <c r="H895" s="8" t="s">
        <v>364</v>
      </c>
    </row>
    <row r="896">
      <c r="H896" s="8" t="s">
        <v>364</v>
      </c>
    </row>
    <row r="897">
      <c r="H897" s="8" t="s">
        <v>364</v>
      </c>
    </row>
    <row r="898">
      <c r="H898" s="8" t="s">
        <v>364</v>
      </c>
    </row>
    <row r="899">
      <c r="H899" s="8" t="s">
        <v>364</v>
      </c>
    </row>
    <row r="900">
      <c r="H900" s="8" t="s">
        <v>364</v>
      </c>
    </row>
    <row r="901">
      <c r="H901" s="8" t="s">
        <v>364</v>
      </c>
    </row>
    <row r="902">
      <c r="H902" s="8" t="s">
        <v>364</v>
      </c>
    </row>
    <row r="903">
      <c r="H903" s="8" t="s">
        <v>364</v>
      </c>
    </row>
    <row r="904">
      <c r="H904" s="8" t="s">
        <v>364</v>
      </c>
    </row>
    <row r="905">
      <c r="H905" s="8" t="s">
        <v>364</v>
      </c>
    </row>
    <row r="906">
      <c r="H906" s="8" t="s">
        <v>364</v>
      </c>
    </row>
    <row r="907">
      <c r="H907" s="8" t="s">
        <v>364</v>
      </c>
    </row>
    <row r="908">
      <c r="H908" s="8" t="s">
        <v>364</v>
      </c>
    </row>
    <row r="909">
      <c r="H909" s="8" t="s">
        <v>364</v>
      </c>
    </row>
    <row r="910">
      <c r="H910" s="8" t="s">
        <v>364</v>
      </c>
    </row>
    <row r="911">
      <c r="H911" s="8" t="s">
        <v>364</v>
      </c>
    </row>
    <row r="912">
      <c r="H912" s="8" t="s">
        <v>364</v>
      </c>
    </row>
    <row r="913">
      <c r="H913" s="8" t="s">
        <v>364</v>
      </c>
    </row>
    <row r="914">
      <c r="H914" s="8" t="s">
        <v>364</v>
      </c>
    </row>
    <row r="915">
      <c r="H915" s="8" t="s">
        <v>364</v>
      </c>
    </row>
    <row r="916">
      <c r="H916" s="8" t="s">
        <v>364</v>
      </c>
    </row>
    <row r="917">
      <c r="H917" s="8" t="s">
        <v>364</v>
      </c>
    </row>
    <row r="918">
      <c r="H918" s="8" t="s">
        <v>364</v>
      </c>
    </row>
    <row r="919">
      <c r="H919" s="8" t="s">
        <v>364</v>
      </c>
    </row>
    <row r="920">
      <c r="H920" s="8" t="s">
        <v>364</v>
      </c>
    </row>
    <row r="921">
      <c r="H921" s="8" t="s">
        <v>364</v>
      </c>
    </row>
    <row r="922">
      <c r="H922" s="8" t="s">
        <v>364</v>
      </c>
    </row>
    <row r="923">
      <c r="H923" s="8" t="s">
        <v>364</v>
      </c>
    </row>
    <row r="924">
      <c r="H924" s="8" t="s">
        <v>364</v>
      </c>
    </row>
    <row r="925">
      <c r="H925" s="8" t="s">
        <v>364</v>
      </c>
    </row>
    <row r="926">
      <c r="H926" s="8" t="s">
        <v>364</v>
      </c>
    </row>
    <row r="927">
      <c r="H927" s="8" t="s">
        <v>364</v>
      </c>
    </row>
    <row r="928">
      <c r="H928" s="8" t="s">
        <v>364</v>
      </c>
    </row>
    <row r="929">
      <c r="H929" s="8" t="s">
        <v>364</v>
      </c>
    </row>
    <row r="930">
      <c r="H930" s="8" t="s">
        <v>364</v>
      </c>
    </row>
    <row r="931">
      <c r="H931" s="8" t="s">
        <v>364</v>
      </c>
    </row>
    <row r="932">
      <c r="H932" s="8" t="s">
        <v>364</v>
      </c>
    </row>
    <row r="933">
      <c r="H933" s="8" t="s">
        <v>364</v>
      </c>
    </row>
    <row r="934">
      <c r="H934" s="8" t="s">
        <v>364</v>
      </c>
    </row>
    <row r="935">
      <c r="H935" s="8" t="s">
        <v>364</v>
      </c>
    </row>
    <row r="936">
      <c r="H936" s="8" t="s">
        <v>364</v>
      </c>
    </row>
    <row r="937">
      <c r="H937" s="8" t="s">
        <v>364</v>
      </c>
    </row>
    <row r="938">
      <c r="H938" s="8" t="s">
        <v>364</v>
      </c>
    </row>
    <row r="939">
      <c r="H939" s="8" t="s">
        <v>364</v>
      </c>
    </row>
    <row r="940">
      <c r="H940" s="8" t="s">
        <v>364</v>
      </c>
    </row>
    <row r="941">
      <c r="H941" s="8" t="s">
        <v>364</v>
      </c>
    </row>
    <row r="942">
      <c r="H942" s="8" t="s">
        <v>364</v>
      </c>
    </row>
    <row r="943">
      <c r="H943" s="8" t="s">
        <v>364</v>
      </c>
    </row>
    <row r="944">
      <c r="H944" s="8" t="s">
        <v>364</v>
      </c>
    </row>
    <row r="945">
      <c r="H945" s="8" t="s">
        <v>364</v>
      </c>
    </row>
    <row r="946">
      <c r="H946" s="8" t="s">
        <v>364</v>
      </c>
    </row>
    <row r="947">
      <c r="H947" s="8" t="s">
        <v>364</v>
      </c>
    </row>
    <row r="948">
      <c r="H948" s="8" t="s">
        <v>364</v>
      </c>
    </row>
    <row r="949">
      <c r="H949" s="8" t="s">
        <v>364</v>
      </c>
    </row>
    <row r="950">
      <c r="H950" s="8" t="s">
        <v>364</v>
      </c>
    </row>
    <row r="951">
      <c r="H951" s="8" t="s">
        <v>364</v>
      </c>
    </row>
    <row r="952">
      <c r="H952" s="8" t="s">
        <v>364</v>
      </c>
    </row>
    <row r="953">
      <c r="H953" s="8" t="s">
        <v>364</v>
      </c>
    </row>
    <row r="954">
      <c r="H954" s="8" t="s">
        <v>364</v>
      </c>
    </row>
    <row r="955">
      <c r="H955" s="8" t="s">
        <v>364</v>
      </c>
    </row>
    <row r="956">
      <c r="H956" s="8" t="s">
        <v>364</v>
      </c>
    </row>
    <row r="957">
      <c r="H957" s="8" t="s">
        <v>364</v>
      </c>
    </row>
    <row r="958">
      <c r="H958" s="8" t="s">
        <v>364</v>
      </c>
    </row>
    <row r="959">
      <c r="H959" s="8" t="s">
        <v>364</v>
      </c>
    </row>
    <row r="960">
      <c r="H960" s="8" t="s">
        <v>364</v>
      </c>
    </row>
    <row r="961">
      <c r="H961" s="8" t="s">
        <v>364</v>
      </c>
    </row>
    <row r="962">
      <c r="H962" s="8" t="s">
        <v>364</v>
      </c>
    </row>
    <row r="963">
      <c r="H963" s="8" t="s">
        <v>364</v>
      </c>
    </row>
    <row r="964">
      <c r="H964" s="8" t="s">
        <v>364</v>
      </c>
    </row>
    <row r="965">
      <c r="H965" s="8" t="s">
        <v>364</v>
      </c>
    </row>
    <row r="966">
      <c r="H966" s="8" t="s">
        <v>364</v>
      </c>
    </row>
    <row r="967">
      <c r="H967" s="8" t="s">
        <v>364</v>
      </c>
    </row>
    <row r="968">
      <c r="H968" s="8" t="s">
        <v>364</v>
      </c>
    </row>
    <row r="969">
      <c r="H969" s="8" t="s">
        <v>364</v>
      </c>
    </row>
    <row r="970">
      <c r="H970" s="8" t="s">
        <v>364</v>
      </c>
    </row>
    <row r="971">
      <c r="H971" s="8" t="s">
        <v>364</v>
      </c>
    </row>
    <row r="972">
      <c r="H972" s="8" t="s">
        <v>364</v>
      </c>
    </row>
    <row r="973">
      <c r="H973" s="8" t="s">
        <v>364</v>
      </c>
    </row>
    <row r="974">
      <c r="H974" s="8" t="s">
        <v>364</v>
      </c>
    </row>
    <row r="975">
      <c r="H975" s="8" t="s">
        <v>364</v>
      </c>
    </row>
    <row r="976">
      <c r="H976" s="8" t="s">
        <v>364</v>
      </c>
    </row>
    <row r="977">
      <c r="H977" s="8" t="s">
        <v>364</v>
      </c>
    </row>
    <row r="978">
      <c r="H978" s="8" t="s">
        <v>364</v>
      </c>
    </row>
    <row r="979">
      <c r="H979" s="8" t="s">
        <v>364</v>
      </c>
    </row>
    <row r="980">
      <c r="H980" s="8" t="s">
        <v>364</v>
      </c>
    </row>
    <row r="981">
      <c r="H981" s="8" t="s">
        <v>364</v>
      </c>
    </row>
    <row r="982">
      <c r="H982" s="8" t="s">
        <v>364</v>
      </c>
    </row>
    <row r="983">
      <c r="H983" s="8" t="s">
        <v>364</v>
      </c>
    </row>
    <row r="984">
      <c r="H984" s="8" t="s">
        <v>364</v>
      </c>
    </row>
    <row r="985">
      <c r="H985" s="8" t="s">
        <v>364</v>
      </c>
    </row>
    <row r="986">
      <c r="H986" s="8" t="s">
        <v>364</v>
      </c>
    </row>
    <row r="987">
      <c r="H987" s="8" t="s">
        <v>364</v>
      </c>
    </row>
    <row r="988">
      <c r="H988" s="8" t="s">
        <v>364</v>
      </c>
    </row>
    <row r="989">
      <c r="H989" s="8" t="s">
        <v>364</v>
      </c>
    </row>
    <row r="990">
      <c r="H990" s="8" t="s">
        <v>364</v>
      </c>
    </row>
    <row r="991">
      <c r="H991" s="8" t="s">
        <v>364</v>
      </c>
    </row>
    <row r="992">
      <c r="H992" s="8" t="s">
        <v>364</v>
      </c>
    </row>
    <row r="993">
      <c r="H993" s="8" t="s">
        <v>364</v>
      </c>
    </row>
    <row r="994">
      <c r="H994" s="8" t="s">
        <v>364</v>
      </c>
    </row>
    <row r="995">
      <c r="H995" s="8" t="s">
        <v>364</v>
      </c>
    </row>
    <row r="996">
      <c r="H996" s="8" t="s">
        <v>364</v>
      </c>
    </row>
    <row r="997">
      <c r="H997" s="8" t="s">
        <v>364</v>
      </c>
    </row>
    <row r="998">
      <c r="H998" s="8" t="s">
        <v>364</v>
      </c>
    </row>
    <row r="999">
      <c r="H999" s="8" t="s">
        <v>364</v>
      </c>
    </row>
    <row r="1000">
      <c r="H1000" s="8" t="s">
        <v>364</v>
      </c>
    </row>
  </sheetData>
  <dataValidations>
    <dataValidation type="custom" allowBlank="1" showDropDown="1" sqref="B2:B71">
      <formula1>AND(ISNUMBER(B2),(NOT(OR(NOT(ISERROR(DATEVALUE(B2))), AND(ISNUMBER(B2), LEFT(CELL("format", B2))="D")))))</formula1>
    </dataValidation>
    <dataValidation type="list" allowBlank="1" showDropDown="1" showErrorMessage="1" sqref="A2:A71">
      <formula1>"sepak_takraw_1.jpg,sepak_takraw_2.jpg,sepak_takraw_10.jpg,sepak_takraw_11.jpg,sepak_takraw_12.jpg,sepak_takraw_14.jpg,sepak_takraw_16.jpg,sepak_takraw_26.jpg,sepak_takraw_66.jpg,sepak_takraw_70.jpg,sepak_takraw_71.jpg,sepak_takraw_72.jpg,sepak_takraw_78.j"&amp;"pg,sepak_takraw_82.jpg"</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16.13"/>
    <col customWidth="1" min="3" max="3" width="37.63"/>
    <col customWidth="1" min="4" max="4" width="17.63"/>
    <col customWidth="1" min="5" max="5" width="22.25"/>
    <col customWidth="1" min="6" max="6" width="28.88"/>
    <col customWidth="1" min="7" max="8" width="26.25"/>
    <col customWidth="1" min="9" max="9" width="28.88"/>
    <col customWidth="1" min="10" max="10" width="37.63"/>
    <col customWidth="1" min="13" max="13" width="15.0"/>
    <col customWidth="1" min="14" max="14" width="12.88"/>
    <col customWidth="1" min="15" max="15" width="32.0"/>
    <col customWidth="1" min="16" max="16" width="17.75"/>
    <col customWidth="1" min="17" max="17" width="18.63"/>
    <col customWidth="1" min="18" max="18" width="27.5"/>
    <col customWidth="1" min="19" max="19" width="18.25"/>
    <col customWidth="1" min="20" max="20" width="27.5"/>
    <col customWidth="1" min="21" max="21" width="37.63"/>
  </cols>
  <sheetData>
    <row r="1" ht="22.5" customHeight="1">
      <c r="A1" s="1" t="s">
        <v>0</v>
      </c>
      <c r="B1" s="1" t="s">
        <v>1</v>
      </c>
      <c r="C1" s="1" t="s">
        <v>2</v>
      </c>
      <c r="D1" s="1" t="s">
        <v>3</v>
      </c>
      <c r="E1" s="1" t="s">
        <v>4</v>
      </c>
      <c r="F1" s="1" t="s">
        <v>5</v>
      </c>
      <c r="G1" s="1" t="s">
        <v>6</v>
      </c>
      <c r="H1" s="1" t="s">
        <v>7</v>
      </c>
      <c r="I1" s="1" t="s">
        <v>8</v>
      </c>
      <c r="J1" s="1" t="s">
        <v>9</v>
      </c>
      <c r="M1" s="1" t="s">
        <v>10</v>
      </c>
      <c r="N1" s="1" t="s">
        <v>11</v>
      </c>
      <c r="O1" s="1" t="s">
        <v>12</v>
      </c>
      <c r="P1" s="1" t="s">
        <v>13</v>
      </c>
      <c r="Q1" s="1" t="s">
        <v>14</v>
      </c>
      <c r="R1" s="1" t="s">
        <v>15</v>
      </c>
      <c r="S1" s="1" t="s">
        <v>16</v>
      </c>
      <c r="T1" s="1" t="s">
        <v>17</v>
      </c>
      <c r="U1" s="1" t="s">
        <v>18</v>
      </c>
      <c r="V1" s="1" t="s">
        <v>19</v>
      </c>
      <c r="Y1" s="10"/>
      <c r="Z1" s="10"/>
    </row>
    <row r="2" ht="22.5" customHeight="1">
      <c r="A2" s="2" t="s">
        <v>1012</v>
      </c>
      <c r="B2" s="3">
        <v>1.0</v>
      </c>
      <c r="C2" s="4" t="s">
        <v>21</v>
      </c>
      <c r="D2" s="4" t="s">
        <v>1013</v>
      </c>
      <c r="E2" s="4" t="s">
        <v>1014</v>
      </c>
      <c r="F2" s="4" t="s">
        <v>1015</v>
      </c>
      <c r="G2" s="4" t="s">
        <v>1016</v>
      </c>
      <c r="H2" s="4" t="str">
        <f t="array" ref="H2:H999">TRIM("(A) " &amp; D2:D999 &amp; " (B) " &amp; E2:E999 &amp; " (C) " &amp; F2:F999 &amp; " (D) " &amp; G2:G999)
</f>
        <v>(A) A boxing match (B) A karate competition (C) A Muay Thai fight (D) An MMA fight</v>
      </c>
      <c r="I2" s="4" t="s">
        <v>1015</v>
      </c>
      <c r="J2" s="4" t="s">
        <v>1017</v>
      </c>
      <c r="M2" s="4" t="s">
        <v>1012</v>
      </c>
      <c r="N2" s="5">
        <v>1.0</v>
      </c>
      <c r="O2" s="6" t="str">
        <f>IFERROR(__xludf.DUMMYFUNCTION("GOOGLETRANSLATE(C2,""en"",""th"")"),"ภาพที่แสดงเป็นกิจกรรมหลักอะไร?")</f>
        <v>ภาพที่แสดงเป็นกิจกรรมหลักอะไร?</v>
      </c>
      <c r="P2" s="6" t="str">
        <f>IFERROR(__xludf.DUMMYFUNCTION("GOOGLETRANSLATE(D2,""en"",""th"")"),"การแข่งขันชกมวย")</f>
        <v>การแข่งขันชกมวย</v>
      </c>
      <c r="Q2" s="6" t="str">
        <f>IFERROR(__xludf.DUMMYFUNCTION("GOOGLETRANSLATE(E2,""en"",""th"")"),"การแข่งขันคาราเต้")</f>
        <v>การแข่งขันคาราเต้</v>
      </c>
      <c r="R2" s="6" t="str">
        <f>IFERROR(__xludf.DUMMYFUNCTION("GOOGLETRANSLATE(F2,""en"",""th"")"),"การต่อสู้มวยไทย")</f>
        <v>การต่อสู้มวยไทย</v>
      </c>
      <c r="S2" s="6" t="str">
        <f>IFERROR(__xludf.DUMMYFUNCTION("GOOGLETRANSLATE(G2,""en"",""th"")"),"การต่อสู้แบบ MMA")</f>
        <v>การต่อสู้แบบ MMA</v>
      </c>
      <c r="T2" s="6" t="str">
        <f t="array" ref="T2:T101">TRIM(" (A) " &amp; Table1[Option 1] &amp; " (B) " &amp; Table1[Option 2] &amp; " (C) " &amp; Table1[Option 3] &amp; " (D) " &amp; Table1[Option 4])</f>
        <v>(A) การแข่งขันชกมวย (B) การแข่งขันคาราเต้ (C) การต่อสู้มวยไทย (D) การต่อสู้แบบ MMA</v>
      </c>
      <c r="U2" s="6" t="str">
        <f>IFERROR(__xludf.DUMMYFUNCTION("GOOGLETRANSLATE(I2,""en"",""th"")"),"การต่อสู้มวยไทย")</f>
        <v>การต่อสู้มวยไทย</v>
      </c>
      <c r="V2" s="6" t="str">
        <f>IFERROR(__xludf.DUMMYFUNCTION("GOOGLETRANSLATE(J2,""en"",""th"")"),"รูปภาพแสดงให้เห็นนักสู้สองคนในสังเวียน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v>
      </c>
    </row>
    <row r="3" ht="22.5" customHeight="1">
      <c r="A3" s="2" t="s">
        <v>1012</v>
      </c>
      <c r="B3" s="3">
        <v>2.0</v>
      </c>
      <c r="C3" s="4" t="s">
        <v>1018</v>
      </c>
      <c r="D3" s="4" t="s">
        <v>1019</v>
      </c>
      <c r="E3" s="4" t="s">
        <v>1020</v>
      </c>
      <c r="F3" s="4" t="s">
        <v>1021</v>
      </c>
      <c r="G3" s="4" t="s">
        <v>392</v>
      </c>
      <c r="H3" s="4" t="s">
        <v>1022</v>
      </c>
      <c r="I3" s="4" t="s">
        <v>1021</v>
      </c>
      <c r="J3" s="4" t="s">
        <v>1023</v>
      </c>
      <c r="M3" s="4" t="s">
        <v>1012</v>
      </c>
      <c r="N3" s="5">
        <v>2.0</v>
      </c>
      <c r="O3" s="6" t="str">
        <f>IFERROR(__xludf.DUMMYFUNCTION("GOOGLETRANSLATE(C3,""en"",""th"")"),"ลักษณะเด่นของเครื่องแต่งกายนักสู้คืออะไร?")</f>
        <v>ลักษณะเด่นของเครื่องแต่งกายนักสู้คืออะไร?</v>
      </c>
      <c r="P3" s="6" t="str">
        <f>IFERROR(__xludf.DUMMYFUNCTION("GOOGLETRANSLATE(D3,""en"",""th"")"),"ชุดกิ")</f>
        <v>ชุดกิ</v>
      </c>
      <c r="Q3" s="6" t="str">
        <f>IFERROR(__xludf.DUMMYFUNCTION("GOOGLETRANSLATE(E3,""en"",""th"")"),"ชุดลำลอง")</f>
        <v>ชุดลำลอง</v>
      </c>
      <c r="R3" s="6" t="str">
        <f>IFERROR(__xludf.DUMMYFUNCTION("GOOGLETRANSLATE(F3,""en"",""th"")"),"กางเกงมวยลายดั้งเดิม")</f>
        <v>กางเกงมวยลายดั้งเดิม</v>
      </c>
      <c r="S3" s="6" t="str">
        <f>IFERROR(__xludf.DUMMYFUNCTION("GOOGLETRANSLATE(G3,""en"",""th"")"),"ชุดดำน้ำ")</f>
        <v>ชุดดำน้ำ</v>
      </c>
      <c r="T3" s="6" t="s">
        <v>1024</v>
      </c>
      <c r="U3" s="6" t="str">
        <f>IFERROR(__xludf.DUMMYFUNCTION("GOOGLETRANSLATE(I3,""en"",""th"")"),"กางเกงมวยลายดั้งเดิม")</f>
        <v>กางเกงมวยลายดั้งเดิม</v>
      </c>
      <c r="V3" s="6" t="str">
        <f>IFERROR(__xludf.DUMMYFUNCTION("GOOGLETRANSLATE(J3,""en"",""th"")"),"นักสู้สวมกางเกงมวยที่มีลวดลายไทยดั้งเดิม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4" ht="22.5" customHeight="1">
      <c r="A4" s="2" t="s">
        <v>1012</v>
      </c>
      <c r="B4" s="3">
        <v>3.0</v>
      </c>
      <c r="C4" s="4" t="s">
        <v>1025</v>
      </c>
      <c r="D4" s="4" t="s">
        <v>828</v>
      </c>
      <c r="E4" s="4" t="s">
        <v>1026</v>
      </c>
      <c r="F4" s="4" t="s">
        <v>1027</v>
      </c>
      <c r="G4" s="4" t="s">
        <v>931</v>
      </c>
      <c r="H4" s="4" t="s">
        <v>1028</v>
      </c>
      <c r="I4" s="4" t="s">
        <v>1027</v>
      </c>
      <c r="J4" s="4" t="s">
        <v>1029</v>
      </c>
      <c r="M4" s="4" t="s">
        <v>1012</v>
      </c>
      <c r="N4" s="5">
        <v>3.0</v>
      </c>
      <c r="O4" s="6" t="str">
        <f>IFERROR(__xludf.DUMMYFUNCTION("GOOGLETRANSLATE(C4,""en"",""th"")"),"การเตะในมวยไทยมีจุดประสงค์อะไร?")</f>
        <v>การเตะในมวยไทยมีจุดประสงค์อะไร?</v>
      </c>
      <c r="P4" s="6" t="str">
        <f>IFERROR(__xludf.DUMMYFUNCTION("GOOGLETRANSLATE(D4,""en"",""th"")"),"เพื่อแสดงความสามารถ")</f>
        <v>เพื่อแสดงความสามารถ</v>
      </c>
      <c r="Q4" s="6" t="str">
        <f>IFERROR(__xludf.DUMMYFUNCTION("GOOGLETRANSLATE(E4,""en"",""th"")"),"เพื่อจะน็อคคู่ต่อสู้")</f>
        <v>เพื่อจะน็อคคู่ต่อสู้</v>
      </c>
      <c r="R4" s="6" t="str">
        <f>IFERROR(__xludf.DUMMYFUNCTION("GOOGLETRANSLATE(F4,""en"",""th"")"),"เพื่อโจมตีเข้าที่ลำตัวและขาของคู่ต่อสู้")</f>
        <v>เพื่อโจมตีเข้าที่ลำตัวและขาของคู่ต่อสู้</v>
      </c>
      <c r="S4" s="6" t="str">
        <f>IFERROR(__xludf.DUMMYFUNCTION("GOOGLETRANSLATE(G4,""en"",""th"")"),"เพื่อทำให้เกมยากยิ่งขึ้น")</f>
        <v>เพื่อทำให้เกมยากยิ่งขึ้น</v>
      </c>
      <c r="T4" s="6" t="s">
        <v>1030</v>
      </c>
      <c r="U4" s="6" t="str">
        <f>IFERROR(__xludf.DUMMYFUNCTION("GOOGLETRANSLATE(I4,""en"",""th"")"),"เพื่อโจมตีเข้าที่ลำตัวและขาของคู่ต่อสู้")</f>
        <v>เพื่อโจมตีเข้าที่ลำตัวและขาของคู่ต่อสู้</v>
      </c>
      <c r="V4" s="6" t="str">
        <f>IFERROR(__xludf.DUMMYFUNCTION("GOOGLETRANSLATE(J4,""en"",""th"")"),"การเตะถือเป็นส่วนพื้นฐานของมวยไทย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5" ht="22.5" customHeight="1">
      <c r="A5" s="2" t="s">
        <v>1012</v>
      </c>
      <c r="B5" s="3">
        <v>4.0</v>
      </c>
      <c r="C5" s="4" t="s">
        <v>1031</v>
      </c>
      <c r="D5" s="4" t="s">
        <v>1032</v>
      </c>
      <c r="E5" s="4" t="s">
        <v>1033</v>
      </c>
      <c r="F5" s="4" t="s">
        <v>1034</v>
      </c>
      <c r="G5" s="4" t="s">
        <v>1035</v>
      </c>
      <c r="H5" s="4" t="s">
        <v>1036</v>
      </c>
      <c r="I5" s="4" t="s">
        <v>1034</v>
      </c>
      <c r="J5" s="4" t="s">
        <v>1037</v>
      </c>
      <c r="M5" s="4" t="s">
        <v>1012</v>
      </c>
      <c r="N5" s="5">
        <v>4.0</v>
      </c>
      <c r="O5" s="6" t="str">
        <f>IFERROR(__xludf.DUMMYFUNCTION("GOOGLETRANSLATE(C5,""en"",""th"")"),"นักสู้อยู่ในสภาพแวดล้อมประเภทใด?")</f>
        <v>นักสู้อยู่ในสภาพแวดล้อมประเภทใด?</v>
      </c>
      <c r="P5" s="6" t="str">
        <f>IFERROR(__xludf.DUMMYFUNCTION("GOOGLETRANSLATE(D5,""en"",""th"")"),"การต่อสู้บนท้องถนน")</f>
        <v>การต่อสู้บนท้องถนน</v>
      </c>
      <c r="Q5" s="6" t="str">
        <f>IFERROR(__xludf.DUMMYFUNCTION("GOOGLETRANSLATE(E5,""en"",""th"")"),"ห้องฝึกอบรมแบบดั้งเดิม")</f>
        <v>ห้องฝึกอบรมแบบดั้งเดิม</v>
      </c>
      <c r="R5" s="6" t="str">
        <f>IFERROR(__xludf.DUMMYFUNCTION("GOOGLETRANSLATE(F5,""en"",""th"")"),"เวทีมวย")</f>
        <v>เวทีมวย</v>
      </c>
      <c r="S5" s="6" t="str">
        <f>IFERROR(__xludf.DUMMYFUNCTION("GOOGLETRANSLATE(G5,""en"",""th"")"),"สนามกีฬาขนาดใหญ่")</f>
        <v>สนามกีฬาขนาดใหญ่</v>
      </c>
      <c r="T5" s="6" t="s">
        <v>1038</v>
      </c>
      <c r="U5" s="6" t="str">
        <f>IFERROR(__xludf.DUMMYFUNCTION("GOOGLETRANSLATE(I5,""en"",""th"")"),"เวทีมวย")</f>
        <v>เวทีมวย</v>
      </c>
      <c r="V5" s="6" t="str">
        <f>IFERROR(__xludf.DUMMYFUNCTION("GOOGLETRANSLATE(J5,""en"",""th"")"),"ภาพนี้แสดงให้เห็นนักสู้ในสนามสี่เหลี่ยมที่มีเชือกและเสา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6" ht="22.5" customHeight="1">
      <c r="A6" s="2" t="s">
        <v>1012</v>
      </c>
      <c r="B6" s="3">
        <v>5.0</v>
      </c>
      <c r="C6" s="4" t="s">
        <v>154</v>
      </c>
      <c r="D6" s="4" t="s">
        <v>1039</v>
      </c>
      <c r="E6" s="4" t="s">
        <v>1040</v>
      </c>
      <c r="F6" s="4" t="s">
        <v>1041</v>
      </c>
      <c r="G6" s="4" t="s">
        <v>1042</v>
      </c>
      <c r="H6" s="4" t="s">
        <v>1043</v>
      </c>
      <c r="I6" s="4" t="s">
        <v>1040</v>
      </c>
      <c r="J6" s="4" t="s">
        <v>1044</v>
      </c>
      <c r="M6" s="4" t="s">
        <v>1012</v>
      </c>
      <c r="N6" s="5">
        <v>5.0</v>
      </c>
      <c r="O6" s="6" t="str">
        <f>IFERROR(__xludf.DUMMYFUNCTION("GOOGLETRANSLATE(C6,""en"",""th"")"),"บรรยากาศโดยรวมของภาพเป็นอย่างไร?")</f>
        <v>บรรยากาศโดยรวมของภาพเป็นอย่างไร?</v>
      </c>
      <c r="P6" s="6" t="str">
        <f>IFERROR(__xludf.DUMMYFUNCTION("GOOGLETRANSLATE(D6,""en"",""th"")"),"แบบสบายๆ สนุกสนาน")</f>
        <v>แบบสบายๆ สนุกสนาน</v>
      </c>
      <c r="Q6" s="6" t="str">
        <f>IFERROR(__xludf.DUMMYFUNCTION("GOOGLETRANSLATE(E6,""en"",""th"")"),"ตึงเครียดและมีสมาธิ")</f>
        <v>ตึงเครียดและมีสมาธิ</v>
      </c>
      <c r="R6" s="6" t="str">
        <f>IFERROR(__xludf.DUMMYFUNCTION("GOOGLETRANSLATE(F6,""en"",""th"")"),"งานเฉลิมฉลองและรื่นเริง")</f>
        <v>งานเฉลิมฉลองและรื่นเริง</v>
      </c>
      <c r="S6" s="6" t="str">
        <f>IFERROR(__xludf.DUMMYFUNCTION("GOOGLETRANSLATE(G6,""en"",""th"")"),"เงียบสงบและเศร้าหมอง")</f>
        <v>เงียบสงบและเศร้าหมอง</v>
      </c>
      <c r="T6" s="6" t="s">
        <v>1045</v>
      </c>
      <c r="U6" s="6" t="str">
        <f>IFERROR(__xludf.DUMMYFUNCTION("GOOGLETRANSLATE(I6,""en"",""th"")"),"ตึงเครียดและมีสมาธิ")</f>
        <v>ตึงเครียดและมีสมาธิ</v>
      </c>
      <c r="V6" s="6" t="str">
        <f>IFERROR(__xludf.DUMMYFUNCTION("GOOGLETRANSLATE(J6,""en"",""th"")"),"การแสดงออกที่จริงจังของนักสู้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7" ht="22.5" customHeight="1">
      <c r="A7" s="2" t="s">
        <v>1046</v>
      </c>
      <c r="B7" s="3">
        <v>6.0</v>
      </c>
      <c r="C7" s="4" t="s">
        <v>21</v>
      </c>
      <c r="D7" s="4" t="s">
        <v>1013</v>
      </c>
      <c r="E7" s="4" t="s">
        <v>1014</v>
      </c>
      <c r="F7" s="4" t="s">
        <v>1015</v>
      </c>
      <c r="G7" s="4" t="s">
        <v>1016</v>
      </c>
      <c r="H7" s="4" t="s">
        <v>1047</v>
      </c>
      <c r="I7" s="4" t="s">
        <v>1015</v>
      </c>
      <c r="J7" s="4" t="s">
        <v>1017</v>
      </c>
      <c r="M7" s="4" t="s">
        <v>1046</v>
      </c>
      <c r="N7" s="5">
        <v>6.0</v>
      </c>
      <c r="O7" s="6" t="str">
        <f>IFERROR(__xludf.DUMMYFUNCTION("GOOGLETRANSLATE(C7,""en"",""th"")"),"ภาพที่แสดงเป็นกิจกรรมหลักอะไร?")</f>
        <v>ภาพที่แสดงเป็นกิจกรรมหลักอะไร?</v>
      </c>
      <c r="P7" s="6" t="str">
        <f>IFERROR(__xludf.DUMMYFUNCTION("GOOGLETRANSLATE(D7,""en"",""th"")"),"การแข่งขันชกมวย")</f>
        <v>การแข่งขันชกมวย</v>
      </c>
      <c r="Q7" s="6" t="str">
        <f>IFERROR(__xludf.DUMMYFUNCTION("GOOGLETRANSLATE(E7,""en"",""th"")"),"การแข่งขันคาราเต้")</f>
        <v>การแข่งขันคาราเต้</v>
      </c>
      <c r="R7" s="6" t="str">
        <f>IFERROR(__xludf.DUMMYFUNCTION("GOOGLETRANSLATE(F7,""en"",""th"")"),"การต่อสู้มวยไทย")</f>
        <v>การต่อสู้มวยไทย</v>
      </c>
      <c r="S7" s="6" t="str">
        <f>IFERROR(__xludf.DUMMYFUNCTION("GOOGLETRANSLATE(G7,""en"",""th"")"),"การต่อสู้แบบ MMA")</f>
        <v>การต่อสู้แบบ MMA</v>
      </c>
      <c r="T7" s="6" t="s">
        <v>1048</v>
      </c>
      <c r="U7" s="6" t="str">
        <f>IFERROR(__xludf.DUMMYFUNCTION("GOOGLETRANSLATE(I7,""en"",""th"")"),"การต่อสู้มวยไทย")</f>
        <v>การต่อสู้มวยไทย</v>
      </c>
      <c r="V7" s="6" t="str">
        <f>IFERROR(__xludf.DUMMYFUNCTION("GOOGLETRANSLATE(J7,""en"",""th"")"),"รูปภาพแสดงให้เห็นนักสู้สองคนในสังเวียน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v>
      </c>
    </row>
    <row r="8" ht="22.5" customHeight="1">
      <c r="A8" s="2" t="s">
        <v>1046</v>
      </c>
      <c r="B8" s="3">
        <v>7.0</v>
      </c>
      <c r="C8" s="4" t="s">
        <v>1018</v>
      </c>
      <c r="D8" s="4" t="s">
        <v>1019</v>
      </c>
      <c r="E8" s="4" t="s">
        <v>1020</v>
      </c>
      <c r="F8" s="4" t="s">
        <v>1021</v>
      </c>
      <c r="G8" s="4" t="s">
        <v>392</v>
      </c>
      <c r="H8" s="4" t="s">
        <v>1022</v>
      </c>
      <c r="I8" s="4" t="s">
        <v>1021</v>
      </c>
      <c r="J8" s="4" t="s">
        <v>1023</v>
      </c>
      <c r="M8" s="4" t="s">
        <v>1046</v>
      </c>
      <c r="N8" s="5">
        <v>7.0</v>
      </c>
      <c r="O8" s="6" t="str">
        <f>IFERROR(__xludf.DUMMYFUNCTION("GOOGLETRANSLATE(C8,""en"",""th"")"),"ลักษณะเด่นของเครื่องแต่งกายนักสู้คืออะไร?")</f>
        <v>ลักษณะเด่นของเครื่องแต่งกายนักสู้คืออะไร?</v>
      </c>
      <c r="P8" s="6" t="str">
        <f>IFERROR(__xludf.DUMMYFUNCTION("GOOGLETRANSLATE(D8,""en"",""th"")"),"ชุดกิ")</f>
        <v>ชุดกิ</v>
      </c>
      <c r="Q8" s="6" t="str">
        <f>IFERROR(__xludf.DUMMYFUNCTION("GOOGLETRANSLATE(E8,""en"",""th"")"),"ชุดลำลอง")</f>
        <v>ชุดลำลอง</v>
      </c>
      <c r="R8" s="6" t="str">
        <f>IFERROR(__xludf.DUMMYFUNCTION("GOOGLETRANSLATE(F8,""en"",""th"")"),"กางเกงมวยลายดั้งเดิม")</f>
        <v>กางเกงมวยลายดั้งเดิม</v>
      </c>
      <c r="S8" s="6" t="str">
        <f>IFERROR(__xludf.DUMMYFUNCTION("GOOGLETRANSLATE(G8,""en"",""th"")"),"ชุดดำน้ำ")</f>
        <v>ชุดดำน้ำ</v>
      </c>
      <c r="T8" s="6" t="s">
        <v>1024</v>
      </c>
      <c r="U8" s="6" t="str">
        <f>IFERROR(__xludf.DUMMYFUNCTION("GOOGLETRANSLATE(I8,""en"",""th"")"),"กางเกงมวยลายดั้งเดิม")</f>
        <v>กางเกงมวยลายดั้งเดิม</v>
      </c>
      <c r="V8" s="6" t="str">
        <f>IFERROR(__xludf.DUMMYFUNCTION("GOOGLETRANSLATE(J8,""en"",""th"")"),"นักสู้สวมกางเกงมวยที่มีลวดลายไทยดั้งเดิม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9" ht="22.5" customHeight="1">
      <c r="A9" s="2" t="s">
        <v>1046</v>
      </c>
      <c r="B9" s="3">
        <v>8.0</v>
      </c>
      <c r="C9" s="4" t="s">
        <v>1025</v>
      </c>
      <c r="D9" s="4" t="s">
        <v>828</v>
      </c>
      <c r="E9" s="4" t="s">
        <v>1026</v>
      </c>
      <c r="F9" s="4" t="s">
        <v>1027</v>
      </c>
      <c r="G9" s="4" t="s">
        <v>931</v>
      </c>
      <c r="H9" s="4" t="s">
        <v>1028</v>
      </c>
      <c r="I9" s="4" t="s">
        <v>1027</v>
      </c>
      <c r="J9" s="4" t="s">
        <v>1029</v>
      </c>
      <c r="M9" s="4" t="s">
        <v>1046</v>
      </c>
      <c r="N9" s="5">
        <v>8.0</v>
      </c>
      <c r="O9" s="6" t="str">
        <f>IFERROR(__xludf.DUMMYFUNCTION("GOOGLETRANSLATE(C9,""en"",""th"")"),"การเตะในมวยไทยมีจุดประสงค์อะไร?")</f>
        <v>การเตะในมวยไทยมีจุดประสงค์อะไร?</v>
      </c>
      <c r="P9" s="6" t="str">
        <f>IFERROR(__xludf.DUMMYFUNCTION("GOOGLETRANSLATE(D9,""en"",""th"")"),"เพื่อแสดงความสามารถ")</f>
        <v>เพื่อแสดงความสามารถ</v>
      </c>
      <c r="Q9" s="6" t="str">
        <f>IFERROR(__xludf.DUMMYFUNCTION("GOOGLETRANSLATE(E9,""en"",""th"")"),"เพื่อจะน็อคคู่ต่อสู้")</f>
        <v>เพื่อจะน็อคคู่ต่อสู้</v>
      </c>
      <c r="R9" s="6" t="str">
        <f>IFERROR(__xludf.DUMMYFUNCTION("GOOGLETRANSLATE(F9,""en"",""th"")"),"เพื่อโจมตีเข้าที่ลำตัวและขาของคู่ต่อสู้")</f>
        <v>เพื่อโจมตีเข้าที่ลำตัวและขาของคู่ต่อสู้</v>
      </c>
      <c r="S9" s="6" t="str">
        <f>IFERROR(__xludf.DUMMYFUNCTION("GOOGLETRANSLATE(G9,""en"",""th"")"),"เพื่อทำให้เกมยากยิ่งขึ้น")</f>
        <v>เพื่อทำให้เกมยากยิ่งขึ้น</v>
      </c>
      <c r="T9" s="6" t="s">
        <v>1030</v>
      </c>
      <c r="U9" s="6" t="str">
        <f>IFERROR(__xludf.DUMMYFUNCTION("GOOGLETRANSLATE(I9,""en"",""th"")"),"เพื่อโจมตีเข้าที่ลำตัวและขาของคู่ต่อสู้")</f>
        <v>เพื่อโจมตีเข้าที่ลำตัวและขาของคู่ต่อสู้</v>
      </c>
      <c r="V9" s="6" t="str">
        <f>IFERROR(__xludf.DUMMYFUNCTION("GOOGLETRANSLATE(J9,""en"",""th"")"),"การเตะถือเป็นส่วนพื้นฐานของมวยไทย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10" ht="22.5" customHeight="1">
      <c r="A10" s="2" t="s">
        <v>1046</v>
      </c>
      <c r="B10" s="3">
        <v>9.0</v>
      </c>
      <c r="C10" s="4" t="s">
        <v>1031</v>
      </c>
      <c r="D10" s="4" t="s">
        <v>1032</v>
      </c>
      <c r="E10" s="4" t="s">
        <v>1033</v>
      </c>
      <c r="F10" s="4" t="s">
        <v>1034</v>
      </c>
      <c r="G10" s="4" t="s">
        <v>1035</v>
      </c>
      <c r="H10" s="4" t="s">
        <v>1036</v>
      </c>
      <c r="I10" s="4" t="s">
        <v>1034</v>
      </c>
      <c r="J10" s="4" t="s">
        <v>1037</v>
      </c>
      <c r="M10" s="4" t="s">
        <v>1046</v>
      </c>
      <c r="N10" s="5">
        <v>9.0</v>
      </c>
      <c r="O10" s="6" t="str">
        <f>IFERROR(__xludf.DUMMYFUNCTION("GOOGLETRANSLATE(C10,""en"",""th"")"),"นักสู้อยู่ในสภาพแวดล้อมประเภทใด?")</f>
        <v>นักสู้อยู่ในสภาพแวดล้อมประเภทใด?</v>
      </c>
      <c r="P10" s="6" t="str">
        <f>IFERROR(__xludf.DUMMYFUNCTION("GOOGLETRANSLATE(D10,""en"",""th"")"),"การต่อสู้บนท้องถนน")</f>
        <v>การต่อสู้บนท้องถนน</v>
      </c>
      <c r="Q10" s="6" t="str">
        <f>IFERROR(__xludf.DUMMYFUNCTION("GOOGLETRANSLATE(E10,""en"",""th"")"),"ห้องฝึกอบรมแบบดั้งเดิม")</f>
        <v>ห้องฝึกอบรมแบบดั้งเดิม</v>
      </c>
      <c r="R10" s="6" t="str">
        <f>IFERROR(__xludf.DUMMYFUNCTION("GOOGLETRANSLATE(F10,""en"",""th"")"),"เวทีมวย")</f>
        <v>เวทีมวย</v>
      </c>
      <c r="S10" s="6" t="str">
        <f>IFERROR(__xludf.DUMMYFUNCTION("GOOGLETRANSLATE(G10,""en"",""th"")"),"สนามกีฬาขนาดใหญ่")</f>
        <v>สนามกีฬาขนาดใหญ่</v>
      </c>
      <c r="T10" s="6" t="s">
        <v>1038</v>
      </c>
      <c r="U10" s="6" t="str">
        <f>IFERROR(__xludf.DUMMYFUNCTION("GOOGLETRANSLATE(I10,""en"",""th"")"),"เวทีมวย")</f>
        <v>เวทีมวย</v>
      </c>
      <c r="V10" s="6" t="str">
        <f>IFERROR(__xludf.DUMMYFUNCTION("GOOGLETRANSLATE(J10,""en"",""th"")"),"ภาพนี้แสดงให้เห็นนักสู้ในสนามสี่เหลี่ยมที่มีเชือกและเสา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11" ht="22.5" customHeight="1">
      <c r="A11" s="2" t="s">
        <v>1046</v>
      </c>
      <c r="B11" s="3">
        <v>10.0</v>
      </c>
      <c r="C11" s="4" t="s">
        <v>154</v>
      </c>
      <c r="D11" s="4" t="s">
        <v>1039</v>
      </c>
      <c r="E11" s="4" t="s">
        <v>1040</v>
      </c>
      <c r="F11" s="4" t="s">
        <v>1041</v>
      </c>
      <c r="G11" s="4" t="s">
        <v>1042</v>
      </c>
      <c r="H11" s="4" t="s">
        <v>1043</v>
      </c>
      <c r="I11" s="4" t="s">
        <v>1040</v>
      </c>
      <c r="J11" s="4" t="s">
        <v>1044</v>
      </c>
      <c r="M11" s="4" t="s">
        <v>1046</v>
      </c>
      <c r="N11" s="5">
        <v>10.0</v>
      </c>
      <c r="O11" s="6" t="str">
        <f>IFERROR(__xludf.DUMMYFUNCTION("GOOGLETRANSLATE(C11,""en"",""th"")"),"บรรยากาศโดยรวมของภาพเป็นอย่างไร?")</f>
        <v>บรรยากาศโดยรวมของภาพเป็นอย่างไร?</v>
      </c>
      <c r="P11" s="6" t="str">
        <f>IFERROR(__xludf.DUMMYFUNCTION("GOOGLETRANSLATE(D11,""en"",""th"")"),"แบบสบายๆ สนุกสนาน")</f>
        <v>แบบสบายๆ สนุกสนาน</v>
      </c>
      <c r="Q11" s="6" t="str">
        <f>IFERROR(__xludf.DUMMYFUNCTION("GOOGLETRANSLATE(E11,""en"",""th"")"),"ตึงเครียดและมีสมาธิ")</f>
        <v>ตึงเครียดและมีสมาธิ</v>
      </c>
      <c r="R11" s="6" t="str">
        <f>IFERROR(__xludf.DUMMYFUNCTION("GOOGLETRANSLATE(F11,""en"",""th"")"),"งานเฉลิมฉลองและรื่นเริง")</f>
        <v>งานเฉลิมฉลองและรื่นเริง</v>
      </c>
      <c r="S11" s="6" t="str">
        <f>IFERROR(__xludf.DUMMYFUNCTION("GOOGLETRANSLATE(G11,""en"",""th"")"),"เงียบสงบและเศร้าหมอง")</f>
        <v>เงียบสงบและเศร้าหมอง</v>
      </c>
      <c r="T11" s="6" t="s">
        <v>1045</v>
      </c>
      <c r="U11" s="6" t="str">
        <f>IFERROR(__xludf.DUMMYFUNCTION("GOOGLETRANSLATE(I11,""en"",""th"")"),"ตึงเครียดและมีสมาธิ")</f>
        <v>ตึงเครียดและมีสมาธิ</v>
      </c>
      <c r="V11" s="6" t="str">
        <f>IFERROR(__xludf.DUMMYFUNCTION("GOOGLETRANSLATE(J11,""en"",""th"")"),"การแสดงออกที่จริงจังของนักสู้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12" ht="22.5" customHeight="1">
      <c r="A12" s="2" t="s">
        <v>1049</v>
      </c>
      <c r="B12" s="3">
        <v>11.0</v>
      </c>
      <c r="C12" s="4" t="s">
        <v>21</v>
      </c>
      <c r="D12" s="4" t="s">
        <v>1013</v>
      </c>
      <c r="E12" s="4" t="s">
        <v>1014</v>
      </c>
      <c r="F12" s="4" t="s">
        <v>1015</v>
      </c>
      <c r="G12" s="4" t="s">
        <v>1016</v>
      </c>
      <c r="H12" s="4" t="s">
        <v>1047</v>
      </c>
      <c r="I12" s="4" t="s">
        <v>1016</v>
      </c>
      <c r="J12" s="4" t="s">
        <v>1050</v>
      </c>
      <c r="M12" s="4" t="s">
        <v>1049</v>
      </c>
      <c r="N12" s="5">
        <v>11.0</v>
      </c>
      <c r="O12" s="6" t="str">
        <f>IFERROR(__xludf.DUMMYFUNCTION("GOOGLETRANSLATE(C12,""en"",""th"")"),"ภาพที่แสดงเป็นกิจกรรมหลักอะไร?")</f>
        <v>ภาพที่แสดงเป็นกิจกรรมหลักอะไร?</v>
      </c>
      <c r="P12" s="6" t="str">
        <f>IFERROR(__xludf.DUMMYFUNCTION("GOOGLETRANSLATE(D12,""en"",""th"")"),"การแข่งขันชกมวย")</f>
        <v>การแข่งขันชกมวย</v>
      </c>
      <c r="Q12" s="6" t="str">
        <f>IFERROR(__xludf.DUMMYFUNCTION("GOOGLETRANSLATE(E12,""en"",""th"")"),"การแข่งขันคาราเต้")</f>
        <v>การแข่งขันคาราเต้</v>
      </c>
      <c r="R12" s="6" t="str">
        <f>IFERROR(__xludf.DUMMYFUNCTION("GOOGLETRANSLATE(F12,""en"",""th"")"),"การต่อสู้มวยไทย")</f>
        <v>การต่อสู้มวยไทย</v>
      </c>
      <c r="S12" s="6" t="str">
        <f>IFERROR(__xludf.DUMMYFUNCTION("GOOGLETRANSLATE(G12,""en"",""th"")"),"การต่อสู้แบบ MMA")</f>
        <v>การต่อสู้แบบ MMA</v>
      </c>
      <c r="T12" s="6" t="s">
        <v>1048</v>
      </c>
      <c r="U12" s="6" t="str">
        <f>IFERROR(__xludf.DUMMYFUNCTION("GOOGLETRANSLATE(I12,""en"",""th"")"),"การต่อสู้แบบ MMA")</f>
        <v>การต่อสู้แบบ MMA</v>
      </c>
      <c r="V12" s="6" t="str">
        <f>IFERROR(__xludf.DUMMYFUNCTION("GOOGLETRANSLATE(J12,""en"",""th"")"),"รูปภาพแสดงให้เห็นนักสู้สองคนอยู่ในกรง สวมถุงมือแบบไม่มีนิ้ว และอีกคนกำลังเตะลอย ซึ่งเป็นองค์ประกอบสำคัญของ MMA หรือศิลปะการต่อสู้แบบผสมผสาน")</f>
        <v>รูปภาพแสดงให้เห็นนักสู้สองคนอยู่ในกรง สวมถุงมือแบบไม่มีนิ้ว และอีกคนกำลังเตะลอย ซึ่งเป็นองค์ประกอบสำคัญของ MMA หรือศิลปะการต่อสู้แบบผสมผสาน</v>
      </c>
    </row>
    <row r="13" ht="22.5" customHeight="1">
      <c r="A13" s="2" t="s">
        <v>1049</v>
      </c>
      <c r="B13" s="3">
        <v>12.0</v>
      </c>
      <c r="C13" s="4" t="s">
        <v>1018</v>
      </c>
      <c r="D13" s="4" t="s">
        <v>1051</v>
      </c>
      <c r="E13" s="4" t="s">
        <v>1052</v>
      </c>
      <c r="F13" s="4" t="s">
        <v>392</v>
      </c>
      <c r="G13" s="4" t="s">
        <v>1053</v>
      </c>
      <c r="H13" s="4" t="s">
        <v>1054</v>
      </c>
      <c r="I13" s="4" t="s">
        <v>1052</v>
      </c>
      <c r="J13" s="4" t="s">
        <v>1055</v>
      </c>
      <c r="M13" s="4" t="s">
        <v>1049</v>
      </c>
      <c r="N13" s="5">
        <v>12.0</v>
      </c>
      <c r="O13" s="6" t="str">
        <f>IFERROR(__xludf.DUMMYFUNCTION("GOOGLETRANSLATE(C13,""en"",""th"")"),"ลักษณะเด่นของเครื่องแต่งกายนักสู้คืออะไร?")</f>
        <v>ลักษณะเด่นของเครื่องแต่งกายนักสู้คืออะไร?</v>
      </c>
      <c r="P13" s="6" t="str">
        <f>IFERROR(__xludf.DUMMYFUNCTION("GOOGLETRANSLATE(D13,""en"",""th"")"),"ถุงมือมวย")</f>
        <v>ถุงมือมวย</v>
      </c>
      <c r="Q13" s="6" t="str">
        <f>IFERROR(__xludf.DUMMYFUNCTION("GOOGLETRANSLATE(E13,""en"",""th"")"),"ถุงมือ MMA แบบไม่มีนิ้ว")</f>
        <v>ถุงมือ MMA แบบไม่มีนิ้ว</v>
      </c>
      <c r="R13" s="6" t="str">
        <f>IFERROR(__xludf.DUMMYFUNCTION("GOOGLETRANSLATE(F13,""en"",""th"")"),"ชุดดำน้ำ")</f>
        <v>ชุดดำน้ำ</v>
      </c>
      <c r="S13" s="6" t="str">
        <f>IFERROR(__xludf.DUMMYFUNCTION("GOOGLETRANSLATE(G13,""en"",""th"")"),"กางเกงขาสั้นลายไทย")</f>
        <v>กางเกงขาสั้นลายไทย</v>
      </c>
      <c r="T13" s="6" t="s">
        <v>1056</v>
      </c>
      <c r="U13" s="6" t="str">
        <f>IFERROR(__xludf.DUMMYFUNCTION("GOOGLETRANSLATE(I13,""en"",""th"")"),"ถุงมือ MMA แบบไม่มีนิ้ว")</f>
        <v>ถุงมือ MMA แบบไม่มีนิ้ว</v>
      </c>
      <c r="V13" s="6" t="str">
        <f>IFERROR(__xludf.DUMMYFUNCTION("GOOGLETRANSLATE(J13,""en"",""th"")"),"นักสู้สวมถุงมือ MMA แบบไม่มีนิ้ว ซึ่งออกแบบมาเพื่อให้พวกเขาสามารถจับและใช้มือได้ทั้งในการต่อยและคว้า")</f>
        <v>นักสู้สวมถุงมือ MMA แบบไม่มีนิ้ว ซึ่งออกแบบมาเพื่อให้พวกเขาสามารถจับและใช้มือได้ทั้งในการต่อยและคว้า</v>
      </c>
    </row>
    <row r="14" ht="22.5" customHeight="1">
      <c r="A14" s="2" t="s">
        <v>1049</v>
      </c>
      <c r="B14" s="3">
        <v>13.0</v>
      </c>
      <c r="C14" s="4" t="s">
        <v>1057</v>
      </c>
      <c r="D14" s="4" t="s">
        <v>828</v>
      </c>
      <c r="E14" s="4" t="s">
        <v>1026</v>
      </c>
      <c r="F14" s="4" t="s">
        <v>1027</v>
      </c>
      <c r="G14" s="4" t="s">
        <v>931</v>
      </c>
      <c r="H14" s="4" t="s">
        <v>1028</v>
      </c>
      <c r="I14" s="4" t="s">
        <v>1026</v>
      </c>
      <c r="J14" s="4" t="s">
        <v>1058</v>
      </c>
      <c r="M14" s="4" t="s">
        <v>1049</v>
      </c>
      <c r="N14" s="5">
        <v>13.0</v>
      </c>
      <c r="O14" s="6" t="str">
        <f>IFERROR(__xludf.DUMMYFUNCTION("GOOGLETRANSLATE(C14,""en"",""th"")"),"จุดประสงค์ของการเตะลอยคืออะไร?")</f>
        <v>จุดประสงค์ของการเตะลอยคืออะไร?</v>
      </c>
      <c r="P14" s="6" t="str">
        <f>IFERROR(__xludf.DUMMYFUNCTION("GOOGLETRANSLATE(D14,""en"",""th"")"),"เพื่อแสดงความสามารถ")</f>
        <v>เพื่อแสดงความสามารถ</v>
      </c>
      <c r="Q14" s="6" t="str">
        <f>IFERROR(__xludf.DUMMYFUNCTION("GOOGLETRANSLATE(E14,""en"",""th"")"),"เพื่อจะน็อคคู่ต่อสู้")</f>
        <v>เพื่อจะน็อคคู่ต่อสู้</v>
      </c>
      <c r="R14" s="6" t="str">
        <f>IFERROR(__xludf.DUMMYFUNCTION("GOOGLETRANSLATE(F14,""en"",""th"")"),"เพื่อโจมตีเข้าที่ลำตัวและขาของคู่ต่อสู้")</f>
        <v>เพื่อโจมตีเข้าที่ลำตัวและขาของคู่ต่อสู้</v>
      </c>
      <c r="S14" s="6" t="str">
        <f>IFERROR(__xludf.DUMMYFUNCTION("GOOGLETRANSLATE(G14,""en"",""th"")"),"เพื่อทำให้เกมยากยิ่งขึ้น")</f>
        <v>เพื่อทำให้เกมยากยิ่งขึ้น</v>
      </c>
      <c r="T14" s="6" t="s">
        <v>1030</v>
      </c>
      <c r="U14" s="6" t="str">
        <f>IFERROR(__xludf.DUMMYFUNCTION("GOOGLETRANSLATE(I14,""en"",""th"")"),"เพื่อจะน็อคคู่ต่อสู้")</f>
        <v>เพื่อจะน็อคคู่ต่อสู้</v>
      </c>
      <c r="V14" s="6" t="str">
        <f>IFERROR(__xludf.DUMMYFUNCTION("GOOGLETRANSLATE(J14,""en"",""th"")"),"การเตะลอย หรือที่เรียกอีกอย่างว่าเข่าลอย เป็นท่าโจมตีที่ทรงพลังและมีประสิทธิภาพมากใน MMA ซึ่งใช้เพื่อน็อกคู่ต่อสู้")</f>
        <v>การเตะลอย หรือที่เรียกอีกอย่างว่าเข่าลอย เป็นท่าโจมตีที่ทรงพลังและมีประสิทธิภาพมากใน MMA ซึ่งใช้เพื่อน็อกคู่ต่อสู้</v>
      </c>
    </row>
    <row r="15" ht="22.5" customHeight="1">
      <c r="A15" s="2" t="s">
        <v>1049</v>
      </c>
      <c r="B15" s="3">
        <v>14.0</v>
      </c>
      <c r="C15" s="4" t="s">
        <v>1031</v>
      </c>
      <c r="D15" s="4" t="s">
        <v>1032</v>
      </c>
      <c r="E15" s="4" t="s">
        <v>1033</v>
      </c>
      <c r="F15" s="4" t="s">
        <v>1034</v>
      </c>
      <c r="G15" s="4" t="s">
        <v>1059</v>
      </c>
      <c r="H15" s="4" t="s">
        <v>1060</v>
      </c>
      <c r="I15" s="4" t="s">
        <v>1059</v>
      </c>
      <c r="J15" s="4" t="s">
        <v>1061</v>
      </c>
      <c r="M15" s="4" t="s">
        <v>1049</v>
      </c>
      <c r="N15" s="5">
        <v>14.0</v>
      </c>
      <c r="O15" s="6" t="str">
        <f>IFERROR(__xludf.DUMMYFUNCTION("GOOGLETRANSLATE(C15,""en"",""th"")"),"นักสู้อยู่ในสภาพแวดล้อมประเภทใด?")</f>
        <v>นักสู้อยู่ในสภาพแวดล้อมประเภทใด?</v>
      </c>
      <c r="P15" s="6" t="str">
        <f>IFERROR(__xludf.DUMMYFUNCTION("GOOGLETRANSLATE(D15,""en"",""th"")"),"การต่อสู้บนท้องถนน")</f>
        <v>การต่อสู้บนท้องถนน</v>
      </c>
      <c r="Q15" s="6" t="str">
        <f>IFERROR(__xludf.DUMMYFUNCTION("GOOGLETRANSLATE(E15,""en"",""th"")"),"ห้องฝึกอบรมแบบดั้งเดิม")</f>
        <v>ห้องฝึกอบรมแบบดั้งเดิม</v>
      </c>
      <c r="R15" s="6" t="str">
        <f>IFERROR(__xludf.DUMMYFUNCTION("GOOGLETRANSLATE(F15,""en"",""th"")"),"เวทีมวย")</f>
        <v>เวทีมวย</v>
      </c>
      <c r="S15" s="6" t="str">
        <f>IFERROR(__xludf.DUMMYFUNCTION("GOOGLETRANSLATE(G15,""en"",""th"")"),"กรง (แปดเหลี่ยม)")</f>
        <v>กรง (แปดเหลี่ยม)</v>
      </c>
      <c r="T15" s="6" t="s">
        <v>1062</v>
      </c>
      <c r="U15" s="6" t="str">
        <f>IFERROR(__xludf.DUMMYFUNCTION("GOOGLETRANSLATE(I15,""en"",""th"")"),"กรง (แปดเหลี่ยม)")</f>
        <v>กรง (แปดเหลี่ยม)</v>
      </c>
      <c r="V15" s="6" t="str">
        <f>IFERROR(__xludf.DUMMYFUNCTION("GOOGLETRANSLATE(J15,""en"",""th"")"),"ภาพนี้แสดงให้เห็นนักสู้ในกรงหกเหลี่ยม ซึ่งเป็นสถานที่มาตรฐานสำหรับการต่อสู้ MMA")</f>
        <v>ภาพนี้แสดงให้เห็นนักสู้ในกรงหกเหลี่ยม ซึ่งเป็นสถานที่มาตรฐานสำหรับการต่อสู้ MMA</v>
      </c>
    </row>
    <row r="16" ht="22.5" customHeight="1">
      <c r="A16" s="2" t="s">
        <v>1049</v>
      </c>
      <c r="B16" s="3">
        <v>15.0</v>
      </c>
      <c r="C16" s="4" t="s">
        <v>154</v>
      </c>
      <c r="D16" s="4" t="s">
        <v>1039</v>
      </c>
      <c r="E16" s="4" t="s">
        <v>1040</v>
      </c>
      <c r="F16" s="4" t="s">
        <v>1041</v>
      </c>
      <c r="G16" s="4" t="s">
        <v>1042</v>
      </c>
      <c r="H16" s="4" t="s">
        <v>1043</v>
      </c>
      <c r="I16" s="4" t="s">
        <v>1040</v>
      </c>
      <c r="J16" s="4" t="s">
        <v>1044</v>
      </c>
      <c r="M16" s="4" t="s">
        <v>1049</v>
      </c>
      <c r="N16" s="5">
        <v>15.0</v>
      </c>
      <c r="O16" s="6" t="str">
        <f>IFERROR(__xludf.DUMMYFUNCTION("GOOGLETRANSLATE(C16,""en"",""th"")"),"บรรยากาศโดยรวมของภาพเป็นอย่างไร?")</f>
        <v>บรรยากาศโดยรวมของภาพเป็นอย่างไร?</v>
      </c>
      <c r="P16" s="6" t="str">
        <f>IFERROR(__xludf.DUMMYFUNCTION("GOOGLETRANSLATE(D16,""en"",""th"")"),"แบบสบายๆ สนุกสนาน")</f>
        <v>แบบสบายๆ สนุกสนาน</v>
      </c>
      <c r="Q16" s="6" t="str">
        <f>IFERROR(__xludf.DUMMYFUNCTION("GOOGLETRANSLATE(E16,""en"",""th"")"),"ตึงเครียดและมีสมาธิ")</f>
        <v>ตึงเครียดและมีสมาธิ</v>
      </c>
      <c r="R16" s="6" t="str">
        <f>IFERROR(__xludf.DUMMYFUNCTION("GOOGLETRANSLATE(F16,""en"",""th"")"),"งานเฉลิมฉลองและรื่นเริง")</f>
        <v>งานเฉลิมฉลองและรื่นเริง</v>
      </c>
      <c r="S16" s="6" t="str">
        <f>IFERROR(__xludf.DUMMYFUNCTION("GOOGLETRANSLATE(G16,""en"",""th"")"),"เงียบสงบและเศร้าหมอง")</f>
        <v>เงียบสงบและเศร้าหมอง</v>
      </c>
      <c r="T16" s="6" t="s">
        <v>1045</v>
      </c>
      <c r="U16" s="6" t="str">
        <f>IFERROR(__xludf.DUMMYFUNCTION("GOOGLETRANSLATE(I16,""en"",""th"")"),"ตึงเครียดและมีสมาธิ")</f>
        <v>ตึงเครียดและมีสมาธิ</v>
      </c>
      <c r="V16" s="6" t="str">
        <f>IFERROR(__xludf.DUMMYFUNCTION("GOOGLETRANSLATE(J16,""en"",""th"")"),"การแสดงออกที่จริงจังของนักสู้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17" ht="22.5" customHeight="1">
      <c r="A17" s="2" t="s">
        <v>1063</v>
      </c>
      <c r="B17" s="3">
        <v>16.0</v>
      </c>
      <c r="C17" s="4" t="s">
        <v>21</v>
      </c>
      <c r="D17" s="4" t="s">
        <v>1013</v>
      </c>
      <c r="E17" s="4" t="s">
        <v>1014</v>
      </c>
      <c r="F17" s="4" t="s">
        <v>1015</v>
      </c>
      <c r="G17" s="4" t="s">
        <v>1016</v>
      </c>
      <c r="H17" s="4" t="s">
        <v>1047</v>
      </c>
      <c r="I17" s="4" t="s">
        <v>1015</v>
      </c>
      <c r="J17" s="4" t="s">
        <v>1017</v>
      </c>
      <c r="M17" s="4" t="s">
        <v>1063</v>
      </c>
      <c r="N17" s="5">
        <v>16.0</v>
      </c>
      <c r="O17" s="6" t="str">
        <f>IFERROR(__xludf.DUMMYFUNCTION("GOOGLETRANSLATE(C17,""en"",""th"")"),"ภาพที่แสดงเป็นกิจกรรมหลักอะไร?")</f>
        <v>ภาพที่แสดงเป็นกิจกรรมหลักอะไร?</v>
      </c>
      <c r="P17" s="6" t="str">
        <f>IFERROR(__xludf.DUMMYFUNCTION("GOOGLETRANSLATE(D17,""en"",""th"")"),"การแข่งขันชกมวย")</f>
        <v>การแข่งขันชกมวย</v>
      </c>
      <c r="Q17" s="6" t="str">
        <f>IFERROR(__xludf.DUMMYFUNCTION("GOOGLETRANSLATE(E17,""en"",""th"")"),"การแข่งขันคาราเต้")</f>
        <v>การแข่งขันคาราเต้</v>
      </c>
      <c r="R17" s="6" t="str">
        <f>IFERROR(__xludf.DUMMYFUNCTION("GOOGLETRANSLATE(F17,""en"",""th"")"),"การต่อสู้มวยไทย")</f>
        <v>การต่อสู้มวยไทย</v>
      </c>
      <c r="S17" s="6" t="str">
        <f>IFERROR(__xludf.DUMMYFUNCTION("GOOGLETRANSLATE(G17,""en"",""th"")"),"การต่อสู้แบบ MMA")</f>
        <v>การต่อสู้แบบ MMA</v>
      </c>
      <c r="T17" s="6" t="s">
        <v>1048</v>
      </c>
      <c r="U17" s="6" t="str">
        <f>IFERROR(__xludf.DUMMYFUNCTION("GOOGLETRANSLATE(I17,""en"",""th"")"),"การต่อสู้มวยไทย")</f>
        <v>การต่อสู้มวยไทย</v>
      </c>
      <c r="V17" s="6" t="str">
        <f>IFERROR(__xludf.DUMMYFUNCTION("GOOGLETRANSLATE(J17,""en"",""th"")"),"รูปภาพแสดงให้เห็นนักสู้สองคนในสังเวียน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v>
      </c>
    </row>
    <row r="18" ht="22.5" customHeight="1">
      <c r="A18" s="2" t="s">
        <v>1063</v>
      </c>
      <c r="B18" s="3">
        <v>17.0</v>
      </c>
      <c r="C18" s="4" t="s">
        <v>1018</v>
      </c>
      <c r="D18" s="4" t="s">
        <v>1019</v>
      </c>
      <c r="E18" s="4" t="s">
        <v>1020</v>
      </c>
      <c r="F18" s="4" t="s">
        <v>1021</v>
      </c>
      <c r="G18" s="4" t="s">
        <v>392</v>
      </c>
      <c r="H18" s="4" t="s">
        <v>1022</v>
      </c>
      <c r="I18" s="4" t="s">
        <v>1021</v>
      </c>
      <c r="J18" s="4" t="s">
        <v>1023</v>
      </c>
      <c r="M18" s="4" t="s">
        <v>1063</v>
      </c>
      <c r="N18" s="5">
        <v>17.0</v>
      </c>
      <c r="O18" s="6" t="str">
        <f>IFERROR(__xludf.DUMMYFUNCTION("GOOGLETRANSLATE(C18,""en"",""th"")"),"ลักษณะเด่นของเครื่องแต่งกายนักสู้คืออะไร?")</f>
        <v>ลักษณะเด่นของเครื่องแต่งกายนักสู้คืออะไร?</v>
      </c>
      <c r="P18" s="6" t="str">
        <f>IFERROR(__xludf.DUMMYFUNCTION("GOOGLETRANSLATE(D18,""en"",""th"")"),"ชุดกิ")</f>
        <v>ชุดกิ</v>
      </c>
      <c r="Q18" s="6" t="str">
        <f>IFERROR(__xludf.DUMMYFUNCTION("GOOGLETRANSLATE(E18,""en"",""th"")"),"ชุดลำลอง")</f>
        <v>ชุดลำลอง</v>
      </c>
      <c r="R18" s="6" t="str">
        <f>IFERROR(__xludf.DUMMYFUNCTION("GOOGLETRANSLATE(F18,""en"",""th"")"),"กางเกงมวยลายดั้งเดิม")</f>
        <v>กางเกงมวยลายดั้งเดิม</v>
      </c>
      <c r="S18" s="6" t="str">
        <f>IFERROR(__xludf.DUMMYFUNCTION("GOOGLETRANSLATE(G18,""en"",""th"")"),"ชุดดำน้ำ")</f>
        <v>ชุดดำน้ำ</v>
      </c>
      <c r="T18" s="6" t="s">
        <v>1024</v>
      </c>
      <c r="U18" s="6" t="str">
        <f>IFERROR(__xludf.DUMMYFUNCTION("GOOGLETRANSLATE(I18,""en"",""th"")"),"กางเกงมวยลายดั้งเดิม")</f>
        <v>กางเกงมวยลายดั้งเดิม</v>
      </c>
      <c r="V18" s="6" t="str">
        <f>IFERROR(__xludf.DUMMYFUNCTION("GOOGLETRANSLATE(J18,""en"",""th"")"),"นักสู้สวมกางเกงมวยที่มีลวดลายไทยดั้งเดิม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19" ht="22.5" customHeight="1">
      <c r="A19" s="2" t="s">
        <v>1063</v>
      </c>
      <c r="B19" s="3">
        <v>18.0</v>
      </c>
      <c r="C19" s="4" t="s">
        <v>1025</v>
      </c>
      <c r="D19" s="4" t="s">
        <v>828</v>
      </c>
      <c r="E19" s="4" t="s">
        <v>1026</v>
      </c>
      <c r="F19" s="4" t="s">
        <v>1027</v>
      </c>
      <c r="G19" s="4" t="s">
        <v>931</v>
      </c>
      <c r="H19" s="4" t="s">
        <v>1028</v>
      </c>
      <c r="I19" s="4" t="s">
        <v>1027</v>
      </c>
      <c r="J19" s="4" t="s">
        <v>1029</v>
      </c>
      <c r="M19" s="4" t="s">
        <v>1063</v>
      </c>
      <c r="N19" s="5">
        <v>18.0</v>
      </c>
      <c r="O19" s="6" t="str">
        <f>IFERROR(__xludf.DUMMYFUNCTION("GOOGLETRANSLATE(C19,""en"",""th"")"),"การเตะในมวยไทยมีจุดประสงค์อะไร?")</f>
        <v>การเตะในมวยไทยมีจุดประสงค์อะไร?</v>
      </c>
      <c r="P19" s="6" t="str">
        <f>IFERROR(__xludf.DUMMYFUNCTION("GOOGLETRANSLATE(D19,""en"",""th"")"),"เพื่อแสดงความสามารถ")</f>
        <v>เพื่อแสดงความสามารถ</v>
      </c>
      <c r="Q19" s="6" t="str">
        <f>IFERROR(__xludf.DUMMYFUNCTION("GOOGLETRANSLATE(E19,""en"",""th"")"),"เพื่อจะน็อคคู่ต่อสู้")</f>
        <v>เพื่อจะน็อคคู่ต่อสู้</v>
      </c>
      <c r="R19" s="6" t="str">
        <f>IFERROR(__xludf.DUMMYFUNCTION("GOOGLETRANSLATE(F19,""en"",""th"")"),"เพื่อโจมตีเข้าที่ลำตัวและขาของคู่ต่อสู้")</f>
        <v>เพื่อโจมตีเข้าที่ลำตัวและขาของคู่ต่อสู้</v>
      </c>
      <c r="S19" s="6" t="str">
        <f>IFERROR(__xludf.DUMMYFUNCTION("GOOGLETRANSLATE(G19,""en"",""th"")"),"เพื่อทำให้เกมยากยิ่งขึ้น")</f>
        <v>เพื่อทำให้เกมยากยิ่งขึ้น</v>
      </c>
      <c r="T19" s="6" t="s">
        <v>1030</v>
      </c>
      <c r="U19" s="6" t="str">
        <f>IFERROR(__xludf.DUMMYFUNCTION("GOOGLETRANSLATE(I19,""en"",""th"")"),"เพื่อโจมตีเข้าที่ลำตัวและขาของคู่ต่อสู้")</f>
        <v>เพื่อโจมตีเข้าที่ลำตัวและขาของคู่ต่อสู้</v>
      </c>
      <c r="V19" s="6" t="str">
        <f>IFERROR(__xludf.DUMMYFUNCTION("GOOGLETRANSLATE(J19,""en"",""th"")"),"การเตะถือเป็นส่วนพื้นฐานของมวยไทย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20" ht="22.5" customHeight="1">
      <c r="A20" s="2" t="s">
        <v>1063</v>
      </c>
      <c r="B20" s="3">
        <v>19.0</v>
      </c>
      <c r="C20" s="4" t="s">
        <v>1031</v>
      </c>
      <c r="D20" s="4" t="s">
        <v>1032</v>
      </c>
      <c r="E20" s="4" t="s">
        <v>1033</v>
      </c>
      <c r="F20" s="4" t="s">
        <v>1034</v>
      </c>
      <c r="G20" s="4" t="s">
        <v>1035</v>
      </c>
      <c r="H20" s="4" t="s">
        <v>1036</v>
      </c>
      <c r="I20" s="4" t="s">
        <v>1034</v>
      </c>
      <c r="J20" s="4" t="s">
        <v>1037</v>
      </c>
      <c r="M20" s="4" t="s">
        <v>1063</v>
      </c>
      <c r="N20" s="5">
        <v>19.0</v>
      </c>
      <c r="O20" s="6" t="str">
        <f>IFERROR(__xludf.DUMMYFUNCTION("GOOGLETRANSLATE(C20,""en"",""th"")"),"นักสู้อยู่ในสภาพแวดล้อมประเภทใด?")</f>
        <v>นักสู้อยู่ในสภาพแวดล้อมประเภทใด?</v>
      </c>
      <c r="P20" s="6" t="str">
        <f>IFERROR(__xludf.DUMMYFUNCTION("GOOGLETRANSLATE(D20,""en"",""th"")"),"การต่อสู้บนท้องถนน")</f>
        <v>การต่อสู้บนท้องถนน</v>
      </c>
      <c r="Q20" s="6" t="str">
        <f>IFERROR(__xludf.DUMMYFUNCTION("GOOGLETRANSLATE(E20,""en"",""th"")"),"ห้องฝึกอบรมแบบดั้งเดิม")</f>
        <v>ห้องฝึกอบรมแบบดั้งเดิม</v>
      </c>
      <c r="R20" s="6" t="str">
        <f>IFERROR(__xludf.DUMMYFUNCTION("GOOGLETRANSLATE(F20,""en"",""th"")"),"เวทีมวย")</f>
        <v>เวทีมวย</v>
      </c>
      <c r="S20" s="6" t="str">
        <f>IFERROR(__xludf.DUMMYFUNCTION("GOOGLETRANSLATE(G20,""en"",""th"")"),"สนามกีฬาขนาดใหญ่")</f>
        <v>สนามกีฬาขนาดใหญ่</v>
      </c>
      <c r="T20" s="6" t="s">
        <v>1038</v>
      </c>
      <c r="U20" s="6" t="str">
        <f>IFERROR(__xludf.DUMMYFUNCTION("GOOGLETRANSLATE(I20,""en"",""th"")"),"เวทีมวย")</f>
        <v>เวทีมวย</v>
      </c>
      <c r="V20" s="6" t="str">
        <f>IFERROR(__xludf.DUMMYFUNCTION("GOOGLETRANSLATE(J20,""en"",""th"")"),"ภาพนี้แสดงให้เห็นนักสู้ในสนามสี่เหลี่ยมที่มีเชือกและเสา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21" ht="22.5" customHeight="1">
      <c r="A21" s="2" t="s">
        <v>1063</v>
      </c>
      <c r="B21" s="3">
        <v>20.0</v>
      </c>
      <c r="C21" s="4" t="s">
        <v>154</v>
      </c>
      <c r="D21" s="4" t="s">
        <v>1039</v>
      </c>
      <c r="E21" s="4" t="s">
        <v>1040</v>
      </c>
      <c r="F21" s="4" t="s">
        <v>1041</v>
      </c>
      <c r="G21" s="4" t="s">
        <v>1042</v>
      </c>
      <c r="H21" s="4" t="s">
        <v>1043</v>
      </c>
      <c r="I21" s="4" t="s">
        <v>1040</v>
      </c>
      <c r="J21" s="4" t="s">
        <v>1044</v>
      </c>
      <c r="M21" s="4" t="s">
        <v>1063</v>
      </c>
      <c r="N21" s="5">
        <v>20.0</v>
      </c>
      <c r="O21" s="6" t="str">
        <f>IFERROR(__xludf.DUMMYFUNCTION("GOOGLETRANSLATE(C21,""en"",""th"")"),"บรรยากาศโดยรวมของภาพเป็นอย่างไร?")</f>
        <v>บรรยากาศโดยรวมของภาพเป็นอย่างไร?</v>
      </c>
      <c r="P21" s="6" t="str">
        <f>IFERROR(__xludf.DUMMYFUNCTION("GOOGLETRANSLATE(D21,""en"",""th"")"),"แบบสบายๆ สนุกสนาน")</f>
        <v>แบบสบายๆ สนุกสนาน</v>
      </c>
      <c r="Q21" s="6" t="str">
        <f>IFERROR(__xludf.DUMMYFUNCTION("GOOGLETRANSLATE(E21,""en"",""th"")"),"ตึงเครียดและมีสมาธิ")</f>
        <v>ตึงเครียดและมีสมาธิ</v>
      </c>
      <c r="R21" s="6" t="str">
        <f>IFERROR(__xludf.DUMMYFUNCTION("GOOGLETRANSLATE(F21,""en"",""th"")"),"งานเฉลิมฉลองและรื่นเริง")</f>
        <v>งานเฉลิมฉลองและรื่นเริง</v>
      </c>
      <c r="S21" s="6" t="str">
        <f>IFERROR(__xludf.DUMMYFUNCTION("GOOGLETRANSLATE(G21,""en"",""th"")"),"เงียบสงบและเศร้าหมอง")</f>
        <v>เงียบสงบและเศร้าหมอง</v>
      </c>
      <c r="T21" s="6" t="s">
        <v>1045</v>
      </c>
      <c r="U21" s="6" t="str">
        <f>IFERROR(__xludf.DUMMYFUNCTION("GOOGLETRANSLATE(I21,""en"",""th"")"),"ตึงเครียดและมีสมาธิ")</f>
        <v>ตึงเครียดและมีสมาธิ</v>
      </c>
      <c r="V21" s="6" t="str">
        <f>IFERROR(__xludf.DUMMYFUNCTION("GOOGLETRANSLATE(J21,""en"",""th"")"),"การแสดงออกที่จริงจังของนักสู้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22" ht="22.5" customHeight="1">
      <c r="A22" s="2" t="s">
        <v>1064</v>
      </c>
      <c r="B22" s="3">
        <v>21.0</v>
      </c>
      <c r="C22" s="4" t="s">
        <v>21</v>
      </c>
      <c r="D22" s="4" t="s">
        <v>1013</v>
      </c>
      <c r="E22" s="4" t="s">
        <v>1014</v>
      </c>
      <c r="F22" s="4" t="s">
        <v>1015</v>
      </c>
      <c r="G22" s="4" t="s">
        <v>1016</v>
      </c>
      <c r="H22" s="4" t="s">
        <v>1047</v>
      </c>
      <c r="I22" s="4" t="s">
        <v>1015</v>
      </c>
      <c r="J22" s="4" t="s">
        <v>1017</v>
      </c>
      <c r="M22" s="4" t="s">
        <v>1064</v>
      </c>
      <c r="N22" s="5">
        <v>21.0</v>
      </c>
      <c r="O22" s="6" t="str">
        <f>IFERROR(__xludf.DUMMYFUNCTION("GOOGLETRANSLATE(C22,""en"",""th"")"),"ภาพที่แสดงเป็นกิจกรรมหลักอะไร?")</f>
        <v>ภาพที่แสดงเป็นกิจกรรมหลักอะไร?</v>
      </c>
      <c r="P22" s="6" t="str">
        <f>IFERROR(__xludf.DUMMYFUNCTION("GOOGLETRANSLATE(D22,""en"",""th"")"),"การแข่งขันชกมวย")</f>
        <v>การแข่งขันชกมวย</v>
      </c>
      <c r="Q22" s="6" t="str">
        <f>IFERROR(__xludf.DUMMYFUNCTION("GOOGLETRANSLATE(E22,""en"",""th"")"),"การแข่งขันคาราเต้")</f>
        <v>การแข่งขันคาราเต้</v>
      </c>
      <c r="R22" s="6" t="str">
        <f>IFERROR(__xludf.DUMMYFUNCTION("GOOGLETRANSLATE(F22,""en"",""th"")"),"การต่อสู้มวยไทย")</f>
        <v>การต่อสู้มวยไทย</v>
      </c>
      <c r="S22" s="6" t="str">
        <f>IFERROR(__xludf.DUMMYFUNCTION("GOOGLETRANSLATE(G22,""en"",""th"")"),"การต่อสู้แบบ MMA")</f>
        <v>การต่อสู้แบบ MMA</v>
      </c>
      <c r="T22" s="6" t="s">
        <v>1048</v>
      </c>
      <c r="U22" s="6" t="str">
        <f>IFERROR(__xludf.DUMMYFUNCTION("GOOGLETRANSLATE(I22,""en"",""th"")"),"การต่อสู้มวยไทย")</f>
        <v>การต่อสู้มวยไทย</v>
      </c>
      <c r="V22" s="6" t="str">
        <f>IFERROR(__xludf.DUMMYFUNCTION("GOOGLETRANSLATE(J22,""en"",""th"")"),"รูปภาพแสดงให้เห็นนักสู้สองคนในสังเวียน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v>
      </c>
    </row>
    <row r="23" ht="22.5" customHeight="1">
      <c r="A23" s="2" t="s">
        <v>1064</v>
      </c>
      <c r="B23" s="3">
        <v>22.0</v>
      </c>
      <c r="C23" s="4" t="s">
        <v>1018</v>
      </c>
      <c r="D23" s="4" t="s">
        <v>1019</v>
      </c>
      <c r="E23" s="4" t="s">
        <v>1020</v>
      </c>
      <c r="F23" s="4" t="s">
        <v>1021</v>
      </c>
      <c r="G23" s="4" t="s">
        <v>392</v>
      </c>
      <c r="H23" s="4" t="s">
        <v>1022</v>
      </c>
      <c r="I23" s="4" t="s">
        <v>1021</v>
      </c>
      <c r="J23" s="4" t="s">
        <v>1023</v>
      </c>
      <c r="M23" s="4" t="s">
        <v>1064</v>
      </c>
      <c r="N23" s="5">
        <v>22.0</v>
      </c>
      <c r="O23" s="6" t="str">
        <f>IFERROR(__xludf.DUMMYFUNCTION("GOOGLETRANSLATE(C23,""en"",""th"")"),"ลักษณะเด่นของเครื่องแต่งกายนักสู้คืออะไร?")</f>
        <v>ลักษณะเด่นของเครื่องแต่งกายนักสู้คืออะไร?</v>
      </c>
      <c r="P23" s="6" t="str">
        <f>IFERROR(__xludf.DUMMYFUNCTION("GOOGLETRANSLATE(D23,""en"",""th"")"),"ชุดกิ")</f>
        <v>ชุดกิ</v>
      </c>
      <c r="Q23" s="6" t="str">
        <f>IFERROR(__xludf.DUMMYFUNCTION("GOOGLETRANSLATE(E23,""en"",""th"")"),"ชุดลำลอง")</f>
        <v>ชุดลำลอง</v>
      </c>
      <c r="R23" s="6" t="str">
        <f>IFERROR(__xludf.DUMMYFUNCTION("GOOGLETRANSLATE(F23,""en"",""th"")"),"กางเกงมวยลายดั้งเดิม")</f>
        <v>กางเกงมวยลายดั้งเดิม</v>
      </c>
      <c r="S23" s="6" t="str">
        <f>IFERROR(__xludf.DUMMYFUNCTION("GOOGLETRANSLATE(G23,""en"",""th"")"),"ชุดดำน้ำ")</f>
        <v>ชุดดำน้ำ</v>
      </c>
      <c r="T23" s="6" t="s">
        <v>1024</v>
      </c>
      <c r="U23" s="6" t="str">
        <f>IFERROR(__xludf.DUMMYFUNCTION("GOOGLETRANSLATE(I23,""en"",""th"")"),"กางเกงมวยลายดั้งเดิม")</f>
        <v>กางเกงมวยลายดั้งเดิม</v>
      </c>
      <c r="V23" s="6" t="str">
        <f>IFERROR(__xludf.DUMMYFUNCTION("GOOGLETRANSLATE(J23,""en"",""th"")"),"นักสู้สวมกางเกงมวยที่มีลวดลายไทยดั้งเดิม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24" ht="22.5" customHeight="1">
      <c r="A24" s="2" t="s">
        <v>1064</v>
      </c>
      <c r="B24" s="3">
        <v>23.0</v>
      </c>
      <c r="C24" s="4" t="s">
        <v>1025</v>
      </c>
      <c r="D24" s="4" t="s">
        <v>828</v>
      </c>
      <c r="E24" s="4" t="s">
        <v>1026</v>
      </c>
      <c r="F24" s="4" t="s">
        <v>1027</v>
      </c>
      <c r="G24" s="4" t="s">
        <v>931</v>
      </c>
      <c r="H24" s="4" t="s">
        <v>1028</v>
      </c>
      <c r="I24" s="4" t="s">
        <v>1027</v>
      </c>
      <c r="J24" s="4" t="s">
        <v>1029</v>
      </c>
      <c r="M24" s="4" t="s">
        <v>1064</v>
      </c>
      <c r="N24" s="5">
        <v>23.0</v>
      </c>
      <c r="O24" s="6" t="str">
        <f>IFERROR(__xludf.DUMMYFUNCTION("GOOGLETRANSLATE(C24,""en"",""th"")"),"การเตะในมวยไทยมีจุดประสงค์อะไร?")</f>
        <v>การเตะในมวยไทยมีจุดประสงค์อะไร?</v>
      </c>
      <c r="P24" s="6" t="str">
        <f>IFERROR(__xludf.DUMMYFUNCTION("GOOGLETRANSLATE(D24,""en"",""th"")"),"เพื่อแสดงความสามารถ")</f>
        <v>เพื่อแสดงความสามารถ</v>
      </c>
      <c r="Q24" s="6" t="str">
        <f>IFERROR(__xludf.DUMMYFUNCTION("GOOGLETRANSLATE(E24,""en"",""th"")"),"เพื่อจะน็อคคู่ต่อสู้")</f>
        <v>เพื่อจะน็อคคู่ต่อสู้</v>
      </c>
      <c r="R24" s="6" t="str">
        <f>IFERROR(__xludf.DUMMYFUNCTION("GOOGLETRANSLATE(F24,""en"",""th"")"),"เพื่อโจมตีเข้าที่ลำตัวและขาของคู่ต่อสู้")</f>
        <v>เพื่อโจมตีเข้าที่ลำตัวและขาของคู่ต่อสู้</v>
      </c>
      <c r="S24" s="6" t="str">
        <f>IFERROR(__xludf.DUMMYFUNCTION("GOOGLETRANSLATE(G24,""en"",""th"")"),"เพื่อทำให้เกมยากยิ่งขึ้น")</f>
        <v>เพื่อทำให้เกมยากยิ่งขึ้น</v>
      </c>
      <c r="T24" s="6" t="s">
        <v>1030</v>
      </c>
      <c r="U24" s="6" t="str">
        <f>IFERROR(__xludf.DUMMYFUNCTION("GOOGLETRANSLATE(I24,""en"",""th"")"),"เพื่อโจมตีเข้าที่ลำตัวและขาของคู่ต่อสู้")</f>
        <v>เพื่อโจมตีเข้าที่ลำตัวและขาของคู่ต่อสู้</v>
      </c>
      <c r="V24" s="6" t="str">
        <f>IFERROR(__xludf.DUMMYFUNCTION("GOOGLETRANSLATE(J24,""en"",""th"")"),"การเตะถือเป็นส่วนพื้นฐานของมวยไทย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25" ht="22.5" customHeight="1">
      <c r="A25" s="2" t="s">
        <v>1064</v>
      </c>
      <c r="B25" s="3">
        <v>24.0</v>
      </c>
      <c r="C25" s="4" t="s">
        <v>1031</v>
      </c>
      <c r="D25" s="4" t="s">
        <v>1032</v>
      </c>
      <c r="E25" s="4" t="s">
        <v>1033</v>
      </c>
      <c r="F25" s="4" t="s">
        <v>1034</v>
      </c>
      <c r="G25" s="4" t="s">
        <v>1035</v>
      </c>
      <c r="H25" s="4" t="s">
        <v>1036</v>
      </c>
      <c r="I25" s="4" t="s">
        <v>1034</v>
      </c>
      <c r="J25" s="4" t="s">
        <v>1037</v>
      </c>
      <c r="M25" s="4" t="s">
        <v>1064</v>
      </c>
      <c r="N25" s="5">
        <v>24.0</v>
      </c>
      <c r="O25" s="6" t="str">
        <f>IFERROR(__xludf.DUMMYFUNCTION("GOOGLETRANSLATE(C25,""en"",""th"")"),"นักสู้อยู่ในสภาพแวดล้อมประเภทใด?")</f>
        <v>นักสู้อยู่ในสภาพแวดล้อมประเภทใด?</v>
      </c>
      <c r="P25" s="6" t="str">
        <f>IFERROR(__xludf.DUMMYFUNCTION("GOOGLETRANSLATE(D25,""en"",""th"")"),"การต่อสู้บนท้องถนน")</f>
        <v>การต่อสู้บนท้องถนน</v>
      </c>
      <c r="Q25" s="6" t="str">
        <f>IFERROR(__xludf.DUMMYFUNCTION("GOOGLETRANSLATE(E25,""en"",""th"")"),"ห้องฝึกอบรมแบบดั้งเดิม")</f>
        <v>ห้องฝึกอบรมแบบดั้งเดิม</v>
      </c>
      <c r="R25" s="6" t="str">
        <f>IFERROR(__xludf.DUMMYFUNCTION("GOOGLETRANSLATE(F25,""en"",""th"")"),"เวทีมวย")</f>
        <v>เวทีมวย</v>
      </c>
      <c r="S25" s="6" t="str">
        <f>IFERROR(__xludf.DUMMYFUNCTION("GOOGLETRANSLATE(G25,""en"",""th"")"),"สนามกีฬาขนาดใหญ่")</f>
        <v>สนามกีฬาขนาดใหญ่</v>
      </c>
      <c r="T25" s="6" t="s">
        <v>1038</v>
      </c>
      <c r="U25" s="6" t="str">
        <f>IFERROR(__xludf.DUMMYFUNCTION("GOOGLETRANSLATE(I25,""en"",""th"")"),"เวทีมวย")</f>
        <v>เวทีมวย</v>
      </c>
      <c r="V25" s="6" t="str">
        <f>IFERROR(__xludf.DUMMYFUNCTION("GOOGLETRANSLATE(J25,""en"",""th"")"),"ภาพนี้แสดงให้เห็นนักสู้ในสนามสี่เหลี่ยมที่มีเชือกและเสา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26" ht="22.5" customHeight="1">
      <c r="A26" s="2" t="s">
        <v>1064</v>
      </c>
      <c r="B26" s="3">
        <v>25.0</v>
      </c>
      <c r="C26" s="4" t="s">
        <v>154</v>
      </c>
      <c r="D26" s="4" t="s">
        <v>1039</v>
      </c>
      <c r="E26" s="4" t="s">
        <v>1040</v>
      </c>
      <c r="F26" s="4" t="s">
        <v>1041</v>
      </c>
      <c r="G26" s="4" t="s">
        <v>1042</v>
      </c>
      <c r="H26" s="4" t="s">
        <v>1043</v>
      </c>
      <c r="I26" s="4" t="s">
        <v>1040</v>
      </c>
      <c r="J26" s="4" t="s">
        <v>1044</v>
      </c>
      <c r="M26" s="4" t="s">
        <v>1064</v>
      </c>
      <c r="N26" s="5">
        <v>25.0</v>
      </c>
      <c r="O26" s="6" t="str">
        <f>IFERROR(__xludf.DUMMYFUNCTION("GOOGLETRANSLATE(C26,""en"",""th"")"),"บรรยากาศโดยรวมของภาพเป็นอย่างไร?")</f>
        <v>บรรยากาศโดยรวมของภาพเป็นอย่างไร?</v>
      </c>
      <c r="P26" s="6" t="str">
        <f>IFERROR(__xludf.DUMMYFUNCTION("GOOGLETRANSLATE(D26,""en"",""th"")"),"แบบสบายๆ สนุกสนาน")</f>
        <v>แบบสบายๆ สนุกสนาน</v>
      </c>
      <c r="Q26" s="6" t="str">
        <f>IFERROR(__xludf.DUMMYFUNCTION("GOOGLETRANSLATE(E26,""en"",""th"")"),"ตึงเครียดและมีสมาธิ")</f>
        <v>ตึงเครียดและมีสมาธิ</v>
      </c>
      <c r="R26" s="6" t="str">
        <f>IFERROR(__xludf.DUMMYFUNCTION("GOOGLETRANSLATE(F26,""en"",""th"")"),"งานเฉลิมฉลองและรื่นเริง")</f>
        <v>งานเฉลิมฉลองและรื่นเริง</v>
      </c>
      <c r="S26" s="6" t="str">
        <f>IFERROR(__xludf.DUMMYFUNCTION("GOOGLETRANSLATE(G26,""en"",""th"")"),"เงียบสงบและเศร้าหมอง")</f>
        <v>เงียบสงบและเศร้าหมอง</v>
      </c>
      <c r="T26" s="6" t="s">
        <v>1045</v>
      </c>
      <c r="U26" s="6" t="str">
        <f>IFERROR(__xludf.DUMMYFUNCTION("GOOGLETRANSLATE(I26,""en"",""th"")"),"ตึงเครียดและมีสมาธิ")</f>
        <v>ตึงเครียดและมีสมาธิ</v>
      </c>
      <c r="V26" s="6" t="str">
        <f>IFERROR(__xludf.DUMMYFUNCTION("GOOGLETRANSLATE(J26,""en"",""th"")"),"การแสดงออกที่จริงจังของนักสู้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27" ht="22.5" customHeight="1">
      <c r="A27" s="2" t="s">
        <v>1065</v>
      </c>
      <c r="B27" s="3">
        <v>26.0</v>
      </c>
      <c r="C27" s="4" t="s">
        <v>21</v>
      </c>
      <c r="D27" s="4" t="s">
        <v>1013</v>
      </c>
      <c r="E27" s="4" t="s">
        <v>1014</v>
      </c>
      <c r="F27" s="4" t="s">
        <v>1015</v>
      </c>
      <c r="G27" s="4" t="s">
        <v>1016</v>
      </c>
      <c r="H27" s="4" t="s">
        <v>1047</v>
      </c>
      <c r="I27" s="4" t="s">
        <v>1015</v>
      </c>
      <c r="J27" s="4" t="s">
        <v>1017</v>
      </c>
      <c r="M27" s="4" t="s">
        <v>1065</v>
      </c>
      <c r="N27" s="5">
        <v>26.0</v>
      </c>
      <c r="O27" s="6" t="str">
        <f>IFERROR(__xludf.DUMMYFUNCTION("GOOGLETRANSLATE(C27,""en"",""th"")"),"ภาพที่แสดงเป็นกิจกรรมหลักอะไร?")</f>
        <v>ภาพที่แสดงเป็นกิจกรรมหลักอะไร?</v>
      </c>
      <c r="P27" s="6" t="str">
        <f>IFERROR(__xludf.DUMMYFUNCTION("GOOGLETRANSLATE(D27,""en"",""th"")"),"การแข่งขันชกมวย")</f>
        <v>การแข่งขันชกมวย</v>
      </c>
      <c r="Q27" s="6" t="str">
        <f>IFERROR(__xludf.DUMMYFUNCTION("GOOGLETRANSLATE(E27,""en"",""th"")"),"การแข่งขันคาราเต้")</f>
        <v>การแข่งขันคาราเต้</v>
      </c>
      <c r="R27" s="6" t="str">
        <f>IFERROR(__xludf.DUMMYFUNCTION("GOOGLETRANSLATE(F27,""en"",""th"")"),"การต่อสู้มวยไทย")</f>
        <v>การต่อสู้มวยไทย</v>
      </c>
      <c r="S27" s="6" t="str">
        <f>IFERROR(__xludf.DUMMYFUNCTION("GOOGLETRANSLATE(G27,""en"",""th"")"),"การต่อสู้แบบ MMA")</f>
        <v>การต่อสู้แบบ MMA</v>
      </c>
      <c r="T27" s="6" t="s">
        <v>1048</v>
      </c>
      <c r="U27" s="6" t="str">
        <f>IFERROR(__xludf.DUMMYFUNCTION("GOOGLETRANSLATE(I27,""en"",""th"")"),"การต่อสู้มวยไทย")</f>
        <v>การต่อสู้มวยไทย</v>
      </c>
      <c r="V27" s="6" t="str">
        <f>IFERROR(__xludf.DUMMYFUNCTION("GOOGLETRANSLATE(J27,""en"",""th"")"),"รูปภาพแสดงให้เห็นนักสู้สองคนในสังเวียน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v>
      </c>
    </row>
    <row r="28" ht="22.5" customHeight="1">
      <c r="A28" s="2" t="s">
        <v>1065</v>
      </c>
      <c r="B28" s="3">
        <v>27.0</v>
      </c>
      <c r="C28" s="4" t="s">
        <v>1018</v>
      </c>
      <c r="D28" s="4" t="s">
        <v>1019</v>
      </c>
      <c r="E28" s="4" t="s">
        <v>1020</v>
      </c>
      <c r="F28" s="4" t="s">
        <v>1021</v>
      </c>
      <c r="G28" s="4" t="s">
        <v>392</v>
      </c>
      <c r="H28" s="4" t="s">
        <v>1022</v>
      </c>
      <c r="I28" s="4" t="s">
        <v>1021</v>
      </c>
      <c r="J28" s="4" t="s">
        <v>1023</v>
      </c>
      <c r="M28" s="4" t="s">
        <v>1065</v>
      </c>
      <c r="N28" s="5">
        <v>27.0</v>
      </c>
      <c r="O28" s="6" t="str">
        <f>IFERROR(__xludf.DUMMYFUNCTION("GOOGLETRANSLATE(C28,""en"",""th"")"),"ลักษณะเด่นของเครื่องแต่งกายนักสู้คืออะไร?")</f>
        <v>ลักษณะเด่นของเครื่องแต่งกายนักสู้คืออะไร?</v>
      </c>
      <c r="P28" s="6" t="str">
        <f>IFERROR(__xludf.DUMMYFUNCTION("GOOGLETRANSLATE(D28,""en"",""th"")"),"ชุดกิ")</f>
        <v>ชุดกิ</v>
      </c>
      <c r="Q28" s="6" t="str">
        <f>IFERROR(__xludf.DUMMYFUNCTION("GOOGLETRANSLATE(E28,""en"",""th"")"),"ชุดลำลอง")</f>
        <v>ชุดลำลอง</v>
      </c>
      <c r="R28" s="6" t="str">
        <f>IFERROR(__xludf.DUMMYFUNCTION("GOOGLETRANSLATE(F28,""en"",""th"")"),"กางเกงมวยลายดั้งเดิม")</f>
        <v>กางเกงมวยลายดั้งเดิม</v>
      </c>
      <c r="S28" s="6" t="str">
        <f>IFERROR(__xludf.DUMMYFUNCTION("GOOGLETRANSLATE(G28,""en"",""th"")"),"ชุดดำน้ำ")</f>
        <v>ชุดดำน้ำ</v>
      </c>
      <c r="T28" s="6" t="s">
        <v>1024</v>
      </c>
      <c r="U28" s="6" t="str">
        <f>IFERROR(__xludf.DUMMYFUNCTION("GOOGLETRANSLATE(I28,""en"",""th"")"),"กางเกงมวยลายดั้งเดิม")</f>
        <v>กางเกงมวยลายดั้งเดิม</v>
      </c>
      <c r="V28" s="6" t="str">
        <f>IFERROR(__xludf.DUMMYFUNCTION("GOOGLETRANSLATE(J28,""en"",""th"")"),"นักสู้สวมกางเกงมวยที่มีลวดลายไทยดั้งเดิม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29" ht="22.5" customHeight="1">
      <c r="A29" s="2" t="s">
        <v>1065</v>
      </c>
      <c r="B29" s="3">
        <v>28.0</v>
      </c>
      <c r="C29" s="4" t="s">
        <v>1025</v>
      </c>
      <c r="D29" s="4" t="s">
        <v>828</v>
      </c>
      <c r="E29" s="4" t="s">
        <v>1026</v>
      </c>
      <c r="F29" s="4" t="s">
        <v>1027</v>
      </c>
      <c r="G29" s="4" t="s">
        <v>931</v>
      </c>
      <c r="H29" s="4" t="s">
        <v>1028</v>
      </c>
      <c r="I29" s="4" t="s">
        <v>1027</v>
      </c>
      <c r="J29" s="4" t="s">
        <v>1029</v>
      </c>
      <c r="M29" s="4" t="s">
        <v>1065</v>
      </c>
      <c r="N29" s="5">
        <v>28.0</v>
      </c>
      <c r="O29" s="6" t="str">
        <f>IFERROR(__xludf.DUMMYFUNCTION("GOOGLETRANSLATE(C29,""en"",""th"")"),"การเตะในมวยไทยมีจุดประสงค์อะไร?")</f>
        <v>การเตะในมวยไทยมีจุดประสงค์อะไร?</v>
      </c>
      <c r="P29" s="6" t="str">
        <f>IFERROR(__xludf.DUMMYFUNCTION("GOOGLETRANSLATE(D29,""en"",""th"")"),"เพื่อแสดงความสามารถ")</f>
        <v>เพื่อแสดงความสามารถ</v>
      </c>
      <c r="Q29" s="6" t="str">
        <f>IFERROR(__xludf.DUMMYFUNCTION("GOOGLETRANSLATE(E29,""en"",""th"")"),"เพื่อจะน็อคคู่ต่อสู้")</f>
        <v>เพื่อจะน็อคคู่ต่อสู้</v>
      </c>
      <c r="R29" s="6" t="str">
        <f>IFERROR(__xludf.DUMMYFUNCTION("GOOGLETRANSLATE(F29,""en"",""th"")"),"เพื่อโจมตีเข้าที่ลำตัวและขาของคู่ต่อสู้")</f>
        <v>เพื่อโจมตีเข้าที่ลำตัวและขาของคู่ต่อสู้</v>
      </c>
      <c r="S29" s="6" t="str">
        <f>IFERROR(__xludf.DUMMYFUNCTION("GOOGLETRANSLATE(G29,""en"",""th"")"),"เพื่อทำให้เกมยากยิ่งขึ้น")</f>
        <v>เพื่อทำให้เกมยากยิ่งขึ้น</v>
      </c>
      <c r="T29" s="6" t="s">
        <v>1030</v>
      </c>
      <c r="U29" s="6" t="str">
        <f>IFERROR(__xludf.DUMMYFUNCTION("GOOGLETRANSLATE(I29,""en"",""th"")"),"เพื่อโจมตีเข้าที่ลำตัวและขาของคู่ต่อสู้")</f>
        <v>เพื่อโจมตีเข้าที่ลำตัวและขาของคู่ต่อสู้</v>
      </c>
      <c r="V29" s="6" t="str">
        <f>IFERROR(__xludf.DUMMYFUNCTION("GOOGLETRANSLATE(J29,""en"",""th"")"),"การเตะถือเป็นส่วนพื้นฐานของมวยไทย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30" ht="22.5" customHeight="1">
      <c r="A30" s="2" t="s">
        <v>1065</v>
      </c>
      <c r="B30" s="3">
        <v>29.0</v>
      </c>
      <c r="C30" s="4" t="s">
        <v>1031</v>
      </c>
      <c r="D30" s="4" t="s">
        <v>1032</v>
      </c>
      <c r="E30" s="4" t="s">
        <v>1033</v>
      </c>
      <c r="F30" s="4" t="s">
        <v>1034</v>
      </c>
      <c r="G30" s="4" t="s">
        <v>1035</v>
      </c>
      <c r="H30" s="4" t="s">
        <v>1036</v>
      </c>
      <c r="I30" s="4" t="s">
        <v>1034</v>
      </c>
      <c r="J30" s="4" t="s">
        <v>1037</v>
      </c>
      <c r="M30" s="4" t="s">
        <v>1065</v>
      </c>
      <c r="N30" s="5">
        <v>29.0</v>
      </c>
      <c r="O30" s="6" t="str">
        <f>IFERROR(__xludf.DUMMYFUNCTION("GOOGLETRANSLATE(C30,""en"",""th"")"),"นักสู้อยู่ในสภาพแวดล้อมประเภทใด?")</f>
        <v>นักสู้อยู่ในสภาพแวดล้อมประเภทใด?</v>
      </c>
      <c r="P30" s="6" t="str">
        <f>IFERROR(__xludf.DUMMYFUNCTION("GOOGLETRANSLATE(D30,""en"",""th"")"),"การต่อสู้บนท้องถนน")</f>
        <v>การต่อสู้บนท้องถนน</v>
      </c>
      <c r="Q30" s="6" t="str">
        <f>IFERROR(__xludf.DUMMYFUNCTION("GOOGLETRANSLATE(E30,""en"",""th"")"),"ห้องฝึกอบรมแบบดั้งเดิม")</f>
        <v>ห้องฝึกอบรมแบบดั้งเดิม</v>
      </c>
      <c r="R30" s="6" t="str">
        <f>IFERROR(__xludf.DUMMYFUNCTION("GOOGLETRANSLATE(F30,""en"",""th"")"),"เวทีมวย")</f>
        <v>เวทีมวย</v>
      </c>
      <c r="S30" s="6" t="str">
        <f>IFERROR(__xludf.DUMMYFUNCTION("GOOGLETRANSLATE(G30,""en"",""th"")"),"สนามกีฬาขนาดใหญ่")</f>
        <v>สนามกีฬาขนาดใหญ่</v>
      </c>
      <c r="T30" s="6" t="s">
        <v>1038</v>
      </c>
      <c r="U30" s="6" t="str">
        <f>IFERROR(__xludf.DUMMYFUNCTION("GOOGLETRANSLATE(I30,""en"",""th"")"),"เวทีมวย")</f>
        <v>เวทีมวย</v>
      </c>
      <c r="V30" s="6" t="str">
        <f>IFERROR(__xludf.DUMMYFUNCTION("GOOGLETRANSLATE(J30,""en"",""th"")"),"ภาพนี้แสดงให้เห็นนักสู้ในสนามสี่เหลี่ยมที่มีเชือกและเสา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31" ht="22.5" customHeight="1">
      <c r="A31" s="2" t="s">
        <v>1065</v>
      </c>
      <c r="B31" s="3">
        <v>30.0</v>
      </c>
      <c r="C31" s="4" t="s">
        <v>154</v>
      </c>
      <c r="D31" s="4" t="s">
        <v>1039</v>
      </c>
      <c r="E31" s="4" t="s">
        <v>1040</v>
      </c>
      <c r="F31" s="4" t="s">
        <v>1041</v>
      </c>
      <c r="G31" s="4" t="s">
        <v>1042</v>
      </c>
      <c r="H31" s="4" t="s">
        <v>1043</v>
      </c>
      <c r="I31" s="4" t="s">
        <v>1040</v>
      </c>
      <c r="J31" s="4" t="s">
        <v>1044</v>
      </c>
      <c r="M31" s="4" t="s">
        <v>1065</v>
      </c>
      <c r="N31" s="5">
        <v>30.0</v>
      </c>
      <c r="O31" s="6" t="str">
        <f>IFERROR(__xludf.DUMMYFUNCTION("GOOGLETRANSLATE(C31,""en"",""th"")"),"บรรยากาศโดยรวมของภาพเป็นอย่างไร?")</f>
        <v>บรรยากาศโดยรวมของภาพเป็นอย่างไร?</v>
      </c>
      <c r="P31" s="6" t="str">
        <f>IFERROR(__xludf.DUMMYFUNCTION("GOOGLETRANSLATE(D31,""en"",""th"")"),"แบบสบายๆ สนุกสนาน")</f>
        <v>แบบสบายๆ สนุกสนาน</v>
      </c>
      <c r="Q31" s="6" t="str">
        <f>IFERROR(__xludf.DUMMYFUNCTION("GOOGLETRANSLATE(E31,""en"",""th"")"),"ตึงเครียดและมีสมาธิ")</f>
        <v>ตึงเครียดและมีสมาธิ</v>
      </c>
      <c r="R31" s="6" t="str">
        <f>IFERROR(__xludf.DUMMYFUNCTION("GOOGLETRANSLATE(F31,""en"",""th"")"),"งานเฉลิมฉลองและรื่นเริง")</f>
        <v>งานเฉลิมฉลองและรื่นเริง</v>
      </c>
      <c r="S31" s="6" t="str">
        <f>IFERROR(__xludf.DUMMYFUNCTION("GOOGLETRANSLATE(G31,""en"",""th"")"),"เงียบสงบและเศร้าหมอง")</f>
        <v>เงียบสงบและเศร้าหมอง</v>
      </c>
      <c r="T31" s="6" t="s">
        <v>1045</v>
      </c>
      <c r="U31" s="6" t="str">
        <f>IFERROR(__xludf.DUMMYFUNCTION("GOOGLETRANSLATE(I31,""en"",""th"")"),"ตึงเครียดและมีสมาธิ")</f>
        <v>ตึงเครียดและมีสมาธิ</v>
      </c>
      <c r="V31" s="6" t="str">
        <f>IFERROR(__xludf.DUMMYFUNCTION("GOOGLETRANSLATE(J31,""en"",""th"")"),"การแสดงออกที่จริงจังของนักสู้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32" ht="22.5" customHeight="1">
      <c r="A32" s="2" t="s">
        <v>1066</v>
      </c>
      <c r="B32" s="3">
        <v>31.0</v>
      </c>
      <c r="C32" s="4" t="s">
        <v>21</v>
      </c>
      <c r="D32" s="4" t="s">
        <v>1067</v>
      </c>
      <c r="E32" s="4" t="s">
        <v>1068</v>
      </c>
      <c r="F32" s="4" t="s">
        <v>1069</v>
      </c>
      <c r="G32" s="4" t="s">
        <v>1070</v>
      </c>
      <c r="H32" s="4" t="s">
        <v>1071</v>
      </c>
      <c r="I32" s="4" t="s">
        <v>1069</v>
      </c>
      <c r="J32" s="4" t="s">
        <v>1072</v>
      </c>
      <c r="M32" s="4" t="s">
        <v>1066</v>
      </c>
      <c r="N32" s="5">
        <v>31.0</v>
      </c>
      <c r="O32" s="6" t="str">
        <f>IFERROR(__xludf.DUMMYFUNCTION("GOOGLETRANSLATE(C32,""en"",""th"")"),"ภาพที่แสดงเป็นกิจกรรมหลักอะไร?")</f>
        <v>ภาพที่แสดงเป็นกิจกรรมหลักอะไร?</v>
      </c>
      <c r="P32" s="6" t="str">
        <f>IFERROR(__xludf.DUMMYFUNCTION("GOOGLETRANSLATE(D32,""en"",""th"")"),"นักสู้สองคนกำลังต่อสู้กัน")</f>
        <v>นักสู้สองคนกำลังต่อสู้กัน</v>
      </c>
      <c r="Q32" s="6" t="str">
        <f>IFERROR(__xludf.DUMMYFUNCTION("GOOGLETRANSLATE(E32,""en"",""th"")"),"นักสู้สองคนกำลังฝึกซ้อม")</f>
        <v>นักสู้สองคนกำลังฝึกซ้อม</v>
      </c>
      <c r="R32" s="6" t="str">
        <f>IFERROR(__xludf.DUMMYFUNCTION("GOOGLETRANSLATE(F32,""en"",""th"")"),"นักสู้สองคนกอดกันหลังจากการต่อสู้")</f>
        <v>นักสู้สองคนกอดกันหลังจากการต่อสู้</v>
      </c>
      <c r="S32" s="6" t="str">
        <f>IFERROR(__xludf.DUMMYFUNCTION("GOOGLETRANSLATE(G32,""en"",""th"")"),"นักสู้สองคนกำลังยืดตัว")</f>
        <v>นักสู้สองคนกำลังยืดตัว</v>
      </c>
      <c r="T32" s="6" t="s">
        <v>1073</v>
      </c>
      <c r="U32" s="6" t="str">
        <f>IFERROR(__xludf.DUMMYFUNCTION("GOOGLETRANSLATE(I32,""en"",""th"")"),"นักสู้สองคนกอดกันหลังจากการต่อสู้")</f>
        <v>นักสู้สองคนกอดกันหลังจากการต่อสู้</v>
      </c>
      <c r="V32" s="6" t="str">
        <f>IFERROR(__xludf.DUMMYFUNCTION("GOOGLETRANSLATE(J32,""en"",""th"")"),"รูปภาพแสดงให้เห็นนักสู้สองคนกอดกันหลังจากการต่อสู้ ซึ่งเป็นการบ่งชี้ที่ชัดเจนว่าการต่อสู้สิ้นสุดลงแล้วและพวกเขากำลังแสดงน้ำใจนักกีฬา")</f>
        <v>รูปภาพแสดงให้เห็นนักสู้สองคนกอดกันหลังจากการต่อสู้ ซึ่งเป็นการบ่งชี้ที่ชัดเจนว่าการต่อสู้สิ้นสุดลงแล้วและพวกเขากำลังแสดงน้ำใจนักกีฬา</v>
      </c>
    </row>
    <row r="33" ht="22.5" customHeight="1">
      <c r="A33" s="2" t="s">
        <v>1066</v>
      </c>
      <c r="B33" s="3">
        <v>32.0</v>
      </c>
      <c r="C33" s="4" t="s">
        <v>1018</v>
      </c>
      <c r="D33" s="4" t="s">
        <v>1019</v>
      </c>
      <c r="E33" s="4" t="s">
        <v>1020</v>
      </c>
      <c r="F33" s="4" t="s">
        <v>1021</v>
      </c>
      <c r="G33" s="4" t="s">
        <v>392</v>
      </c>
      <c r="H33" s="4" t="s">
        <v>1022</v>
      </c>
      <c r="I33" s="4" t="s">
        <v>1021</v>
      </c>
      <c r="J33" s="4" t="s">
        <v>1023</v>
      </c>
      <c r="M33" s="4" t="s">
        <v>1066</v>
      </c>
      <c r="N33" s="5">
        <v>32.0</v>
      </c>
      <c r="O33" s="6" t="str">
        <f>IFERROR(__xludf.DUMMYFUNCTION("GOOGLETRANSLATE(C33,""en"",""th"")"),"ลักษณะเด่นของเครื่องแต่งกายนักสู้คืออะไร?")</f>
        <v>ลักษณะเด่นของเครื่องแต่งกายนักสู้คืออะไร?</v>
      </c>
      <c r="P33" s="6" t="str">
        <f>IFERROR(__xludf.DUMMYFUNCTION("GOOGLETRANSLATE(D33,""en"",""th"")"),"ชุดกิ")</f>
        <v>ชุดกิ</v>
      </c>
      <c r="Q33" s="6" t="str">
        <f>IFERROR(__xludf.DUMMYFUNCTION("GOOGLETRANSLATE(E33,""en"",""th"")"),"ชุดลำลอง")</f>
        <v>ชุดลำลอง</v>
      </c>
      <c r="R33" s="6" t="str">
        <f>IFERROR(__xludf.DUMMYFUNCTION("GOOGLETRANSLATE(F33,""en"",""th"")"),"กางเกงมวยลายดั้งเดิม")</f>
        <v>กางเกงมวยลายดั้งเดิม</v>
      </c>
      <c r="S33" s="6" t="str">
        <f>IFERROR(__xludf.DUMMYFUNCTION("GOOGLETRANSLATE(G33,""en"",""th"")"),"ชุดดำน้ำ")</f>
        <v>ชุดดำน้ำ</v>
      </c>
      <c r="T33" s="6" t="s">
        <v>1024</v>
      </c>
      <c r="U33" s="6" t="str">
        <f>IFERROR(__xludf.DUMMYFUNCTION("GOOGLETRANSLATE(I33,""en"",""th"")"),"กางเกงมวยลายดั้งเดิม")</f>
        <v>กางเกงมวยลายดั้งเดิม</v>
      </c>
      <c r="V33" s="6" t="str">
        <f>IFERROR(__xludf.DUMMYFUNCTION("GOOGLETRANSLATE(J33,""en"",""th"")"),"นักสู้สวมกางเกงมวยที่มีลวดลายไทยดั้งเดิม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34" ht="22.5" customHeight="1">
      <c r="A34" s="2" t="s">
        <v>1066</v>
      </c>
      <c r="B34" s="3">
        <v>33.0</v>
      </c>
      <c r="C34" s="4" t="s">
        <v>1074</v>
      </c>
      <c r="D34" s="4" t="s">
        <v>828</v>
      </c>
      <c r="E34" s="4" t="s">
        <v>1075</v>
      </c>
      <c r="F34" s="4" t="s">
        <v>931</v>
      </c>
      <c r="G34" s="4" t="s">
        <v>931</v>
      </c>
      <c r="H34" s="4" t="s">
        <v>1076</v>
      </c>
      <c r="I34" s="4" t="s">
        <v>1075</v>
      </c>
      <c r="J34" s="4" t="s">
        <v>1077</v>
      </c>
      <c r="M34" s="4" t="s">
        <v>1066</v>
      </c>
      <c r="N34" s="5">
        <v>33.0</v>
      </c>
      <c r="O34" s="6" t="str">
        <f>IFERROR(__xludf.DUMMYFUNCTION("GOOGLETRANSLATE(C34,""en"",""th"")"),"จุดประสงค์ของการกอดคืออะไร?")</f>
        <v>จุดประสงค์ของการกอดคืออะไร?</v>
      </c>
      <c r="P34" s="6" t="str">
        <f>IFERROR(__xludf.DUMMYFUNCTION("GOOGLETRANSLATE(D34,""en"",""th"")"),"เพื่อแสดงความสามารถ")</f>
        <v>เพื่อแสดงความสามารถ</v>
      </c>
      <c r="Q34" s="6" t="str">
        <f>IFERROR(__xludf.DUMMYFUNCTION("GOOGLETRANSLATE(E34,""en"",""th"")"),"เพื่อแสดงความมีน้ำใจนักกีฬาและความเคารพ")</f>
        <v>เพื่อแสดงความมีน้ำใจนักกีฬาและความเคารพ</v>
      </c>
      <c r="R34" s="6" t="str">
        <f>IFERROR(__xludf.DUMMYFUNCTION("GOOGLETRANSLATE(F34,""en"",""th"")"),"เพื่อทำให้เกมยากยิ่งขึ้น")</f>
        <v>เพื่อทำให้เกมยากยิ่งขึ้น</v>
      </c>
      <c r="S34" s="6" t="str">
        <f>IFERROR(__xludf.DUMMYFUNCTION("GOOGLETRANSLATE(G34,""en"",""th"")"),"เพื่อทำให้เกมยากยิ่งขึ้น")</f>
        <v>เพื่อทำให้เกมยากยิ่งขึ้น</v>
      </c>
      <c r="T34" s="6" t="s">
        <v>1078</v>
      </c>
      <c r="U34" s="6" t="str">
        <f>IFERROR(__xludf.DUMMYFUNCTION("GOOGLETRANSLATE(I34,""en"",""th"")"),"เพื่อแสดงความมีน้ำใจนักกีฬาและความเคารพ")</f>
        <v>เพื่อแสดงความมีน้ำใจนักกีฬาและความเคารพ</v>
      </c>
      <c r="V34" s="6" t="str">
        <f>IFERROR(__xludf.DUMMYFUNCTION("GOOGLETRANSLATE(J34,""en"",""th"")"),"การกอดเป็นท่าทางคลาสสิกที่แสดงถึงน้ำใจนักกีฬาและความเคารพระหว่างนักสู้สองคนหลังการต่อสู้")</f>
        <v>การกอดเป็นท่าทางคลาสสิกที่แสดงถึงน้ำใจนักกีฬาและความเคารพระหว่างนักสู้สองคนหลังการต่อสู้</v>
      </c>
    </row>
    <row r="35" ht="22.5" customHeight="1">
      <c r="A35" s="2" t="s">
        <v>1066</v>
      </c>
      <c r="B35" s="3">
        <v>34.0</v>
      </c>
      <c r="C35" s="4" t="s">
        <v>1031</v>
      </c>
      <c r="D35" s="4" t="s">
        <v>1032</v>
      </c>
      <c r="E35" s="4" t="s">
        <v>1033</v>
      </c>
      <c r="F35" s="4" t="s">
        <v>1034</v>
      </c>
      <c r="G35" s="4" t="s">
        <v>1035</v>
      </c>
      <c r="H35" s="4" t="s">
        <v>1036</v>
      </c>
      <c r="I35" s="4" t="s">
        <v>1034</v>
      </c>
      <c r="J35" s="4" t="s">
        <v>1037</v>
      </c>
      <c r="M35" s="4" t="s">
        <v>1066</v>
      </c>
      <c r="N35" s="5">
        <v>34.0</v>
      </c>
      <c r="O35" s="6" t="str">
        <f>IFERROR(__xludf.DUMMYFUNCTION("GOOGLETRANSLATE(C35,""en"",""th"")"),"นักสู้อยู่ในสภาพแวดล้อมประเภทใด?")</f>
        <v>นักสู้อยู่ในสภาพแวดล้อมประเภทใด?</v>
      </c>
      <c r="P35" s="6" t="str">
        <f>IFERROR(__xludf.DUMMYFUNCTION("GOOGLETRANSLATE(D35,""en"",""th"")"),"การต่อสู้บนท้องถนน")</f>
        <v>การต่อสู้บนท้องถนน</v>
      </c>
      <c r="Q35" s="6" t="str">
        <f>IFERROR(__xludf.DUMMYFUNCTION("GOOGLETRANSLATE(E35,""en"",""th"")"),"ห้องฝึกอบรมแบบดั้งเดิม")</f>
        <v>ห้องฝึกอบรมแบบดั้งเดิม</v>
      </c>
      <c r="R35" s="6" t="str">
        <f>IFERROR(__xludf.DUMMYFUNCTION("GOOGLETRANSLATE(F35,""en"",""th"")"),"เวทีมวย")</f>
        <v>เวทีมวย</v>
      </c>
      <c r="S35" s="6" t="str">
        <f>IFERROR(__xludf.DUMMYFUNCTION("GOOGLETRANSLATE(G35,""en"",""th"")"),"สนามกีฬาขนาดใหญ่")</f>
        <v>สนามกีฬาขนาดใหญ่</v>
      </c>
      <c r="T35" s="6" t="s">
        <v>1038</v>
      </c>
      <c r="U35" s="6" t="str">
        <f>IFERROR(__xludf.DUMMYFUNCTION("GOOGLETRANSLATE(I35,""en"",""th"")"),"เวทีมวย")</f>
        <v>เวทีมวย</v>
      </c>
      <c r="V35" s="6" t="str">
        <f>IFERROR(__xludf.DUMMYFUNCTION("GOOGLETRANSLATE(J35,""en"",""th"")"),"ภาพนี้แสดงให้เห็นนักสู้ในสนามสี่เหลี่ยมที่มีเชือกและเสา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36" ht="22.5" customHeight="1">
      <c r="A36" s="2" t="s">
        <v>1066</v>
      </c>
      <c r="B36" s="3">
        <v>35.0</v>
      </c>
      <c r="C36" s="4" t="s">
        <v>154</v>
      </c>
      <c r="D36" s="4" t="s">
        <v>1039</v>
      </c>
      <c r="E36" s="4" t="s">
        <v>1040</v>
      </c>
      <c r="F36" s="4" t="s">
        <v>1041</v>
      </c>
      <c r="G36" s="4" t="s">
        <v>1042</v>
      </c>
      <c r="H36" s="4" t="s">
        <v>1043</v>
      </c>
      <c r="I36" s="4" t="s">
        <v>1042</v>
      </c>
      <c r="J36" s="4" t="s">
        <v>1079</v>
      </c>
      <c r="M36" s="4" t="s">
        <v>1066</v>
      </c>
      <c r="N36" s="5">
        <v>35.0</v>
      </c>
      <c r="O36" s="6" t="str">
        <f>IFERROR(__xludf.DUMMYFUNCTION("GOOGLETRANSLATE(C36,""en"",""th"")"),"บรรยากาศโดยรวมของภาพเป็นอย่างไร?")</f>
        <v>บรรยากาศโดยรวมของภาพเป็นอย่างไร?</v>
      </c>
      <c r="P36" s="6" t="str">
        <f>IFERROR(__xludf.DUMMYFUNCTION("GOOGLETRANSLATE(D36,""en"",""th"")"),"แบบสบายๆ สนุกสนาน")</f>
        <v>แบบสบายๆ สนุกสนาน</v>
      </c>
      <c r="Q36" s="6" t="str">
        <f>IFERROR(__xludf.DUMMYFUNCTION("GOOGLETRANSLATE(E36,""en"",""th"")"),"ตึงเครียดและมีสมาธิ")</f>
        <v>ตึงเครียดและมีสมาธิ</v>
      </c>
      <c r="R36" s="6" t="str">
        <f>IFERROR(__xludf.DUMMYFUNCTION("GOOGLETRANSLATE(F36,""en"",""th"")"),"งานเฉลิมฉลองและรื่นเริง")</f>
        <v>งานเฉลิมฉลองและรื่นเริง</v>
      </c>
      <c r="S36" s="6" t="str">
        <f>IFERROR(__xludf.DUMMYFUNCTION("GOOGLETRANSLATE(G36,""en"",""th"")"),"เงียบสงบและเศร้าหมอง")</f>
        <v>เงียบสงบและเศร้าหมอง</v>
      </c>
      <c r="T36" s="6" t="s">
        <v>1045</v>
      </c>
      <c r="U36" s="6" t="str">
        <f>IFERROR(__xludf.DUMMYFUNCTION("GOOGLETRANSLATE(I36,""en"",""th"")"),"เงียบสงบและเศร้าหมอง")</f>
        <v>เงียบสงบและเศร้าหมอง</v>
      </c>
      <c r="V36" s="6" t="str">
        <f>IFERROR(__xludf.DUMMYFUNCTION("GOOGLETRANSLATE(J36,""en"",""th"")"),"ฟิลเตอร์ขาวดำและการแสดงออกของนักสู้สร้างบรรยากาศที่เงียบสงบและเศร้าหมอง")</f>
        <v>ฟิลเตอร์ขาวดำและการแสดงออกของนักสู้สร้างบรรยากาศที่เงียบสงบและเศร้าหมอง</v>
      </c>
    </row>
    <row r="37" ht="22.5" customHeight="1">
      <c r="A37" s="2" t="s">
        <v>1080</v>
      </c>
      <c r="B37" s="3">
        <v>36.0</v>
      </c>
      <c r="C37" s="4" t="s">
        <v>21</v>
      </c>
      <c r="D37" s="4" t="s">
        <v>1013</v>
      </c>
      <c r="E37" s="4" t="s">
        <v>1014</v>
      </c>
      <c r="F37" s="4" t="s">
        <v>1015</v>
      </c>
      <c r="G37" s="4" t="s">
        <v>1016</v>
      </c>
      <c r="H37" s="4" t="s">
        <v>1047</v>
      </c>
      <c r="I37" s="4" t="s">
        <v>1015</v>
      </c>
      <c r="J37" s="4" t="s">
        <v>1017</v>
      </c>
      <c r="M37" s="4" t="s">
        <v>1080</v>
      </c>
      <c r="N37" s="5">
        <v>36.0</v>
      </c>
      <c r="O37" s="6" t="str">
        <f>IFERROR(__xludf.DUMMYFUNCTION("GOOGLETRANSLATE(C37,""en"",""th"")"),"ภาพที่แสดงเป็นกิจกรรมหลักอะไร?")</f>
        <v>ภาพที่แสดงเป็นกิจกรรมหลักอะไร?</v>
      </c>
      <c r="P37" s="6" t="str">
        <f>IFERROR(__xludf.DUMMYFUNCTION("GOOGLETRANSLATE(D37,""en"",""th"")"),"การแข่งขันชกมวย")</f>
        <v>การแข่งขันชกมวย</v>
      </c>
      <c r="Q37" s="6" t="str">
        <f>IFERROR(__xludf.DUMMYFUNCTION("GOOGLETRANSLATE(E37,""en"",""th"")"),"การแข่งขันคาราเต้")</f>
        <v>การแข่งขันคาราเต้</v>
      </c>
      <c r="R37" s="6" t="str">
        <f>IFERROR(__xludf.DUMMYFUNCTION("GOOGLETRANSLATE(F37,""en"",""th"")"),"การต่อสู้มวยไทย")</f>
        <v>การต่อสู้มวยไทย</v>
      </c>
      <c r="S37" s="6" t="str">
        <f>IFERROR(__xludf.DUMMYFUNCTION("GOOGLETRANSLATE(G37,""en"",""th"")"),"การต่อสู้แบบ MMA")</f>
        <v>การต่อสู้แบบ MMA</v>
      </c>
      <c r="T37" s="6" t="s">
        <v>1048</v>
      </c>
      <c r="U37" s="6" t="str">
        <f>IFERROR(__xludf.DUMMYFUNCTION("GOOGLETRANSLATE(I37,""en"",""th"")"),"การต่อสู้มวยไทย")</f>
        <v>การต่อสู้มวยไทย</v>
      </c>
      <c r="V37" s="6" t="str">
        <f>IFERROR(__xludf.DUMMYFUNCTION("GOOGLETRANSLATE(J37,""en"",""th"")"),"รูปภาพแสดงให้เห็นนักสู้สองคนในสังเวียน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v>
      </c>
    </row>
    <row r="38" ht="22.5" customHeight="1">
      <c r="A38" s="2" t="s">
        <v>1080</v>
      </c>
      <c r="B38" s="3">
        <v>37.0</v>
      </c>
      <c r="C38" s="4" t="s">
        <v>1018</v>
      </c>
      <c r="D38" s="4" t="s">
        <v>1019</v>
      </c>
      <c r="E38" s="4" t="s">
        <v>1020</v>
      </c>
      <c r="F38" s="4" t="s">
        <v>1021</v>
      </c>
      <c r="G38" s="4" t="s">
        <v>392</v>
      </c>
      <c r="H38" s="4" t="s">
        <v>1022</v>
      </c>
      <c r="I38" s="4" t="s">
        <v>1021</v>
      </c>
      <c r="J38" s="4" t="s">
        <v>1023</v>
      </c>
      <c r="M38" s="4" t="s">
        <v>1080</v>
      </c>
      <c r="N38" s="5">
        <v>37.0</v>
      </c>
      <c r="O38" s="6" t="str">
        <f>IFERROR(__xludf.DUMMYFUNCTION("GOOGLETRANSLATE(C38,""en"",""th"")"),"ลักษณะเด่นของเครื่องแต่งกายนักสู้คืออะไร?")</f>
        <v>ลักษณะเด่นของเครื่องแต่งกายนักสู้คืออะไร?</v>
      </c>
      <c r="P38" s="6" t="str">
        <f>IFERROR(__xludf.DUMMYFUNCTION("GOOGLETRANSLATE(D38,""en"",""th"")"),"ชุดกิ")</f>
        <v>ชุดกิ</v>
      </c>
      <c r="Q38" s="6" t="str">
        <f>IFERROR(__xludf.DUMMYFUNCTION("GOOGLETRANSLATE(E38,""en"",""th"")"),"ชุดลำลอง")</f>
        <v>ชุดลำลอง</v>
      </c>
      <c r="R38" s="6" t="str">
        <f>IFERROR(__xludf.DUMMYFUNCTION("GOOGLETRANSLATE(F38,""en"",""th"")"),"กางเกงมวยลายดั้งเดิม")</f>
        <v>กางเกงมวยลายดั้งเดิม</v>
      </c>
      <c r="S38" s="6" t="str">
        <f>IFERROR(__xludf.DUMMYFUNCTION("GOOGLETRANSLATE(G38,""en"",""th"")"),"ชุดดำน้ำ")</f>
        <v>ชุดดำน้ำ</v>
      </c>
      <c r="T38" s="6" t="s">
        <v>1024</v>
      </c>
      <c r="U38" s="6" t="str">
        <f>IFERROR(__xludf.DUMMYFUNCTION("GOOGLETRANSLATE(I38,""en"",""th"")"),"กางเกงมวยลายดั้งเดิม")</f>
        <v>กางเกงมวยลายดั้งเดิม</v>
      </c>
      <c r="V38" s="6" t="str">
        <f>IFERROR(__xludf.DUMMYFUNCTION("GOOGLETRANSLATE(J38,""en"",""th"")"),"นักสู้สวมกางเกงมวยที่มีลวดลายไทยดั้งเดิม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39" ht="22.5" customHeight="1">
      <c r="A39" s="2" t="s">
        <v>1080</v>
      </c>
      <c r="B39" s="3">
        <v>38.0</v>
      </c>
      <c r="C39" s="4" t="s">
        <v>1025</v>
      </c>
      <c r="D39" s="4" t="s">
        <v>828</v>
      </c>
      <c r="E39" s="4" t="s">
        <v>1026</v>
      </c>
      <c r="F39" s="4" t="s">
        <v>1027</v>
      </c>
      <c r="G39" s="4" t="s">
        <v>931</v>
      </c>
      <c r="H39" s="4" t="s">
        <v>1028</v>
      </c>
      <c r="I39" s="4" t="s">
        <v>1027</v>
      </c>
      <c r="J39" s="4" t="s">
        <v>1029</v>
      </c>
      <c r="M39" s="4" t="s">
        <v>1080</v>
      </c>
      <c r="N39" s="5">
        <v>38.0</v>
      </c>
      <c r="O39" s="6" t="str">
        <f>IFERROR(__xludf.DUMMYFUNCTION("GOOGLETRANSLATE(C39,""en"",""th"")"),"การเตะในมวยไทยมีจุดประสงค์อะไร?")</f>
        <v>การเตะในมวยไทยมีจุดประสงค์อะไร?</v>
      </c>
      <c r="P39" s="6" t="str">
        <f>IFERROR(__xludf.DUMMYFUNCTION("GOOGLETRANSLATE(D39,""en"",""th"")"),"เพื่อแสดงความสามารถ")</f>
        <v>เพื่อแสดงความสามารถ</v>
      </c>
      <c r="Q39" s="6" t="str">
        <f>IFERROR(__xludf.DUMMYFUNCTION("GOOGLETRANSLATE(E39,""en"",""th"")"),"เพื่อจะน็อคคู่ต่อสู้")</f>
        <v>เพื่อจะน็อคคู่ต่อสู้</v>
      </c>
      <c r="R39" s="6" t="str">
        <f>IFERROR(__xludf.DUMMYFUNCTION("GOOGLETRANSLATE(F39,""en"",""th"")"),"เพื่อโจมตีเข้าที่ลำตัวและขาของคู่ต่อสู้")</f>
        <v>เพื่อโจมตีเข้าที่ลำตัวและขาของคู่ต่อสู้</v>
      </c>
      <c r="S39" s="6" t="str">
        <f>IFERROR(__xludf.DUMMYFUNCTION("GOOGLETRANSLATE(G39,""en"",""th"")"),"เพื่อทำให้เกมยากยิ่งขึ้น")</f>
        <v>เพื่อทำให้เกมยากยิ่งขึ้น</v>
      </c>
      <c r="T39" s="6" t="s">
        <v>1030</v>
      </c>
      <c r="U39" s="6" t="str">
        <f>IFERROR(__xludf.DUMMYFUNCTION("GOOGLETRANSLATE(I39,""en"",""th"")"),"เพื่อโจมตีเข้าที่ลำตัวและขาของคู่ต่อสู้")</f>
        <v>เพื่อโจมตีเข้าที่ลำตัวและขาของคู่ต่อสู้</v>
      </c>
      <c r="V39" s="6" t="str">
        <f>IFERROR(__xludf.DUMMYFUNCTION("GOOGLETRANSLATE(J39,""en"",""th"")"),"การเตะถือเป็นส่วนพื้นฐานของมวยไทย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40" ht="22.5" customHeight="1">
      <c r="A40" s="2" t="s">
        <v>1080</v>
      </c>
      <c r="B40" s="3">
        <v>39.0</v>
      </c>
      <c r="C40" s="4" t="s">
        <v>1031</v>
      </c>
      <c r="D40" s="4" t="s">
        <v>1032</v>
      </c>
      <c r="E40" s="4" t="s">
        <v>1033</v>
      </c>
      <c r="F40" s="4" t="s">
        <v>1034</v>
      </c>
      <c r="G40" s="4" t="s">
        <v>1035</v>
      </c>
      <c r="H40" s="4" t="s">
        <v>1036</v>
      </c>
      <c r="I40" s="4" t="s">
        <v>1034</v>
      </c>
      <c r="J40" s="4" t="s">
        <v>1037</v>
      </c>
      <c r="M40" s="4" t="s">
        <v>1080</v>
      </c>
      <c r="N40" s="5">
        <v>39.0</v>
      </c>
      <c r="O40" s="6" t="str">
        <f>IFERROR(__xludf.DUMMYFUNCTION("GOOGLETRANSLATE(C40,""en"",""th"")"),"นักสู้อยู่ในสภาพแวดล้อมประเภทใด?")</f>
        <v>นักสู้อยู่ในสภาพแวดล้อมประเภทใด?</v>
      </c>
      <c r="P40" s="6" t="str">
        <f>IFERROR(__xludf.DUMMYFUNCTION("GOOGLETRANSLATE(D40,""en"",""th"")"),"การต่อสู้บนท้องถนน")</f>
        <v>การต่อสู้บนท้องถนน</v>
      </c>
      <c r="Q40" s="6" t="str">
        <f>IFERROR(__xludf.DUMMYFUNCTION("GOOGLETRANSLATE(E40,""en"",""th"")"),"ห้องฝึกอบรมแบบดั้งเดิม")</f>
        <v>ห้องฝึกอบรมแบบดั้งเดิม</v>
      </c>
      <c r="R40" s="6" t="str">
        <f>IFERROR(__xludf.DUMMYFUNCTION("GOOGLETRANSLATE(F40,""en"",""th"")"),"เวทีมวย")</f>
        <v>เวทีมวย</v>
      </c>
      <c r="S40" s="6" t="str">
        <f>IFERROR(__xludf.DUMMYFUNCTION("GOOGLETRANSLATE(G40,""en"",""th"")"),"สนามกีฬาขนาดใหญ่")</f>
        <v>สนามกีฬาขนาดใหญ่</v>
      </c>
      <c r="T40" s="6" t="s">
        <v>1038</v>
      </c>
      <c r="U40" s="6" t="str">
        <f>IFERROR(__xludf.DUMMYFUNCTION("GOOGLETRANSLATE(I40,""en"",""th"")"),"เวทีมวย")</f>
        <v>เวทีมวย</v>
      </c>
      <c r="V40" s="6" t="str">
        <f>IFERROR(__xludf.DUMMYFUNCTION("GOOGLETRANSLATE(J40,""en"",""th"")"),"ภาพนี้แสดงให้เห็นนักสู้ในสนามสี่เหลี่ยมที่มีเชือกและเสา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41" ht="22.5" customHeight="1">
      <c r="A41" s="2" t="s">
        <v>1080</v>
      </c>
      <c r="B41" s="3">
        <v>40.0</v>
      </c>
      <c r="C41" s="4" t="s">
        <v>154</v>
      </c>
      <c r="D41" s="4" t="s">
        <v>1039</v>
      </c>
      <c r="E41" s="4" t="s">
        <v>1040</v>
      </c>
      <c r="F41" s="4" t="s">
        <v>1041</v>
      </c>
      <c r="G41" s="4" t="s">
        <v>1042</v>
      </c>
      <c r="H41" s="4" t="s">
        <v>1043</v>
      </c>
      <c r="I41" s="4" t="s">
        <v>1040</v>
      </c>
      <c r="J41" s="4" t="s">
        <v>1044</v>
      </c>
      <c r="M41" s="4" t="s">
        <v>1080</v>
      </c>
      <c r="N41" s="5">
        <v>40.0</v>
      </c>
      <c r="O41" s="6" t="str">
        <f>IFERROR(__xludf.DUMMYFUNCTION("GOOGLETRANSLATE(C41,""en"",""th"")"),"บรรยากาศโดยรวมของภาพเป็นอย่างไร?")</f>
        <v>บรรยากาศโดยรวมของภาพเป็นอย่างไร?</v>
      </c>
      <c r="P41" s="6" t="str">
        <f>IFERROR(__xludf.DUMMYFUNCTION("GOOGLETRANSLATE(D41,""en"",""th"")"),"แบบสบายๆ สนุกสนาน")</f>
        <v>แบบสบายๆ สนุกสนาน</v>
      </c>
      <c r="Q41" s="6" t="str">
        <f>IFERROR(__xludf.DUMMYFUNCTION("GOOGLETRANSLATE(E41,""en"",""th"")"),"ตึงเครียดและมีสมาธิ")</f>
        <v>ตึงเครียดและมีสมาธิ</v>
      </c>
      <c r="R41" s="6" t="str">
        <f>IFERROR(__xludf.DUMMYFUNCTION("GOOGLETRANSLATE(F41,""en"",""th"")"),"งานเฉลิมฉลองและรื่นเริง")</f>
        <v>งานเฉลิมฉลองและรื่นเริง</v>
      </c>
      <c r="S41" s="6" t="str">
        <f>IFERROR(__xludf.DUMMYFUNCTION("GOOGLETRANSLATE(G41,""en"",""th"")"),"เงียบสงบและเศร้าหมอง")</f>
        <v>เงียบสงบและเศร้าหมอง</v>
      </c>
      <c r="T41" s="6" t="s">
        <v>1045</v>
      </c>
      <c r="U41" s="6" t="str">
        <f>IFERROR(__xludf.DUMMYFUNCTION("GOOGLETRANSLATE(I41,""en"",""th"")"),"ตึงเครียดและมีสมาธิ")</f>
        <v>ตึงเครียดและมีสมาธิ</v>
      </c>
      <c r="V41" s="6" t="str">
        <f>IFERROR(__xludf.DUMMYFUNCTION("GOOGLETRANSLATE(J41,""en"",""th"")"),"การแสดงออกที่จริงจังของนักสู้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42" ht="22.5" customHeight="1">
      <c r="A42" s="2" t="s">
        <v>1081</v>
      </c>
      <c r="B42" s="3">
        <v>41.0</v>
      </c>
      <c r="C42" s="4" t="s">
        <v>21</v>
      </c>
      <c r="D42" s="4" t="s">
        <v>1013</v>
      </c>
      <c r="E42" s="4" t="s">
        <v>1014</v>
      </c>
      <c r="F42" s="4" t="s">
        <v>1015</v>
      </c>
      <c r="G42" s="4" t="s">
        <v>1016</v>
      </c>
      <c r="H42" s="4" t="s">
        <v>1047</v>
      </c>
      <c r="I42" s="4" t="s">
        <v>1015</v>
      </c>
      <c r="J42" s="4" t="s">
        <v>1017</v>
      </c>
      <c r="M42" s="4" t="s">
        <v>1081</v>
      </c>
      <c r="N42" s="5">
        <v>41.0</v>
      </c>
      <c r="O42" s="6" t="str">
        <f>IFERROR(__xludf.DUMMYFUNCTION("GOOGLETRANSLATE(C42,""en"",""th"")"),"ภาพที่แสดงเป็นกิจกรรมหลักอะไร?")</f>
        <v>ภาพที่แสดงเป็นกิจกรรมหลักอะไร?</v>
      </c>
      <c r="P42" s="6" t="str">
        <f>IFERROR(__xludf.DUMMYFUNCTION("GOOGLETRANSLATE(D42,""en"",""th"")"),"การแข่งขันชกมวย")</f>
        <v>การแข่งขันชกมวย</v>
      </c>
      <c r="Q42" s="6" t="str">
        <f>IFERROR(__xludf.DUMMYFUNCTION("GOOGLETRANSLATE(E42,""en"",""th"")"),"การแข่งขันคาราเต้")</f>
        <v>การแข่งขันคาราเต้</v>
      </c>
      <c r="R42" s="6" t="str">
        <f>IFERROR(__xludf.DUMMYFUNCTION("GOOGLETRANSLATE(F42,""en"",""th"")"),"การต่อสู้มวยไทย")</f>
        <v>การต่อสู้มวยไทย</v>
      </c>
      <c r="S42" s="6" t="str">
        <f>IFERROR(__xludf.DUMMYFUNCTION("GOOGLETRANSLATE(G42,""en"",""th"")"),"การต่อสู้แบบ MMA")</f>
        <v>การต่อสู้แบบ MMA</v>
      </c>
      <c r="T42" s="6" t="s">
        <v>1048</v>
      </c>
      <c r="U42" s="6" t="str">
        <f>IFERROR(__xludf.DUMMYFUNCTION("GOOGLETRANSLATE(I42,""en"",""th"")"),"การต่อสู้มวยไทย")</f>
        <v>การต่อสู้มวยไทย</v>
      </c>
      <c r="V42" s="6" t="str">
        <f>IFERROR(__xludf.DUMMYFUNCTION("GOOGLETRANSLATE(J42,""en"",""th"")"),"รูปภาพแสดงให้เห็นนักสู้สองคนในสังเวียน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v>
      </c>
    </row>
    <row r="43" ht="22.5" customHeight="1">
      <c r="A43" s="2" t="s">
        <v>1081</v>
      </c>
      <c r="B43" s="3">
        <v>42.0</v>
      </c>
      <c r="C43" s="4" t="s">
        <v>1018</v>
      </c>
      <c r="D43" s="4" t="s">
        <v>1019</v>
      </c>
      <c r="E43" s="4" t="s">
        <v>1020</v>
      </c>
      <c r="F43" s="4" t="s">
        <v>1021</v>
      </c>
      <c r="G43" s="4" t="s">
        <v>392</v>
      </c>
      <c r="H43" s="4" t="s">
        <v>1022</v>
      </c>
      <c r="I43" s="4" t="s">
        <v>1021</v>
      </c>
      <c r="J43" s="4" t="s">
        <v>1023</v>
      </c>
      <c r="M43" s="4" t="s">
        <v>1081</v>
      </c>
      <c r="N43" s="5">
        <v>42.0</v>
      </c>
      <c r="O43" s="6" t="str">
        <f>IFERROR(__xludf.DUMMYFUNCTION("GOOGLETRANSLATE(C43,""en"",""th"")"),"ลักษณะเด่นของเครื่องแต่งกายนักสู้คืออะไร?")</f>
        <v>ลักษณะเด่นของเครื่องแต่งกายนักสู้คืออะไร?</v>
      </c>
      <c r="P43" s="6" t="str">
        <f>IFERROR(__xludf.DUMMYFUNCTION("GOOGLETRANSLATE(D43,""en"",""th"")"),"ชุดกิ")</f>
        <v>ชุดกิ</v>
      </c>
      <c r="Q43" s="6" t="str">
        <f>IFERROR(__xludf.DUMMYFUNCTION("GOOGLETRANSLATE(E43,""en"",""th"")"),"ชุดลำลอง")</f>
        <v>ชุดลำลอง</v>
      </c>
      <c r="R43" s="6" t="str">
        <f>IFERROR(__xludf.DUMMYFUNCTION("GOOGLETRANSLATE(F43,""en"",""th"")"),"กางเกงมวยลายดั้งเดิม")</f>
        <v>กางเกงมวยลายดั้งเดิม</v>
      </c>
      <c r="S43" s="6" t="str">
        <f>IFERROR(__xludf.DUMMYFUNCTION("GOOGLETRANSLATE(G43,""en"",""th"")"),"ชุดดำน้ำ")</f>
        <v>ชุดดำน้ำ</v>
      </c>
      <c r="T43" s="6" t="s">
        <v>1024</v>
      </c>
      <c r="U43" s="6" t="str">
        <f>IFERROR(__xludf.DUMMYFUNCTION("GOOGLETRANSLATE(I43,""en"",""th"")"),"กางเกงมวยลายดั้งเดิม")</f>
        <v>กางเกงมวยลายดั้งเดิม</v>
      </c>
      <c r="V43" s="6" t="str">
        <f>IFERROR(__xludf.DUMMYFUNCTION("GOOGLETRANSLATE(J43,""en"",""th"")"),"นักสู้สวมกางเกงมวยที่มีลวดลายไทยดั้งเดิม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44" ht="22.5" customHeight="1">
      <c r="A44" s="2" t="s">
        <v>1081</v>
      </c>
      <c r="B44" s="3">
        <v>43.0</v>
      </c>
      <c r="C44" s="4" t="s">
        <v>1025</v>
      </c>
      <c r="D44" s="4" t="s">
        <v>828</v>
      </c>
      <c r="E44" s="4" t="s">
        <v>1026</v>
      </c>
      <c r="F44" s="4" t="s">
        <v>1027</v>
      </c>
      <c r="G44" s="4" t="s">
        <v>931</v>
      </c>
      <c r="H44" s="4" t="s">
        <v>1028</v>
      </c>
      <c r="I44" s="4" t="s">
        <v>1027</v>
      </c>
      <c r="J44" s="4" t="s">
        <v>1029</v>
      </c>
      <c r="M44" s="4" t="s">
        <v>1081</v>
      </c>
      <c r="N44" s="5">
        <v>43.0</v>
      </c>
      <c r="O44" s="6" t="str">
        <f>IFERROR(__xludf.DUMMYFUNCTION("GOOGLETRANSLATE(C44,""en"",""th"")"),"การเตะในมวยไทยมีจุดประสงค์อะไร?")</f>
        <v>การเตะในมวยไทยมีจุดประสงค์อะไร?</v>
      </c>
      <c r="P44" s="6" t="str">
        <f>IFERROR(__xludf.DUMMYFUNCTION("GOOGLETRANSLATE(D44,""en"",""th"")"),"เพื่อแสดงความสามารถ")</f>
        <v>เพื่อแสดงความสามารถ</v>
      </c>
      <c r="Q44" s="6" t="str">
        <f>IFERROR(__xludf.DUMMYFUNCTION("GOOGLETRANSLATE(E44,""en"",""th"")"),"เพื่อจะน็อคคู่ต่อสู้")</f>
        <v>เพื่อจะน็อคคู่ต่อสู้</v>
      </c>
      <c r="R44" s="6" t="str">
        <f>IFERROR(__xludf.DUMMYFUNCTION("GOOGLETRANSLATE(F44,""en"",""th"")"),"เพื่อโจมตีเข้าที่ลำตัวและขาของคู่ต่อสู้")</f>
        <v>เพื่อโจมตีเข้าที่ลำตัวและขาของคู่ต่อสู้</v>
      </c>
      <c r="S44" s="6" t="str">
        <f>IFERROR(__xludf.DUMMYFUNCTION("GOOGLETRANSLATE(G44,""en"",""th"")"),"เพื่อทำให้เกมยากยิ่งขึ้น")</f>
        <v>เพื่อทำให้เกมยากยิ่งขึ้น</v>
      </c>
      <c r="T44" s="6" t="s">
        <v>1030</v>
      </c>
      <c r="U44" s="6" t="str">
        <f>IFERROR(__xludf.DUMMYFUNCTION("GOOGLETRANSLATE(I44,""en"",""th"")"),"เพื่อโจมตีเข้าที่ลำตัวและขาของคู่ต่อสู้")</f>
        <v>เพื่อโจมตีเข้าที่ลำตัวและขาของคู่ต่อสู้</v>
      </c>
      <c r="V44" s="6" t="str">
        <f>IFERROR(__xludf.DUMMYFUNCTION("GOOGLETRANSLATE(J44,""en"",""th"")"),"การเตะถือเป็นส่วนพื้นฐานของมวยไทย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45" ht="22.5" customHeight="1">
      <c r="A45" s="2" t="s">
        <v>1081</v>
      </c>
      <c r="B45" s="3">
        <v>44.0</v>
      </c>
      <c r="C45" s="4" t="s">
        <v>1031</v>
      </c>
      <c r="D45" s="4" t="s">
        <v>1032</v>
      </c>
      <c r="E45" s="4" t="s">
        <v>1033</v>
      </c>
      <c r="F45" s="4" t="s">
        <v>1034</v>
      </c>
      <c r="G45" s="4" t="s">
        <v>1035</v>
      </c>
      <c r="H45" s="4" t="s">
        <v>1036</v>
      </c>
      <c r="I45" s="4" t="s">
        <v>1034</v>
      </c>
      <c r="J45" s="4" t="s">
        <v>1037</v>
      </c>
      <c r="M45" s="4" t="s">
        <v>1081</v>
      </c>
      <c r="N45" s="5">
        <v>44.0</v>
      </c>
      <c r="O45" s="6" t="str">
        <f>IFERROR(__xludf.DUMMYFUNCTION("GOOGLETRANSLATE(C45,""en"",""th"")"),"นักสู้อยู่ในสภาพแวดล้อมประเภทใด?")</f>
        <v>นักสู้อยู่ในสภาพแวดล้อมประเภทใด?</v>
      </c>
      <c r="P45" s="6" t="str">
        <f>IFERROR(__xludf.DUMMYFUNCTION("GOOGLETRANSLATE(D45,""en"",""th"")"),"การต่อสู้บนท้องถนน")</f>
        <v>การต่อสู้บนท้องถนน</v>
      </c>
      <c r="Q45" s="6" t="str">
        <f>IFERROR(__xludf.DUMMYFUNCTION("GOOGLETRANSLATE(E45,""en"",""th"")"),"ห้องฝึกอบรมแบบดั้งเดิม")</f>
        <v>ห้องฝึกอบรมแบบดั้งเดิม</v>
      </c>
      <c r="R45" s="6" t="str">
        <f>IFERROR(__xludf.DUMMYFUNCTION("GOOGLETRANSLATE(F45,""en"",""th"")"),"เวทีมวย")</f>
        <v>เวทีมวย</v>
      </c>
      <c r="S45" s="6" t="str">
        <f>IFERROR(__xludf.DUMMYFUNCTION("GOOGLETRANSLATE(G45,""en"",""th"")"),"สนามกีฬาขนาดใหญ่")</f>
        <v>สนามกีฬาขนาดใหญ่</v>
      </c>
      <c r="T45" s="6" t="s">
        <v>1038</v>
      </c>
      <c r="U45" s="6" t="str">
        <f>IFERROR(__xludf.DUMMYFUNCTION("GOOGLETRANSLATE(I45,""en"",""th"")"),"เวทีมวย")</f>
        <v>เวทีมวย</v>
      </c>
      <c r="V45" s="6" t="str">
        <f>IFERROR(__xludf.DUMMYFUNCTION("GOOGLETRANSLATE(J45,""en"",""th"")"),"ภาพนี้แสดงให้เห็นนักสู้ในสนามสี่เหลี่ยมที่มีเชือกและเสา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46" ht="22.5" customHeight="1">
      <c r="A46" s="2" t="s">
        <v>1081</v>
      </c>
      <c r="B46" s="3">
        <v>45.0</v>
      </c>
      <c r="C46" s="4" t="s">
        <v>154</v>
      </c>
      <c r="D46" s="4" t="s">
        <v>1039</v>
      </c>
      <c r="E46" s="4" t="s">
        <v>1040</v>
      </c>
      <c r="F46" s="4" t="s">
        <v>1041</v>
      </c>
      <c r="G46" s="4" t="s">
        <v>1042</v>
      </c>
      <c r="H46" s="4" t="s">
        <v>1043</v>
      </c>
      <c r="I46" s="4" t="s">
        <v>1040</v>
      </c>
      <c r="J46" s="4" t="s">
        <v>1044</v>
      </c>
      <c r="M46" s="4" t="s">
        <v>1081</v>
      </c>
      <c r="N46" s="5">
        <v>45.0</v>
      </c>
      <c r="O46" s="6" t="str">
        <f>IFERROR(__xludf.DUMMYFUNCTION("GOOGLETRANSLATE(C46,""en"",""th"")"),"บรรยากาศโดยรวมของภาพเป็นอย่างไร?")</f>
        <v>บรรยากาศโดยรวมของภาพเป็นอย่างไร?</v>
      </c>
      <c r="P46" s="6" t="str">
        <f>IFERROR(__xludf.DUMMYFUNCTION("GOOGLETRANSLATE(D46,""en"",""th"")"),"แบบสบายๆ สนุกสนาน")</f>
        <v>แบบสบายๆ สนุกสนาน</v>
      </c>
      <c r="Q46" s="6" t="str">
        <f>IFERROR(__xludf.DUMMYFUNCTION("GOOGLETRANSLATE(E46,""en"",""th"")"),"ตึงเครียดและมีสมาธิ")</f>
        <v>ตึงเครียดและมีสมาธิ</v>
      </c>
      <c r="R46" s="6" t="str">
        <f>IFERROR(__xludf.DUMMYFUNCTION("GOOGLETRANSLATE(F46,""en"",""th"")"),"งานเฉลิมฉลองและรื่นเริง")</f>
        <v>งานเฉลิมฉลองและรื่นเริง</v>
      </c>
      <c r="S46" s="6" t="str">
        <f>IFERROR(__xludf.DUMMYFUNCTION("GOOGLETRANSLATE(G46,""en"",""th"")"),"เงียบสงบและเศร้าหมอง")</f>
        <v>เงียบสงบและเศร้าหมอง</v>
      </c>
      <c r="T46" s="6" t="s">
        <v>1045</v>
      </c>
      <c r="U46" s="6" t="str">
        <f>IFERROR(__xludf.DUMMYFUNCTION("GOOGLETRANSLATE(I46,""en"",""th"")"),"ตึงเครียดและมีสมาธิ")</f>
        <v>ตึงเครียดและมีสมาธิ</v>
      </c>
      <c r="V46" s="6" t="str">
        <f>IFERROR(__xludf.DUMMYFUNCTION("GOOGLETRANSLATE(J46,""en"",""th"")"),"การแสดงออกที่จริงจังของนักสู้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47" ht="22.5" customHeight="1">
      <c r="A47" s="2" t="s">
        <v>1082</v>
      </c>
      <c r="B47" s="3">
        <v>46.0</v>
      </c>
      <c r="C47" s="4" t="s">
        <v>21</v>
      </c>
      <c r="D47" s="4" t="s">
        <v>1083</v>
      </c>
      <c r="E47" s="4" t="s">
        <v>1084</v>
      </c>
      <c r="F47" s="4" t="s">
        <v>1085</v>
      </c>
      <c r="G47" s="4" t="s">
        <v>1086</v>
      </c>
      <c r="H47" s="4" t="s">
        <v>1087</v>
      </c>
      <c r="I47" s="4" t="s">
        <v>1084</v>
      </c>
      <c r="J47" s="4" t="s">
        <v>1088</v>
      </c>
      <c r="M47" s="4" t="s">
        <v>1082</v>
      </c>
      <c r="N47" s="5">
        <v>46.0</v>
      </c>
      <c r="O47" s="6" t="str">
        <f>IFERROR(__xludf.DUMMYFUNCTION("GOOGLETRANSLATE(C47,""en"",""th"")"),"ภาพที่แสดงเป็นกิจกรรมหลักอะไร?")</f>
        <v>ภาพที่แสดงเป็นกิจกรรมหลักอะไร?</v>
      </c>
      <c r="P47" s="6" t="str">
        <f>IFERROR(__xludf.DUMMYFUNCTION("GOOGLETRANSLATE(D47,""en"",""th"")"),"นักสู้กำลังพักผ่อน")</f>
        <v>นักสู้กำลังพักผ่อน</v>
      </c>
      <c r="Q47" s="6" t="str">
        <f>IFERROR(__xludf.DUMMYFUNCTION("GOOGLETRANSLATE(E47,""en"",""th"")"),"นักสู้ถูกน็อคเอาท์")</f>
        <v>นักสู้ถูกน็อคเอาท์</v>
      </c>
      <c r="R47" s="6" t="str">
        <f>IFERROR(__xludf.DUMMYFUNCTION("GOOGLETRANSLATE(F47,""en"",""th"")"),"นักสู้กำลังยืดตัว")</f>
        <v>นักสู้กำลังยืดตัว</v>
      </c>
      <c r="S47" s="6" t="str">
        <f>IFERROR(__xludf.DUMMYFUNCTION("GOOGLETRANSLATE(G47,""en"",""th"")"),"นักสู้กำลังพูดคุยกับผู้ตัดสิน")</f>
        <v>นักสู้กำลังพูดคุยกับผู้ตัดสิน</v>
      </c>
      <c r="T47" s="6" t="s">
        <v>1089</v>
      </c>
      <c r="U47" s="6" t="str">
        <f>IFERROR(__xludf.DUMMYFUNCTION("GOOGLETRANSLATE(I47,""en"",""th"")"),"นักสู้ถูกน็อคเอาท์")</f>
        <v>นักสู้ถูกน็อคเอาท์</v>
      </c>
      <c r="V47" s="6" t="str">
        <f>IFERROR(__xludf.DUMMYFUNCTION("GOOGLETRANSLATE(J47,""en"",""th"")"),"รูปภาพแสดงให้เห็นนักมวยนอนอยู่บนพื้นในสังเวียนมวย ซึ่งเป็นการบ่งชี้ที่ชัดเจนว่าเขาถูกน็อกเอาต์หรือไม่สามารถชกต่อได้")</f>
        <v>รูปภาพแสดงให้เห็นนักมวยนอนอยู่บนพื้นในสังเวียนมวย ซึ่งเป็นการบ่งชี้ที่ชัดเจนว่าเขาถูกน็อกเอาต์หรือไม่สามารถชกต่อได้</v>
      </c>
    </row>
    <row r="48" ht="22.5" customHeight="1">
      <c r="A48" s="2" t="s">
        <v>1082</v>
      </c>
      <c r="B48" s="3">
        <v>47.0</v>
      </c>
      <c r="C48" s="4" t="s">
        <v>1018</v>
      </c>
      <c r="D48" s="4" t="s">
        <v>1019</v>
      </c>
      <c r="E48" s="4" t="s">
        <v>1020</v>
      </c>
      <c r="F48" s="4" t="s">
        <v>1021</v>
      </c>
      <c r="G48" s="4" t="s">
        <v>392</v>
      </c>
      <c r="H48" s="4" t="s">
        <v>1022</v>
      </c>
      <c r="I48" s="4" t="s">
        <v>1021</v>
      </c>
      <c r="J48" s="4" t="s">
        <v>1090</v>
      </c>
      <c r="M48" s="4" t="s">
        <v>1082</v>
      </c>
      <c r="N48" s="5">
        <v>47.0</v>
      </c>
      <c r="O48" s="6" t="str">
        <f>IFERROR(__xludf.DUMMYFUNCTION("GOOGLETRANSLATE(C48,""en"",""th"")"),"ลักษณะเด่นของเครื่องแต่งกายนักสู้คืออะไร?")</f>
        <v>ลักษณะเด่นของเครื่องแต่งกายนักสู้คืออะไร?</v>
      </c>
      <c r="P48" s="6" t="str">
        <f>IFERROR(__xludf.DUMMYFUNCTION("GOOGLETRANSLATE(D48,""en"",""th"")"),"ชุดกิ")</f>
        <v>ชุดกิ</v>
      </c>
      <c r="Q48" s="6" t="str">
        <f>IFERROR(__xludf.DUMMYFUNCTION("GOOGLETRANSLATE(E48,""en"",""th"")"),"ชุดลำลอง")</f>
        <v>ชุดลำลอง</v>
      </c>
      <c r="R48" s="6" t="str">
        <f>IFERROR(__xludf.DUMMYFUNCTION("GOOGLETRANSLATE(F48,""en"",""th"")"),"กางเกงมวยลายดั้งเดิม")</f>
        <v>กางเกงมวยลายดั้งเดิม</v>
      </c>
      <c r="S48" s="6" t="str">
        <f>IFERROR(__xludf.DUMMYFUNCTION("GOOGLETRANSLATE(G48,""en"",""th"")"),"ชุดดำน้ำ")</f>
        <v>ชุดดำน้ำ</v>
      </c>
      <c r="T48" s="6" t="s">
        <v>1024</v>
      </c>
      <c r="U48" s="6" t="str">
        <f>IFERROR(__xludf.DUMMYFUNCTION("GOOGLETRANSLATE(I48,""en"",""th"")"),"กางเกงมวยลายดั้งเดิม")</f>
        <v>กางเกงมวยลายดั้งเดิม</v>
      </c>
      <c r="V48" s="6" t="str">
        <f>IFERROR(__xludf.DUMMYFUNCTION("GOOGLETRANSLATE(J48,""en"",""th"")"),"นักสู้สวมกางเกงมวยที่มีลวดลายไทยดั้งเดิม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49" ht="22.5" customHeight="1">
      <c r="A49" s="2" t="s">
        <v>1082</v>
      </c>
      <c r="B49" s="3">
        <v>48.0</v>
      </c>
      <c r="C49" s="4" t="s">
        <v>139</v>
      </c>
      <c r="D49" s="4" t="s">
        <v>1091</v>
      </c>
      <c r="E49" s="4" t="s">
        <v>1092</v>
      </c>
      <c r="F49" s="4" t="s">
        <v>142</v>
      </c>
      <c r="G49" s="4" t="s">
        <v>1093</v>
      </c>
      <c r="H49" s="4" t="s">
        <v>1094</v>
      </c>
      <c r="I49" s="4" t="s">
        <v>142</v>
      </c>
      <c r="J49" s="4" t="s">
        <v>1095</v>
      </c>
      <c r="M49" s="4" t="s">
        <v>1082</v>
      </c>
      <c r="N49" s="5">
        <v>48.0</v>
      </c>
      <c r="O49" s="6" t="str">
        <f>IFERROR(__xludf.DUMMYFUNCTION("GOOGLETRANSLATE(C49,""en"",""th"")"),"จุดประสงค์ของการต่อสู้คืออะไร?")</f>
        <v>จุดประสงค์ของการต่อสู้คืออะไร?</v>
      </c>
      <c r="P49" s="6" t="str">
        <f>IFERROR(__xludf.DUMMYFUNCTION("GOOGLETRANSLATE(D49,""en"",""th"")"),"เพื่อก่อให้เกิดอันตรายแก่เหล่านักสู้")</f>
        <v>เพื่อก่อให้เกิดอันตรายแก่เหล่านักสู้</v>
      </c>
      <c r="Q49" s="6" t="str">
        <f>IFERROR(__xludf.DUMMYFUNCTION("GOOGLETRANSLATE(E49,""en"",""th"")"),"การคัดเลือกนักสู้ที่แข็งแกร่งที่สุด")</f>
        <v>การคัดเลือกนักสู้ที่แข็งแกร่งที่สุด</v>
      </c>
      <c r="R49" s="6" t="str">
        <f>IFERROR(__xludf.DUMMYFUNCTION("GOOGLETRANSLATE(F49,""en"",""th"")"),"มันคือรูปแบบหนึ่งของความบันเทิง")</f>
        <v>มันคือรูปแบบหนึ่งของความบันเทิง</v>
      </c>
      <c r="S49" s="6" t="str">
        <f>IFERROR(__xludf.DUMMYFUNCTION("GOOGLETRANSLATE(G49,""en"",""th"")"),"มันเป็นพิธีกรรม")</f>
        <v>มันเป็นพิธีกรรม</v>
      </c>
      <c r="T49" s="6" t="s">
        <v>1096</v>
      </c>
      <c r="U49" s="6" t="str">
        <f>IFERROR(__xludf.DUMMYFUNCTION("GOOGLETRANSLATE(I49,""en"",""th"")"),"มันคือรูปแบบหนึ่งของความบันเทิง")</f>
        <v>มันคือรูปแบบหนึ่งของความบันเทิง</v>
      </c>
      <c r="V49" s="6" t="str">
        <f>IFERROR(__xludf.DUMMYFUNCTION("GOOGLETRANSLATE(J49,""en"",""th"")"),"จุดประสงค์ของมวยไทยคือเพื่อความบันเทิงและการแสดงให้ฝูงชนได้เห็น ไม่ใช่เพื่อสร้างอันตรายร้ายแรงให้กับนักสู้")</f>
        <v>จุดประสงค์ของมวยไทยคือเพื่อความบันเทิงและการแสดงให้ฝูงชนได้เห็น ไม่ใช่เพื่อสร้างอันตรายร้ายแรงให้กับนักสู้</v>
      </c>
    </row>
    <row r="50" ht="22.5" customHeight="1">
      <c r="A50" s="2" t="s">
        <v>1082</v>
      </c>
      <c r="B50" s="3">
        <v>49.0</v>
      </c>
      <c r="C50" s="4" t="s">
        <v>1097</v>
      </c>
      <c r="D50" s="4" t="s">
        <v>1032</v>
      </c>
      <c r="E50" s="4" t="s">
        <v>1033</v>
      </c>
      <c r="F50" s="4" t="s">
        <v>1034</v>
      </c>
      <c r="G50" s="4" t="s">
        <v>1035</v>
      </c>
      <c r="H50" s="4" t="s">
        <v>1036</v>
      </c>
      <c r="I50" s="4" t="s">
        <v>1034</v>
      </c>
      <c r="J50" s="4" t="s">
        <v>1098</v>
      </c>
      <c r="M50" s="4" t="s">
        <v>1082</v>
      </c>
      <c r="N50" s="5">
        <v>49.0</v>
      </c>
      <c r="O50" s="6" t="str">
        <f>IFERROR(__xludf.DUMMYFUNCTION("GOOGLETRANSLATE(C50,""en"",""th"")"),"นักสู้อยู่ในสภาพแวดล้อมประเภทใด?")</f>
        <v>นักสู้อยู่ในสภาพแวดล้อมประเภทใด?</v>
      </c>
      <c r="P50" s="6" t="str">
        <f>IFERROR(__xludf.DUMMYFUNCTION("GOOGLETRANSLATE(D50,""en"",""th"")"),"การต่อสู้บนท้องถนน")</f>
        <v>การต่อสู้บนท้องถนน</v>
      </c>
      <c r="Q50" s="6" t="str">
        <f>IFERROR(__xludf.DUMMYFUNCTION("GOOGLETRANSLATE(E50,""en"",""th"")"),"ห้องฝึกอบรมแบบดั้งเดิม")</f>
        <v>ห้องฝึกอบรมแบบดั้งเดิม</v>
      </c>
      <c r="R50" s="6" t="str">
        <f>IFERROR(__xludf.DUMMYFUNCTION("GOOGLETRANSLATE(F50,""en"",""th"")"),"เวทีมวย")</f>
        <v>เวทีมวย</v>
      </c>
      <c r="S50" s="6" t="str">
        <f>IFERROR(__xludf.DUMMYFUNCTION("GOOGLETRANSLATE(G50,""en"",""th"")"),"สนามกีฬาขนาดใหญ่")</f>
        <v>สนามกีฬาขนาดใหญ่</v>
      </c>
      <c r="T50" s="6" t="s">
        <v>1038</v>
      </c>
      <c r="U50" s="6" t="str">
        <f>IFERROR(__xludf.DUMMYFUNCTION("GOOGLETRANSLATE(I50,""en"",""th"")"),"เวทีมวย")</f>
        <v>เวทีมวย</v>
      </c>
      <c r="V50" s="6" t="str">
        <f>IFERROR(__xludf.DUMMYFUNCTION("GOOGLETRANSLATE(J50,""en"",""th"")"),"ภาพนี้แสดงให้เห็นนักสู้ในสนามสี่เหลี่ยมที่มีเชือกและเสา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51" ht="22.5" customHeight="1">
      <c r="A51" s="2" t="s">
        <v>1082</v>
      </c>
      <c r="B51" s="3">
        <v>50.0</v>
      </c>
      <c r="C51" s="4" t="s">
        <v>154</v>
      </c>
      <c r="D51" s="4" t="s">
        <v>1039</v>
      </c>
      <c r="E51" s="4" t="s">
        <v>1040</v>
      </c>
      <c r="F51" s="4" t="s">
        <v>1041</v>
      </c>
      <c r="G51" s="4" t="s">
        <v>1042</v>
      </c>
      <c r="H51" s="4" t="s">
        <v>1043</v>
      </c>
      <c r="I51" s="4" t="s">
        <v>1042</v>
      </c>
      <c r="J51" s="4" t="s">
        <v>1099</v>
      </c>
      <c r="M51" s="4" t="s">
        <v>1082</v>
      </c>
      <c r="N51" s="5">
        <v>50.0</v>
      </c>
      <c r="O51" s="6" t="str">
        <f>IFERROR(__xludf.DUMMYFUNCTION("GOOGLETRANSLATE(C51,""en"",""th"")"),"บรรยากาศโดยรวมของภาพเป็นอย่างไร?")</f>
        <v>บรรยากาศโดยรวมของภาพเป็นอย่างไร?</v>
      </c>
      <c r="P51" s="6" t="str">
        <f>IFERROR(__xludf.DUMMYFUNCTION("GOOGLETRANSLATE(D51,""en"",""th"")"),"แบบสบายๆ สนุกสนาน")</f>
        <v>แบบสบายๆ สนุกสนาน</v>
      </c>
      <c r="Q51" s="6" t="str">
        <f>IFERROR(__xludf.DUMMYFUNCTION("GOOGLETRANSLATE(E51,""en"",""th"")"),"ตึงเครียดและมีสมาธิ")</f>
        <v>ตึงเครียดและมีสมาธิ</v>
      </c>
      <c r="R51" s="6" t="str">
        <f>IFERROR(__xludf.DUMMYFUNCTION("GOOGLETRANSLATE(F51,""en"",""th"")"),"งานเฉลิมฉลองและรื่นเริง")</f>
        <v>งานเฉลิมฉลองและรื่นเริง</v>
      </c>
      <c r="S51" s="6" t="str">
        <f>IFERROR(__xludf.DUMMYFUNCTION("GOOGLETRANSLATE(G51,""en"",""th"")"),"เงียบสงบและเศร้าหมอง")</f>
        <v>เงียบสงบและเศร้าหมอง</v>
      </c>
      <c r="T51" s="6" t="s">
        <v>1045</v>
      </c>
      <c r="U51" s="6" t="str">
        <f>IFERROR(__xludf.DUMMYFUNCTION("GOOGLETRANSLATE(I51,""en"",""th"")"),"เงียบสงบและเศร้าหมอง")</f>
        <v>เงียบสงบและเศร้าหมอง</v>
      </c>
      <c r="V51" s="6" t="str">
        <f>IFERROR(__xludf.DUMMYFUNCTION("GOOGLETRANSLATE(J51,""en"",""th"")"),"ฟิลเตอร์ขาวดำและท่าทางไร้พลังของนักสู้สร้างบรรยากาศที่เงียบสงบและเศร้าหมอง")</f>
        <v>ฟิลเตอร์ขาวดำและท่าทางไร้พลังของนักสู้สร้างบรรยากาศที่เงียบสงบและเศร้าหมอง</v>
      </c>
    </row>
    <row r="52" ht="22.5" customHeight="1">
      <c r="A52" s="2" t="s">
        <v>1100</v>
      </c>
      <c r="B52" s="3">
        <v>51.0</v>
      </c>
      <c r="C52" s="4" t="s">
        <v>21</v>
      </c>
      <c r="D52" s="4" t="s">
        <v>1013</v>
      </c>
      <c r="E52" s="4" t="s">
        <v>1014</v>
      </c>
      <c r="F52" s="4" t="s">
        <v>1015</v>
      </c>
      <c r="G52" s="4" t="s">
        <v>1016</v>
      </c>
      <c r="H52" s="4" t="s">
        <v>1047</v>
      </c>
      <c r="I52" s="4" t="s">
        <v>1015</v>
      </c>
      <c r="J52" s="4" t="s">
        <v>1101</v>
      </c>
      <c r="M52" s="4" t="s">
        <v>1100</v>
      </c>
      <c r="N52" s="5">
        <v>51.0</v>
      </c>
      <c r="O52" s="6" t="str">
        <f>IFERROR(__xludf.DUMMYFUNCTION("GOOGLETRANSLATE(C52,""en"",""th"")"),"ภาพที่แสดงเป็นกิจกรรมหลักอะไร?")</f>
        <v>ภาพที่แสดงเป็นกิจกรรมหลักอะไร?</v>
      </c>
      <c r="P52" s="6" t="str">
        <f>IFERROR(__xludf.DUMMYFUNCTION("GOOGLETRANSLATE(D52,""en"",""th"")"),"การแข่งขันชกมวย")</f>
        <v>การแข่งขันชกมวย</v>
      </c>
      <c r="Q52" s="6" t="str">
        <f>IFERROR(__xludf.DUMMYFUNCTION("GOOGLETRANSLATE(E52,""en"",""th"")"),"การแข่งขันคาราเต้")</f>
        <v>การแข่งขันคาราเต้</v>
      </c>
      <c r="R52" s="6" t="str">
        <f>IFERROR(__xludf.DUMMYFUNCTION("GOOGLETRANSLATE(F52,""en"",""th"")"),"การต่อสู้มวยไทย")</f>
        <v>การต่อสู้มวยไทย</v>
      </c>
      <c r="S52" s="6" t="str">
        <f>IFERROR(__xludf.DUMMYFUNCTION("GOOGLETRANSLATE(G52,""en"",""th"")"),"การต่อสู้แบบ MMA")</f>
        <v>การต่อสู้แบบ MMA</v>
      </c>
      <c r="T52" s="6" t="s">
        <v>1048</v>
      </c>
      <c r="U52" s="6" t="str">
        <f>IFERROR(__xludf.DUMMYFUNCTION("GOOGLETRANSLATE(I52,""en"",""th"")"),"การต่อสู้มวยไทย")</f>
        <v>การต่อสู้มวยไทย</v>
      </c>
      <c r="V52" s="6" t="str">
        <f>IFERROR(__xludf.DUMMYFUNCTION("GOOGLETRANSLATE(J52,""en"",""th"")"),"รูปภาพแสดงให้เห็นนักสู้สองคนในสังเวียน สวมถุงมือมวยและกางเกงขาสั้น และคนหนึ่งกำลังออกหมัด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และคนหนึ่งกำลังออกหมัด ซึ่งเป็นองค์ประกอบสำคัญของมวยไทย</v>
      </c>
    </row>
    <row r="53" ht="22.5" customHeight="1">
      <c r="A53" s="2" t="s">
        <v>1100</v>
      </c>
      <c r="B53" s="3">
        <v>52.0</v>
      </c>
      <c r="C53" s="4" t="s">
        <v>1018</v>
      </c>
      <c r="D53" s="4" t="s">
        <v>1019</v>
      </c>
      <c r="E53" s="4" t="s">
        <v>1020</v>
      </c>
      <c r="F53" s="4" t="s">
        <v>1021</v>
      </c>
      <c r="G53" s="4" t="s">
        <v>392</v>
      </c>
      <c r="H53" s="4" t="s">
        <v>1022</v>
      </c>
      <c r="I53" s="4" t="s">
        <v>1021</v>
      </c>
      <c r="J53" s="4" t="s">
        <v>1023</v>
      </c>
      <c r="M53" s="4" t="s">
        <v>1100</v>
      </c>
      <c r="N53" s="5">
        <v>52.0</v>
      </c>
      <c r="O53" s="6" t="str">
        <f>IFERROR(__xludf.DUMMYFUNCTION("GOOGLETRANSLATE(C53,""en"",""th"")"),"ลักษณะเด่นของเครื่องแต่งกายนักสู้คืออะไร?")</f>
        <v>ลักษณะเด่นของเครื่องแต่งกายนักสู้คืออะไร?</v>
      </c>
      <c r="P53" s="6" t="str">
        <f>IFERROR(__xludf.DUMMYFUNCTION("GOOGLETRANSLATE(D53,""en"",""th"")"),"ชุดกิ")</f>
        <v>ชุดกิ</v>
      </c>
      <c r="Q53" s="6" t="str">
        <f>IFERROR(__xludf.DUMMYFUNCTION("GOOGLETRANSLATE(E53,""en"",""th"")"),"ชุดลำลอง")</f>
        <v>ชุดลำลอง</v>
      </c>
      <c r="R53" s="6" t="str">
        <f>IFERROR(__xludf.DUMMYFUNCTION("GOOGLETRANSLATE(F53,""en"",""th"")"),"กางเกงมวยลายดั้งเดิม")</f>
        <v>กางเกงมวยลายดั้งเดิม</v>
      </c>
      <c r="S53" s="6" t="str">
        <f>IFERROR(__xludf.DUMMYFUNCTION("GOOGLETRANSLATE(G53,""en"",""th"")"),"ชุดดำน้ำ")</f>
        <v>ชุดดำน้ำ</v>
      </c>
      <c r="T53" s="6" t="s">
        <v>1024</v>
      </c>
      <c r="U53" s="6" t="str">
        <f>IFERROR(__xludf.DUMMYFUNCTION("GOOGLETRANSLATE(I53,""en"",""th"")"),"กางเกงมวยลายดั้งเดิม")</f>
        <v>กางเกงมวยลายดั้งเดิม</v>
      </c>
      <c r="V53" s="6" t="str">
        <f>IFERROR(__xludf.DUMMYFUNCTION("GOOGLETRANSLATE(J53,""en"",""th"")"),"นักสู้สวมกางเกงมวยที่มีลวดลายไทยดั้งเดิม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54" ht="22.5" customHeight="1">
      <c r="A54" s="2" t="s">
        <v>1100</v>
      </c>
      <c r="B54" s="3">
        <v>53.0</v>
      </c>
      <c r="C54" s="4" t="s">
        <v>1102</v>
      </c>
      <c r="D54" s="4" t="s">
        <v>828</v>
      </c>
      <c r="E54" s="4" t="s">
        <v>1026</v>
      </c>
      <c r="F54" s="4" t="s">
        <v>1103</v>
      </c>
      <c r="G54" s="4" t="s">
        <v>931</v>
      </c>
      <c r="H54" s="4" t="s">
        <v>1104</v>
      </c>
      <c r="I54" s="4" t="s">
        <v>1026</v>
      </c>
      <c r="J54" s="4" t="s">
        <v>1105</v>
      </c>
      <c r="M54" s="4" t="s">
        <v>1100</v>
      </c>
      <c r="N54" s="5">
        <v>53.0</v>
      </c>
      <c r="O54" s="6" t="str">
        <f>IFERROR(__xludf.DUMMYFUNCTION("GOOGLETRANSLATE(C54,""en"",""th"")"),"จุดประสงค์ของการชกมวยไทยมีไว้เพื่ออะไร?")</f>
        <v>จุดประสงค์ของการชกมวยไทยมีไว้เพื่ออะไร?</v>
      </c>
      <c r="P54" s="6" t="str">
        <f>IFERROR(__xludf.DUMMYFUNCTION("GOOGLETRANSLATE(D54,""en"",""th"")"),"เพื่อแสดงความสามารถ")</f>
        <v>เพื่อแสดงความสามารถ</v>
      </c>
      <c r="Q54" s="6" t="str">
        <f>IFERROR(__xludf.DUMMYFUNCTION("GOOGLETRANSLATE(E54,""en"",""th"")"),"เพื่อจะน็อคคู่ต่อสู้")</f>
        <v>เพื่อจะน็อคคู่ต่อสู้</v>
      </c>
      <c r="R54" s="6" t="str">
        <f>IFERROR(__xludf.DUMMYFUNCTION("GOOGLETRANSLATE(F54,""en"",""th"")"),"เพื่อโจมตีเข้าที่ลำตัวและศีรษะของคู่ต่อสู้")</f>
        <v>เพื่อโจมตีเข้าที่ลำตัวและศีรษะของคู่ต่อสู้</v>
      </c>
      <c r="S54" s="6" t="str">
        <f>IFERROR(__xludf.DUMMYFUNCTION("GOOGLETRANSLATE(G54,""en"",""th"")"),"เพื่อทำให้เกมยากยิ่งขึ้น")</f>
        <v>เพื่อทำให้เกมยากยิ่งขึ้น</v>
      </c>
      <c r="T54" s="6" t="s">
        <v>1106</v>
      </c>
      <c r="U54" s="6" t="str">
        <f>IFERROR(__xludf.DUMMYFUNCTION("GOOGLETRANSLATE(I54,""en"",""th"")"),"เพื่อจะน็อคคู่ต่อสู้")</f>
        <v>เพื่อจะน็อคคู่ต่อสู้</v>
      </c>
      <c r="V54" s="6" t="str">
        <f>IFERROR(__xludf.DUMMYFUNCTION("GOOGLETRANSLATE(J54,""en"",""th"")"),"หมัดถือเป็นส่วนสำคัญของมวยไทย ใช้ในการโจมตีศีรษะและลำตัวของคู่ต่อสู้ รวมถึงสร้างระยะห่างและการควบคุม")</f>
        <v>หมัดถือเป็นส่วนสำคัญของมวยไทย ใช้ในการโจมตีศีรษะและลำตัวของคู่ต่อสู้ รวมถึงสร้างระยะห่างและการควบคุม</v>
      </c>
    </row>
    <row r="55" ht="22.5" customHeight="1">
      <c r="A55" s="2" t="s">
        <v>1100</v>
      </c>
      <c r="B55" s="3">
        <v>54.0</v>
      </c>
      <c r="C55" s="4" t="s">
        <v>1031</v>
      </c>
      <c r="D55" s="4" t="s">
        <v>1032</v>
      </c>
      <c r="E55" s="4" t="s">
        <v>1033</v>
      </c>
      <c r="F55" s="4" t="s">
        <v>1034</v>
      </c>
      <c r="G55" s="4" t="s">
        <v>1035</v>
      </c>
      <c r="H55" s="4" t="s">
        <v>1036</v>
      </c>
      <c r="I55" s="4" t="s">
        <v>1034</v>
      </c>
      <c r="J55" s="4" t="s">
        <v>1037</v>
      </c>
      <c r="M55" s="4" t="s">
        <v>1100</v>
      </c>
      <c r="N55" s="5">
        <v>54.0</v>
      </c>
      <c r="O55" s="6" t="str">
        <f>IFERROR(__xludf.DUMMYFUNCTION("GOOGLETRANSLATE(C55,""en"",""th"")"),"นักสู้อยู่ในสภาพแวดล้อมประเภทใด?")</f>
        <v>นักสู้อยู่ในสภาพแวดล้อมประเภทใด?</v>
      </c>
      <c r="P55" s="6" t="str">
        <f>IFERROR(__xludf.DUMMYFUNCTION("GOOGLETRANSLATE(D55,""en"",""th"")"),"การต่อสู้บนท้องถนน")</f>
        <v>การต่อสู้บนท้องถนน</v>
      </c>
      <c r="Q55" s="6" t="str">
        <f>IFERROR(__xludf.DUMMYFUNCTION("GOOGLETRANSLATE(E55,""en"",""th"")"),"ห้องฝึกอบรมแบบดั้งเดิม")</f>
        <v>ห้องฝึกอบรมแบบดั้งเดิม</v>
      </c>
      <c r="R55" s="6" t="str">
        <f>IFERROR(__xludf.DUMMYFUNCTION("GOOGLETRANSLATE(F55,""en"",""th"")"),"เวทีมวย")</f>
        <v>เวทีมวย</v>
      </c>
      <c r="S55" s="6" t="str">
        <f>IFERROR(__xludf.DUMMYFUNCTION("GOOGLETRANSLATE(G55,""en"",""th"")"),"สนามกีฬาขนาดใหญ่")</f>
        <v>สนามกีฬาขนาดใหญ่</v>
      </c>
      <c r="T55" s="6" t="s">
        <v>1038</v>
      </c>
      <c r="U55" s="6" t="str">
        <f>IFERROR(__xludf.DUMMYFUNCTION("GOOGLETRANSLATE(I55,""en"",""th"")"),"เวทีมวย")</f>
        <v>เวทีมวย</v>
      </c>
      <c r="V55" s="6" t="str">
        <f>IFERROR(__xludf.DUMMYFUNCTION("GOOGLETRANSLATE(J55,""en"",""th"")"),"ภาพนี้แสดงให้เห็นนักสู้ในสนามสี่เหลี่ยมที่มีเชือกและเสา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56" ht="22.5" customHeight="1">
      <c r="A56" s="2" t="s">
        <v>1100</v>
      </c>
      <c r="B56" s="3">
        <v>55.0</v>
      </c>
      <c r="C56" s="4" t="s">
        <v>154</v>
      </c>
      <c r="D56" s="4" t="s">
        <v>1039</v>
      </c>
      <c r="E56" s="4" t="s">
        <v>1040</v>
      </c>
      <c r="F56" s="4" t="s">
        <v>1041</v>
      </c>
      <c r="G56" s="4" t="s">
        <v>1042</v>
      </c>
      <c r="H56" s="4" t="s">
        <v>1043</v>
      </c>
      <c r="I56" s="4" t="s">
        <v>1040</v>
      </c>
      <c r="J56" s="4" t="s">
        <v>1044</v>
      </c>
      <c r="M56" s="4" t="s">
        <v>1100</v>
      </c>
      <c r="N56" s="5">
        <v>55.0</v>
      </c>
      <c r="O56" s="6" t="str">
        <f>IFERROR(__xludf.DUMMYFUNCTION("GOOGLETRANSLATE(C56,""en"",""th"")"),"บรรยากาศโดยรวมของภาพเป็นอย่างไร?")</f>
        <v>บรรยากาศโดยรวมของภาพเป็นอย่างไร?</v>
      </c>
      <c r="P56" s="6" t="str">
        <f>IFERROR(__xludf.DUMMYFUNCTION("GOOGLETRANSLATE(D56,""en"",""th"")"),"แบบสบายๆ สนุกสนาน")</f>
        <v>แบบสบายๆ สนุกสนาน</v>
      </c>
      <c r="Q56" s="6" t="str">
        <f>IFERROR(__xludf.DUMMYFUNCTION("GOOGLETRANSLATE(E56,""en"",""th"")"),"ตึงเครียดและมีสมาธิ")</f>
        <v>ตึงเครียดและมีสมาธิ</v>
      </c>
      <c r="R56" s="6" t="str">
        <f>IFERROR(__xludf.DUMMYFUNCTION("GOOGLETRANSLATE(F56,""en"",""th"")"),"งานเฉลิมฉลองและรื่นเริง")</f>
        <v>งานเฉลิมฉลองและรื่นเริง</v>
      </c>
      <c r="S56" s="6" t="str">
        <f>IFERROR(__xludf.DUMMYFUNCTION("GOOGLETRANSLATE(G56,""en"",""th"")"),"เงียบสงบและเศร้าหมอง")</f>
        <v>เงียบสงบและเศร้าหมอง</v>
      </c>
      <c r="T56" s="6" t="s">
        <v>1045</v>
      </c>
      <c r="U56" s="6" t="str">
        <f>IFERROR(__xludf.DUMMYFUNCTION("GOOGLETRANSLATE(I56,""en"",""th"")"),"ตึงเครียดและมีสมาธิ")</f>
        <v>ตึงเครียดและมีสมาธิ</v>
      </c>
      <c r="V56" s="6" t="str">
        <f>IFERROR(__xludf.DUMMYFUNCTION("GOOGLETRANSLATE(J56,""en"",""th"")"),"การแสดงออกที่จริงจังของนักสู้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57" ht="22.5" customHeight="1">
      <c r="A57" s="2" t="s">
        <v>1107</v>
      </c>
      <c r="B57" s="3">
        <v>56.0</v>
      </c>
      <c r="C57" s="4" t="s">
        <v>21</v>
      </c>
      <c r="D57" s="4" t="s">
        <v>1068</v>
      </c>
      <c r="E57" s="4" t="s">
        <v>1108</v>
      </c>
      <c r="F57" s="4" t="s">
        <v>1109</v>
      </c>
      <c r="G57" s="4" t="s">
        <v>1083</v>
      </c>
      <c r="H57" s="4" t="s">
        <v>1110</v>
      </c>
      <c r="I57" s="4" t="s">
        <v>1108</v>
      </c>
      <c r="J57" s="4" t="s">
        <v>1111</v>
      </c>
      <c r="M57" s="4" t="s">
        <v>1107</v>
      </c>
      <c r="N57" s="5">
        <v>56.0</v>
      </c>
      <c r="O57" s="6" t="str">
        <f>IFERROR(__xludf.DUMMYFUNCTION("GOOGLETRANSLATE(C57,""en"",""th"")"),"ภาพที่แสดงเป็นกิจกรรมหลักอะไร?")</f>
        <v>ภาพที่แสดงเป็นกิจกรรมหลักอะไร?</v>
      </c>
      <c r="P57" s="6" t="str">
        <f>IFERROR(__xludf.DUMMYFUNCTION("GOOGLETRANSLATE(D57,""en"",""th"")"),"นักสู้สองคนกำลังฝึกซ้อม")</f>
        <v>นักสู้สองคนกำลังฝึกซ้อม</v>
      </c>
      <c r="Q57" s="6" t="str">
        <f>IFERROR(__xludf.DUMMYFUNCTION("GOOGLETRANSLATE(E57,""en"",""th"")"),"นักสู้กำลังเตะ")</f>
        <v>นักสู้กำลังเตะ</v>
      </c>
      <c r="R57" s="6" t="str">
        <f>IFERROR(__xludf.DUMMYFUNCTION("GOOGLETRANSLATE(F57,""en"",""th"")"),"นักสู้กำลังต่อยกระสอบทราย")</f>
        <v>นักสู้กำลังต่อยกระสอบทราย</v>
      </c>
      <c r="S57" s="6" t="str">
        <f>IFERROR(__xludf.DUMMYFUNCTION("GOOGLETRANSLATE(G57,""en"",""th"")"),"นักสู้กำลังพักผ่อน")</f>
        <v>นักสู้กำลังพักผ่อน</v>
      </c>
      <c r="T57" s="6" t="s">
        <v>1112</v>
      </c>
      <c r="U57" s="6" t="str">
        <f>IFERROR(__xludf.DUMMYFUNCTION("GOOGLETRANSLATE(I57,""en"",""th"")"),"นักสู้กำลังเตะ")</f>
        <v>นักสู้กำลังเตะ</v>
      </c>
      <c r="V57" s="6" t="str">
        <f>IFERROR(__xludf.DUMMYFUNCTION("GOOGLETRANSLATE(J57,""en"",""th"")"),"รูปภาพแสดงให้เห็นนักสู้ในสังเวียนฝึกซ้อม กำลังเตะสูง ซึ่งเป็นองค์ประกอบสำคัญของมวยไทย")</f>
        <v>รูปภาพแสดงให้เห็นนักสู้ในสังเวียนฝึกซ้อม กำลังเตะสูง ซึ่งเป็นองค์ประกอบสำคัญของมวยไทย</v>
      </c>
    </row>
    <row r="58" ht="22.5" customHeight="1">
      <c r="A58" s="2" t="s">
        <v>1107</v>
      </c>
      <c r="B58" s="3">
        <v>57.0</v>
      </c>
      <c r="C58" s="4" t="s">
        <v>1018</v>
      </c>
      <c r="D58" s="4" t="s">
        <v>1019</v>
      </c>
      <c r="E58" s="4" t="s">
        <v>1020</v>
      </c>
      <c r="F58" s="4" t="s">
        <v>1021</v>
      </c>
      <c r="G58" s="4" t="s">
        <v>392</v>
      </c>
      <c r="H58" s="4" t="s">
        <v>1022</v>
      </c>
      <c r="I58" s="4" t="s">
        <v>1021</v>
      </c>
      <c r="J58" s="4" t="s">
        <v>1090</v>
      </c>
      <c r="M58" s="4" t="s">
        <v>1107</v>
      </c>
      <c r="N58" s="5">
        <v>57.0</v>
      </c>
      <c r="O58" s="6" t="str">
        <f>IFERROR(__xludf.DUMMYFUNCTION("GOOGLETRANSLATE(C58,""en"",""th"")"),"ลักษณะเด่นของเครื่องแต่งกายนักสู้คืออะไร?")</f>
        <v>ลักษณะเด่นของเครื่องแต่งกายนักสู้คืออะไร?</v>
      </c>
      <c r="P58" s="6" t="str">
        <f>IFERROR(__xludf.DUMMYFUNCTION("GOOGLETRANSLATE(D58,""en"",""th"")"),"ชุดกิ")</f>
        <v>ชุดกิ</v>
      </c>
      <c r="Q58" s="6" t="str">
        <f>IFERROR(__xludf.DUMMYFUNCTION("GOOGLETRANSLATE(E58,""en"",""th"")"),"ชุดลำลอง")</f>
        <v>ชุดลำลอง</v>
      </c>
      <c r="R58" s="6" t="str">
        <f>IFERROR(__xludf.DUMMYFUNCTION("GOOGLETRANSLATE(F58,""en"",""th"")"),"กางเกงมวยลายดั้งเดิม")</f>
        <v>กางเกงมวยลายดั้งเดิม</v>
      </c>
      <c r="S58" s="6" t="str">
        <f>IFERROR(__xludf.DUMMYFUNCTION("GOOGLETRANSLATE(G58,""en"",""th"")"),"ชุดดำน้ำ")</f>
        <v>ชุดดำน้ำ</v>
      </c>
      <c r="T58" s="6" t="s">
        <v>1024</v>
      </c>
      <c r="U58" s="6" t="str">
        <f>IFERROR(__xludf.DUMMYFUNCTION("GOOGLETRANSLATE(I58,""en"",""th"")"),"กางเกงมวยลายดั้งเดิม")</f>
        <v>กางเกงมวยลายดั้งเดิม</v>
      </c>
      <c r="V58" s="6" t="str">
        <f>IFERROR(__xludf.DUMMYFUNCTION("GOOGLETRANSLATE(J58,""en"",""th"")"),"นักสู้สวมกางเกงมวยที่มีลวดลายไทยดั้งเดิม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59" ht="22.5" customHeight="1">
      <c r="A59" s="2" t="s">
        <v>1107</v>
      </c>
      <c r="B59" s="3">
        <v>58.0</v>
      </c>
      <c r="C59" s="4" t="s">
        <v>1025</v>
      </c>
      <c r="D59" s="4" t="s">
        <v>828</v>
      </c>
      <c r="E59" s="4" t="s">
        <v>1026</v>
      </c>
      <c r="F59" s="4" t="s">
        <v>1027</v>
      </c>
      <c r="G59" s="4" t="s">
        <v>931</v>
      </c>
      <c r="H59" s="4" t="s">
        <v>1028</v>
      </c>
      <c r="I59" s="4" t="s">
        <v>1027</v>
      </c>
      <c r="J59" s="4" t="s">
        <v>1029</v>
      </c>
      <c r="M59" s="4" t="s">
        <v>1107</v>
      </c>
      <c r="N59" s="5">
        <v>58.0</v>
      </c>
      <c r="O59" s="6" t="str">
        <f>IFERROR(__xludf.DUMMYFUNCTION("GOOGLETRANSLATE(C59,""en"",""th"")"),"การเตะในมวยไทยมีจุดประสงค์อะไร?")</f>
        <v>การเตะในมวยไทยมีจุดประสงค์อะไร?</v>
      </c>
      <c r="P59" s="6" t="str">
        <f>IFERROR(__xludf.DUMMYFUNCTION("GOOGLETRANSLATE(D59,""en"",""th"")"),"เพื่อแสดงความสามารถ")</f>
        <v>เพื่อแสดงความสามารถ</v>
      </c>
      <c r="Q59" s="6" t="str">
        <f>IFERROR(__xludf.DUMMYFUNCTION("GOOGLETRANSLATE(E59,""en"",""th"")"),"เพื่อจะน็อคคู่ต่อสู้")</f>
        <v>เพื่อจะน็อคคู่ต่อสู้</v>
      </c>
      <c r="R59" s="6" t="str">
        <f>IFERROR(__xludf.DUMMYFUNCTION("GOOGLETRANSLATE(F59,""en"",""th"")"),"เพื่อโจมตีเข้าที่ลำตัวและขาของคู่ต่อสู้")</f>
        <v>เพื่อโจมตีเข้าที่ลำตัวและขาของคู่ต่อสู้</v>
      </c>
      <c r="S59" s="6" t="str">
        <f>IFERROR(__xludf.DUMMYFUNCTION("GOOGLETRANSLATE(G59,""en"",""th"")"),"เพื่อทำให้เกมยากยิ่งขึ้น")</f>
        <v>เพื่อทำให้เกมยากยิ่งขึ้น</v>
      </c>
      <c r="T59" s="6" t="s">
        <v>1030</v>
      </c>
      <c r="U59" s="6" t="str">
        <f>IFERROR(__xludf.DUMMYFUNCTION("GOOGLETRANSLATE(I59,""en"",""th"")"),"เพื่อโจมตีเข้าที่ลำตัวและขาของคู่ต่อสู้")</f>
        <v>เพื่อโจมตีเข้าที่ลำตัวและขาของคู่ต่อสู้</v>
      </c>
      <c r="V59" s="6" t="str">
        <f>IFERROR(__xludf.DUMMYFUNCTION("GOOGLETRANSLATE(J59,""en"",""th"")"),"การเตะถือเป็นส่วนพื้นฐานของมวยไทย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60" ht="22.5" customHeight="1">
      <c r="A60" s="2" t="s">
        <v>1107</v>
      </c>
      <c r="B60" s="3">
        <v>59.0</v>
      </c>
      <c r="C60" s="4" t="s">
        <v>1031</v>
      </c>
      <c r="D60" s="4" t="s">
        <v>1032</v>
      </c>
      <c r="E60" s="4" t="s">
        <v>1033</v>
      </c>
      <c r="F60" s="4" t="s">
        <v>1034</v>
      </c>
      <c r="G60" s="4" t="s">
        <v>1035</v>
      </c>
      <c r="H60" s="4" t="s">
        <v>1036</v>
      </c>
      <c r="I60" s="4" t="s">
        <v>1033</v>
      </c>
      <c r="J60" s="4" t="s">
        <v>1113</v>
      </c>
      <c r="M60" s="4" t="s">
        <v>1107</v>
      </c>
      <c r="N60" s="5">
        <v>59.0</v>
      </c>
      <c r="O60" s="6" t="str">
        <f>IFERROR(__xludf.DUMMYFUNCTION("GOOGLETRANSLATE(C60,""en"",""th"")"),"นักสู้อยู่ในสภาพแวดล้อมประเภทใด?")</f>
        <v>นักสู้อยู่ในสภาพแวดล้อมประเภทใด?</v>
      </c>
      <c r="P60" s="6" t="str">
        <f>IFERROR(__xludf.DUMMYFUNCTION("GOOGLETRANSLATE(D60,""en"",""th"")"),"การต่อสู้บนท้องถนน")</f>
        <v>การต่อสู้บนท้องถนน</v>
      </c>
      <c r="Q60" s="6" t="str">
        <f>IFERROR(__xludf.DUMMYFUNCTION("GOOGLETRANSLATE(E60,""en"",""th"")"),"ห้องฝึกอบรมแบบดั้งเดิม")</f>
        <v>ห้องฝึกอบรมแบบดั้งเดิม</v>
      </c>
      <c r="R60" s="6" t="str">
        <f>IFERROR(__xludf.DUMMYFUNCTION("GOOGLETRANSLATE(F60,""en"",""th"")"),"เวทีมวย")</f>
        <v>เวทีมวย</v>
      </c>
      <c r="S60" s="6" t="str">
        <f>IFERROR(__xludf.DUMMYFUNCTION("GOOGLETRANSLATE(G60,""en"",""th"")"),"สนามกีฬาขนาดใหญ่")</f>
        <v>สนามกีฬาขนาดใหญ่</v>
      </c>
      <c r="T60" s="6" t="s">
        <v>1038</v>
      </c>
      <c r="U60" s="6" t="str">
        <f>IFERROR(__xludf.DUMMYFUNCTION("GOOGLETRANSLATE(I60,""en"",""th"")"),"ห้องฝึกอบรมแบบดั้งเดิม")</f>
        <v>ห้องฝึกอบรมแบบดั้งเดิม</v>
      </c>
      <c r="V60" s="6" t="str">
        <f>IFERROR(__xludf.DUMMYFUNCTION("GOOGLETRANSLATE(J60,""en"",""th"")"),"ภาพนี้แสดงให้เห็นนักสู้ในสังเวียนมวยซึ่งดูเหมือนจะเป็นห้องฝึกซ้อมแบบเปิดโล่ง ซึ่งเป็นสถานที่ทั่วไปในห้องฝึกซ้อมแบบดั้งเดิม")</f>
        <v>ภาพนี้แสดงให้เห็นนักสู้ในสังเวียนมวยซึ่งดูเหมือนจะเป็นห้องฝึกซ้อมแบบเปิดโล่ง ซึ่งเป็นสถานที่ทั่วไปในห้องฝึกซ้อมแบบดั้งเดิม</v>
      </c>
    </row>
    <row r="61" ht="22.5" customHeight="1">
      <c r="A61" s="2" t="s">
        <v>1107</v>
      </c>
      <c r="B61" s="3">
        <v>60.0</v>
      </c>
      <c r="C61" s="4" t="s">
        <v>154</v>
      </c>
      <c r="D61" s="4" t="s">
        <v>1039</v>
      </c>
      <c r="E61" s="4" t="s">
        <v>1040</v>
      </c>
      <c r="F61" s="4" t="s">
        <v>1041</v>
      </c>
      <c r="G61" s="4" t="s">
        <v>1042</v>
      </c>
      <c r="H61" s="4" t="s">
        <v>1043</v>
      </c>
      <c r="I61" s="4" t="s">
        <v>1040</v>
      </c>
      <c r="J61" s="4" t="s">
        <v>1114</v>
      </c>
      <c r="M61" s="4" t="s">
        <v>1107</v>
      </c>
      <c r="N61" s="5">
        <v>60.0</v>
      </c>
      <c r="O61" s="6" t="str">
        <f>IFERROR(__xludf.DUMMYFUNCTION("GOOGLETRANSLATE(C61,""en"",""th"")"),"บรรยากาศโดยรวมของภาพเป็นอย่างไร?")</f>
        <v>บรรยากาศโดยรวมของภาพเป็นอย่างไร?</v>
      </c>
      <c r="P61" s="6" t="str">
        <f>IFERROR(__xludf.DUMMYFUNCTION("GOOGLETRANSLATE(D61,""en"",""th"")"),"แบบสบายๆ สนุกสนาน")</f>
        <v>แบบสบายๆ สนุกสนาน</v>
      </c>
      <c r="Q61" s="6" t="str">
        <f>IFERROR(__xludf.DUMMYFUNCTION("GOOGLETRANSLATE(E61,""en"",""th"")"),"ตึงเครียดและมีสมาธิ")</f>
        <v>ตึงเครียดและมีสมาธิ</v>
      </c>
      <c r="R61" s="6" t="str">
        <f>IFERROR(__xludf.DUMMYFUNCTION("GOOGLETRANSLATE(F61,""en"",""th"")"),"งานเฉลิมฉลองและรื่นเริง")</f>
        <v>งานเฉลิมฉลองและรื่นเริง</v>
      </c>
      <c r="S61" s="6" t="str">
        <f>IFERROR(__xludf.DUMMYFUNCTION("GOOGLETRANSLATE(G61,""en"",""th"")"),"เงียบสงบและเศร้าหมอง")</f>
        <v>เงียบสงบและเศร้าหมอง</v>
      </c>
      <c r="T61" s="6" t="s">
        <v>1045</v>
      </c>
      <c r="U61" s="6" t="str">
        <f>IFERROR(__xludf.DUMMYFUNCTION("GOOGLETRANSLATE(I61,""en"",""th"")"),"ตึงเครียดและมีสมาธิ")</f>
        <v>ตึงเครียดและมีสมาธิ</v>
      </c>
      <c r="V61" s="6" t="str">
        <f>IFERROR(__xludf.DUMMYFUNCTION("GOOGLETRANSLATE(J61,""en"",""th"")"),"การแสดงออกที่จริงจังของนักสู้ การกระทำในสังเวียน และพื้นหลังที่เบลอ ล้วนสร้างบรรยากาศที่ตึงเครียดและมีสมาธิ")</f>
        <v>การแสดงออกที่จริงจังของนักสู้ การกระทำในสังเวียน และพื้นหลังที่เบลอ ล้วนสร้างบรรยากาศที่ตึงเครียดและมีสมาธิ</v>
      </c>
    </row>
    <row r="62" ht="22.5" customHeight="1">
      <c r="A62" s="2" t="s">
        <v>1115</v>
      </c>
      <c r="B62" s="3">
        <v>61.0</v>
      </c>
      <c r="C62" s="4" t="s">
        <v>21</v>
      </c>
      <c r="D62" s="4" t="s">
        <v>1108</v>
      </c>
      <c r="E62" s="4" t="s">
        <v>1109</v>
      </c>
      <c r="F62" s="4" t="s">
        <v>1083</v>
      </c>
      <c r="G62" s="4" t="s">
        <v>1109</v>
      </c>
      <c r="H62" s="4" t="s">
        <v>1116</v>
      </c>
      <c r="I62" s="4" t="s">
        <v>1108</v>
      </c>
      <c r="J62" s="4" t="s">
        <v>1117</v>
      </c>
      <c r="M62" s="4" t="s">
        <v>1115</v>
      </c>
      <c r="N62" s="5">
        <v>61.0</v>
      </c>
      <c r="O62" s="6" t="str">
        <f>IFERROR(__xludf.DUMMYFUNCTION("GOOGLETRANSLATE(C62,""en"",""th"")"),"ภาพที่แสดงเป็นกิจกรรมหลักอะไร?")</f>
        <v>ภาพที่แสดงเป็นกิจกรรมหลักอะไร?</v>
      </c>
      <c r="P62" s="6" t="str">
        <f>IFERROR(__xludf.DUMMYFUNCTION("GOOGLETRANSLATE(D62,""en"",""th"")"),"นักสู้กำลังเตะ")</f>
        <v>นักสู้กำลังเตะ</v>
      </c>
      <c r="Q62" s="6" t="str">
        <f>IFERROR(__xludf.DUMMYFUNCTION("GOOGLETRANSLATE(E62,""en"",""th"")"),"นักสู้กำลังต่อยกระสอบทราย")</f>
        <v>นักสู้กำลังต่อยกระสอบทราย</v>
      </c>
      <c r="R62" s="6" t="str">
        <f>IFERROR(__xludf.DUMMYFUNCTION("GOOGLETRANSLATE(F62,""en"",""th"")"),"นักสู้กำลังพักผ่อน")</f>
        <v>นักสู้กำลังพักผ่อน</v>
      </c>
      <c r="S62" s="6" t="str">
        <f>IFERROR(__xludf.DUMMYFUNCTION("GOOGLETRANSLATE(G62,""en"",""th"")"),"นักสู้กำลังต่อยกระสอบทราย")</f>
        <v>นักสู้กำลังต่อยกระสอบทราย</v>
      </c>
      <c r="T62" s="6" t="s">
        <v>1118</v>
      </c>
      <c r="U62" s="6" t="str">
        <f>IFERROR(__xludf.DUMMYFUNCTION("GOOGLETRANSLATE(I62,""en"",""th"")"),"นักสู้กำลังเตะ")</f>
        <v>นักสู้กำลังเตะ</v>
      </c>
      <c r="V62" s="6" t="str">
        <f>IFERROR(__xludf.DUMMYFUNCTION("GOOGLETRANSLATE(J62,""en"",""th"")"),"รูปภาพแสดงให้เห็นนักสู้ในสังเวียนกำลังเตะสูงซึ่งเป็นองค์ประกอบสำคัญของมวยไทย")</f>
        <v>รูปภาพแสดงให้เห็นนักสู้ในสังเวียนกำลังเตะสูงซึ่งเป็นองค์ประกอบสำคัญของมวยไทย</v>
      </c>
    </row>
    <row r="63" ht="22.5" customHeight="1">
      <c r="A63" s="2" t="s">
        <v>1115</v>
      </c>
      <c r="B63" s="3">
        <v>62.0</v>
      </c>
      <c r="C63" s="4" t="s">
        <v>1018</v>
      </c>
      <c r="D63" s="4" t="s">
        <v>1019</v>
      </c>
      <c r="E63" s="4" t="s">
        <v>1020</v>
      </c>
      <c r="F63" s="4" t="s">
        <v>1021</v>
      </c>
      <c r="G63" s="4" t="s">
        <v>392</v>
      </c>
      <c r="H63" s="4" t="s">
        <v>1022</v>
      </c>
      <c r="I63" s="4" t="s">
        <v>1021</v>
      </c>
      <c r="J63" s="4" t="s">
        <v>1090</v>
      </c>
      <c r="M63" s="4" t="s">
        <v>1115</v>
      </c>
      <c r="N63" s="5">
        <v>62.0</v>
      </c>
      <c r="O63" s="6" t="str">
        <f>IFERROR(__xludf.DUMMYFUNCTION("GOOGLETRANSLATE(C63,""en"",""th"")"),"ลักษณะเด่นของเครื่องแต่งกายนักสู้คืออะไร?")</f>
        <v>ลักษณะเด่นของเครื่องแต่งกายนักสู้คืออะไร?</v>
      </c>
      <c r="P63" s="6" t="str">
        <f>IFERROR(__xludf.DUMMYFUNCTION("GOOGLETRANSLATE(D63,""en"",""th"")"),"ชุดกิ")</f>
        <v>ชุดกิ</v>
      </c>
      <c r="Q63" s="6" t="str">
        <f>IFERROR(__xludf.DUMMYFUNCTION("GOOGLETRANSLATE(E63,""en"",""th"")"),"ชุดลำลอง")</f>
        <v>ชุดลำลอง</v>
      </c>
      <c r="R63" s="6" t="str">
        <f>IFERROR(__xludf.DUMMYFUNCTION("GOOGLETRANSLATE(F63,""en"",""th"")"),"กางเกงมวยลายดั้งเดิม")</f>
        <v>กางเกงมวยลายดั้งเดิม</v>
      </c>
      <c r="S63" s="6" t="str">
        <f>IFERROR(__xludf.DUMMYFUNCTION("GOOGLETRANSLATE(G63,""en"",""th"")"),"ชุดดำน้ำ")</f>
        <v>ชุดดำน้ำ</v>
      </c>
      <c r="T63" s="6" t="s">
        <v>1024</v>
      </c>
      <c r="U63" s="6" t="str">
        <f>IFERROR(__xludf.DUMMYFUNCTION("GOOGLETRANSLATE(I63,""en"",""th"")"),"กางเกงมวยลายดั้งเดิม")</f>
        <v>กางเกงมวยลายดั้งเดิม</v>
      </c>
      <c r="V63" s="6" t="str">
        <f>IFERROR(__xludf.DUMMYFUNCTION("GOOGLETRANSLATE(J63,""en"",""th"")"),"นักสู้สวมกางเกงมวยที่มีลวดลายไทยดั้งเดิม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64" ht="22.5" customHeight="1">
      <c r="A64" s="2" t="s">
        <v>1115</v>
      </c>
      <c r="B64" s="3">
        <v>63.0</v>
      </c>
      <c r="C64" s="4" t="s">
        <v>1025</v>
      </c>
      <c r="D64" s="4" t="s">
        <v>828</v>
      </c>
      <c r="E64" s="4" t="s">
        <v>1026</v>
      </c>
      <c r="F64" s="4" t="s">
        <v>1027</v>
      </c>
      <c r="G64" s="4" t="s">
        <v>931</v>
      </c>
      <c r="H64" s="4" t="s">
        <v>1028</v>
      </c>
      <c r="I64" s="4" t="s">
        <v>1027</v>
      </c>
      <c r="J64" s="4" t="s">
        <v>1029</v>
      </c>
      <c r="M64" s="4" t="s">
        <v>1115</v>
      </c>
      <c r="N64" s="5">
        <v>63.0</v>
      </c>
      <c r="O64" s="6" t="str">
        <f>IFERROR(__xludf.DUMMYFUNCTION("GOOGLETRANSLATE(C64,""en"",""th"")"),"การเตะในมวยไทยมีจุดประสงค์อะไร?")</f>
        <v>การเตะในมวยไทยมีจุดประสงค์อะไร?</v>
      </c>
      <c r="P64" s="6" t="str">
        <f>IFERROR(__xludf.DUMMYFUNCTION("GOOGLETRANSLATE(D64,""en"",""th"")"),"เพื่อแสดงความสามารถ")</f>
        <v>เพื่อแสดงความสามารถ</v>
      </c>
      <c r="Q64" s="6" t="str">
        <f>IFERROR(__xludf.DUMMYFUNCTION("GOOGLETRANSLATE(E64,""en"",""th"")"),"เพื่อจะน็อคคู่ต่อสู้")</f>
        <v>เพื่อจะน็อคคู่ต่อสู้</v>
      </c>
      <c r="R64" s="6" t="str">
        <f>IFERROR(__xludf.DUMMYFUNCTION("GOOGLETRANSLATE(F64,""en"",""th"")"),"เพื่อโจมตีเข้าที่ลำตัวและขาของคู่ต่อสู้")</f>
        <v>เพื่อโจมตีเข้าที่ลำตัวและขาของคู่ต่อสู้</v>
      </c>
      <c r="S64" s="6" t="str">
        <f>IFERROR(__xludf.DUMMYFUNCTION("GOOGLETRANSLATE(G64,""en"",""th"")"),"เพื่อทำให้เกมยากยิ่งขึ้น")</f>
        <v>เพื่อทำให้เกมยากยิ่งขึ้น</v>
      </c>
      <c r="T64" s="6" t="s">
        <v>1030</v>
      </c>
      <c r="U64" s="6" t="str">
        <f>IFERROR(__xludf.DUMMYFUNCTION("GOOGLETRANSLATE(I64,""en"",""th"")"),"เพื่อโจมตีเข้าที่ลำตัวและขาของคู่ต่อสู้")</f>
        <v>เพื่อโจมตีเข้าที่ลำตัวและขาของคู่ต่อสู้</v>
      </c>
      <c r="V64" s="6" t="str">
        <f>IFERROR(__xludf.DUMMYFUNCTION("GOOGLETRANSLATE(J64,""en"",""th"")"),"การเตะถือเป็นส่วนพื้นฐานของมวยไทย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65" ht="22.5" customHeight="1">
      <c r="A65" s="2" t="s">
        <v>1115</v>
      </c>
      <c r="B65" s="3">
        <v>64.0</v>
      </c>
      <c r="C65" s="4" t="s">
        <v>1031</v>
      </c>
      <c r="D65" s="4" t="s">
        <v>1032</v>
      </c>
      <c r="E65" s="4" t="s">
        <v>1033</v>
      </c>
      <c r="F65" s="4" t="s">
        <v>1034</v>
      </c>
      <c r="G65" s="4" t="s">
        <v>1035</v>
      </c>
      <c r="H65" s="4" t="s">
        <v>1036</v>
      </c>
      <c r="I65" s="4" t="s">
        <v>1034</v>
      </c>
      <c r="J65" s="4" t="s">
        <v>1037</v>
      </c>
      <c r="M65" s="4" t="s">
        <v>1115</v>
      </c>
      <c r="N65" s="5">
        <v>64.0</v>
      </c>
      <c r="O65" s="6" t="str">
        <f>IFERROR(__xludf.DUMMYFUNCTION("GOOGLETRANSLATE(C65,""en"",""th"")"),"นักสู้อยู่ในสภาพแวดล้อมประเภทใด?")</f>
        <v>นักสู้อยู่ในสภาพแวดล้อมประเภทใด?</v>
      </c>
      <c r="P65" s="6" t="str">
        <f>IFERROR(__xludf.DUMMYFUNCTION("GOOGLETRANSLATE(D65,""en"",""th"")"),"การต่อสู้บนท้องถนน")</f>
        <v>การต่อสู้บนท้องถนน</v>
      </c>
      <c r="Q65" s="6" t="str">
        <f>IFERROR(__xludf.DUMMYFUNCTION("GOOGLETRANSLATE(E65,""en"",""th"")"),"ห้องฝึกอบรมแบบดั้งเดิม")</f>
        <v>ห้องฝึกอบรมแบบดั้งเดิม</v>
      </c>
      <c r="R65" s="6" t="str">
        <f>IFERROR(__xludf.DUMMYFUNCTION("GOOGLETRANSLATE(F65,""en"",""th"")"),"เวทีมวย")</f>
        <v>เวทีมวย</v>
      </c>
      <c r="S65" s="6" t="str">
        <f>IFERROR(__xludf.DUMMYFUNCTION("GOOGLETRANSLATE(G65,""en"",""th"")"),"สนามกีฬาขนาดใหญ่")</f>
        <v>สนามกีฬาขนาดใหญ่</v>
      </c>
      <c r="T65" s="6" t="s">
        <v>1038</v>
      </c>
      <c r="U65" s="6" t="str">
        <f>IFERROR(__xludf.DUMMYFUNCTION("GOOGLETRANSLATE(I65,""en"",""th"")"),"เวทีมวย")</f>
        <v>เวทีมวย</v>
      </c>
      <c r="V65" s="6" t="str">
        <f>IFERROR(__xludf.DUMMYFUNCTION("GOOGLETRANSLATE(J65,""en"",""th"")"),"ภาพนี้แสดงให้เห็นนักสู้ในสนามสี่เหลี่ยมที่มีเชือกและเสา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66" ht="22.5" customHeight="1">
      <c r="A66" s="2" t="s">
        <v>1115</v>
      </c>
      <c r="B66" s="3">
        <v>65.0</v>
      </c>
      <c r="C66" s="4" t="s">
        <v>154</v>
      </c>
      <c r="D66" s="4" t="s">
        <v>1039</v>
      </c>
      <c r="E66" s="4" t="s">
        <v>1040</v>
      </c>
      <c r="F66" s="4" t="s">
        <v>1041</v>
      </c>
      <c r="G66" s="4" t="s">
        <v>1042</v>
      </c>
      <c r="H66" s="4" t="s">
        <v>1043</v>
      </c>
      <c r="I66" s="4" t="s">
        <v>1040</v>
      </c>
      <c r="J66" s="4" t="s">
        <v>1119</v>
      </c>
      <c r="M66" s="4" t="s">
        <v>1115</v>
      </c>
      <c r="N66" s="5">
        <v>65.0</v>
      </c>
      <c r="O66" s="6" t="str">
        <f>IFERROR(__xludf.DUMMYFUNCTION("GOOGLETRANSLATE(C66,""en"",""th"")"),"บรรยากาศโดยรวมของภาพเป็นอย่างไร?")</f>
        <v>บรรยากาศโดยรวมของภาพเป็นอย่างไร?</v>
      </c>
      <c r="P66" s="6" t="str">
        <f>IFERROR(__xludf.DUMMYFUNCTION("GOOGLETRANSLATE(D66,""en"",""th"")"),"แบบสบายๆ สนุกสนาน")</f>
        <v>แบบสบายๆ สนุกสนาน</v>
      </c>
      <c r="Q66" s="6" t="str">
        <f>IFERROR(__xludf.DUMMYFUNCTION("GOOGLETRANSLATE(E66,""en"",""th"")"),"ตึงเครียดและมีสมาธิ")</f>
        <v>ตึงเครียดและมีสมาธิ</v>
      </c>
      <c r="R66" s="6" t="str">
        <f>IFERROR(__xludf.DUMMYFUNCTION("GOOGLETRANSLATE(F66,""en"",""th"")"),"งานเฉลิมฉลองและรื่นเริง")</f>
        <v>งานเฉลิมฉลองและรื่นเริง</v>
      </c>
      <c r="S66" s="6" t="str">
        <f>IFERROR(__xludf.DUMMYFUNCTION("GOOGLETRANSLATE(G66,""en"",""th"")"),"เงียบสงบและเศร้าหมอง")</f>
        <v>เงียบสงบและเศร้าหมอง</v>
      </c>
      <c r="T66" s="6" t="s">
        <v>1045</v>
      </c>
      <c r="U66" s="6" t="str">
        <f>IFERROR(__xludf.DUMMYFUNCTION("GOOGLETRANSLATE(I66,""en"",""th"")"),"ตึงเครียดและมีสมาธิ")</f>
        <v>ตึงเครียดและมีสมาธิ</v>
      </c>
      <c r="V66" s="6" t="str">
        <f>IFERROR(__xludf.DUMMYFUNCTION("GOOGLETRANSLATE(J66,""en"",""th"")"),"การแสดงออกที่จริงจังของนักสู้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67" ht="22.5" customHeight="1">
      <c r="A67" s="2" t="s">
        <v>1120</v>
      </c>
      <c r="B67" s="3">
        <v>66.0</v>
      </c>
      <c r="C67" s="4" t="s">
        <v>21</v>
      </c>
      <c r="D67" s="4" t="s">
        <v>1013</v>
      </c>
      <c r="E67" s="4" t="s">
        <v>1014</v>
      </c>
      <c r="F67" s="4" t="s">
        <v>1015</v>
      </c>
      <c r="G67" s="4" t="s">
        <v>1016</v>
      </c>
      <c r="H67" s="4" t="s">
        <v>1047</v>
      </c>
      <c r="I67" s="4" t="s">
        <v>1015</v>
      </c>
      <c r="J67" s="4" t="s">
        <v>1101</v>
      </c>
      <c r="M67" s="4" t="s">
        <v>1120</v>
      </c>
      <c r="N67" s="5">
        <v>66.0</v>
      </c>
      <c r="O67" s="6" t="str">
        <f>IFERROR(__xludf.DUMMYFUNCTION("GOOGLETRANSLATE(C67,""en"",""th"")"),"ภาพที่แสดงเป็นกิจกรรมหลักอะไร?")</f>
        <v>ภาพที่แสดงเป็นกิจกรรมหลักอะไร?</v>
      </c>
      <c r="P67" s="6" t="str">
        <f>IFERROR(__xludf.DUMMYFUNCTION("GOOGLETRANSLATE(D67,""en"",""th"")"),"การแข่งขันชกมวย")</f>
        <v>การแข่งขันชกมวย</v>
      </c>
      <c r="Q67" s="6" t="str">
        <f>IFERROR(__xludf.DUMMYFUNCTION("GOOGLETRANSLATE(E67,""en"",""th"")"),"การแข่งขันคาราเต้")</f>
        <v>การแข่งขันคาราเต้</v>
      </c>
      <c r="R67" s="6" t="str">
        <f>IFERROR(__xludf.DUMMYFUNCTION("GOOGLETRANSLATE(F67,""en"",""th"")"),"การต่อสู้มวยไทย")</f>
        <v>การต่อสู้มวยไทย</v>
      </c>
      <c r="S67" s="6" t="str">
        <f>IFERROR(__xludf.DUMMYFUNCTION("GOOGLETRANSLATE(G67,""en"",""th"")"),"การต่อสู้แบบ MMA")</f>
        <v>การต่อสู้แบบ MMA</v>
      </c>
      <c r="T67" s="6" t="s">
        <v>1048</v>
      </c>
      <c r="U67" s="6" t="str">
        <f>IFERROR(__xludf.DUMMYFUNCTION("GOOGLETRANSLATE(I67,""en"",""th"")"),"การต่อสู้มวยไทย")</f>
        <v>การต่อสู้มวยไทย</v>
      </c>
      <c r="V67" s="6" t="str">
        <f>IFERROR(__xludf.DUMMYFUNCTION("GOOGLETRANSLATE(J67,""en"",""th"")"),"รูปภาพแสดงให้เห็นนักสู้สองคนในสังเวียน สวมถุงมือมวยและกางเกงขาสั้น และคนหนึ่งกำลังออกหมัด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และคนหนึ่งกำลังออกหมัด ซึ่งเป็นองค์ประกอบสำคัญของมวยไทย</v>
      </c>
    </row>
    <row r="68" ht="22.5" customHeight="1">
      <c r="A68" s="2" t="s">
        <v>1120</v>
      </c>
      <c r="B68" s="3">
        <v>67.0</v>
      </c>
      <c r="C68" s="4" t="s">
        <v>1018</v>
      </c>
      <c r="D68" s="4" t="s">
        <v>1019</v>
      </c>
      <c r="E68" s="4" t="s">
        <v>1020</v>
      </c>
      <c r="F68" s="4" t="s">
        <v>1021</v>
      </c>
      <c r="G68" s="4" t="s">
        <v>392</v>
      </c>
      <c r="H68" s="4" t="s">
        <v>1022</v>
      </c>
      <c r="I68" s="4" t="s">
        <v>1021</v>
      </c>
      <c r="J68" s="4" t="s">
        <v>1023</v>
      </c>
      <c r="M68" s="4" t="s">
        <v>1120</v>
      </c>
      <c r="N68" s="5">
        <v>67.0</v>
      </c>
      <c r="O68" s="6" t="str">
        <f>IFERROR(__xludf.DUMMYFUNCTION("GOOGLETRANSLATE(C68,""en"",""th"")"),"ลักษณะเด่นของเครื่องแต่งกายนักสู้คืออะไร?")</f>
        <v>ลักษณะเด่นของเครื่องแต่งกายนักสู้คืออะไร?</v>
      </c>
      <c r="P68" s="6" t="str">
        <f>IFERROR(__xludf.DUMMYFUNCTION("GOOGLETRANSLATE(D68,""en"",""th"")"),"ชุดกิ")</f>
        <v>ชุดกิ</v>
      </c>
      <c r="Q68" s="6" t="str">
        <f>IFERROR(__xludf.DUMMYFUNCTION("GOOGLETRANSLATE(E68,""en"",""th"")"),"ชุดลำลอง")</f>
        <v>ชุดลำลอง</v>
      </c>
      <c r="R68" s="6" t="str">
        <f>IFERROR(__xludf.DUMMYFUNCTION("GOOGLETRANSLATE(F68,""en"",""th"")"),"กางเกงมวยลายดั้งเดิม")</f>
        <v>กางเกงมวยลายดั้งเดิม</v>
      </c>
      <c r="S68" s="6" t="str">
        <f>IFERROR(__xludf.DUMMYFUNCTION("GOOGLETRANSLATE(G68,""en"",""th"")"),"ชุดดำน้ำ")</f>
        <v>ชุดดำน้ำ</v>
      </c>
      <c r="T68" s="6" t="s">
        <v>1024</v>
      </c>
      <c r="U68" s="6" t="str">
        <f>IFERROR(__xludf.DUMMYFUNCTION("GOOGLETRANSLATE(I68,""en"",""th"")"),"กางเกงมวยลายดั้งเดิม")</f>
        <v>กางเกงมวยลายดั้งเดิม</v>
      </c>
      <c r="V68" s="6" t="str">
        <f>IFERROR(__xludf.DUMMYFUNCTION("GOOGLETRANSLATE(J68,""en"",""th"")"),"นักสู้สวมกางเกงมวยที่มีลวดลายไทยดั้งเดิม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69" ht="22.5" customHeight="1">
      <c r="A69" s="2" t="s">
        <v>1120</v>
      </c>
      <c r="B69" s="3">
        <v>68.0</v>
      </c>
      <c r="C69" s="4" t="s">
        <v>1102</v>
      </c>
      <c r="D69" s="4" t="s">
        <v>828</v>
      </c>
      <c r="E69" s="4" t="s">
        <v>1026</v>
      </c>
      <c r="F69" s="4" t="s">
        <v>1103</v>
      </c>
      <c r="G69" s="4" t="s">
        <v>931</v>
      </c>
      <c r="H69" s="4" t="s">
        <v>1104</v>
      </c>
      <c r="I69" s="4" t="s">
        <v>1026</v>
      </c>
      <c r="J69" s="4" t="s">
        <v>1105</v>
      </c>
      <c r="M69" s="4" t="s">
        <v>1120</v>
      </c>
      <c r="N69" s="5">
        <v>68.0</v>
      </c>
      <c r="O69" s="6" t="str">
        <f>IFERROR(__xludf.DUMMYFUNCTION("GOOGLETRANSLATE(C69,""en"",""th"")"),"จุดประสงค์ของการชกมวยไทยมีไว้เพื่ออะไร?")</f>
        <v>จุดประสงค์ของการชกมวยไทยมีไว้เพื่ออะไร?</v>
      </c>
      <c r="P69" s="6" t="str">
        <f>IFERROR(__xludf.DUMMYFUNCTION("GOOGLETRANSLATE(D69,""en"",""th"")"),"เพื่อแสดงความสามารถ")</f>
        <v>เพื่อแสดงความสามารถ</v>
      </c>
      <c r="Q69" s="6" t="str">
        <f>IFERROR(__xludf.DUMMYFUNCTION("GOOGLETRANSLATE(E69,""en"",""th"")"),"เพื่อจะน็อคคู่ต่อสู้")</f>
        <v>เพื่อจะน็อคคู่ต่อสู้</v>
      </c>
      <c r="R69" s="6" t="str">
        <f>IFERROR(__xludf.DUMMYFUNCTION("GOOGLETRANSLATE(F69,""en"",""th"")"),"เพื่อโจมตีเข้าที่ลำตัวและศีรษะของคู่ต่อสู้")</f>
        <v>เพื่อโจมตีเข้าที่ลำตัวและศีรษะของคู่ต่อสู้</v>
      </c>
      <c r="S69" s="6" t="str">
        <f>IFERROR(__xludf.DUMMYFUNCTION("GOOGLETRANSLATE(G69,""en"",""th"")"),"เพื่อทำให้เกมยากยิ่งขึ้น")</f>
        <v>เพื่อทำให้เกมยากยิ่งขึ้น</v>
      </c>
      <c r="T69" s="6" t="s">
        <v>1106</v>
      </c>
      <c r="U69" s="6" t="str">
        <f>IFERROR(__xludf.DUMMYFUNCTION("GOOGLETRANSLATE(I69,""en"",""th"")"),"เพื่อจะน็อคคู่ต่อสู้")</f>
        <v>เพื่อจะน็อคคู่ต่อสู้</v>
      </c>
      <c r="V69" s="6" t="str">
        <f>IFERROR(__xludf.DUMMYFUNCTION("GOOGLETRANSLATE(J69,""en"",""th"")"),"หมัดถือเป็นส่วนสำคัญของมวยไทย ใช้ในการโจมตีศีรษะและลำตัวของคู่ต่อสู้ รวมถึงสร้างระยะห่างและการควบคุม")</f>
        <v>หมัดถือเป็นส่วนสำคัญของมวยไทย ใช้ในการโจมตีศีรษะและลำตัวของคู่ต่อสู้ รวมถึงสร้างระยะห่างและการควบคุม</v>
      </c>
    </row>
    <row r="70" ht="22.5" customHeight="1">
      <c r="A70" s="2" t="s">
        <v>1120</v>
      </c>
      <c r="B70" s="3">
        <v>69.0</v>
      </c>
      <c r="C70" s="4" t="s">
        <v>1031</v>
      </c>
      <c r="D70" s="4" t="s">
        <v>1032</v>
      </c>
      <c r="E70" s="4" t="s">
        <v>1033</v>
      </c>
      <c r="F70" s="4" t="s">
        <v>1034</v>
      </c>
      <c r="G70" s="4" t="s">
        <v>1035</v>
      </c>
      <c r="H70" s="4" t="s">
        <v>1036</v>
      </c>
      <c r="I70" s="4" t="s">
        <v>1034</v>
      </c>
      <c r="J70" s="4" t="s">
        <v>1037</v>
      </c>
      <c r="M70" s="4" t="s">
        <v>1120</v>
      </c>
      <c r="N70" s="5">
        <v>69.0</v>
      </c>
      <c r="O70" s="6" t="str">
        <f>IFERROR(__xludf.DUMMYFUNCTION("GOOGLETRANSLATE(C70,""en"",""th"")"),"นักสู้อยู่ในสภาพแวดล้อมประเภทใด?")</f>
        <v>นักสู้อยู่ในสภาพแวดล้อมประเภทใด?</v>
      </c>
      <c r="P70" s="6" t="str">
        <f>IFERROR(__xludf.DUMMYFUNCTION("GOOGLETRANSLATE(D70,""en"",""th"")"),"การต่อสู้บนท้องถนน")</f>
        <v>การต่อสู้บนท้องถนน</v>
      </c>
      <c r="Q70" s="6" t="str">
        <f>IFERROR(__xludf.DUMMYFUNCTION("GOOGLETRANSLATE(E70,""en"",""th"")"),"ห้องฝึกอบรมแบบดั้งเดิม")</f>
        <v>ห้องฝึกอบรมแบบดั้งเดิม</v>
      </c>
      <c r="R70" s="6" t="str">
        <f>IFERROR(__xludf.DUMMYFUNCTION("GOOGLETRANSLATE(F70,""en"",""th"")"),"เวทีมวย")</f>
        <v>เวทีมวย</v>
      </c>
      <c r="S70" s="6" t="str">
        <f>IFERROR(__xludf.DUMMYFUNCTION("GOOGLETRANSLATE(G70,""en"",""th"")"),"สนามกีฬาขนาดใหญ่")</f>
        <v>สนามกีฬาขนาดใหญ่</v>
      </c>
      <c r="T70" s="6" t="s">
        <v>1038</v>
      </c>
      <c r="U70" s="6" t="str">
        <f>IFERROR(__xludf.DUMMYFUNCTION("GOOGLETRANSLATE(I70,""en"",""th"")"),"เวทีมวย")</f>
        <v>เวทีมวย</v>
      </c>
      <c r="V70" s="6" t="str">
        <f>IFERROR(__xludf.DUMMYFUNCTION("GOOGLETRANSLATE(J70,""en"",""th"")"),"ภาพนี้แสดงให้เห็นนักสู้ในสนามสี่เหลี่ยมที่มีเชือกและเสา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71" ht="22.5" customHeight="1">
      <c r="A71" s="2" t="s">
        <v>1120</v>
      </c>
      <c r="B71" s="3">
        <v>70.0</v>
      </c>
      <c r="C71" s="4" t="s">
        <v>154</v>
      </c>
      <c r="D71" s="4" t="s">
        <v>1039</v>
      </c>
      <c r="E71" s="4" t="s">
        <v>1040</v>
      </c>
      <c r="F71" s="4" t="s">
        <v>1041</v>
      </c>
      <c r="G71" s="4" t="s">
        <v>1042</v>
      </c>
      <c r="H71" s="4" t="s">
        <v>1043</v>
      </c>
      <c r="I71" s="4" t="s">
        <v>1040</v>
      </c>
      <c r="J71" s="4" t="s">
        <v>1044</v>
      </c>
      <c r="M71" s="4" t="s">
        <v>1120</v>
      </c>
      <c r="N71" s="5">
        <v>70.0</v>
      </c>
      <c r="O71" s="6" t="str">
        <f>IFERROR(__xludf.DUMMYFUNCTION("GOOGLETRANSLATE(C71,""en"",""th"")"),"บรรยากาศโดยรวมของภาพเป็นอย่างไร?")</f>
        <v>บรรยากาศโดยรวมของภาพเป็นอย่างไร?</v>
      </c>
      <c r="P71" s="6" t="str">
        <f>IFERROR(__xludf.DUMMYFUNCTION("GOOGLETRANSLATE(D71,""en"",""th"")"),"แบบสบายๆ สนุกสนาน")</f>
        <v>แบบสบายๆ สนุกสนาน</v>
      </c>
      <c r="Q71" s="6" t="str">
        <f>IFERROR(__xludf.DUMMYFUNCTION("GOOGLETRANSLATE(E71,""en"",""th"")"),"ตึงเครียดและมีสมาธิ")</f>
        <v>ตึงเครียดและมีสมาธิ</v>
      </c>
      <c r="R71" s="6" t="str">
        <f>IFERROR(__xludf.DUMMYFUNCTION("GOOGLETRANSLATE(F71,""en"",""th"")"),"งานเฉลิมฉลองและรื่นเริง")</f>
        <v>งานเฉลิมฉลองและรื่นเริง</v>
      </c>
      <c r="S71" s="6" t="str">
        <f>IFERROR(__xludf.DUMMYFUNCTION("GOOGLETRANSLATE(G71,""en"",""th"")"),"เงียบสงบและเศร้าหมอง")</f>
        <v>เงียบสงบและเศร้าหมอง</v>
      </c>
      <c r="T71" s="6" t="s">
        <v>1045</v>
      </c>
      <c r="U71" s="6" t="str">
        <f>IFERROR(__xludf.DUMMYFUNCTION("GOOGLETRANSLATE(I71,""en"",""th"")"),"ตึงเครียดและมีสมาธิ")</f>
        <v>ตึงเครียดและมีสมาธิ</v>
      </c>
      <c r="V71" s="6" t="str">
        <f>IFERROR(__xludf.DUMMYFUNCTION("GOOGLETRANSLATE(J71,""en"",""th"")"),"การแสดงออกที่จริงจังของนักสู้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72" ht="22.5" customHeight="1">
      <c r="A72" s="2" t="s">
        <v>1121</v>
      </c>
      <c r="B72" s="3">
        <v>71.0</v>
      </c>
      <c r="C72" s="4" t="s">
        <v>21</v>
      </c>
      <c r="D72" s="4" t="s">
        <v>1067</v>
      </c>
      <c r="E72" s="4" t="s">
        <v>1068</v>
      </c>
      <c r="F72" s="4" t="s">
        <v>1122</v>
      </c>
      <c r="G72" s="4" t="s">
        <v>1070</v>
      </c>
      <c r="H72" s="4" t="s">
        <v>1123</v>
      </c>
      <c r="I72" s="4" t="s">
        <v>1122</v>
      </c>
      <c r="J72" s="4" t="s">
        <v>1124</v>
      </c>
      <c r="M72" s="4" t="s">
        <v>1121</v>
      </c>
      <c r="N72" s="5">
        <v>71.0</v>
      </c>
      <c r="O72" s="6" t="str">
        <f>IFERROR(__xludf.DUMMYFUNCTION("GOOGLETRANSLATE(C72,""en"",""th"")"),"ภาพที่แสดงเป็นกิจกรรมหลักอะไร?")</f>
        <v>ภาพที่แสดงเป็นกิจกรรมหลักอะไร?</v>
      </c>
      <c r="P72" s="6" t="str">
        <f>IFERROR(__xludf.DUMMYFUNCTION("GOOGLETRANSLATE(D72,""en"",""th"")"),"นักสู้สองคนกำลังต่อสู้กัน")</f>
        <v>นักสู้สองคนกำลังต่อสู้กัน</v>
      </c>
      <c r="Q72" s="6" t="str">
        <f>IFERROR(__xludf.DUMMYFUNCTION("GOOGLETRANSLATE(E72,""en"",""th"")"),"นักสู้สองคนกำลังฝึกซ้อม")</f>
        <v>นักสู้สองคนกำลังฝึกซ้อม</v>
      </c>
      <c r="R72" s="6" t="str">
        <f>IFERROR(__xludf.DUMMYFUNCTION("GOOGLETRANSLATE(F72,""en"",""th"")"),"นักสู้สองคนกำลังต่อสู้กัน")</f>
        <v>นักสู้สองคนกำลังต่อสู้กัน</v>
      </c>
      <c r="S72" s="6" t="str">
        <f>IFERROR(__xludf.DUMMYFUNCTION("GOOGLETRANSLATE(G72,""en"",""th"")"),"นักสู้สองคนกำลังยืดตัว")</f>
        <v>นักสู้สองคนกำลังยืดตัว</v>
      </c>
      <c r="T72" s="6" t="s">
        <v>1125</v>
      </c>
      <c r="U72" s="6" t="str">
        <f>IFERROR(__xludf.DUMMYFUNCTION("GOOGLETRANSLATE(I72,""en"",""th"")"),"นักสู้สองคนกำลังต่อสู้กัน")</f>
        <v>นักสู้สองคนกำลังต่อสู้กัน</v>
      </c>
      <c r="V72" s="6" t="str">
        <f>IFERROR(__xludf.DUMMYFUNCTION("GOOGLETRANSLATE(J72,""en"",""th"")"),"ภาพนี้แสดงให้เห็นคนสองคนในยิมที่กำลังฝึกซ้อมศิลปะการต่อสู้ร่วมกัน ซึ่งเป็นลักษณะเฉพาะของการฝึกซ้อม")</f>
        <v>ภาพนี้แสดงให้เห็นคนสองคนในยิมที่กำลังฝึกซ้อมศิลปะการต่อสู้ร่วมกัน ซึ่งเป็นลักษณะเฉพาะของการฝึกซ้อม</v>
      </c>
    </row>
    <row r="73" ht="22.5" customHeight="1">
      <c r="A73" s="2" t="s">
        <v>1121</v>
      </c>
      <c r="B73" s="3">
        <v>72.0</v>
      </c>
      <c r="C73" s="4" t="s">
        <v>1018</v>
      </c>
      <c r="D73" s="4" t="s">
        <v>1019</v>
      </c>
      <c r="E73" s="4" t="s">
        <v>1020</v>
      </c>
      <c r="F73" s="4" t="s">
        <v>1021</v>
      </c>
      <c r="G73" s="4" t="s">
        <v>392</v>
      </c>
      <c r="H73" s="4" t="s">
        <v>1022</v>
      </c>
      <c r="I73" s="4" t="s">
        <v>1126</v>
      </c>
      <c r="J73" s="4" t="s">
        <v>1127</v>
      </c>
      <c r="M73" s="4" t="s">
        <v>1121</v>
      </c>
      <c r="N73" s="5">
        <v>72.0</v>
      </c>
      <c r="O73" s="6" t="str">
        <f>IFERROR(__xludf.DUMMYFUNCTION("GOOGLETRANSLATE(C73,""en"",""th"")"),"ลักษณะเด่นของเครื่องแต่งกายนักสู้คืออะไร?")</f>
        <v>ลักษณะเด่นของเครื่องแต่งกายนักสู้คืออะไร?</v>
      </c>
      <c r="P73" s="6" t="str">
        <f>IFERROR(__xludf.DUMMYFUNCTION("GOOGLETRANSLATE(D73,""en"",""th"")"),"ชุดกิ")</f>
        <v>ชุดกิ</v>
      </c>
      <c r="Q73" s="6" t="str">
        <f>IFERROR(__xludf.DUMMYFUNCTION("GOOGLETRANSLATE(E73,""en"",""th"")"),"ชุดลำลอง")</f>
        <v>ชุดลำลอง</v>
      </c>
      <c r="R73" s="6" t="str">
        <f>IFERROR(__xludf.DUMMYFUNCTION("GOOGLETRANSLATE(F73,""en"",""th"")"),"กางเกงมวยลายดั้งเดิม")</f>
        <v>กางเกงมวยลายดั้งเดิม</v>
      </c>
      <c r="S73" s="6" t="str">
        <f>IFERROR(__xludf.DUMMYFUNCTION("GOOGLETRANSLATE(G73,""en"",""th"")"),"ชุดดำน้ำ")</f>
        <v>ชุดดำน้ำ</v>
      </c>
      <c r="T73" s="6" t="s">
        <v>1024</v>
      </c>
      <c r="U73" s="6" t="str">
        <f>IFERROR(__xludf.DUMMYFUNCTION("GOOGLETRANSLATE(I73,""en"",""th"")"),"ชุดลำลอง")</f>
        <v>ชุดลำลอง</v>
      </c>
      <c r="V73" s="6" t="str">
        <f>IFERROR(__xludf.DUMMYFUNCTION("GOOGLETRANSLATE(J73,""en"",""th"")"),"นักสู้จะสวมเสื้อผ้าลำลอง เช่น เสื้อกล้าม เสื้อยืด และเลกกิ้ง ซึ่งมักพบเห็นได้ทั่วไปในยิม")</f>
        <v>นักสู้จะสวมเสื้อผ้าลำลอง เช่น เสื้อกล้าม เสื้อยืด และเลกกิ้ง ซึ่งมักพบเห็นได้ทั่วไปในยิม</v>
      </c>
    </row>
    <row r="74" ht="22.5" customHeight="1">
      <c r="A74" s="2" t="s">
        <v>1121</v>
      </c>
      <c r="B74" s="3">
        <v>73.0</v>
      </c>
      <c r="C74" s="4" t="s">
        <v>1128</v>
      </c>
      <c r="D74" s="4" t="s">
        <v>1129</v>
      </c>
      <c r="E74" s="4" t="s">
        <v>1130</v>
      </c>
      <c r="F74" s="4" t="s">
        <v>828</v>
      </c>
      <c r="G74" s="4" t="s">
        <v>931</v>
      </c>
      <c r="H74" s="4" t="s">
        <v>1131</v>
      </c>
      <c r="I74" s="4" t="s">
        <v>1130</v>
      </c>
      <c r="J74" s="4" t="s">
        <v>1132</v>
      </c>
      <c r="M74" s="4" t="s">
        <v>1121</v>
      </c>
      <c r="N74" s="5">
        <v>73.0</v>
      </c>
      <c r="O74" s="6" t="str">
        <f>IFERROR(__xludf.DUMMYFUNCTION("GOOGLETRANSLATE(C74,""en"",""th"")"),"จุดประสงค์ของการฝึกซ้อมคืออะไร?")</f>
        <v>จุดประสงค์ของการฝึกซ้อมคืออะไร?</v>
      </c>
      <c r="P74" s="6" t="str">
        <f>IFERROR(__xludf.DUMMYFUNCTION("GOOGLETRANSLATE(D74,""en"",""th"")"),"เพื่อต่อสู้กัน")</f>
        <v>เพื่อต่อสู้กัน</v>
      </c>
      <c r="Q74" s="6" t="str">
        <f>IFERROR(__xludf.DUMMYFUNCTION("GOOGLETRANSLATE(E74,""en"",""th"")"),"เพื่อฝึกฝนและพัฒนาทักษะ")</f>
        <v>เพื่อฝึกฝนและพัฒนาทักษะ</v>
      </c>
      <c r="R74" s="6" t="str">
        <f>IFERROR(__xludf.DUMMYFUNCTION("GOOGLETRANSLATE(F74,""en"",""th"")"),"เพื่อแสดงความสามารถ")</f>
        <v>เพื่อแสดงความสามารถ</v>
      </c>
      <c r="S74" s="6" t="str">
        <f>IFERROR(__xludf.DUMMYFUNCTION("GOOGLETRANSLATE(G74,""en"",""th"")"),"เพื่อทำให้เกมยากยิ่งขึ้น")</f>
        <v>เพื่อทำให้เกมยากยิ่งขึ้น</v>
      </c>
      <c r="T74" s="6" t="s">
        <v>1133</v>
      </c>
      <c r="U74" s="6" t="str">
        <f>IFERROR(__xludf.DUMMYFUNCTION("GOOGLETRANSLATE(I74,""en"",""th"")"),"เพื่อฝึกฝนและพัฒนาทักษะ")</f>
        <v>เพื่อฝึกฝนและพัฒนาทักษะ</v>
      </c>
      <c r="V74" s="6" t="str">
        <f>IFERROR(__xludf.DUMMYFUNCTION("GOOGLETRANSLATE(J74,""en"",""th"")"),"การฝึกซ้อมแบบสปาร์ริงเป็นรูปแบบหนึ่งของการฝึกซ้อมที่นักสู้สองคนจำลองการต่อสู้เพื่อฝึกฝนเทคนิคและพัฒนาทักษะของตน")</f>
        <v>การฝึกซ้อมแบบสปาร์ริงเป็นรูปแบบหนึ่งของการฝึกซ้อมที่นักสู้สองคนจำลองการต่อสู้เพื่อฝึกฝนเทคนิคและพัฒนาทักษะของตน</v>
      </c>
    </row>
    <row r="75" ht="22.5" customHeight="1">
      <c r="A75" s="2" t="s">
        <v>1121</v>
      </c>
      <c r="B75" s="3">
        <v>74.0</v>
      </c>
      <c r="C75" s="4" t="s">
        <v>1031</v>
      </c>
      <c r="D75" s="4" t="s">
        <v>1032</v>
      </c>
      <c r="E75" s="4" t="s">
        <v>1033</v>
      </c>
      <c r="F75" s="4" t="s">
        <v>1134</v>
      </c>
      <c r="G75" s="4" t="s">
        <v>1035</v>
      </c>
      <c r="H75" s="4" t="s">
        <v>1135</v>
      </c>
      <c r="I75" s="4" t="s">
        <v>1134</v>
      </c>
      <c r="J75" s="4" t="s">
        <v>1136</v>
      </c>
      <c r="M75" s="4" t="s">
        <v>1121</v>
      </c>
      <c r="N75" s="5">
        <v>74.0</v>
      </c>
      <c r="O75" s="6" t="str">
        <f>IFERROR(__xludf.DUMMYFUNCTION("GOOGLETRANSLATE(C75,""en"",""th"")"),"นักสู้อยู่ในสภาพแวดล้อมประเภทใด?")</f>
        <v>นักสู้อยู่ในสภาพแวดล้อมประเภทใด?</v>
      </c>
      <c r="P75" s="6" t="str">
        <f>IFERROR(__xludf.DUMMYFUNCTION("GOOGLETRANSLATE(D75,""en"",""th"")"),"การต่อสู้บนท้องถนน")</f>
        <v>การต่อสู้บนท้องถนน</v>
      </c>
      <c r="Q75" s="6" t="str">
        <f>IFERROR(__xludf.DUMMYFUNCTION("GOOGLETRANSLATE(E75,""en"",""th"")"),"ห้องฝึกอบรมแบบดั้งเดิม")</f>
        <v>ห้องฝึกอบรมแบบดั้งเดิม</v>
      </c>
      <c r="R75" s="6" t="str">
        <f>IFERROR(__xludf.DUMMYFUNCTION("GOOGLETRANSLATE(F75,""en"",""th"")"),"โรงยิมหรือสตูดิโอ")</f>
        <v>โรงยิมหรือสตูดิโอ</v>
      </c>
      <c r="S75" s="6" t="str">
        <f>IFERROR(__xludf.DUMMYFUNCTION("GOOGLETRANSLATE(G75,""en"",""th"")"),"สนามกีฬาขนาดใหญ่")</f>
        <v>สนามกีฬาขนาดใหญ่</v>
      </c>
      <c r="T75" s="6" t="s">
        <v>1137</v>
      </c>
      <c r="U75" s="6" t="str">
        <f>IFERROR(__xludf.DUMMYFUNCTION("GOOGLETRANSLATE(I75,""en"",""th"")"),"โรงยิมหรือสตูดิโอ")</f>
        <v>โรงยิมหรือสตูดิโอ</v>
      </c>
      <c r="V75" s="6" t="str">
        <f>IFERROR(__xludf.DUMMYFUNCTION("GOOGLETRANSLATE(J75,""en"",""th"")"),"ภาพนี้แสดงให้เห็นนักสู้ในโรงยิมที่มีกระสอบทรายและกระจก ซึ่งเป็นสถานที่ทั่วไปในโรงยิมหรือสตูดิโอศิลปะการต่อสู้")</f>
        <v>ภาพนี้แสดงให้เห็นนักสู้ในโรงยิมที่มีกระสอบทรายและกระจก ซึ่งเป็นสถานที่ทั่วไปในโรงยิมหรือสตูดิโอศิลปะการต่อสู้</v>
      </c>
    </row>
    <row r="76" ht="22.5" customHeight="1">
      <c r="A76" s="2" t="s">
        <v>1121</v>
      </c>
      <c r="B76" s="3">
        <v>75.0</v>
      </c>
      <c r="C76" s="4" t="s">
        <v>154</v>
      </c>
      <c r="D76" s="4" t="s">
        <v>1039</v>
      </c>
      <c r="E76" s="4" t="s">
        <v>1040</v>
      </c>
      <c r="F76" s="4" t="s">
        <v>1041</v>
      </c>
      <c r="G76" s="4" t="s">
        <v>1042</v>
      </c>
      <c r="H76" s="4" t="s">
        <v>1043</v>
      </c>
      <c r="I76" s="4" t="s">
        <v>1040</v>
      </c>
      <c r="J76" s="4" t="s">
        <v>1044</v>
      </c>
      <c r="M76" s="4" t="s">
        <v>1121</v>
      </c>
      <c r="N76" s="5">
        <v>75.0</v>
      </c>
      <c r="O76" s="6" t="str">
        <f>IFERROR(__xludf.DUMMYFUNCTION("GOOGLETRANSLATE(C76,""en"",""th"")"),"บรรยากาศโดยรวมของภาพเป็นอย่างไร?")</f>
        <v>บรรยากาศโดยรวมของภาพเป็นอย่างไร?</v>
      </c>
      <c r="P76" s="6" t="str">
        <f>IFERROR(__xludf.DUMMYFUNCTION("GOOGLETRANSLATE(D76,""en"",""th"")"),"แบบสบายๆ สนุกสนาน")</f>
        <v>แบบสบายๆ สนุกสนาน</v>
      </c>
      <c r="Q76" s="6" t="str">
        <f>IFERROR(__xludf.DUMMYFUNCTION("GOOGLETRANSLATE(E76,""en"",""th"")"),"ตึงเครียดและมีสมาธิ")</f>
        <v>ตึงเครียดและมีสมาธิ</v>
      </c>
      <c r="R76" s="6" t="str">
        <f>IFERROR(__xludf.DUMMYFUNCTION("GOOGLETRANSLATE(F76,""en"",""th"")"),"งานเฉลิมฉลองและรื่นเริง")</f>
        <v>งานเฉลิมฉลองและรื่นเริง</v>
      </c>
      <c r="S76" s="6" t="str">
        <f>IFERROR(__xludf.DUMMYFUNCTION("GOOGLETRANSLATE(G76,""en"",""th"")"),"เงียบสงบและเศร้าหมอง")</f>
        <v>เงียบสงบและเศร้าหมอง</v>
      </c>
      <c r="T76" s="6" t="s">
        <v>1045</v>
      </c>
      <c r="U76" s="6" t="str">
        <f>IFERROR(__xludf.DUMMYFUNCTION("GOOGLETRANSLATE(I76,""en"",""th"")"),"ตึงเครียดและมีสมาธิ")</f>
        <v>ตึงเครียดและมีสมาธิ</v>
      </c>
      <c r="V76" s="6" t="str">
        <f>IFERROR(__xludf.DUMMYFUNCTION("GOOGLETRANSLATE(J76,""en"",""th"")"),"การแสดงออกที่จริงจังของนักสู้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77" ht="22.5" customHeight="1">
      <c r="A77" s="2" t="s">
        <v>1138</v>
      </c>
      <c r="B77" s="3">
        <v>76.0</v>
      </c>
      <c r="C77" s="4" t="s">
        <v>21</v>
      </c>
      <c r="D77" s="4" t="s">
        <v>1108</v>
      </c>
      <c r="E77" s="4" t="s">
        <v>1109</v>
      </c>
      <c r="F77" s="4" t="s">
        <v>1083</v>
      </c>
      <c r="G77" s="4" t="s">
        <v>1109</v>
      </c>
      <c r="H77" s="4" t="s">
        <v>1116</v>
      </c>
      <c r="I77" s="4" t="s">
        <v>1108</v>
      </c>
      <c r="J77" s="4" t="s">
        <v>1117</v>
      </c>
      <c r="M77" s="4" t="s">
        <v>1138</v>
      </c>
      <c r="N77" s="5">
        <v>76.0</v>
      </c>
      <c r="O77" s="6" t="str">
        <f>IFERROR(__xludf.DUMMYFUNCTION("GOOGLETRANSLATE(C77,""en"",""th"")"),"ภาพที่แสดงเป็นกิจกรรมหลักอะไร?")</f>
        <v>ภาพที่แสดงเป็นกิจกรรมหลักอะไร?</v>
      </c>
      <c r="P77" s="6" t="str">
        <f>IFERROR(__xludf.DUMMYFUNCTION("GOOGLETRANSLATE(D77,""en"",""th"")"),"นักสู้กำลังเตะ")</f>
        <v>นักสู้กำลังเตะ</v>
      </c>
      <c r="Q77" s="6" t="str">
        <f>IFERROR(__xludf.DUMMYFUNCTION("GOOGLETRANSLATE(E77,""en"",""th"")"),"นักสู้กำลังต่อยกระสอบทราย")</f>
        <v>นักสู้กำลังต่อยกระสอบทราย</v>
      </c>
      <c r="R77" s="6" t="str">
        <f>IFERROR(__xludf.DUMMYFUNCTION("GOOGLETRANSLATE(F77,""en"",""th"")"),"นักสู้กำลังพักผ่อน")</f>
        <v>นักสู้กำลังพักผ่อน</v>
      </c>
      <c r="S77" s="6" t="str">
        <f>IFERROR(__xludf.DUMMYFUNCTION("GOOGLETRANSLATE(G77,""en"",""th"")"),"นักสู้กำลังต่อยกระสอบทราย")</f>
        <v>นักสู้กำลังต่อยกระสอบทราย</v>
      </c>
      <c r="T77" s="6" t="s">
        <v>1118</v>
      </c>
      <c r="U77" s="6" t="str">
        <f>IFERROR(__xludf.DUMMYFUNCTION("GOOGLETRANSLATE(I77,""en"",""th"")"),"นักสู้กำลังเตะ")</f>
        <v>นักสู้กำลังเตะ</v>
      </c>
      <c r="V77" s="6" t="str">
        <f>IFERROR(__xludf.DUMMYFUNCTION("GOOGLETRANSLATE(J77,""en"",""th"")"),"รูปภาพแสดงให้เห็นนักสู้ในสังเวียนกำลังเตะสูงซึ่งเป็นองค์ประกอบสำคัญของมวยไทย")</f>
        <v>รูปภาพแสดงให้เห็นนักสู้ในสังเวียนกำลังเตะสูงซึ่งเป็นองค์ประกอบสำคัญของมวยไทย</v>
      </c>
    </row>
    <row r="78" ht="22.5" customHeight="1">
      <c r="A78" s="2" t="s">
        <v>1138</v>
      </c>
      <c r="B78" s="3">
        <v>77.0</v>
      </c>
      <c r="C78" s="4" t="s">
        <v>1018</v>
      </c>
      <c r="D78" s="4" t="s">
        <v>1019</v>
      </c>
      <c r="E78" s="4" t="s">
        <v>1020</v>
      </c>
      <c r="F78" s="4" t="s">
        <v>1021</v>
      </c>
      <c r="G78" s="4" t="s">
        <v>392</v>
      </c>
      <c r="H78" s="4" t="s">
        <v>1022</v>
      </c>
      <c r="I78" s="4" t="s">
        <v>1021</v>
      </c>
      <c r="J78" s="4" t="s">
        <v>1090</v>
      </c>
      <c r="M78" s="4" t="s">
        <v>1138</v>
      </c>
      <c r="N78" s="5">
        <v>77.0</v>
      </c>
      <c r="O78" s="6" t="str">
        <f>IFERROR(__xludf.DUMMYFUNCTION("GOOGLETRANSLATE(C78,""en"",""th"")"),"ลักษณะเด่นของเครื่องแต่งกายนักสู้คืออะไร?")</f>
        <v>ลักษณะเด่นของเครื่องแต่งกายนักสู้คืออะไร?</v>
      </c>
      <c r="P78" s="6" t="str">
        <f>IFERROR(__xludf.DUMMYFUNCTION("GOOGLETRANSLATE(D78,""en"",""th"")"),"ชุดกิ")</f>
        <v>ชุดกิ</v>
      </c>
      <c r="Q78" s="6" t="str">
        <f>IFERROR(__xludf.DUMMYFUNCTION("GOOGLETRANSLATE(E78,""en"",""th"")"),"ชุดลำลอง")</f>
        <v>ชุดลำลอง</v>
      </c>
      <c r="R78" s="6" t="str">
        <f>IFERROR(__xludf.DUMMYFUNCTION("GOOGLETRANSLATE(F78,""en"",""th"")"),"กางเกงมวยลายดั้งเดิม")</f>
        <v>กางเกงมวยลายดั้งเดิม</v>
      </c>
      <c r="S78" s="6" t="str">
        <f>IFERROR(__xludf.DUMMYFUNCTION("GOOGLETRANSLATE(G78,""en"",""th"")"),"ชุดดำน้ำ")</f>
        <v>ชุดดำน้ำ</v>
      </c>
      <c r="T78" s="6" t="s">
        <v>1024</v>
      </c>
      <c r="U78" s="6" t="str">
        <f>IFERROR(__xludf.DUMMYFUNCTION("GOOGLETRANSLATE(I78,""en"",""th"")"),"กางเกงมวยลายดั้งเดิม")</f>
        <v>กางเกงมวยลายดั้งเดิม</v>
      </c>
      <c r="V78" s="6" t="str">
        <f>IFERROR(__xludf.DUMMYFUNCTION("GOOGLETRANSLATE(J78,""en"",""th"")"),"นักสู้สวมกางเกงมวยที่มีลวดลายไทยดั้งเดิม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79" ht="22.5" customHeight="1">
      <c r="A79" s="2" t="s">
        <v>1138</v>
      </c>
      <c r="B79" s="3">
        <v>78.0</v>
      </c>
      <c r="C79" s="4" t="s">
        <v>1025</v>
      </c>
      <c r="D79" s="4" t="s">
        <v>828</v>
      </c>
      <c r="E79" s="4" t="s">
        <v>1026</v>
      </c>
      <c r="F79" s="4" t="s">
        <v>1027</v>
      </c>
      <c r="G79" s="4" t="s">
        <v>931</v>
      </c>
      <c r="H79" s="4" t="s">
        <v>1028</v>
      </c>
      <c r="I79" s="4" t="s">
        <v>1027</v>
      </c>
      <c r="J79" s="4" t="s">
        <v>1029</v>
      </c>
      <c r="M79" s="4" t="s">
        <v>1138</v>
      </c>
      <c r="N79" s="5">
        <v>78.0</v>
      </c>
      <c r="O79" s="6" t="str">
        <f>IFERROR(__xludf.DUMMYFUNCTION("GOOGLETRANSLATE(C79,""en"",""th"")"),"การเตะในมวยไทยมีจุดประสงค์อะไร?")</f>
        <v>การเตะในมวยไทยมีจุดประสงค์อะไร?</v>
      </c>
      <c r="P79" s="6" t="str">
        <f>IFERROR(__xludf.DUMMYFUNCTION("GOOGLETRANSLATE(D79,""en"",""th"")"),"เพื่อแสดงความสามารถ")</f>
        <v>เพื่อแสดงความสามารถ</v>
      </c>
      <c r="Q79" s="6" t="str">
        <f>IFERROR(__xludf.DUMMYFUNCTION("GOOGLETRANSLATE(E79,""en"",""th"")"),"เพื่อจะน็อคคู่ต่อสู้")</f>
        <v>เพื่อจะน็อคคู่ต่อสู้</v>
      </c>
      <c r="R79" s="6" t="str">
        <f>IFERROR(__xludf.DUMMYFUNCTION("GOOGLETRANSLATE(F79,""en"",""th"")"),"เพื่อโจมตีเข้าที่ลำตัวและขาของคู่ต่อสู้")</f>
        <v>เพื่อโจมตีเข้าที่ลำตัวและขาของคู่ต่อสู้</v>
      </c>
      <c r="S79" s="6" t="str">
        <f>IFERROR(__xludf.DUMMYFUNCTION("GOOGLETRANSLATE(G79,""en"",""th"")"),"เพื่อทำให้เกมยากยิ่งขึ้น")</f>
        <v>เพื่อทำให้เกมยากยิ่งขึ้น</v>
      </c>
      <c r="T79" s="6" t="s">
        <v>1030</v>
      </c>
      <c r="U79" s="6" t="str">
        <f>IFERROR(__xludf.DUMMYFUNCTION("GOOGLETRANSLATE(I79,""en"",""th"")"),"เพื่อโจมตีเข้าที่ลำตัวและขาของคู่ต่อสู้")</f>
        <v>เพื่อโจมตีเข้าที่ลำตัวและขาของคู่ต่อสู้</v>
      </c>
      <c r="V79" s="6" t="str">
        <f>IFERROR(__xludf.DUMMYFUNCTION("GOOGLETRANSLATE(J79,""en"",""th"")"),"การเตะถือเป็นส่วนพื้นฐานของมวยไทย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80" ht="22.5" customHeight="1">
      <c r="A80" s="2" t="s">
        <v>1138</v>
      </c>
      <c r="B80" s="3">
        <v>79.0</v>
      </c>
      <c r="C80" s="4" t="s">
        <v>1031</v>
      </c>
      <c r="D80" s="4" t="s">
        <v>1032</v>
      </c>
      <c r="E80" s="4" t="s">
        <v>1033</v>
      </c>
      <c r="F80" s="4" t="s">
        <v>1034</v>
      </c>
      <c r="G80" s="4" t="s">
        <v>1035</v>
      </c>
      <c r="H80" s="4" t="s">
        <v>1036</v>
      </c>
      <c r="I80" s="4" t="s">
        <v>1034</v>
      </c>
      <c r="J80" s="4" t="s">
        <v>1037</v>
      </c>
      <c r="M80" s="4" t="s">
        <v>1138</v>
      </c>
      <c r="N80" s="5">
        <v>79.0</v>
      </c>
      <c r="O80" s="6" t="str">
        <f>IFERROR(__xludf.DUMMYFUNCTION("GOOGLETRANSLATE(C80,""en"",""th"")"),"นักสู้อยู่ในสภาพแวดล้อมประเภทใด?")</f>
        <v>นักสู้อยู่ในสภาพแวดล้อมประเภทใด?</v>
      </c>
      <c r="P80" s="6" t="str">
        <f>IFERROR(__xludf.DUMMYFUNCTION("GOOGLETRANSLATE(D80,""en"",""th"")"),"การต่อสู้บนท้องถนน")</f>
        <v>การต่อสู้บนท้องถนน</v>
      </c>
      <c r="Q80" s="6" t="str">
        <f>IFERROR(__xludf.DUMMYFUNCTION("GOOGLETRANSLATE(E80,""en"",""th"")"),"ห้องฝึกอบรมแบบดั้งเดิม")</f>
        <v>ห้องฝึกอบรมแบบดั้งเดิม</v>
      </c>
      <c r="R80" s="6" t="str">
        <f>IFERROR(__xludf.DUMMYFUNCTION("GOOGLETRANSLATE(F80,""en"",""th"")"),"เวทีมวย")</f>
        <v>เวทีมวย</v>
      </c>
      <c r="S80" s="6" t="str">
        <f>IFERROR(__xludf.DUMMYFUNCTION("GOOGLETRANSLATE(G80,""en"",""th"")"),"สนามกีฬาขนาดใหญ่")</f>
        <v>สนามกีฬาขนาดใหญ่</v>
      </c>
      <c r="T80" s="6" t="s">
        <v>1038</v>
      </c>
      <c r="U80" s="6" t="str">
        <f>IFERROR(__xludf.DUMMYFUNCTION("GOOGLETRANSLATE(I80,""en"",""th"")"),"เวทีมวย")</f>
        <v>เวทีมวย</v>
      </c>
      <c r="V80" s="6" t="str">
        <f>IFERROR(__xludf.DUMMYFUNCTION("GOOGLETRANSLATE(J80,""en"",""th"")"),"ภาพนี้แสดงให้เห็นนักสู้ในสนามสี่เหลี่ยมที่มีเชือกและเสา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81" ht="22.5" customHeight="1">
      <c r="A81" s="2" t="s">
        <v>1138</v>
      </c>
      <c r="B81" s="3">
        <v>80.0</v>
      </c>
      <c r="C81" s="4" t="s">
        <v>154</v>
      </c>
      <c r="D81" s="4" t="s">
        <v>1039</v>
      </c>
      <c r="E81" s="4" t="s">
        <v>1040</v>
      </c>
      <c r="F81" s="4" t="s">
        <v>1041</v>
      </c>
      <c r="G81" s="4" t="s">
        <v>1042</v>
      </c>
      <c r="H81" s="4" t="s">
        <v>1043</v>
      </c>
      <c r="I81" s="4" t="s">
        <v>1040</v>
      </c>
      <c r="J81" s="4" t="s">
        <v>1044</v>
      </c>
      <c r="M81" s="4" t="s">
        <v>1138</v>
      </c>
      <c r="N81" s="5">
        <v>80.0</v>
      </c>
      <c r="O81" s="6" t="str">
        <f>IFERROR(__xludf.DUMMYFUNCTION("GOOGLETRANSLATE(C81,""en"",""th"")"),"บรรยากาศโดยรวมของภาพเป็นอย่างไร?")</f>
        <v>บรรยากาศโดยรวมของภาพเป็นอย่างไร?</v>
      </c>
      <c r="P81" s="6" t="str">
        <f>IFERROR(__xludf.DUMMYFUNCTION("GOOGLETRANSLATE(D81,""en"",""th"")"),"แบบสบายๆ สนุกสนาน")</f>
        <v>แบบสบายๆ สนุกสนาน</v>
      </c>
      <c r="Q81" s="6" t="str">
        <f>IFERROR(__xludf.DUMMYFUNCTION("GOOGLETRANSLATE(E81,""en"",""th"")"),"ตึงเครียดและมีสมาธิ")</f>
        <v>ตึงเครียดและมีสมาธิ</v>
      </c>
      <c r="R81" s="6" t="str">
        <f>IFERROR(__xludf.DUMMYFUNCTION("GOOGLETRANSLATE(F81,""en"",""th"")"),"งานเฉลิมฉลองและรื่นเริง")</f>
        <v>งานเฉลิมฉลองและรื่นเริง</v>
      </c>
      <c r="S81" s="6" t="str">
        <f>IFERROR(__xludf.DUMMYFUNCTION("GOOGLETRANSLATE(G81,""en"",""th"")"),"เงียบสงบและเศร้าหมอง")</f>
        <v>เงียบสงบและเศร้าหมอง</v>
      </c>
      <c r="T81" s="6" t="s">
        <v>1045</v>
      </c>
      <c r="U81" s="6" t="str">
        <f>IFERROR(__xludf.DUMMYFUNCTION("GOOGLETRANSLATE(I81,""en"",""th"")"),"ตึงเครียดและมีสมาธิ")</f>
        <v>ตึงเครียดและมีสมาธิ</v>
      </c>
      <c r="V81" s="6" t="str">
        <f>IFERROR(__xludf.DUMMYFUNCTION("GOOGLETRANSLATE(J81,""en"",""th"")"),"การแสดงออกที่จริงจังของนักสู้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82" ht="22.5" customHeight="1">
      <c r="A82" s="2" t="s">
        <v>1139</v>
      </c>
      <c r="B82" s="3">
        <v>81.0</v>
      </c>
      <c r="C82" s="4" t="s">
        <v>21</v>
      </c>
      <c r="D82" s="4" t="s">
        <v>1140</v>
      </c>
      <c r="E82" s="4" t="s">
        <v>1141</v>
      </c>
      <c r="F82" s="4" t="s">
        <v>1067</v>
      </c>
      <c r="G82" s="4" t="s">
        <v>1070</v>
      </c>
      <c r="H82" s="4" t="s">
        <v>1142</v>
      </c>
      <c r="I82" s="4" t="s">
        <v>1140</v>
      </c>
      <c r="J82" s="4" t="s">
        <v>1143</v>
      </c>
      <c r="M82" s="4" t="s">
        <v>1139</v>
      </c>
      <c r="N82" s="5">
        <v>81.0</v>
      </c>
      <c r="O82" s="6" t="str">
        <f>IFERROR(__xludf.DUMMYFUNCTION("GOOGLETRANSLATE(C82,""en"",""th"")"),"ภาพที่แสดงเป็นกิจกรรมหลักอะไร?")</f>
        <v>ภาพที่แสดงเป็นกิจกรรมหลักอะไร?</v>
      </c>
      <c r="P82" s="6" t="str">
        <f>IFERROR(__xludf.DUMMYFUNCTION("GOOGLETRANSLATE(D82,""en"",""th"")"),"นักสู้สองคนกำลังต่อสู้กันอยู่บนพื้น")</f>
        <v>นักสู้สองคนกำลังต่อสู้กันอยู่บนพื้น</v>
      </c>
      <c r="Q82" s="6" t="str">
        <f>IFERROR(__xludf.DUMMYFUNCTION("GOOGLETRANSLATE(E82,""en"",""th"")"),"นักสู้สองคนกำลังยืนขึ้น")</f>
        <v>นักสู้สองคนกำลังยืนขึ้น</v>
      </c>
      <c r="R82" s="6" t="str">
        <f>IFERROR(__xludf.DUMMYFUNCTION("GOOGLETRANSLATE(F82,""en"",""th"")"),"นักสู้สองคนกำลังต่อสู้กัน")</f>
        <v>นักสู้สองคนกำลังต่อสู้กัน</v>
      </c>
      <c r="S82" s="6" t="str">
        <f>IFERROR(__xludf.DUMMYFUNCTION("GOOGLETRANSLATE(G82,""en"",""th"")"),"นักสู้สองคนกำลังยืดตัว")</f>
        <v>นักสู้สองคนกำลังยืดตัว</v>
      </c>
      <c r="T82" s="6" t="s">
        <v>1144</v>
      </c>
      <c r="U82" s="6" t="str">
        <f>IFERROR(__xludf.DUMMYFUNCTION("GOOGLETRANSLATE(I82,""en"",""th"")"),"นักสู้สองคนกำลังต่อสู้กันอยู่บนพื้น")</f>
        <v>นักสู้สองคนกำลังต่อสู้กันอยู่บนพื้น</v>
      </c>
      <c r="V82" s="6" t="str">
        <f>IFERROR(__xludf.DUMMYFUNCTION("GOOGLETRANSLATE(J82,""en"",""th"")"),"รูปภาพแสดงให้เห็นนักสู้สองคนนอนอยู่บนพื้น โดยคนหนึ่งนอนทับอีกคนหนึ่ง ซึ่งเป็นลักษณะเฉพาะของการต่อสู้แบบจับล็อก ซึ่งเป็นองค์ประกอบสำคัญของ MMA")</f>
        <v>รูปภาพแสดงให้เห็นนักสู้สองคนนอนอยู่บนพื้น โดยคนหนึ่งนอนทับอีกคนหนึ่ง ซึ่งเป็นลักษณะเฉพาะของการต่อสู้แบบจับล็อก ซึ่งเป็นองค์ประกอบสำคัญของ MMA</v>
      </c>
    </row>
    <row r="83" ht="22.5" customHeight="1">
      <c r="A83" s="2" t="s">
        <v>1139</v>
      </c>
      <c r="B83" s="3">
        <v>82.0</v>
      </c>
      <c r="C83" s="4" t="s">
        <v>1018</v>
      </c>
      <c r="D83" s="4" t="s">
        <v>1051</v>
      </c>
      <c r="E83" s="4" t="s">
        <v>1052</v>
      </c>
      <c r="F83" s="4" t="s">
        <v>392</v>
      </c>
      <c r="G83" s="4" t="s">
        <v>1053</v>
      </c>
      <c r="H83" s="4" t="s">
        <v>1054</v>
      </c>
      <c r="I83" s="4" t="s">
        <v>1052</v>
      </c>
      <c r="J83" s="4" t="s">
        <v>1055</v>
      </c>
      <c r="M83" s="4" t="s">
        <v>1139</v>
      </c>
      <c r="N83" s="5">
        <v>82.0</v>
      </c>
      <c r="O83" s="6" t="str">
        <f>IFERROR(__xludf.DUMMYFUNCTION("GOOGLETRANSLATE(C83,""en"",""th"")"),"ลักษณะเด่นของเครื่องแต่งกายนักสู้คืออะไร?")</f>
        <v>ลักษณะเด่นของเครื่องแต่งกายนักสู้คืออะไร?</v>
      </c>
      <c r="P83" s="6" t="str">
        <f>IFERROR(__xludf.DUMMYFUNCTION("GOOGLETRANSLATE(D83,""en"",""th"")"),"ถุงมือมวย")</f>
        <v>ถุงมือมวย</v>
      </c>
      <c r="Q83" s="6" t="str">
        <f>IFERROR(__xludf.DUMMYFUNCTION("GOOGLETRANSLATE(E83,""en"",""th"")"),"ถุงมือ MMA แบบไม่มีนิ้ว")</f>
        <v>ถุงมือ MMA แบบไม่มีนิ้ว</v>
      </c>
      <c r="R83" s="6" t="str">
        <f>IFERROR(__xludf.DUMMYFUNCTION("GOOGLETRANSLATE(F83,""en"",""th"")"),"ชุดดำน้ำ")</f>
        <v>ชุดดำน้ำ</v>
      </c>
      <c r="S83" s="6" t="str">
        <f>IFERROR(__xludf.DUMMYFUNCTION("GOOGLETRANSLATE(G83,""en"",""th"")"),"กางเกงขาสั้นลายไทย")</f>
        <v>กางเกงขาสั้นลายไทย</v>
      </c>
      <c r="T83" s="6" t="s">
        <v>1056</v>
      </c>
      <c r="U83" s="6" t="str">
        <f>IFERROR(__xludf.DUMMYFUNCTION("GOOGLETRANSLATE(I83,""en"",""th"")"),"ถุงมือ MMA แบบไม่มีนิ้ว")</f>
        <v>ถุงมือ MMA แบบไม่มีนิ้ว</v>
      </c>
      <c r="V83" s="6" t="str">
        <f>IFERROR(__xludf.DUMMYFUNCTION("GOOGLETRANSLATE(J83,""en"",""th"")"),"นักสู้สวมถุงมือ MMA แบบไม่มีนิ้ว ซึ่งออกแบบมาเพื่อให้พวกเขาสามารถจับและใช้มือได้ทั้งในการต่อยและคว้า")</f>
        <v>นักสู้สวมถุงมือ MMA แบบไม่มีนิ้ว ซึ่งออกแบบมาเพื่อให้พวกเขาสามารถจับและใช้มือได้ทั้งในการต่อยและคว้า</v>
      </c>
    </row>
    <row r="84" ht="22.5" customHeight="1">
      <c r="A84" s="2" t="s">
        <v>1139</v>
      </c>
      <c r="B84" s="3">
        <v>83.0</v>
      </c>
      <c r="C84" s="4" t="s">
        <v>1145</v>
      </c>
      <c r="D84" s="4" t="s">
        <v>828</v>
      </c>
      <c r="E84" s="4" t="s">
        <v>1026</v>
      </c>
      <c r="F84" s="4" t="s">
        <v>1146</v>
      </c>
      <c r="G84" s="4" t="s">
        <v>931</v>
      </c>
      <c r="H84" s="4" t="s">
        <v>1147</v>
      </c>
      <c r="I84" s="4" t="s">
        <v>1146</v>
      </c>
      <c r="J84" s="4" t="s">
        <v>1148</v>
      </c>
      <c r="M84" s="4" t="s">
        <v>1139</v>
      </c>
      <c r="N84" s="5">
        <v>83.0</v>
      </c>
      <c r="O84" s="6" t="str">
        <f>IFERROR(__xludf.DUMMYFUNCTION("GOOGLETRANSLATE(C84,""en"",""th"")"),"จุดประสงค์ของการต่อสู้คืออะไร?")</f>
        <v>จุดประสงค์ของการต่อสู้คืออะไร?</v>
      </c>
      <c r="P84" s="6" t="str">
        <f>IFERROR(__xludf.DUMMYFUNCTION("GOOGLETRANSLATE(D84,""en"",""th"")"),"เพื่อแสดงความสามารถ")</f>
        <v>เพื่อแสดงความสามารถ</v>
      </c>
      <c r="Q84" s="6" t="str">
        <f>IFERROR(__xludf.DUMMYFUNCTION("GOOGLETRANSLATE(E84,""en"",""th"")"),"เพื่อจะน็อคคู่ต่อสู้")</f>
        <v>เพื่อจะน็อคคู่ต่อสู้</v>
      </c>
      <c r="R84" s="6" t="str">
        <f>IFERROR(__xludf.DUMMYFUNCTION("GOOGLETRANSLATE(F84,""en"",""th"")"),"เพื่อควบคุมคู่ต่อสู้และยอมแพ้")</f>
        <v>เพื่อควบคุมคู่ต่อสู้และยอมแพ้</v>
      </c>
      <c r="S84" s="6" t="str">
        <f>IFERROR(__xludf.DUMMYFUNCTION("GOOGLETRANSLATE(G84,""en"",""th"")"),"เพื่อทำให้เกมยากยิ่งขึ้น")</f>
        <v>เพื่อทำให้เกมยากยิ่งขึ้น</v>
      </c>
      <c r="T84" s="6" t="s">
        <v>1149</v>
      </c>
      <c r="U84" s="6" t="str">
        <f>IFERROR(__xludf.DUMMYFUNCTION("GOOGLETRANSLATE(I84,""en"",""th"")"),"เพื่อควบคุมคู่ต่อสู้และยอมแพ้")</f>
        <v>เพื่อควบคุมคู่ต่อสู้และยอมแพ้</v>
      </c>
      <c r="V84" s="6" t="str">
        <f>IFERROR(__xludf.DUMMYFUNCTION("GOOGLETRANSLATE(J84,""en"",""th"")"),"การจับล็อกถือเป็นส่วนพื้นฐานของ MMA ซึ่งใช้เพื่อควบคุมคู่ต่อสู้และรัดคอพวกเขา")</f>
        <v>การจับล็อกถือเป็นส่วนพื้นฐานของ MMA ซึ่งใช้เพื่อควบคุมคู่ต่อสู้และรัดคอพวกเขา</v>
      </c>
    </row>
    <row r="85" ht="22.5" customHeight="1">
      <c r="A85" s="2" t="s">
        <v>1139</v>
      </c>
      <c r="B85" s="3">
        <v>84.0</v>
      </c>
      <c r="C85" s="4" t="s">
        <v>1031</v>
      </c>
      <c r="D85" s="4" t="s">
        <v>1032</v>
      </c>
      <c r="E85" s="4" t="s">
        <v>1033</v>
      </c>
      <c r="F85" s="4" t="s">
        <v>1034</v>
      </c>
      <c r="G85" s="4" t="s">
        <v>1059</v>
      </c>
      <c r="H85" s="4" t="s">
        <v>1060</v>
      </c>
      <c r="I85" s="4" t="s">
        <v>1059</v>
      </c>
      <c r="J85" s="4" t="s">
        <v>1061</v>
      </c>
      <c r="M85" s="4" t="s">
        <v>1139</v>
      </c>
      <c r="N85" s="5">
        <v>84.0</v>
      </c>
      <c r="O85" s="6" t="str">
        <f>IFERROR(__xludf.DUMMYFUNCTION("GOOGLETRANSLATE(C85,""en"",""th"")"),"นักสู้อยู่ในสภาพแวดล้อมประเภทใด?")</f>
        <v>นักสู้อยู่ในสภาพแวดล้อมประเภทใด?</v>
      </c>
      <c r="P85" s="6" t="str">
        <f>IFERROR(__xludf.DUMMYFUNCTION("GOOGLETRANSLATE(D85,""en"",""th"")"),"การต่อสู้บนท้องถนน")</f>
        <v>การต่อสู้บนท้องถนน</v>
      </c>
      <c r="Q85" s="6" t="str">
        <f>IFERROR(__xludf.DUMMYFUNCTION("GOOGLETRANSLATE(E85,""en"",""th"")"),"ห้องฝึกอบรมแบบดั้งเดิม")</f>
        <v>ห้องฝึกอบรมแบบดั้งเดิม</v>
      </c>
      <c r="R85" s="6" t="str">
        <f>IFERROR(__xludf.DUMMYFUNCTION("GOOGLETRANSLATE(F85,""en"",""th"")"),"เวทีมวย")</f>
        <v>เวทีมวย</v>
      </c>
      <c r="S85" s="6" t="str">
        <f>IFERROR(__xludf.DUMMYFUNCTION("GOOGLETRANSLATE(G85,""en"",""th"")"),"กรง (แปดเหลี่ยม)")</f>
        <v>กรง (แปดเหลี่ยม)</v>
      </c>
      <c r="T85" s="6" t="s">
        <v>1062</v>
      </c>
      <c r="U85" s="6" t="str">
        <f>IFERROR(__xludf.DUMMYFUNCTION("GOOGLETRANSLATE(I85,""en"",""th"")"),"กรง (แปดเหลี่ยม)")</f>
        <v>กรง (แปดเหลี่ยม)</v>
      </c>
      <c r="V85" s="6" t="str">
        <f>IFERROR(__xludf.DUMMYFUNCTION("GOOGLETRANSLATE(J85,""en"",""th"")"),"ภาพนี้แสดงให้เห็นนักสู้ในกรงหกเหลี่ยม ซึ่งเป็นสถานที่มาตรฐานสำหรับการต่อสู้ MMA")</f>
        <v>ภาพนี้แสดงให้เห็นนักสู้ในกรงหกเหลี่ยม ซึ่งเป็นสถานที่มาตรฐานสำหรับการต่อสู้ MMA</v>
      </c>
    </row>
    <row r="86" ht="22.5" customHeight="1">
      <c r="A86" s="2" t="s">
        <v>1139</v>
      </c>
      <c r="B86" s="3">
        <v>85.0</v>
      </c>
      <c r="C86" s="4" t="s">
        <v>154</v>
      </c>
      <c r="D86" s="4" t="s">
        <v>1039</v>
      </c>
      <c r="E86" s="4" t="s">
        <v>1040</v>
      </c>
      <c r="F86" s="4" t="s">
        <v>1041</v>
      </c>
      <c r="G86" s="4" t="s">
        <v>1042</v>
      </c>
      <c r="H86" s="4" t="s">
        <v>1043</v>
      </c>
      <c r="I86" s="4" t="s">
        <v>1040</v>
      </c>
      <c r="J86" s="4" t="s">
        <v>1044</v>
      </c>
      <c r="M86" s="4" t="s">
        <v>1139</v>
      </c>
      <c r="N86" s="5">
        <v>85.0</v>
      </c>
      <c r="O86" s="6" t="str">
        <f>IFERROR(__xludf.DUMMYFUNCTION("GOOGLETRANSLATE(C86,""en"",""th"")"),"บรรยากาศโดยรวมของภาพเป็นอย่างไร?")</f>
        <v>บรรยากาศโดยรวมของภาพเป็นอย่างไร?</v>
      </c>
      <c r="P86" s="6" t="str">
        <f>IFERROR(__xludf.DUMMYFUNCTION("GOOGLETRANSLATE(D86,""en"",""th"")"),"แบบสบายๆ สนุกสนาน")</f>
        <v>แบบสบายๆ สนุกสนาน</v>
      </c>
      <c r="Q86" s="6" t="str">
        <f>IFERROR(__xludf.DUMMYFUNCTION("GOOGLETRANSLATE(E86,""en"",""th"")"),"ตึงเครียดและมีสมาธิ")</f>
        <v>ตึงเครียดและมีสมาธิ</v>
      </c>
      <c r="R86" s="6" t="str">
        <f>IFERROR(__xludf.DUMMYFUNCTION("GOOGLETRANSLATE(F86,""en"",""th"")"),"งานเฉลิมฉลองและรื่นเริง")</f>
        <v>งานเฉลิมฉลองและรื่นเริง</v>
      </c>
      <c r="S86" s="6" t="str">
        <f>IFERROR(__xludf.DUMMYFUNCTION("GOOGLETRANSLATE(G86,""en"",""th"")"),"เงียบสงบและเศร้าหมอง")</f>
        <v>เงียบสงบและเศร้าหมอง</v>
      </c>
      <c r="T86" s="6" t="s">
        <v>1045</v>
      </c>
      <c r="U86" s="6" t="str">
        <f>IFERROR(__xludf.DUMMYFUNCTION("GOOGLETRANSLATE(I86,""en"",""th"")"),"ตึงเครียดและมีสมาธิ")</f>
        <v>ตึงเครียดและมีสมาธิ</v>
      </c>
      <c r="V86" s="6" t="str">
        <f>IFERROR(__xludf.DUMMYFUNCTION("GOOGLETRANSLATE(J86,""en"",""th"")"),"การแสดงออกที่จริงจังของนักสู้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87" ht="22.5" customHeight="1">
      <c r="A87" s="2" t="s">
        <v>1150</v>
      </c>
      <c r="B87" s="3">
        <v>86.0</v>
      </c>
      <c r="C87" s="4" t="s">
        <v>21</v>
      </c>
      <c r="D87" s="4" t="s">
        <v>1013</v>
      </c>
      <c r="E87" s="4" t="s">
        <v>1014</v>
      </c>
      <c r="F87" s="4" t="s">
        <v>1015</v>
      </c>
      <c r="G87" s="4" t="s">
        <v>1016</v>
      </c>
      <c r="H87" s="4" t="s">
        <v>1047</v>
      </c>
      <c r="I87" s="4" t="s">
        <v>1015</v>
      </c>
      <c r="J87" s="4" t="s">
        <v>1017</v>
      </c>
      <c r="M87" s="4" t="s">
        <v>1150</v>
      </c>
      <c r="N87" s="5">
        <v>86.0</v>
      </c>
      <c r="O87" s="6" t="str">
        <f>IFERROR(__xludf.DUMMYFUNCTION("GOOGLETRANSLATE(C87,""en"",""th"")"),"ภาพที่แสดงเป็นกิจกรรมหลักอะไร?")</f>
        <v>ภาพที่แสดงเป็นกิจกรรมหลักอะไร?</v>
      </c>
      <c r="P87" s="6" t="str">
        <f>IFERROR(__xludf.DUMMYFUNCTION("GOOGLETRANSLATE(D87,""en"",""th"")"),"การแข่งขันชกมวย")</f>
        <v>การแข่งขันชกมวย</v>
      </c>
      <c r="Q87" s="6" t="str">
        <f>IFERROR(__xludf.DUMMYFUNCTION("GOOGLETRANSLATE(E87,""en"",""th"")"),"การแข่งขันคาราเต้")</f>
        <v>การแข่งขันคาราเต้</v>
      </c>
      <c r="R87" s="6" t="str">
        <f>IFERROR(__xludf.DUMMYFUNCTION("GOOGLETRANSLATE(F87,""en"",""th"")"),"การต่อสู้มวยไทย")</f>
        <v>การต่อสู้มวยไทย</v>
      </c>
      <c r="S87" s="6" t="str">
        <f>IFERROR(__xludf.DUMMYFUNCTION("GOOGLETRANSLATE(G87,""en"",""th"")"),"การต่อสู้แบบ MMA")</f>
        <v>การต่อสู้แบบ MMA</v>
      </c>
      <c r="T87" s="6" t="s">
        <v>1048</v>
      </c>
      <c r="U87" s="6" t="str">
        <f>IFERROR(__xludf.DUMMYFUNCTION("GOOGLETRANSLATE(I87,""en"",""th"")"),"การต่อสู้มวยไทย")</f>
        <v>การต่อสู้มวยไทย</v>
      </c>
      <c r="V87" s="6" t="str">
        <f>IFERROR(__xludf.DUMMYFUNCTION("GOOGLETRANSLATE(J87,""en"",""th"")"),"รูปภาพแสดงให้เห็นนักสู้สองคนในสังเวียน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v>
      </c>
    </row>
    <row r="88" ht="22.5" customHeight="1">
      <c r="A88" s="2" t="s">
        <v>1150</v>
      </c>
      <c r="B88" s="3">
        <v>87.0</v>
      </c>
      <c r="C88" s="4" t="s">
        <v>1018</v>
      </c>
      <c r="D88" s="4" t="s">
        <v>1019</v>
      </c>
      <c r="E88" s="4" t="s">
        <v>1020</v>
      </c>
      <c r="F88" s="4" t="s">
        <v>1021</v>
      </c>
      <c r="G88" s="4" t="s">
        <v>392</v>
      </c>
      <c r="H88" s="4" t="s">
        <v>1022</v>
      </c>
      <c r="I88" s="4" t="s">
        <v>1021</v>
      </c>
      <c r="J88" s="4" t="s">
        <v>1023</v>
      </c>
      <c r="M88" s="4" t="s">
        <v>1150</v>
      </c>
      <c r="N88" s="5">
        <v>87.0</v>
      </c>
      <c r="O88" s="6" t="str">
        <f>IFERROR(__xludf.DUMMYFUNCTION("GOOGLETRANSLATE(C88,""en"",""th"")"),"ลักษณะเด่นของเครื่องแต่งกายนักสู้คืออะไร?")</f>
        <v>ลักษณะเด่นของเครื่องแต่งกายนักสู้คืออะไร?</v>
      </c>
      <c r="P88" s="6" t="str">
        <f>IFERROR(__xludf.DUMMYFUNCTION("GOOGLETRANSLATE(D88,""en"",""th"")"),"ชุดกิ")</f>
        <v>ชุดกิ</v>
      </c>
      <c r="Q88" s="6" t="str">
        <f>IFERROR(__xludf.DUMMYFUNCTION("GOOGLETRANSLATE(E88,""en"",""th"")"),"ชุดลำลอง")</f>
        <v>ชุดลำลอง</v>
      </c>
      <c r="R88" s="6" t="str">
        <f>IFERROR(__xludf.DUMMYFUNCTION("GOOGLETRANSLATE(F88,""en"",""th"")"),"กางเกงมวยลายดั้งเดิม")</f>
        <v>กางเกงมวยลายดั้งเดิม</v>
      </c>
      <c r="S88" s="6" t="str">
        <f>IFERROR(__xludf.DUMMYFUNCTION("GOOGLETRANSLATE(G88,""en"",""th"")"),"ชุดดำน้ำ")</f>
        <v>ชุดดำน้ำ</v>
      </c>
      <c r="T88" s="6" t="s">
        <v>1024</v>
      </c>
      <c r="U88" s="6" t="str">
        <f>IFERROR(__xludf.DUMMYFUNCTION("GOOGLETRANSLATE(I88,""en"",""th"")"),"กางเกงมวยลายดั้งเดิม")</f>
        <v>กางเกงมวยลายดั้งเดิม</v>
      </c>
      <c r="V88" s="6" t="str">
        <f>IFERROR(__xludf.DUMMYFUNCTION("GOOGLETRANSLATE(J88,""en"",""th"")"),"นักสู้สวมกางเกงมวยที่มีลวดลายไทยดั้งเดิม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89" ht="22.5" customHeight="1">
      <c r="A89" s="2" t="s">
        <v>1150</v>
      </c>
      <c r="B89" s="3">
        <v>88.0</v>
      </c>
      <c r="C89" s="4" t="s">
        <v>1025</v>
      </c>
      <c r="D89" s="4" t="s">
        <v>828</v>
      </c>
      <c r="E89" s="4" t="s">
        <v>1026</v>
      </c>
      <c r="F89" s="4" t="s">
        <v>1027</v>
      </c>
      <c r="G89" s="4" t="s">
        <v>931</v>
      </c>
      <c r="H89" s="4" t="s">
        <v>1028</v>
      </c>
      <c r="I89" s="4" t="s">
        <v>1027</v>
      </c>
      <c r="J89" s="4" t="s">
        <v>1029</v>
      </c>
      <c r="M89" s="4" t="s">
        <v>1150</v>
      </c>
      <c r="N89" s="5">
        <v>88.0</v>
      </c>
      <c r="O89" s="6" t="str">
        <f>IFERROR(__xludf.DUMMYFUNCTION("GOOGLETRANSLATE(C89,""en"",""th"")"),"การเตะในมวยไทยมีจุดประสงค์อะไร?")</f>
        <v>การเตะในมวยไทยมีจุดประสงค์อะไร?</v>
      </c>
      <c r="P89" s="6" t="str">
        <f>IFERROR(__xludf.DUMMYFUNCTION("GOOGLETRANSLATE(D89,""en"",""th"")"),"เพื่อแสดงความสามารถ")</f>
        <v>เพื่อแสดงความสามารถ</v>
      </c>
      <c r="Q89" s="6" t="str">
        <f>IFERROR(__xludf.DUMMYFUNCTION("GOOGLETRANSLATE(E89,""en"",""th"")"),"เพื่อจะน็อคคู่ต่อสู้")</f>
        <v>เพื่อจะน็อคคู่ต่อสู้</v>
      </c>
      <c r="R89" s="6" t="str">
        <f>IFERROR(__xludf.DUMMYFUNCTION("GOOGLETRANSLATE(F89,""en"",""th"")"),"เพื่อโจมตีเข้าที่ลำตัวและขาของคู่ต่อสู้")</f>
        <v>เพื่อโจมตีเข้าที่ลำตัวและขาของคู่ต่อสู้</v>
      </c>
      <c r="S89" s="6" t="str">
        <f>IFERROR(__xludf.DUMMYFUNCTION("GOOGLETRANSLATE(G89,""en"",""th"")"),"เพื่อทำให้เกมยากยิ่งขึ้น")</f>
        <v>เพื่อทำให้เกมยากยิ่งขึ้น</v>
      </c>
      <c r="T89" s="6" t="s">
        <v>1030</v>
      </c>
      <c r="U89" s="6" t="str">
        <f>IFERROR(__xludf.DUMMYFUNCTION("GOOGLETRANSLATE(I89,""en"",""th"")"),"เพื่อโจมตีเข้าที่ลำตัวและขาของคู่ต่อสู้")</f>
        <v>เพื่อโจมตีเข้าที่ลำตัวและขาของคู่ต่อสู้</v>
      </c>
      <c r="V89" s="6" t="str">
        <f>IFERROR(__xludf.DUMMYFUNCTION("GOOGLETRANSLATE(J89,""en"",""th"")"),"การเตะถือเป็นส่วนพื้นฐานของมวยไทย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90" ht="22.5" customHeight="1">
      <c r="A90" s="2" t="s">
        <v>1150</v>
      </c>
      <c r="B90" s="3">
        <v>89.0</v>
      </c>
      <c r="C90" s="4" t="s">
        <v>1031</v>
      </c>
      <c r="D90" s="4" t="s">
        <v>1032</v>
      </c>
      <c r="E90" s="4" t="s">
        <v>1033</v>
      </c>
      <c r="F90" s="4" t="s">
        <v>1034</v>
      </c>
      <c r="G90" s="4" t="s">
        <v>1035</v>
      </c>
      <c r="H90" s="4" t="s">
        <v>1036</v>
      </c>
      <c r="I90" s="4" t="s">
        <v>1034</v>
      </c>
      <c r="J90" s="4" t="s">
        <v>1037</v>
      </c>
      <c r="M90" s="4" t="s">
        <v>1150</v>
      </c>
      <c r="N90" s="5">
        <v>89.0</v>
      </c>
      <c r="O90" s="6" t="str">
        <f>IFERROR(__xludf.DUMMYFUNCTION("GOOGLETRANSLATE(C90,""en"",""th"")"),"นักสู้อยู่ในสภาพแวดล้อมประเภทใด?")</f>
        <v>นักสู้อยู่ในสภาพแวดล้อมประเภทใด?</v>
      </c>
      <c r="P90" s="6" t="str">
        <f>IFERROR(__xludf.DUMMYFUNCTION("GOOGLETRANSLATE(D90,""en"",""th"")"),"การต่อสู้บนท้องถนน")</f>
        <v>การต่อสู้บนท้องถนน</v>
      </c>
      <c r="Q90" s="6" t="str">
        <f>IFERROR(__xludf.DUMMYFUNCTION("GOOGLETRANSLATE(E90,""en"",""th"")"),"ห้องฝึกอบรมแบบดั้งเดิม")</f>
        <v>ห้องฝึกอบรมแบบดั้งเดิม</v>
      </c>
      <c r="R90" s="6" t="str">
        <f>IFERROR(__xludf.DUMMYFUNCTION("GOOGLETRANSLATE(F90,""en"",""th"")"),"เวทีมวย")</f>
        <v>เวทีมวย</v>
      </c>
      <c r="S90" s="6" t="str">
        <f>IFERROR(__xludf.DUMMYFUNCTION("GOOGLETRANSLATE(G90,""en"",""th"")"),"สนามกีฬาขนาดใหญ่")</f>
        <v>สนามกีฬาขนาดใหญ่</v>
      </c>
      <c r="T90" s="6" t="s">
        <v>1038</v>
      </c>
      <c r="U90" s="6" t="str">
        <f>IFERROR(__xludf.DUMMYFUNCTION("GOOGLETRANSLATE(I90,""en"",""th"")"),"เวทีมวย")</f>
        <v>เวทีมวย</v>
      </c>
      <c r="V90" s="6" t="str">
        <f>IFERROR(__xludf.DUMMYFUNCTION("GOOGLETRANSLATE(J90,""en"",""th"")"),"ภาพนี้แสดงให้เห็นนักสู้ในสนามสี่เหลี่ยมที่มีเชือกและเสา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91" ht="22.5" customHeight="1">
      <c r="A91" s="2" t="s">
        <v>1150</v>
      </c>
      <c r="B91" s="3">
        <v>90.0</v>
      </c>
      <c r="C91" s="4" t="s">
        <v>154</v>
      </c>
      <c r="D91" s="4" t="s">
        <v>1039</v>
      </c>
      <c r="E91" s="4" t="s">
        <v>1040</v>
      </c>
      <c r="F91" s="4" t="s">
        <v>1041</v>
      </c>
      <c r="G91" s="4" t="s">
        <v>1042</v>
      </c>
      <c r="H91" s="4" t="s">
        <v>1043</v>
      </c>
      <c r="I91" s="4" t="s">
        <v>1040</v>
      </c>
      <c r="J91" s="4" t="s">
        <v>1044</v>
      </c>
      <c r="M91" s="4" t="s">
        <v>1150</v>
      </c>
      <c r="N91" s="5">
        <v>90.0</v>
      </c>
      <c r="O91" s="6" t="str">
        <f>IFERROR(__xludf.DUMMYFUNCTION("GOOGLETRANSLATE(C91,""en"",""th"")"),"บรรยากาศโดยรวมของภาพเป็นอย่างไร?")</f>
        <v>บรรยากาศโดยรวมของภาพเป็นอย่างไร?</v>
      </c>
      <c r="P91" s="6" t="str">
        <f>IFERROR(__xludf.DUMMYFUNCTION("GOOGLETRANSLATE(D91,""en"",""th"")"),"แบบสบายๆ สนุกสนาน")</f>
        <v>แบบสบายๆ สนุกสนาน</v>
      </c>
      <c r="Q91" s="6" t="str">
        <f>IFERROR(__xludf.DUMMYFUNCTION("GOOGLETRANSLATE(E91,""en"",""th"")"),"ตึงเครียดและมีสมาธิ")</f>
        <v>ตึงเครียดและมีสมาธิ</v>
      </c>
      <c r="R91" s="6" t="str">
        <f>IFERROR(__xludf.DUMMYFUNCTION("GOOGLETRANSLATE(F91,""en"",""th"")"),"งานเฉลิมฉลองและรื่นเริง")</f>
        <v>งานเฉลิมฉลองและรื่นเริง</v>
      </c>
      <c r="S91" s="6" t="str">
        <f>IFERROR(__xludf.DUMMYFUNCTION("GOOGLETRANSLATE(G91,""en"",""th"")"),"เงียบสงบและเศร้าหมอง")</f>
        <v>เงียบสงบและเศร้าหมอง</v>
      </c>
      <c r="T91" s="6" t="s">
        <v>1045</v>
      </c>
      <c r="U91" s="6" t="str">
        <f>IFERROR(__xludf.DUMMYFUNCTION("GOOGLETRANSLATE(I91,""en"",""th"")"),"ตึงเครียดและมีสมาธิ")</f>
        <v>ตึงเครียดและมีสมาธิ</v>
      </c>
      <c r="V91" s="6" t="str">
        <f>IFERROR(__xludf.DUMMYFUNCTION("GOOGLETRANSLATE(J91,""en"",""th"")"),"การแสดงออกที่จริงจังของนักสู้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92" ht="22.5" customHeight="1">
      <c r="A92" s="2" t="s">
        <v>1151</v>
      </c>
      <c r="B92" s="3">
        <v>91.0</v>
      </c>
      <c r="C92" s="4" t="s">
        <v>21</v>
      </c>
      <c r="D92" s="4" t="s">
        <v>1067</v>
      </c>
      <c r="E92" s="4" t="s">
        <v>1068</v>
      </c>
      <c r="F92" s="4" t="s">
        <v>1152</v>
      </c>
      <c r="G92" s="4" t="s">
        <v>1070</v>
      </c>
      <c r="H92" s="4" t="s">
        <v>1153</v>
      </c>
      <c r="I92" s="4" t="s">
        <v>1152</v>
      </c>
      <c r="J92" s="4" t="s">
        <v>1154</v>
      </c>
      <c r="M92" s="4" t="s">
        <v>1151</v>
      </c>
      <c r="N92" s="5">
        <v>91.0</v>
      </c>
      <c r="O92" s="6" t="str">
        <f>IFERROR(__xludf.DUMMYFUNCTION("GOOGLETRANSLATE(C92,""en"",""th"")"),"ภาพที่แสดงเป็นกิจกรรมหลักอะไร?")</f>
        <v>ภาพที่แสดงเป็นกิจกรรมหลักอะไร?</v>
      </c>
      <c r="P92" s="6" t="str">
        <f>IFERROR(__xludf.DUMMYFUNCTION("GOOGLETRANSLATE(D92,""en"",""th"")"),"นักสู้สองคนกำลังต่อสู้กัน")</f>
        <v>นักสู้สองคนกำลังต่อสู้กัน</v>
      </c>
      <c r="Q92" s="6" t="str">
        <f>IFERROR(__xludf.DUMMYFUNCTION("GOOGLETRANSLATE(E92,""en"",""th"")"),"นักสู้สองคนกำลังฝึกซ้อม")</f>
        <v>นักสู้สองคนกำลังฝึกซ้อม</v>
      </c>
      <c r="R92" s="6" t="str">
        <f>IFERROR(__xludf.DUMMYFUNCTION("GOOGLETRANSLATE(F92,""en"",""th"")"),"นักสู้สองคนอยู่ในการประชิดตัว")</f>
        <v>นักสู้สองคนอยู่ในการประชิดตัว</v>
      </c>
      <c r="S92" s="6" t="str">
        <f>IFERROR(__xludf.DUMMYFUNCTION("GOOGLETRANSLATE(G92,""en"",""th"")"),"นักสู้สองคนกำลังยืดตัว")</f>
        <v>นักสู้สองคนกำลังยืดตัว</v>
      </c>
      <c r="T92" s="6" t="s">
        <v>1155</v>
      </c>
      <c r="U92" s="6" t="str">
        <f>IFERROR(__xludf.DUMMYFUNCTION("GOOGLETRANSLATE(I92,""en"",""th"")"),"นักสู้สองคนอยู่ในการประชิดตัว")</f>
        <v>นักสู้สองคนอยู่ในการประชิดตัว</v>
      </c>
      <c r="V92" s="6" t="str">
        <f>IFERROR(__xludf.DUMMYFUNCTION("GOOGLETRANSLATE(J92,""en"",""th"")"),"ภาพนี้แสดงให้เห็นนักสู้สองคนกำลังจับกัน ซึ่งเป็นท่าคลาสสิกของมวยไทยที่เรียกว่าคลินช์")</f>
        <v>ภาพนี้แสดงให้เห็นนักสู้สองคนกำลังจับกัน ซึ่งเป็นท่าคลาสสิกของมวยไทยที่เรียกว่าคลินช์</v>
      </c>
    </row>
    <row r="93" ht="22.5" customHeight="1">
      <c r="A93" s="2" t="s">
        <v>1151</v>
      </c>
      <c r="B93" s="3">
        <v>92.0</v>
      </c>
      <c r="C93" s="4" t="s">
        <v>1018</v>
      </c>
      <c r="D93" s="4" t="s">
        <v>1019</v>
      </c>
      <c r="E93" s="4" t="s">
        <v>1020</v>
      </c>
      <c r="F93" s="4" t="s">
        <v>1021</v>
      </c>
      <c r="G93" s="4" t="s">
        <v>392</v>
      </c>
      <c r="H93" s="4" t="s">
        <v>1022</v>
      </c>
      <c r="I93" s="4" t="s">
        <v>1021</v>
      </c>
      <c r="J93" s="4" t="s">
        <v>1023</v>
      </c>
      <c r="M93" s="4" t="s">
        <v>1151</v>
      </c>
      <c r="N93" s="5">
        <v>92.0</v>
      </c>
      <c r="O93" s="6" t="str">
        <f>IFERROR(__xludf.DUMMYFUNCTION("GOOGLETRANSLATE(C93,""en"",""th"")"),"ลักษณะเด่นของเครื่องแต่งกายนักสู้คืออะไร?")</f>
        <v>ลักษณะเด่นของเครื่องแต่งกายนักสู้คืออะไร?</v>
      </c>
      <c r="P93" s="6" t="str">
        <f>IFERROR(__xludf.DUMMYFUNCTION("GOOGLETRANSLATE(D93,""en"",""th"")"),"ชุดกิ")</f>
        <v>ชุดกิ</v>
      </c>
      <c r="Q93" s="6" t="str">
        <f>IFERROR(__xludf.DUMMYFUNCTION("GOOGLETRANSLATE(E93,""en"",""th"")"),"ชุดลำลอง")</f>
        <v>ชุดลำลอง</v>
      </c>
      <c r="R93" s="6" t="str">
        <f>IFERROR(__xludf.DUMMYFUNCTION("GOOGLETRANSLATE(F93,""en"",""th"")"),"กางเกงมวยลายดั้งเดิม")</f>
        <v>กางเกงมวยลายดั้งเดิม</v>
      </c>
      <c r="S93" s="6" t="str">
        <f>IFERROR(__xludf.DUMMYFUNCTION("GOOGLETRANSLATE(G93,""en"",""th"")"),"ชุดดำน้ำ")</f>
        <v>ชุดดำน้ำ</v>
      </c>
      <c r="T93" s="6" t="s">
        <v>1024</v>
      </c>
      <c r="U93" s="6" t="str">
        <f>IFERROR(__xludf.DUMMYFUNCTION("GOOGLETRANSLATE(I93,""en"",""th"")"),"กางเกงมวยลายดั้งเดิม")</f>
        <v>กางเกงมวยลายดั้งเดิม</v>
      </c>
      <c r="V93" s="6" t="str">
        <f>IFERROR(__xludf.DUMMYFUNCTION("GOOGLETRANSLATE(J93,""en"",""th"")"),"นักสู้สวมกางเกงมวยที่มีลวดลายไทยดั้งเดิม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94" ht="22.5" customHeight="1">
      <c r="A94" s="2" t="s">
        <v>1151</v>
      </c>
      <c r="B94" s="3">
        <v>93.0</v>
      </c>
      <c r="C94" s="4" t="s">
        <v>1156</v>
      </c>
      <c r="D94" s="4" t="s">
        <v>828</v>
      </c>
      <c r="E94" s="4" t="s">
        <v>1157</v>
      </c>
      <c r="F94" s="4" t="s">
        <v>931</v>
      </c>
      <c r="G94" s="4" t="s">
        <v>931</v>
      </c>
      <c r="H94" s="4" t="s">
        <v>1158</v>
      </c>
      <c r="I94" s="4" t="s">
        <v>1157</v>
      </c>
      <c r="J94" s="4" t="s">
        <v>1159</v>
      </c>
      <c r="M94" s="4" t="s">
        <v>1151</v>
      </c>
      <c r="N94" s="5">
        <v>93.0</v>
      </c>
      <c r="O94" s="6" t="str">
        <f>IFERROR(__xludf.DUMMYFUNCTION("GOOGLETRANSLATE(C94,""en"",""th"")"),"จุดประสงค์ของการคลินช์คืออะไร?")</f>
        <v>จุดประสงค์ของการคลินช์คืออะไร?</v>
      </c>
      <c r="P94" s="6" t="str">
        <f>IFERROR(__xludf.DUMMYFUNCTION("GOOGLETRANSLATE(D94,""en"",""th"")"),"เพื่อแสดงความสามารถ")</f>
        <v>เพื่อแสดงความสามารถ</v>
      </c>
      <c r="Q94" s="6" t="str">
        <f>IFERROR(__xludf.DUMMYFUNCTION("GOOGLETRANSLATE(E94,""en"",""th"")"),"การโจมตีคู่ต่อสู้ด้วยเข่าและศอก")</f>
        <v>การโจมตีคู่ต่อสู้ด้วยเข่าและศอก</v>
      </c>
      <c r="R94" s="6" t="str">
        <f>IFERROR(__xludf.DUMMYFUNCTION("GOOGLETRANSLATE(F94,""en"",""th"")"),"เพื่อทำให้เกมยากยิ่งขึ้น")</f>
        <v>เพื่อทำให้เกมยากยิ่งขึ้น</v>
      </c>
      <c r="S94" s="6" t="str">
        <f>IFERROR(__xludf.DUMMYFUNCTION("GOOGLETRANSLATE(G94,""en"",""th"")"),"เพื่อทำให้เกมยากยิ่งขึ้น")</f>
        <v>เพื่อทำให้เกมยากยิ่งขึ้น</v>
      </c>
      <c r="T94" s="6" t="s">
        <v>1160</v>
      </c>
      <c r="U94" s="6" t="str">
        <f>IFERROR(__xludf.DUMMYFUNCTION("GOOGLETRANSLATE(I94,""en"",""th"")"),"การโจมตีคู่ต่อสู้ด้วยเข่าและศอก")</f>
        <v>การโจมตีคู่ต่อสู้ด้วยเข่าและศอก</v>
      </c>
      <c r="V94" s="6" t="str">
        <f>IFERROR(__xludf.DUMMYFUNCTION("GOOGLETRANSLATE(J94,""en"",""th"")"),"ท่าคลินช์เป็นส่วนพื้นฐานของมวยไทย ซึ่งใช้เพื่อควบคุมคู่ต่อสู้และโจมตีด้วยเข่าและศอก")</f>
        <v>ท่าคลินช์เป็นส่วนพื้นฐานของมวยไทย ซึ่งใช้เพื่อควบคุมคู่ต่อสู้และโจมตีด้วยเข่าและศอก</v>
      </c>
    </row>
    <row r="95" ht="22.5" customHeight="1">
      <c r="A95" s="2" t="s">
        <v>1151</v>
      </c>
      <c r="B95" s="3">
        <v>94.0</v>
      </c>
      <c r="C95" s="4" t="s">
        <v>1031</v>
      </c>
      <c r="D95" s="4" t="s">
        <v>1032</v>
      </c>
      <c r="E95" s="4" t="s">
        <v>1033</v>
      </c>
      <c r="F95" s="4" t="s">
        <v>1034</v>
      </c>
      <c r="G95" s="4" t="s">
        <v>1035</v>
      </c>
      <c r="H95" s="4" t="s">
        <v>1036</v>
      </c>
      <c r="I95" s="4" t="s">
        <v>1034</v>
      </c>
      <c r="J95" s="4" t="s">
        <v>1037</v>
      </c>
      <c r="M95" s="4" t="s">
        <v>1151</v>
      </c>
      <c r="N95" s="5">
        <v>94.0</v>
      </c>
      <c r="O95" s="6" t="str">
        <f>IFERROR(__xludf.DUMMYFUNCTION("GOOGLETRANSLATE(C95,""en"",""th"")"),"นักสู้อยู่ในสภาพแวดล้อมประเภทใด?")</f>
        <v>นักสู้อยู่ในสภาพแวดล้อมประเภทใด?</v>
      </c>
      <c r="P95" s="6" t="str">
        <f>IFERROR(__xludf.DUMMYFUNCTION("GOOGLETRANSLATE(D95,""en"",""th"")"),"การต่อสู้บนท้องถนน")</f>
        <v>การต่อสู้บนท้องถนน</v>
      </c>
      <c r="Q95" s="6" t="str">
        <f>IFERROR(__xludf.DUMMYFUNCTION("GOOGLETRANSLATE(E95,""en"",""th"")"),"ห้องฝึกอบรมแบบดั้งเดิม")</f>
        <v>ห้องฝึกอบรมแบบดั้งเดิม</v>
      </c>
      <c r="R95" s="6" t="str">
        <f>IFERROR(__xludf.DUMMYFUNCTION("GOOGLETRANSLATE(F95,""en"",""th"")"),"เวทีมวย")</f>
        <v>เวทีมวย</v>
      </c>
      <c r="S95" s="6" t="str">
        <f>IFERROR(__xludf.DUMMYFUNCTION("GOOGLETRANSLATE(G95,""en"",""th"")"),"สนามกีฬาขนาดใหญ่")</f>
        <v>สนามกีฬาขนาดใหญ่</v>
      </c>
      <c r="T95" s="6" t="s">
        <v>1038</v>
      </c>
      <c r="U95" s="6" t="str">
        <f>IFERROR(__xludf.DUMMYFUNCTION("GOOGLETRANSLATE(I95,""en"",""th"")"),"เวทีมวย")</f>
        <v>เวทีมวย</v>
      </c>
      <c r="V95" s="6" t="str">
        <f>IFERROR(__xludf.DUMMYFUNCTION("GOOGLETRANSLATE(J95,""en"",""th"")"),"ภาพนี้แสดงให้เห็นนักสู้ในสนามสี่เหลี่ยมที่มีเชือกและเสา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96" ht="22.5" customHeight="1">
      <c r="A96" s="2" t="s">
        <v>1151</v>
      </c>
      <c r="B96" s="3">
        <v>95.0</v>
      </c>
      <c r="C96" s="4" t="s">
        <v>154</v>
      </c>
      <c r="D96" s="4" t="s">
        <v>1039</v>
      </c>
      <c r="E96" s="4" t="s">
        <v>1040</v>
      </c>
      <c r="F96" s="4" t="s">
        <v>1041</v>
      </c>
      <c r="G96" s="4" t="s">
        <v>1042</v>
      </c>
      <c r="H96" s="4" t="s">
        <v>1043</v>
      </c>
      <c r="I96" s="4" t="s">
        <v>1040</v>
      </c>
      <c r="J96" s="4" t="s">
        <v>1044</v>
      </c>
      <c r="M96" s="4" t="s">
        <v>1151</v>
      </c>
      <c r="N96" s="5">
        <v>95.0</v>
      </c>
      <c r="O96" s="6" t="str">
        <f>IFERROR(__xludf.DUMMYFUNCTION("GOOGLETRANSLATE(C96,""en"",""th"")"),"บรรยากาศโดยรวมของภาพเป็นอย่างไร?")</f>
        <v>บรรยากาศโดยรวมของภาพเป็นอย่างไร?</v>
      </c>
      <c r="P96" s="6" t="str">
        <f>IFERROR(__xludf.DUMMYFUNCTION("GOOGLETRANSLATE(D96,""en"",""th"")"),"แบบสบายๆ สนุกสนาน")</f>
        <v>แบบสบายๆ สนุกสนาน</v>
      </c>
      <c r="Q96" s="6" t="str">
        <f>IFERROR(__xludf.DUMMYFUNCTION("GOOGLETRANSLATE(E96,""en"",""th"")"),"ตึงเครียดและมีสมาธิ")</f>
        <v>ตึงเครียดและมีสมาธิ</v>
      </c>
      <c r="R96" s="6" t="str">
        <f>IFERROR(__xludf.DUMMYFUNCTION("GOOGLETRANSLATE(F96,""en"",""th"")"),"งานเฉลิมฉลองและรื่นเริง")</f>
        <v>งานเฉลิมฉลองและรื่นเริง</v>
      </c>
      <c r="S96" s="6" t="str">
        <f>IFERROR(__xludf.DUMMYFUNCTION("GOOGLETRANSLATE(G96,""en"",""th"")"),"เงียบสงบและเศร้าหมอง")</f>
        <v>เงียบสงบและเศร้าหมอง</v>
      </c>
      <c r="T96" s="6" t="s">
        <v>1045</v>
      </c>
      <c r="U96" s="6" t="str">
        <f>IFERROR(__xludf.DUMMYFUNCTION("GOOGLETRANSLATE(I96,""en"",""th"")"),"ตึงเครียดและมีสมาธิ")</f>
        <v>ตึงเครียดและมีสมาธิ</v>
      </c>
      <c r="V96" s="6" t="str">
        <f>IFERROR(__xludf.DUMMYFUNCTION("GOOGLETRANSLATE(J96,""en"",""th"")"),"การแสดงออกที่จริงจังของนักสู้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97" ht="22.5" customHeight="1">
      <c r="A97" s="2" t="s">
        <v>1161</v>
      </c>
      <c r="B97" s="3">
        <v>96.0</v>
      </c>
      <c r="C97" s="4" t="s">
        <v>21</v>
      </c>
      <c r="D97" s="4" t="s">
        <v>1013</v>
      </c>
      <c r="E97" s="4" t="s">
        <v>1014</v>
      </c>
      <c r="F97" s="4" t="s">
        <v>1015</v>
      </c>
      <c r="G97" s="4" t="s">
        <v>1016</v>
      </c>
      <c r="H97" s="4" t="s">
        <v>1047</v>
      </c>
      <c r="I97" s="4" t="s">
        <v>1015</v>
      </c>
      <c r="J97" s="4" t="s">
        <v>1017</v>
      </c>
      <c r="M97" s="4" t="s">
        <v>1161</v>
      </c>
      <c r="N97" s="5">
        <v>96.0</v>
      </c>
      <c r="O97" s="6" t="str">
        <f>IFERROR(__xludf.DUMMYFUNCTION("GOOGLETRANSLATE(C97,""en"",""th"")"),"ภาพที่แสดงเป็นกิจกรรมหลักอะไร?")</f>
        <v>ภาพที่แสดงเป็นกิจกรรมหลักอะไร?</v>
      </c>
      <c r="P97" s="6" t="str">
        <f>IFERROR(__xludf.DUMMYFUNCTION("GOOGLETRANSLATE(D97,""en"",""th"")"),"การแข่งขันชกมวย")</f>
        <v>การแข่งขันชกมวย</v>
      </c>
      <c r="Q97" s="6" t="str">
        <f>IFERROR(__xludf.DUMMYFUNCTION("GOOGLETRANSLATE(E97,""en"",""th"")"),"การแข่งขันคาราเต้")</f>
        <v>การแข่งขันคาราเต้</v>
      </c>
      <c r="R97" s="6" t="str">
        <f>IFERROR(__xludf.DUMMYFUNCTION("GOOGLETRANSLATE(F97,""en"",""th"")"),"การต่อสู้มวยไทย")</f>
        <v>การต่อสู้มวยไทย</v>
      </c>
      <c r="S97" s="6" t="str">
        <f>IFERROR(__xludf.DUMMYFUNCTION("GOOGLETRANSLATE(G97,""en"",""th"")"),"การต่อสู้แบบ MMA")</f>
        <v>การต่อสู้แบบ MMA</v>
      </c>
      <c r="T97" s="6" t="s">
        <v>1048</v>
      </c>
      <c r="U97" s="6" t="str">
        <f>IFERROR(__xludf.DUMMYFUNCTION("GOOGLETRANSLATE(I97,""en"",""th"")"),"การต่อสู้มวยไทย")</f>
        <v>การต่อสู้มวยไทย</v>
      </c>
      <c r="V97" s="6" t="str">
        <f>IFERROR(__xludf.DUMMYFUNCTION("GOOGLETRANSLATE(J97,""en"",""th"")"),"รูปภาพแสดงให้เห็นนักสู้สองคนในสังเวียน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f>
        <v>รูปภาพแสดงให้เห็นนักสู้สองคนในสังเวียน สวมถุงมือมวยและกางเกงขาสั้น และคนหนึ่งกำลังเตะ ซึ่งเป็นองค์ประกอบสำคัญของมวยไทย</v>
      </c>
    </row>
    <row r="98" ht="22.5" customHeight="1">
      <c r="A98" s="2" t="s">
        <v>1161</v>
      </c>
      <c r="B98" s="3">
        <v>97.0</v>
      </c>
      <c r="C98" s="4" t="s">
        <v>1018</v>
      </c>
      <c r="D98" s="4" t="s">
        <v>1019</v>
      </c>
      <c r="E98" s="4" t="s">
        <v>1020</v>
      </c>
      <c r="F98" s="4" t="s">
        <v>1021</v>
      </c>
      <c r="G98" s="4" t="s">
        <v>392</v>
      </c>
      <c r="H98" s="4" t="s">
        <v>1022</v>
      </c>
      <c r="I98" s="4" t="s">
        <v>1021</v>
      </c>
      <c r="J98" s="4" t="s">
        <v>1023</v>
      </c>
      <c r="M98" s="4" t="s">
        <v>1161</v>
      </c>
      <c r="N98" s="5">
        <v>97.0</v>
      </c>
      <c r="O98" s="6" t="str">
        <f>IFERROR(__xludf.DUMMYFUNCTION("GOOGLETRANSLATE(C98,""en"",""th"")"),"ลักษณะเด่นของเครื่องแต่งกายนักสู้คืออะไร?")</f>
        <v>ลักษณะเด่นของเครื่องแต่งกายนักสู้คืออะไร?</v>
      </c>
      <c r="P98" s="6" t="str">
        <f>IFERROR(__xludf.DUMMYFUNCTION("GOOGLETRANSLATE(D98,""en"",""th"")"),"ชุดกิ")</f>
        <v>ชุดกิ</v>
      </c>
      <c r="Q98" s="6" t="str">
        <f>IFERROR(__xludf.DUMMYFUNCTION("GOOGLETRANSLATE(E98,""en"",""th"")"),"ชุดลำลอง")</f>
        <v>ชุดลำลอง</v>
      </c>
      <c r="R98" s="6" t="str">
        <f>IFERROR(__xludf.DUMMYFUNCTION("GOOGLETRANSLATE(F98,""en"",""th"")"),"กางเกงมวยลายดั้งเดิม")</f>
        <v>กางเกงมวยลายดั้งเดิม</v>
      </c>
      <c r="S98" s="6" t="str">
        <f>IFERROR(__xludf.DUMMYFUNCTION("GOOGLETRANSLATE(G98,""en"",""th"")"),"ชุดดำน้ำ")</f>
        <v>ชุดดำน้ำ</v>
      </c>
      <c r="T98" s="6" t="s">
        <v>1024</v>
      </c>
      <c r="U98" s="6" t="str">
        <f>IFERROR(__xludf.DUMMYFUNCTION("GOOGLETRANSLATE(I98,""en"",""th"")"),"กางเกงมวยลายดั้งเดิม")</f>
        <v>กางเกงมวยลายดั้งเดิม</v>
      </c>
      <c r="V98" s="6" t="str">
        <f>IFERROR(__xludf.DUMMYFUNCTION("GOOGLETRANSLATE(J98,""en"",""th"")"),"นักสู้สวมกางเกงมวยที่มีลวดลายไทยดั้งเดิม ซึ่งเป็นเครื่องแต่งกายคลาสสิกของนักสู้มวยไทย")</f>
        <v>นักสู้สวมกางเกงมวยที่มีลวดลายไทยดั้งเดิม ซึ่งเป็นเครื่องแต่งกายคลาสสิกของนักสู้มวยไทย</v>
      </c>
    </row>
    <row r="99" ht="22.5" customHeight="1">
      <c r="A99" s="2" t="s">
        <v>1161</v>
      </c>
      <c r="B99" s="3">
        <v>98.0</v>
      </c>
      <c r="C99" s="4" t="s">
        <v>1025</v>
      </c>
      <c r="D99" s="4" t="s">
        <v>828</v>
      </c>
      <c r="E99" s="4" t="s">
        <v>1026</v>
      </c>
      <c r="F99" s="4" t="s">
        <v>1027</v>
      </c>
      <c r="G99" s="4" t="s">
        <v>931</v>
      </c>
      <c r="H99" s="4" t="s">
        <v>1028</v>
      </c>
      <c r="I99" s="4" t="s">
        <v>1027</v>
      </c>
      <c r="J99" s="4" t="s">
        <v>1029</v>
      </c>
      <c r="M99" s="4" t="s">
        <v>1161</v>
      </c>
      <c r="N99" s="5">
        <v>98.0</v>
      </c>
      <c r="O99" s="6" t="str">
        <f>IFERROR(__xludf.DUMMYFUNCTION("GOOGLETRANSLATE(C99,""en"",""th"")"),"การเตะในมวยไทยมีจุดประสงค์อะไร?")</f>
        <v>การเตะในมวยไทยมีจุดประสงค์อะไร?</v>
      </c>
      <c r="P99" s="6" t="str">
        <f>IFERROR(__xludf.DUMMYFUNCTION("GOOGLETRANSLATE(D99,""en"",""th"")"),"เพื่อแสดงความสามารถ")</f>
        <v>เพื่อแสดงความสามารถ</v>
      </c>
      <c r="Q99" s="6" t="str">
        <f>IFERROR(__xludf.DUMMYFUNCTION("GOOGLETRANSLATE(E99,""en"",""th"")"),"เพื่อจะน็อคคู่ต่อสู้")</f>
        <v>เพื่อจะน็อคคู่ต่อสู้</v>
      </c>
      <c r="R99" s="6" t="str">
        <f>IFERROR(__xludf.DUMMYFUNCTION("GOOGLETRANSLATE(F99,""en"",""th"")"),"เพื่อโจมตีเข้าที่ลำตัวและขาของคู่ต่อสู้")</f>
        <v>เพื่อโจมตีเข้าที่ลำตัวและขาของคู่ต่อสู้</v>
      </c>
      <c r="S99" s="6" t="str">
        <f>IFERROR(__xludf.DUMMYFUNCTION("GOOGLETRANSLATE(G99,""en"",""th"")"),"เพื่อทำให้เกมยากยิ่งขึ้น")</f>
        <v>เพื่อทำให้เกมยากยิ่งขึ้น</v>
      </c>
      <c r="T99" s="6" t="s">
        <v>1030</v>
      </c>
      <c r="U99" s="6" t="str">
        <f>IFERROR(__xludf.DUMMYFUNCTION("GOOGLETRANSLATE(I99,""en"",""th"")"),"เพื่อโจมตีเข้าที่ลำตัวและขาของคู่ต่อสู้")</f>
        <v>เพื่อโจมตีเข้าที่ลำตัวและขาของคู่ต่อสู้</v>
      </c>
      <c r="V99" s="6" t="str">
        <f>IFERROR(__xludf.DUMMYFUNCTION("GOOGLETRANSLATE(J99,""en"",""th"")"),"การเตะถือเป็นส่วนพื้นฐานของมวยไทย ซึ่งใช้ในการโจมตีร่างกายและขาของคู่ต่อสู้ รวมถึงการสร้างระยะห่างและการควบคุม")</f>
        <v>การเตะถือเป็นส่วนพื้นฐานของมวยไทย ซึ่งใช้ในการโจมตีร่างกายและขาของคู่ต่อสู้ รวมถึงการสร้างระยะห่างและการควบคุม</v>
      </c>
    </row>
    <row r="100" ht="22.5" customHeight="1">
      <c r="A100" s="2" t="s">
        <v>1161</v>
      </c>
      <c r="B100" s="3">
        <v>99.0</v>
      </c>
      <c r="C100" s="4" t="s">
        <v>1031</v>
      </c>
      <c r="D100" s="4" t="s">
        <v>1032</v>
      </c>
      <c r="E100" s="4" t="s">
        <v>1033</v>
      </c>
      <c r="F100" s="4" t="s">
        <v>1034</v>
      </c>
      <c r="G100" s="4" t="s">
        <v>1035</v>
      </c>
      <c r="H100" s="4" t="s">
        <v>1036</v>
      </c>
      <c r="I100" s="4" t="s">
        <v>1034</v>
      </c>
      <c r="J100" s="4" t="s">
        <v>1037</v>
      </c>
      <c r="M100" s="4" t="s">
        <v>1161</v>
      </c>
      <c r="N100" s="5">
        <v>99.0</v>
      </c>
      <c r="O100" s="6" t="str">
        <f>IFERROR(__xludf.DUMMYFUNCTION("GOOGLETRANSLATE(C100,""en"",""th"")"),"นักสู้อยู่ในสภาพแวดล้อมประเภทใด?")</f>
        <v>นักสู้อยู่ในสภาพแวดล้อมประเภทใด?</v>
      </c>
      <c r="P100" s="6" t="str">
        <f>IFERROR(__xludf.DUMMYFUNCTION("GOOGLETRANSLATE(D100,""en"",""th"")"),"การต่อสู้บนท้องถนน")</f>
        <v>การต่อสู้บนท้องถนน</v>
      </c>
      <c r="Q100" s="6" t="str">
        <f>IFERROR(__xludf.DUMMYFUNCTION("GOOGLETRANSLATE(E100,""en"",""th"")"),"ห้องฝึกอบรมแบบดั้งเดิม")</f>
        <v>ห้องฝึกอบรมแบบดั้งเดิม</v>
      </c>
      <c r="R100" s="6" t="str">
        <f>IFERROR(__xludf.DUMMYFUNCTION("GOOGLETRANSLATE(F100,""en"",""th"")"),"เวทีมวย")</f>
        <v>เวทีมวย</v>
      </c>
      <c r="S100" s="6" t="str">
        <f>IFERROR(__xludf.DUMMYFUNCTION("GOOGLETRANSLATE(G100,""en"",""th"")"),"สนามกีฬาขนาดใหญ่")</f>
        <v>สนามกีฬาขนาดใหญ่</v>
      </c>
      <c r="T100" s="6" t="s">
        <v>1038</v>
      </c>
      <c r="U100" s="6" t="str">
        <f>IFERROR(__xludf.DUMMYFUNCTION("GOOGLETRANSLATE(I100,""en"",""th"")"),"เวทีมวย")</f>
        <v>เวทีมวย</v>
      </c>
      <c r="V100" s="6" t="str">
        <f>IFERROR(__xludf.DUMMYFUNCTION("GOOGLETRANSLATE(J100,""en"",""th"")"),"ภาพนี้แสดงให้เห็นนักสู้ในสนามสี่เหลี่ยมที่มีเชือกและเสา ซึ่งเป็นเวทีมวยซึ่งเป็นสถานที่มาตรฐานสำหรับกีฬาต่อสู้")</f>
        <v>ภาพนี้แสดงให้เห็นนักสู้ในสนามสี่เหลี่ยมที่มีเชือกและเสา ซึ่งเป็นเวทีมวยซึ่งเป็นสถานที่มาตรฐานสำหรับกีฬาต่อสู้</v>
      </c>
    </row>
    <row r="101" ht="22.5" customHeight="1">
      <c r="A101" s="2" t="s">
        <v>1161</v>
      </c>
      <c r="B101" s="3">
        <v>100.0</v>
      </c>
      <c r="C101" s="4" t="s">
        <v>154</v>
      </c>
      <c r="D101" s="4" t="s">
        <v>1039</v>
      </c>
      <c r="E101" s="4" t="s">
        <v>1040</v>
      </c>
      <c r="F101" s="4" t="s">
        <v>1041</v>
      </c>
      <c r="G101" s="4" t="s">
        <v>1042</v>
      </c>
      <c r="H101" s="4" t="s">
        <v>1043</v>
      </c>
      <c r="I101" s="4" t="s">
        <v>1040</v>
      </c>
      <c r="J101" s="4" t="s">
        <v>1044</v>
      </c>
      <c r="M101" s="4" t="s">
        <v>1161</v>
      </c>
      <c r="N101" s="5">
        <v>100.0</v>
      </c>
      <c r="O101" s="6" t="str">
        <f>IFERROR(__xludf.DUMMYFUNCTION("GOOGLETRANSLATE(C101,""en"",""th"")"),"บรรยากาศโดยรวมของภาพเป็นอย่างไร?")</f>
        <v>บรรยากาศโดยรวมของภาพเป็นอย่างไร?</v>
      </c>
      <c r="P101" s="6" t="str">
        <f>IFERROR(__xludf.DUMMYFUNCTION("GOOGLETRANSLATE(D101,""en"",""th"")"),"แบบสบายๆ สนุกสนาน")</f>
        <v>แบบสบายๆ สนุกสนาน</v>
      </c>
      <c r="Q101" s="6" t="str">
        <f>IFERROR(__xludf.DUMMYFUNCTION("GOOGLETRANSLATE(E101,""en"",""th"")"),"ตึงเครียดและมีสมาธิ")</f>
        <v>ตึงเครียดและมีสมาธิ</v>
      </c>
      <c r="R101" s="6" t="str">
        <f>IFERROR(__xludf.DUMMYFUNCTION("GOOGLETRANSLATE(F101,""en"",""th"")"),"งานเฉลิมฉลองและรื่นเริง")</f>
        <v>งานเฉลิมฉลองและรื่นเริง</v>
      </c>
      <c r="S101" s="6" t="str">
        <f>IFERROR(__xludf.DUMMYFUNCTION("GOOGLETRANSLATE(G101,""en"",""th"")"),"เงียบสงบและเศร้าหมอง")</f>
        <v>เงียบสงบและเศร้าหมอง</v>
      </c>
      <c r="T101" s="6" t="s">
        <v>1045</v>
      </c>
      <c r="U101" s="6" t="str">
        <f>IFERROR(__xludf.DUMMYFUNCTION("GOOGLETRANSLATE(I101,""en"",""th"")"),"ตึงเครียดและมีสมาธิ")</f>
        <v>ตึงเครียดและมีสมาธิ</v>
      </c>
      <c r="V101" s="6" t="str">
        <f>IFERROR(__xludf.DUMMYFUNCTION("GOOGLETRANSLATE(J101,""en"",""th"")"),"การแสดงออกที่จริงจังของนักสู้ การกระทำในสังเวียน และฝูงชนเบื้องหลัง ล้วนสร้างบรรยากาศที่ตึงเครียดและมีสมาธิ")</f>
        <v>การแสดงออกที่จริงจังของนักสู้ การกระทำในสังเวียน และฝูงชนเบื้องหลัง ล้วนสร้างบรรยากาศที่ตึงเครียดและมีสมาธิ</v>
      </c>
    </row>
    <row r="102">
      <c r="H102" s="8" t="s">
        <v>364</v>
      </c>
    </row>
    <row r="103">
      <c r="H103" s="8" t="s">
        <v>364</v>
      </c>
    </row>
    <row r="104">
      <c r="H104" s="8" t="s">
        <v>364</v>
      </c>
    </row>
    <row r="105">
      <c r="H105" s="8" t="s">
        <v>364</v>
      </c>
    </row>
    <row r="106">
      <c r="H106" s="8" t="s">
        <v>364</v>
      </c>
    </row>
    <row r="107">
      <c r="H107" s="8" t="s">
        <v>364</v>
      </c>
    </row>
    <row r="108">
      <c r="H108" s="8" t="s">
        <v>364</v>
      </c>
    </row>
    <row r="109">
      <c r="H109" s="8" t="s">
        <v>364</v>
      </c>
    </row>
    <row r="110">
      <c r="H110" s="8" t="s">
        <v>364</v>
      </c>
    </row>
    <row r="111">
      <c r="H111" s="8" t="s">
        <v>364</v>
      </c>
    </row>
    <row r="112">
      <c r="H112" s="8" t="s">
        <v>364</v>
      </c>
    </row>
    <row r="113">
      <c r="H113" s="8" t="s">
        <v>364</v>
      </c>
    </row>
    <row r="114">
      <c r="H114" s="8" t="s">
        <v>364</v>
      </c>
    </row>
    <row r="115">
      <c r="H115" s="8" t="s">
        <v>364</v>
      </c>
    </row>
    <row r="116">
      <c r="H116" s="8" t="s">
        <v>364</v>
      </c>
    </row>
    <row r="117">
      <c r="H117" s="8" t="s">
        <v>364</v>
      </c>
    </row>
    <row r="118">
      <c r="H118" s="8" t="s">
        <v>364</v>
      </c>
    </row>
    <row r="119">
      <c r="H119" s="8" t="s">
        <v>364</v>
      </c>
    </row>
    <row r="120">
      <c r="H120" s="8" t="s">
        <v>364</v>
      </c>
    </row>
    <row r="121">
      <c r="H121" s="8" t="s">
        <v>364</v>
      </c>
    </row>
    <row r="122">
      <c r="H122" s="8" t="s">
        <v>364</v>
      </c>
    </row>
    <row r="123">
      <c r="H123" s="8" t="s">
        <v>364</v>
      </c>
    </row>
    <row r="124">
      <c r="H124" s="8" t="s">
        <v>364</v>
      </c>
    </row>
    <row r="125">
      <c r="H125" s="8" t="s">
        <v>364</v>
      </c>
    </row>
    <row r="126">
      <c r="H126" s="8" t="s">
        <v>364</v>
      </c>
    </row>
    <row r="127">
      <c r="H127" s="8" t="s">
        <v>364</v>
      </c>
    </row>
    <row r="128">
      <c r="H128" s="8" t="s">
        <v>364</v>
      </c>
    </row>
    <row r="129">
      <c r="H129" s="8" t="s">
        <v>364</v>
      </c>
    </row>
    <row r="130">
      <c r="H130" s="8" t="s">
        <v>364</v>
      </c>
    </row>
    <row r="131">
      <c r="H131" s="8" t="s">
        <v>364</v>
      </c>
    </row>
    <row r="132">
      <c r="H132" s="8" t="s">
        <v>364</v>
      </c>
    </row>
    <row r="133">
      <c r="H133" s="8" t="s">
        <v>364</v>
      </c>
    </row>
    <row r="134">
      <c r="H134" s="8" t="s">
        <v>364</v>
      </c>
    </row>
    <row r="135">
      <c r="H135" s="8" t="s">
        <v>364</v>
      </c>
    </row>
    <row r="136">
      <c r="H136" s="8" t="s">
        <v>364</v>
      </c>
    </row>
    <row r="137">
      <c r="H137" s="8" t="s">
        <v>364</v>
      </c>
    </row>
    <row r="138">
      <c r="H138" s="8" t="s">
        <v>364</v>
      </c>
    </row>
    <row r="139">
      <c r="H139" s="8" t="s">
        <v>364</v>
      </c>
    </row>
    <row r="140">
      <c r="H140" s="8" t="s">
        <v>364</v>
      </c>
    </row>
    <row r="141">
      <c r="H141" s="8" t="s">
        <v>364</v>
      </c>
    </row>
    <row r="142">
      <c r="H142" s="8" t="s">
        <v>364</v>
      </c>
    </row>
    <row r="143">
      <c r="H143" s="8" t="s">
        <v>364</v>
      </c>
    </row>
    <row r="144">
      <c r="H144" s="8" t="s">
        <v>364</v>
      </c>
    </row>
    <row r="145">
      <c r="H145" s="8" t="s">
        <v>364</v>
      </c>
    </row>
    <row r="146">
      <c r="H146" s="8" t="s">
        <v>364</v>
      </c>
    </row>
    <row r="147">
      <c r="H147" s="8" t="s">
        <v>364</v>
      </c>
    </row>
    <row r="148">
      <c r="H148" s="8" t="s">
        <v>364</v>
      </c>
    </row>
    <row r="149">
      <c r="H149" s="8" t="s">
        <v>364</v>
      </c>
    </row>
    <row r="150">
      <c r="H150" s="8" t="s">
        <v>364</v>
      </c>
    </row>
    <row r="151">
      <c r="H151" s="8" t="s">
        <v>364</v>
      </c>
    </row>
    <row r="152">
      <c r="H152" s="8" t="s">
        <v>364</v>
      </c>
    </row>
    <row r="153">
      <c r="H153" s="8" t="s">
        <v>364</v>
      </c>
    </row>
    <row r="154">
      <c r="H154" s="8" t="s">
        <v>364</v>
      </c>
    </row>
    <row r="155">
      <c r="H155" s="8" t="s">
        <v>364</v>
      </c>
    </row>
    <row r="156">
      <c r="H156" s="8" t="s">
        <v>364</v>
      </c>
    </row>
    <row r="157">
      <c r="H157" s="8" t="s">
        <v>364</v>
      </c>
    </row>
    <row r="158">
      <c r="H158" s="8" t="s">
        <v>364</v>
      </c>
    </row>
    <row r="159">
      <c r="H159" s="8" t="s">
        <v>364</v>
      </c>
    </row>
    <row r="160">
      <c r="H160" s="8" t="s">
        <v>364</v>
      </c>
    </row>
    <row r="161">
      <c r="H161" s="8" t="s">
        <v>364</v>
      </c>
    </row>
    <row r="162">
      <c r="H162" s="8" t="s">
        <v>364</v>
      </c>
    </row>
    <row r="163">
      <c r="H163" s="8" t="s">
        <v>364</v>
      </c>
    </row>
    <row r="164">
      <c r="H164" s="8" t="s">
        <v>364</v>
      </c>
    </row>
    <row r="165">
      <c r="H165" s="8" t="s">
        <v>364</v>
      </c>
    </row>
    <row r="166">
      <c r="H166" s="8" t="s">
        <v>364</v>
      </c>
    </row>
    <row r="167">
      <c r="H167" s="8" t="s">
        <v>364</v>
      </c>
    </row>
    <row r="168">
      <c r="H168" s="8" t="s">
        <v>364</v>
      </c>
    </row>
    <row r="169">
      <c r="H169" s="8" t="s">
        <v>364</v>
      </c>
    </row>
    <row r="170">
      <c r="H170" s="8" t="s">
        <v>364</v>
      </c>
    </row>
    <row r="171">
      <c r="H171" s="8" t="s">
        <v>364</v>
      </c>
    </row>
    <row r="172">
      <c r="H172" s="8" t="s">
        <v>364</v>
      </c>
    </row>
    <row r="173">
      <c r="H173" s="8" t="s">
        <v>364</v>
      </c>
    </row>
    <row r="174">
      <c r="H174" s="8" t="s">
        <v>364</v>
      </c>
    </row>
    <row r="175">
      <c r="H175" s="8" t="s">
        <v>364</v>
      </c>
    </row>
    <row r="176">
      <c r="H176" s="8" t="s">
        <v>364</v>
      </c>
    </row>
    <row r="177">
      <c r="H177" s="8" t="s">
        <v>364</v>
      </c>
    </row>
    <row r="178">
      <c r="H178" s="8" t="s">
        <v>364</v>
      </c>
    </row>
    <row r="179">
      <c r="H179" s="8" t="s">
        <v>364</v>
      </c>
    </row>
    <row r="180">
      <c r="H180" s="8" t="s">
        <v>364</v>
      </c>
    </row>
    <row r="181">
      <c r="H181" s="8" t="s">
        <v>364</v>
      </c>
    </row>
    <row r="182">
      <c r="H182" s="8" t="s">
        <v>364</v>
      </c>
    </row>
    <row r="183">
      <c r="H183" s="8" t="s">
        <v>364</v>
      </c>
    </row>
    <row r="184">
      <c r="H184" s="8" t="s">
        <v>364</v>
      </c>
    </row>
    <row r="185">
      <c r="H185" s="8" t="s">
        <v>364</v>
      </c>
    </row>
    <row r="186">
      <c r="H186" s="8" t="s">
        <v>364</v>
      </c>
    </row>
    <row r="187">
      <c r="H187" s="8" t="s">
        <v>364</v>
      </c>
    </row>
    <row r="188">
      <c r="H188" s="8" t="s">
        <v>364</v>
      </c>
    </row>
    <row r="189">
      <c r="H189" s="8" t="s">
        <v>364</v>
      </c>
    </row>
    <row r="190">
      <c r="H190" s="8" t="s">
        <v>364</v>
      </c>
    </row>
    <row r="191">
      <c r="H191" s="8" t="s">
        <v>364</v>
      </c>
    </row>
    <row r="192">
      <c r="H192" s="8" t="s">
        <v>364</v>
      </c>
    </row>
    <row r="193">
      <c r="H193" s="8" t="s">
        <v>364</v>
      </c>
    </row>
    <row r="194">
      <c r="H194" s="8" t="s">
        <v>364</v>
      </c>
    </row>
    <row r="195">
      <c r="H195" s="8" t="s">
        <v>364</v>
      </c>
    </row>
    <row r="196">
      <c r="H196" s="8" t="s">
        <v>364</v>
      </c>
    </row>
    <row r="197">
      <c r="H197" s="8" t="s">
        <v>364</v>
      </c>
    </row>
    <row r="198">
      <c r="H198" s="8" t="s">
        <v>364</v>
      </c>
    </row>
    <row r="199">
      <c r="H199" s="8" t="s">
        <v>364</v>
      </c>
    </row>
    <row r="200">
      <c r="H200" s="8" t="s">
        <v>364</v>
      </c>
    </row>
    <row r="201">
      <c r="H201" s="8" t="s">
        <v>364</v>
      </c>
    </row>
    <row r="202">
      <c r="H202" s="8" t="s">
        <v>364</v>
      </c>
    </row>
    <row r="203">
      <c r="H203" s="8" t="s">
        <v>364</v>
      </c>
    </row>
    <row r="204">
      <c r="H204" s="8" t="s">
        <v>364</v>
      </c>
    </row>
    <row r="205">
      <c r="H205" s="8" t="s">
        <v>364</v>
      </c>
    </row>
    <row r="206">
      <c r="H206" s="8" t="s">
        <v>364</v>
      </c>
    </row>
    <row r="207">
      <c r="H207" s="8" t="s">
        <v>364</v>
      </c>
    </row>
    <row r="208">
      <c r="H208" s="8" t="s">
        <v>364</v>
      </c>
    </row>
    <row r="209">
      <c r="H209" s="8" t="s">
        <v>364</v>
      </c>
    </row>
    <row r="210">
      <c r="H210" s="8" t="s">
        <v>364</v>
      </c>
    </row>
    <row r="211">
      <c r="H211" s="8" t="s">
        <v>364</v>
      </c>
    </row>
    <row r="212">
      <c r="H212" s="8" t="s">
        <v>364</v>
      </c>
    </row>
    <row r="213">
      <c r="H213" s="8" t="s">
        <v>364</v>
      </c>
    </row>
    <row r="214">
      <c r="H214" s="8" t="s">
        <v>364</v>
      </c>
    </row>
    <row r="215">
      <c r="H215" s="8" t="s">
        <v>364</v>
      </c>
    </row>
    <row r="216">
      <c r="H216" s="8" t="s">
        <v>364</v>
      </c>
    </row>
    <row r="217">
      <c r="H217" s="8" t="s">
        <v>364</v>
      </c>
    </row>
    <row r="218">
      <c r="H218" s="8" t="s">
        <v>364</v>
      </c>
    </row>
    <row r="219">
      <c r="H219" s="8" t="s">
        <v>364</v>
      </c>
    </row>
    <row r="220">
      <c r="H220" s="8" t="s">
        <v>364</v>
      </c>
    </row>
    <row r="221">
      <c r="H221" s="8" t="s">
        <v>364</v>
      </c>
    </row>
    <row r="222">
      <c r="H222" s="8" t="s">
        <v>364</v>
      </c>
    </row>
    <row r="223">
      <c r="H223" s="8" t="s">
        <v>364</v>
      </c>
    </row>
    <row r="224">
      <c r="H224" s="8" t="s">
        <v>364</v>
      </c>
    </row>
    <row r="225">
      <c r="H225" s="8" t="s">
        <v>364</v>
      </c>
    </row>
    <row r="226">
      <c r="H226" s="8" t="s">
        <v>364</v>
      </c>
    </row>
    <row r="227">
      <c r="H227" s="8" t="s">
        <v>364</v>
      </c>
    </row>
    <row r="228">
      <c r="H228" s="8" t="s">
        <v>364</v>
      </c>
    </row>
    <row r="229">
      <c r="H229" s="8" t="s">
        <v>364</v>
      </c>
    </row>
    <row r="230">
      <c r="H230" s="8" t="s">
        <v>364</v>
      </c>
    </row>
    <row r="231">
      <c r="H231" s="8" t="s">
        <v>364</v>
      </c>
    </row>
    <row r="232">
      <c r="H232" s="8" t="s">
        <v>364</v>
      </c>
    </row>
    <row r="233">
      <c r="H233" s="8" t="s">
        <v>364</v>
      </c>
    </row>
    <row r="234">
      <c r="H234" s="8" t="s">
        <v>364</v>
      </c>
    </row>
    <row r="235">
      <c r="H235" s="8" t="s">
        <v>364</v>
      </c>
    </row>
    <row r="236">
      <c r="H236" s="8" t="s">
        <v>364</v>
      </c>
    </row>
    <row r="237">
      <c r="H237" s="8" t="s">
        <v>364</v>
      </c>
    </row>
    <row r="238">
      <c r="H238" s="8" t="s">
        <v>364</v>
      </c>
    </row>
    <row r="239">
      <c r="H239" s="8" t="s">
        <v>364</v>
      </c>
    </row>
    <row r="240">
      <c r="H240" s="8" t="s">
        <v>364</v>
      </c>
    </row>
    <row r="241">
      <c r="H241" s="8" t="s">
        <v>364</v>
      </c>
    </row>
    <row r="242">
      <c r="H242" s="8" t="s">
        <v>364</v>
      </c>
    </row>
    <row r="243">
      <c r="H243" s="8" t="s">
        <v>364</v>
      </c>
    </row>
    <row r="244">
      <c r="H244" s="8" t="s">
        <v>364</v>
      </c>
    </row>
    <row r="245">
      <c r="H245" s="8" t="s">
        <v>364</v>
      </c>
    </row>
    <row r="246">
      <c r="H246" s="8" t="s">
        <v>364</v>
      </c>
    </row>
    <row r="247">
      <c r="H247" s="8" t="s">
        <v>364</v>
      </c>
    </row>
    <row r="248">
      <c r="H248" s="8" t="s">
        <v>364</v>
      </c>
    </row>
    <row r="249">
      <c r="H249" s="8" t="s">
        <v>364</v>
      </c>
    </row>
    <row r="250">
      <c r="H250" s="8" t="s">
        <v>364</v>
      </c>
    </row>
    <row r="251">
      <c r="H251" s="8" t="s">
        <v>364</v>
      </c>
    </row>
    <row r="252">
      <c r="H252" s="8" t="s">
        <v>364</v>
      </c>
    </row>
    <row r="253">
      <c r="H253" s="8" t="s">
        <v>364</v>
      </c>
    </row>
    <row r="254">
      <c r="H254" s="8" t="s">
        <v>364</v>
      </c>
    </row>
    <row r="255">
      <c r="H255" s="8" t="s">
        <v>364</v>
      </c>
    </row>
    <row r="256">
      <c r="H256" s="8" t="s">
        <v>364</v>
      </c>
    </row>
    <row r="257">
      <c r="H257" s="8" t="s">
        <v>364</v>
      </c>
    </row>
    <row r="258">
      <c r="H258" s="8" t="s">
        <v>364</v>
      </c>
    </row>
    <row r="259">
      <c r="H259" s="8" t="s">
        <v>364</v>
      </c>
    </row>
    <row r="260">
      <c r="H260" s="8" t="s">
        <v>364</v>
      </c>
    </row>
    <row r="261">
      <c r="H261" s="8" t="s">
        <v>364</v>
      </c>
    </row>
    <row r="262">
      <c r="H262" s="8" t="s">
        <v>364</v>
      </c>
    </row>
    <row r="263">
      <c r="H263" s="8" t="s">
        <v>364</v>
      </c>
    </row>
    <row r="264">
      <c r="H264" s="8" t="s">
        <v>364</v>
      </c>
    </row>
    <row r="265">
      <c r="H265" s="8" t="s">
        <v>364</v>
      </c>
    </row>
    <row r="266">
      <c r="H266" s="8" t="s">
        <v>364</v>
      </c>
    </row>
    <row r="267">
      <c r="H267" s="8" t="s">
        <v>364</v>
      </c>
    </row>
    <row r="268">
      <c r="H268" s="8" t="s">
        <v>364</v>
      </c>
    </row>
    <row r="269">
      <c r="H269" s="8" t="s">
        <v>364</v>
      </c>
    </row>
    <row r="270">
      <c r="H270" s="8" t="s">
        <v>364</v>
      </c>
    </row>
    <row r="271">
      <c r="H271" s="8" t="s">
        <v>364</v>
      </c>
    </row>
    <row r="272">
      <c r="H272" s="8" t="s">
        <v>364</v>
      </c>
    </row>
    <row r="273">
      <c r="H273" s="8" t="s">
        <v>364</v>
      </c>
    </row>
    <row r="274">
      <c r="H274" s="8" t="s">
        <v>364</v>
      </c>
    </row>
    <row r="275">
      <c r="H275" s="8" t="s">
        <v>364</v>
      </c>
    </row>
    <row r="276">
      <c r="H276" s="8" t="s">
        <v>364</v>
      </c>
    </row>
    <row r="277">
      <c r="H277" s="8" t="s">
        <v>364</v>
      </c>
    </row>
    <row r="278">
      <c r="H278" s="8" t="s">
        <v>364</v>
      </c>
    </row>
    <row r="279">
      <c r="H279" s="8" t="s">
        <v>364</v>
      </c>
    </row>
    <row r="280">
      <c r="H280" s="8" t="s">
        <v>364</v>
      </c>
    </row>
    <row r="281">
      <c r="H281" s="8" t="s">
        <v>364</v>
      </c>
    </row>
    <row r="282">
      <c r="H282" s="8" t="s">
        <v>364</v>
      </c>
    </row>
    <row r="283">
      <c r="H283" s="8" t="s">
        <v>364</v>
      </c>
    </row>
    <row r="284">
      <c r="H284" s="8" t="s">
        <v>364</v>
      </c>
    </row>
    <row r="285">
      <c r="H285" s="8" t="s">
        <v>364</v>
      </c>
    </row>
    <row r="286">
      <c r="H286" s="8" t="s">
        <v>364</v>
      </c>
    </row>
    <row r="287">
      <c r="H287" s="8" t="s">
        <v>364</v>
      </c>
    </row>
    <row r="288">
      <c r="H288" s="8" t="s">
        <v>364</v>
      </c>
    </row>
    <row r="289">
      <c r="H289" s="8" t="s">
        <v>364</v>
      </c>
    </row>
    <row r="290">
      <c r="H290" s="8" t="s">
        <v>364</v>
      </c>
    </row>
    <row r="291">
      <c r="H291" s="8" t="s">
        <v>364</v>
      </c>
    </row>
    <row r="292">
      <c r="H292" s="8" t="s">
        <v>364</v>
      </c>
    </row>
    <row r="293">
      <c r="H293" s="8" t="s">
        <v>364</v>
      </c>
    </row>
    <row r="294">
      <c r="H294" s="8" t="s">
        <v>364</v>
      </c>
    </row>
    <row r="295">
      <c r="H295" s="8" t="s">
        <v>364</v>
      </c>
    </row>
    <row r="296">
      <c r="H296" s="8" t="s">
        <v>364</v>
      </c>
    </row>
    <row r="297">
      <c r="H297" s="8" t="s">
        <v>364</v>
      </c>
    </row>
    <row r="298">
      <c r="H298" s="8" t="s">
        <v>364</v>
      </c>
    </row>
    <row r="299">
      <c r="H299" s="8" t="s">
        <v>364</v>
      </c>
    </row>
    <row r="300">
      <c r="H300" s="8" t="s">
        <v>364</v>
      </c>
    </row>
    <row r="301">
      <c r="H301" s="8" t="s">
        <v>364</v>
      </c>
    </row>
    <row r="302">
      <c r="H302" s="8" t="s">
        <v>364</v>
      </c>
    </row>
    <row r="303">
      <c r="H303" s="8" t="s">
        <v>364</v>
      </c>
    </row>
    <row r="304">
      <c r="H304" s="8" t="s">
        <v>364</v>
      </c>
    </row>
    <row r="305">
      <c r="H305" s="8" t="s">
        <v>364</v>
      </c>
    </row>
    <row r="306">
      <c r="H306" s="8" t="s">
        <v>364</v>
      </c>
    </row>
    <row r="307">
      <c r="H307" s="8" t="s">
        <v>364</v>
      </c>
    </row>
    <row r="308">
      <c r="H308" s="8" t="s">
        <v>364</v>
      </c>
    </row>
    <row r="309">
      <c r="H309" s="8" t="s">
        <v>364</v>
      </c>
    </row>
    <row r="310">
      <c r="H310" s="8" t="s">
        <v>364</v>
      </c>
    </row>
    <row r="311">
      <c r="H311" s="8" t="s">
        <v>364</v>
      </c>
    </row>
    <row r="312">
      <c r="H312" s="8" t="s">
        <v>364</v>
      </c>
    </row>
    <row r="313">
      <c r="H313" s="8" t="s">
        <v>364</v>
      </c>
    </row>
    <row r="314">
      <c r="H314" s="8" t="s">
        <v>364</v>
      </c>
    </row>
    <row r="315">
      <c r="H315" s="8" t="s">
        <v>364</v>
      </c>
    </row>
    <row r="316">
      <c r="H316" s="8" t="s">
        <v>364</v>
      </c>
    </row>
    <row r="317">
      <c r="H317" s="8" t="s">
        <v>364</v>
      </c>
    </row>
    <row r="318">
      <c r="H318" s="8" t="s">
        <v>364</v>
      </c>
    </row>
    <row r="319">
      <c r="H319" s="8" t="s">
        <v>364</v>
      </c>
    </row>
    <row r="320">
      <c r="H320" s="8" t="s">
        <v>364</v>
      </c>
    </row>
    <row r="321">
      <c r="H321" s="8" t="s">
        <v>364</v>
      </c>
    </row>
    <row r="322">
      <c r="H322" s="8" t="s">
        <v>364</v>
      </c>
    </row>
    <row r="323">
      <c r="H323" s="8" t="s">
        <v>364</v>
      </c>
    </row>
    <row r="324">
      <c r="H324" s="8" t="s">
        <v>364</v>
      </c>
    </row>
    <row r="325">
      <c r="H325" s="8" t="s">
        <v>364</v>
      </c>
    </row>
    <row r="326">
      <c r="H326" s="8" t="s">
        <v>364</v>
      </c>
    </row>
    <row r="327">
      <c r="H327" s="8" t="s">
        <v>364</v>
      </c>
    </row>
    <row r="328">
      <c r="H328" s="8" t="s">
        <v>364</v>
      </c>
    </row>
    <row r="329">
      <c r="H329" s="8" t="s">
        <v>364</v>
      </c>
    </row>
    <row r="330">
      <c r="H330" s="8" t="s">
        <v>364</v>
      </c>
    </row>
    <row r="331">
      <c r="H331" s="8" t="s">
        <v>364</v>
      </c>
    </row>
    <row r="332">
      <c r="H332" s="8" t="s">
        <v>364</v>
      </c>
    </row>
    <row r="333">
      <c r="H333" s="8" t="s">
        <v>364</v>
      </c>
    </row>
    <row r="334">
      <c r="H334" s="8" t="s">
        <v>364</v>
      </c>
    </row>
    <row r="335">
      <c r="H335" s="8" t="s">
        <v>364</v>
      </c>
    </row>
    <row r="336">
      <c r="H336" s="8" t="s">
        <v>364</v>
      </c>
    </row>
    <row r="337">
      <c r="H337" s="8" t="s">
        <v>364</v>
      </c>
    </row>
    <row r="338">
      <c r="H338" s="8" t="s">
        <v>364</v>
      </c>
    </row>
    <row r="339">
      <c r="H339" s="8" t="s">
        <v>364</v>
      </c>
    </row>
    <row r="340">
      <c r="H340" s="8" t="s">
        <v>364</v>
      </c>
    </row>
    <row r="341">
      <c r="H341" s="8" t="s">
        <v>364</v>
      </c>
    </row>
    <row r="342">
      <c r="H342" s="8" t="s">
        <v>364</v>
      </c>
    </row>
    <row r="343">
      <c r="H343" s="8" t="s">
        <v>364</v>
      </c>
    </row>
    <row r="344">
      <c r="H344" s="8" t="s">
        <v>364</v>
      </c>
    </row>
    <row r="345">
      <c r="H345" s="8" t="s">
        <v>364</v>
      </c>
    </row>
    <row r="346">
      <c r="H346" s="8" t="s">
        <v>364</v>
      </c>
    </row>
    <row r="347">
      <c r="H347" s="8" t="s">
        <v>364</v>
      </c>
    </row>
    <row r="348">
      <c r="H348" s="8" t="s">
        <v>364</v>
      </c>
    </row>
    <row r="349">
      <c r="H349" s="8" t="s">
        <v>364</v>
      </c>
    </row>
    <row r="350">
      <c r="H350" s="8" t="s">
        <v>364</v>
      </c>
    </row>
    <row r="351">
      <c r="H351" s="8" t="s">
        <v>364</v>
      </c>
    </row>
    <row r="352">
      <c r="H352" s="8" t="s">
        <v>364</v>
      </c>
    </row>
    <row r="353">
      <c r="H353" s="8" t="s">
        <v>364</v>
      </c>
    </row>
    <row r="354">
      <c r="H354" s="8" t="s">
        <v>364</v>
      </c>
    </row>
    <row r="355">
      <c r="H355" s="8" t="s">
        <v>364</v>
      </c>
    </row>
    <row r="356">
      <c r="H356" s="8" t="s">
        <v>364</v>
      </c>
    </row>
    <row r="357">
      <c r="H357" s="8" t="s">
        <v>364</v>
      </c>
    </row>
    <row r="358">
      <c r="H358" s="8" t="s">
        <v>364</v>
      </c>
    </row>
    <row r="359">
      <c r="H359" s="8" t="s">
        <v>364</v>
      </c>
    </row>
    <row r="360">
      <c r="H360" s="8" t="s">
        <v>364</v>
      </c>
    </row>
    <row r="361">
      <c r="H361" s="8" t="s">
        <v>364</v>
      </c>
    </row>
    <row r="362">
      <c r="H362" s="8" t="s">
        <v>364</v>
      </c>
    </row>
    <row r="363">
      <c r="H363" s="8" t="s">
        <v>364</v>
      </c>
    </row>
    <row r="364">
      <c r="H364" s="8" t="s">
        <v>364</v>
      </c>
    </row>
    <row r="365">
      <c r="H365" s="8" t="s">
        <v>364</v>
      </c>
    </row>
    <row r="366">
      <c r="H366" s="8" t="s">
        <v>364</v>
      </c>
    </row>
    <row r="367">
      <c r="H367" s="8" t="s">
        <v>364</v>
      </c>
    </row>
    <row r="368">
      <c r="H368" s="8" t="s">
        <v>364</v>
      </c>
    </row>
    <row r="369">
      <c r="H369" s="8" t="s">
        <v>364</v>
      </c>
    </row>
    <row r="370">
      <c r="H370" s="8" t="s">
        <v>364</v>
      </c>
    </row>
    <row r="371">
      <c r="H371" s="8" t="s">
        <v>364</v>
      </c>
    </row>
    <row r="372">
      <c r="H372" s="8" t="s">
        <v>364</v>
      </c>
    </row>
    <row r="373">
      <c r="H373" s="8" t="s">
        <v>364</v>
      </c>
    </row>
    <row r="374">
      <c r="H374" s="8" t="s">
        <v>364</v>
      </c>
    </row>
    <row r="375">
      <c r="H375" s="8" t="s">
        <v>364</v>
      </c>
    </row>
    <row r="376">
      <c r="H376" s="8" t="s">
        <v>364</v>
      </c>
    </row>
    <row r="377">
      <c r="H377" s="8" t="s">
        <v>364</v>
      </c>
    </row>
    <row r="378">
      <c r="H378" s="8" t="s">
        <v>364</v>
      </c>
    </row>
    <row r="379">
      <c r="H379" s="8" t="s">
        <v>364</v>
      </c>
    </row>
    <row r="380">
      <c r="H380" s="8" t="s">
        <v>364</v>
      </c>
    </row>
    <row r="381">
      <c r="H381" s="8" t="s">
        <v>364</v>
      </c>
    </row>
    <row r="382">
      <c r="H382" s="8" t="s">
        <v>364</v>
      </c>
    </row>
    <row r="383">
      <c r="H383" s="8" t="s">
        <v>364</v>
      </c>
    </row>
    <row r="384">
      <c r="H384" s="8" t="s">
        <v>364</v>
      </c>
    </row>
    <row r="385">
      <c r="H385" s="8" t="s">
        <v>364</v>
      </c>
    </row>
    <row r="386">
      <c r="H386" s="8" t="s">
        <v>364</v>
      </c>
    </row>
    <row r="387">
      <c r="H387" s="8" t="s">
        <v>364</v>
      </c>
    </row>
    <row r="388">
      <c r="H388" s="8" t="s">
        <v>364</v>
      </c>
    </row>
    <row r="389">
      <c r="H389" s="8" t="s">
        <v>364</v>
      </c>
    </row>
    <row r="390">
      <c r="H390" s="8" t="s">
        <v>364</v>
      </c>
    </row>
    <row r="391">
      <c r="H391" s="8" t="s">
        <v>364</v>
      </c>
    </row>
    <row r="392">
      <c r="H392" s="8" t="s">
        <v>364</v>
      </c>
    </row>
    <row r="393">
      <c r="H393" s="8" t="s">
        <v>364</v>
      </c>
    </row>
    <row r="394">
      <c r="H394" s="8" t="s">
        <v>364</v>
      </c>
    </row>
    <row r="395">
      <c r="H395" s="8" t="s">
        <v>364</v>
      </c>
    </row>
    <row r="396">
      <c r="H396" s="8" t="s">
        <v>364</v>
      </c>
    </row>
    <row r="397">
      <c r="H397" s="8" t="s">
        <v>364</v>
      </c>
    </row>
    <row r="398">
      <c r="H398" s="8" t="s">
        <v>364</v>
      </c>
    </row>
    <row r="399">
      <c r="H399" s="8" t="s">
        <v>364</v>
      </c>
    </row>
    <row r="400">
      <c r="H400" s="8" t="s">
        <v>364</v>
      </c>
    </row>
    <row r="401">
      <c r="H401" s="8" t="s">
        <v>364</v>
      </c>
    </row>
    <row r="402">
      <c r="H402" s="8" t="s">
        <v>364</v>
      </c>
    </row>
    <row r="403">
      <c r="H403" s="8" t="s">
        <v>364</v>
      </c>
    </row>
    <row r="404">
      <c r="H404" s="8" t="s">
        <v>364</v>
      </c>
    </row>
    <row r="405">
      <c r="H405" s="8" t="s">
        <v>364</v>
      </c>
    </row>
    <row r="406">
      <c r="H406" s="8" t="s">
        <v>364</v>
      </c>
    </row>
    <row r="407">
      <c r="H407" s="8" t="s">
        <v>364</v>
      </c>
    </row>
    <row r="408">
      <c r="H408" s="8" t="s">
        <v>364</v>
      </c>
    </row>
    <row r="409">
      <c r="H409" s="8" t="s">
        <v>364</v>
      </c>
    </row>
    <row r="410">
      <c r="H410" s="8" t="s">
        <v>364</v>
      </c>
    </row>
    <row r="411">
      <c r="H411" s="8" t="s">
        <v>364</v>
      </c>
    </row>
    <row r="412">
      <c r="H412" s="8" t="s">
        <v>364</v>
      </c>
    </row>
    <row r="413">
      <c r="H413" s="8" t="s">
        <v>364</v>
      </c>
    </row>
    <row r="414">
      <c r="H414" s="8" t="s">
        <v>364</v>
      </c>
    </row>
    <row r="415">
      <c r="H415" s="8" t="s">
        <v>364</v>
      </c>
    </row>
    <row r="416">
      <c r="H416" s="8" t="s">
        <v>364</v>
      </c>
    </row>
    <row r="417">
      <c r="H417" s="8" t="s">
        <v>364</v>
      </c>
    </row>
    <row r="418">
      <c r="H418" s="8" t="s">
        <v>364</v>
      </c>
    </row>
    <row r="419">
      <c r="H419" s="8" t="s">
        <v>364</v>
      </c>
    </row>
    <row r="420">
      <c r="H420" s="8" t="s">
        <v>364</v>
      </c>
    </row>
    <row r="421">
      <c r="H421" s="8" t="s">
        <v>364</v>
      </c>
    </row>
    <row r="422">
      <c r="H422" s="8" t="s">
        <v>364</v>
      </c>
    </row>
    <row r="423">
      <c r="H423" s="8" t="s">
        <v>364</v>
      </c>
    </row>
    <row r="424">
      <c r="H424" s="8" t="s">
        <v>364</v>
      </c>
    </row>
    <row r="425">
      <c r="H425" s="8" t="s">
        <v>364</v>
      </c>
    </row>
    <row r="426">
      <c r="H426" s="8" t="s">
        <v>364</v>
      </c>
    </row>
    <row r="427">
      <c r="H427" s="8" t="s">
        <v>364</v>
      </c>
    </row>
    <row r="428">
      <c r="H428" s="8" t="s">
        <v>364</v>
      </c>
    </row>
    <row r="429">
      <c r="H429" s="8" t="s">
        <v>364</v>
      </c>
    </row>
    <row r="430">
      <c r="H430" s="8" t="s">
        <v>364</v>
      </c>
    </row>
    <row r="431">
      <c r="H431" s="8" t="s">
        <v>364</v>
      </c>
    </row>
    <row r="432">
      <c r="H432" s="8" t="s">
        <v>364</v>
      </c>
    </row>
    <row r="433">
      <c r="H433" s="8" t="s">
        <v>364</v>
      </c>
    </row>
    <row r="434">
      <c r="H434" s="8" t="s">
        <v>364</v>
      </c>
    </row>
    <row r="435">
      <c r="H435" s="8" t="s">
        <v>364</v>
      </c>
    </row>
    <row r="436">
      <c r="H436" s="8" t="s">
        <v>364</v>
      </c>
    </row>
    <row r="437">
      <c r="H437" s="8" t="s">
        <v>364</v>
      </c>
    </row>
    <row r="438">
      <c r="H438" s="8" t="s">
        <v>364</v>
      </c>
    </row>
    <row r="439">
      <c r="H439" s="8" t="s">
        <v>364</v>
      </c>
    </row>
    <row r="440">
      <c r="H440" s="8" t="s">
        <v>364</v>
      </c>
    </row>
    <row r="441">
      <c r="H441" s="8" t="s">
        <v>364</v>
      </c>
    </row>
    <row r="442">
      <c r="H442" s="8" t="s">
        <v>364</v>
      </c>
    </row>
    <row r="443">
      <c r="H443" s="8" t="s">
        <v>364</v>
      </c>
    </row>
    <row r="444">
      <c r="H444" s="8" t="s">
        <v>364</v>
      </c>
    </row>
    <row r="445">
      <c r="H445" s="8" t="s">
        <v>364</v>
      </c>
    </row>
    <row r="446">
      <c r="H446" s="8" t="s">
        <v>364</v>
      </c>
    </row>
    <row r="447">
      <c r="H447" s="8" t="s">
        <v>364</v>
      </c>
    </row>
    <row r="448">
      <c r="H448" s="8" t="s">
        <v>364</v>
      </c>
    </row>
    <row r="449">
      <c r="H449" s="8" t="s">
        <v>364</v>
      </c>
    </row>
    <row r="450">
      <c r="H450" s="8" t="s">
        <v>364</v>
      </c>
    </row>
    <row r="451">
      <c r="H451" s="8" t="s">
        <v>364</v>
      </c>
    </row>
    <row r="452">
      <c r="H452" s="8" t="s">
        <v>364</v>
      </c>
    </row>
    <row r="453">
      <c r="H453" s="8" t="s">
        <v>364</v>
      </c>
    </row>
    <row r="454">
      <c r="H454" s="8" t="s">
        <v>364</v>
      </c>
    </row>
    <row r="455">
      <c r="H455" s="8" t="s">
        <v>364</v>
      </c>
    </row>
    <row r="456">
      <c r="H456" s="8" t="s">
        <v>364</v>
      </c>
    </row>
    <row r="457">
      <c r="H457" s="8" t="s">
        <v>364</v>
      </c>
    </row>
    <row r="458">
      <c r="H458" s="8" t="s">
        <v>364</v>
      </c>
    </row>
    <row r="459">
      <c r="H459" s="8" t="s">
        <v>364</v>
      </c>
    </row>
    <row r="460">
      <c r="H460" s="8" t="s">
        <v>364</v>
      </c>
    </row>
    <row r="461">
      <c r="H461" s="8" t="s">
        <v>364</v>
      </c>
    </row>
    <row r="462">
      <c r="H462" s="8" t="s">
        <v>364</v>
      </c>
    </row>
    <row r="463">
      <c r="H463" s="8" t="s">
        <v>364</v>
      </c>
    </row>
    <row r="464">
      <c r="H464" s="8" t="s">
        <v>364</v>
      </c>
    </row>
    <row r="465">
      <c r="H465" s="8" t="s">
        <v>364</v>
      </c>
    </row>
    <row r="466">
      <c r="H466" s="8" t="s">
        <v>364</v>
      </c>
    </row>
    <row r="467">
      <c r="H467" s="8" t="s">
        <v>364</v>
      </c>
    </row>
    <row r="468">
      <c r="H468" s="8" t="s">
        <v>364</v>
      </c>
    </row>
    <row r="469">
      <c r="H469" s="8" t="s">
        <v>364</v>
      </c>
    </row>
    <row r="470">
      <c r="H470" s="8" t="s">
        <v>364</v>
      </c>
    </row>
    <row r="471">
      <c r="H471" s="8" t="s">
        <v>364</v>
      </c>
    </row>
    <row r="472">
      <c r="H472" s="8" t="s">
        <v>364</v>
      </c>
    </row>
    <row r="473">
      <c r="H473" s="8" t="s">
        <v>364</v>
      </c>
    </row>
    <row r="474">
      <c r="H474" s="8" t="s">
        <v>364</v>
      </c>
    </row>
    <row r="475">
      <c r="H475" s="8" t="s">
        <v>364</v>
      </c>
    </row>
    <row r="476">
      <c r="H476" s="8" t="s">
        <v>364</v>
      </c>
    </row>
    <row r="477">
      <c r="H477" s="8" t="s">
        <v>364</v>
      </c>
    </row>
    <row r="478">
      <c r="H478" s="8" t="s">
        <v>364</v>
      </c>
    </row>
    <row r="479">
      <c r="H479" s="8" t="s">
        <v>364</v>
      </c>
    </row>
    <row r="480">
      <c r="H480" s="8" t="s">
        <v>364</v>
      </c>
    </row>
    <row r="481">
      <c r="H481" s="8" t="s">
        <v>364</v>
      </c>
    </row>
    <row r="482">
      <c r="H482" s="8" t="s">
        <v>364</v>
      </c>
    </row>
    <row r="483">
      <c r="H483" s="8" t="s">
        <v>364</v>
      </c>
    </row>
    <row r="484">
      <c r="H484" s="8" t="s">
        <v>364</v>
      </c>
    </row>
    <row r="485">
      <c r="H485" s="8" t="s">
        <v>364</v>
      </c>
    </row>
    <row r="486">
      <c r="H486" s="8" t="s">
        <v>364</v>
      </c>
    </row>
    <row r="487">
      <c r="H487" s="8" t="s">
        <v>364</v>
      </c>
    </row>
    <row r="488">
      <c r="H488" s="8" t="s">
        <v>364</v>
      </c>
    </row>
    <row r="489">
      <c r="H489" s="8" t="s">
        <v>364</v>
      </c>
    </row>
    <row r="490">
      <c r="H490" s="8" t="s">
        <v>364</v>
      </c>
    </row>
    <row r="491">
      <c r="H491" s="8" t="s">
        <v>364</v>
      </c>
    </row>
    <row r="492">
      <c r="H492" s="8" t="s">
        <v>364</v>
      </c>
    </row>
    <row r="493">
      <c r="H493" s="8" t="s">
        <v>364</v>
      </c>
    </row>
    <row r="494">
      <c r="H494" s="8" t="s">
        <v>364</v>
      </c>
    </row>
    <row r="495">
      <c r="H495" s="8" t="s">
        <v>364</v>
      </c>
    </row>
    <row r="496">
      <c r="H496" s="8" t="s">
        <v>364</v>
      </c>
    </row>
    <row r="497">
      <c r="H497" s="8" t="s">
        <v>364</v>
      </c>
    </row>
    <row r="498">
      <c r="H498" s="8" t="s">
        <v>364</v>
      </c>
    </row>
    <row r="499">
      <c r="H499" s="8" t="s">
        <v>364</v>
      </c>
    </row>
    <row r="500">
      <c r="H500" s="8" t="s">
        <v>364</v>
      </c>
    </row>
    <row r="501">
      <c r="H501" s="8" t="s">
        <v>364</v>
      </c>
    </row>
    <row r="502">
      <c r="H502" s="8" t="s">
        <v>364</v>
      </c>
    </row>
    <row r="503">
      <c r="H503" s="8" t="s">
        <v>364</v>
      </c>
    </row>
    <row r="504">
      <c r="H504" s="8" t="s">
        <v>364</v>
      </c>
    </row>
    <row r="505">
      <c r="H505" s="8" t="s">
        <v>364</v>
      </c>
    </row>
    <row r="506">
      <c r="H506" s="8" t="s">
        <v>364</v>
      </c>
    </row>
    <row r="507">
      <c r="H507" s="8" t="s">
        <v>364</v>
      </c>
    </row>
    <row r="508">
      <c r="H508" s="8" t="s">
        <v>364</v>
      </c>
    </row>
    <row r="509">
      <c r="H509" s="8" t="s">
        <v>364</v>
      </c>
    </row>
    <row r="510">
      <c r="H510" s="8" t="s">
        <v>364</v>
      </c>
    </row>
    <row r="511">
      <c r="H511" s="8" t="s">
        <v>364</v>
      </c>
    </row>
    <row r="512">
      <c r="H512" s="8" t="s">
        <v>364</v>
      </c>
    </row>
    <row r="513">
      <c r="H513" s="8" t="s">
        <v>364</v>
      </c>
    </row>
    <row r="514">
      <c r="H514" s="8" t="s">
        <v>364</v>
      </c>
    </row>
    <row r="515">
      <c r="H515" s="8" t="s">
        <v>364</v>
      </c>
    </row>
    <row r="516">
      <c r="H516" s="8" t="s">
        <v>364</v>
      </c>
    </row>
    <row r="517">
      <c r="H517" s="8" t="s">
        <v>364</v>
      </c>
    </row>
    <row r="518">
      <c r="H518" s="8" t="s">
        <v>364</v>
      </c>
    </row>
    <row r="519">
      <c r="H519" s="8" t="s">
        <v>364</v>
      </c>
    </row>
    <row r="520">
      <c r="H520" s="8" t="s">
        <v>364</v>
      </c>
    </row>
    <row r="521">
      <c r="H521" s="8" t="s">
        <v>364</v>
      </c>
    </row>
    <row r="522">
      <c r="H522" s="8" t="s">
        <v>364</v>
      </c>
    </row>
    <row r="523">
      <c r="H523" s="8" t="s">
        <v>364</v>
      </c>
    </row>
    <row r="524">
      <c r="H524" s="8" t="s">
        <v>364</v>
      </c>
    </row>
    <row r="525">
      <c r="H525" s="8" t="s">
        <v>364</v>
      </c>
    </row>
    <row r="526">
      <c r="H526" s="8" t="s">
        <v>364</v>
      </c>
    </row>
    <row r="527">
      <c r="H527" s="8" t="s">
        <v>364</v>
      </c>
    </row>
    <row r="528">
      <c r="H528" s="8" t="s">
        <v>364</v>
      </c>
    </row>
    <row r="529">
      <c r="H529" s="8" t="s">
        <v>364</v>
      </c>
    </row>
    <row r="530">
      <c r="H530" s="8" t="s">
        <v>364</v>
      </c>
    </row>
    <row r="531">
      <c r="H531" s="8" t="s">
        <v>364</v>
      </c>
    </row>
    <row r="532">
      <c r="H532" s="8" t="s">
        <v>364</v>
      </c>
    </row>
    <row r="533">
      <c r="H533" s="8" t="s">
        <v>364</v>
      </c>
    </row>
    <row r="534">
      <c r="H534" s="8" t="s">
        <v>364</v>
      </c>
    </row>
    <row r="535">
      <c r="H535" s="8" t="s">
        <v>364</v>
      </c>
    </row>
    <row r="536">
      <c r="H536" s="8" t="s">
        <v>364</v>
      </c>
    </row>
    <row r="537">
      <c r="H537" s="8" t="s">
        <v>364</v>
      </c>
    </row>
    <row r="538">
      <c r="H538" s="8" t="s">
        <v>364</v>
      </c>
    </row>
    <row r="539">
      <c r="H539" s="8" t="s">
        <v>364</v>
      </c>
    </row>
    <row r="540">
      <c r="H540" s="8" t="s">
        <v>364</v>
      </c>
    </row>
    <row r="541">
      <c r="H541" s="8" t="s">
        <v>364</v>
      </c>
    </row>
    <row r="542">
      <c r="H542" s="8" t="s">
        <v>364</v>
      </c>
    </row>
    <row r="543">
      <c r="H543" s="8" t="s">
        <v>364</v>
      </c>
    </row>
    <row r="544">
      <c r="H544" s="8" t="s">
        <v>364</v>
      </c>
    </row>
    <row r="545">
      <c r="H545" s="8" t="s">
        <v>364</v>
      </c>
    </row>
    <row r="546">
      <c r="H546" s="8" t="s">
        <v>364</v>
      </c>
    </row>
    <row r="547">
      <c r="H547" s="8" t="s">
        <v>364</v>
      </c>
    </row>
    <row r="548">
      <c r="H548" s="8" t="s">
        <v>364</v>
      </c>
    </row>
    <row r="549">
      <c r="H549" s="8" t="s">
        <v>364</v>
      </c>
    </row>
    <row r="550">
      <c r="H550" s="8" t="s">
        <v>364</v>
      </c>
    </row>
    <row r="551">
      <c r="H551" s="8" t="s">
        <v>364</v>
      </c>
    </row>
    <row r="552">
      <c r="H552" s="8" t="s">
        <v>364</v>
      </c>
    </row>
    <row r="553">
      <c r="H553" s="8" t="s">
        <v>364</v>
      </c>
    </row>
    <row r="554">
      <c r="H554" s="8" t="s">
        <v>364</v>
      </c>
    </row>
    <row r="555">
      <c r="H555" s="8" t="s">
        <v>364</v>
      </c>
    </row>
    <row r="556">
      <c r="H556" s="8" t="s">
        <v>364</v>
      </c>
    </row>
    <row r="557">
      <c r="H557" s="8" t="s">
        <v>364</v>
      </c>
    </row>
    <row r="558">
      <c r="H558" s="8" t="s">
        <v>364</v>
      </c>
    </row>
    <row r="559">
      <c r="H559" s="8" t="s">
        <v>364</v>
      </c>
    </row>
    <row r="560">
      <c r="H560" s="8" t="s">
        <v>364</v>
      </c>
    </row>
    <row r="561">
      <c r="H561" s="8" t="s">
        <v>364</v>
      </c>
    </row>
    <row r="562">
      <c r="H562" s="8" t="s">
        <v>364</v>
      </c>
    </row>
    <row r="563">
      <c r="H563" s="8" t="s">
        <v>364</v>
      </c>
    </row>
    <row r="564">
      <c r="H564" s="8" t="s">
        <v>364</v>
      </c>
    </row>
    <row r="565">
      <c r="H565" s="8" t="s">
        <v>364</v>
      </c>
    </row>
    <row r="566">
      <c r="H566" s="8" t="s">
        <v>364</v>
      </c>
    </row>
    <row r="567">
      <c r="H567" s="8" t="s">
        <v>364</v>
      </c>
    </row>
    <row r="568">
      <c r="H568" s="8" t="s">
        <v>364</v>
      </c>
    </row>
    <row r="569">
      <c r="H569" s="8" t="s">
        <v>364</v>
      </c>
    </row>
    <row r="570">
      <c r="H570" s="8" t="s">
        <v>364</v>
      </c>
    </row>
    <row r="571">
      <c r="H571" s="8" t="s">
        <v>364</v>
      </c>
    </row>
    <row r="572">
      <c r="H572" s="8" t="s">
        <v>364</v>
      </c>
    </row>
    <row r="573">
      <c r="H573" s="8" t="s">
        <v>364</v>
      </c>
    </row>
    <row r="574">
      <c r="H574" s="8" t="s">
        <v>364</v>
      </c>
    </row>
    <row r="575">
      <c r="H575" s="8" t="s">
        <v>364</v>
      </c>
    </row>
    <row r="576">
      <c r="H576" s="8" t="s">
        <v>364</v>
      </c>
    </row>
    <row r="577">
      <c r="H577" s="8" t="s">
        <v>364</v>
      </c>
    </row>
    <row r="578">
      <c r="H578" s="8" t="s">
        <v>364</v>
      </c>
    </row>
    <row r="579">
      <c r="H579" s="8" t="s">
        <v>364</v>
      </c>
    </row>
    <row r="580">
      <c r="H580" s="8" t="s">
        <v>364</v>
      </c>
    </row>
    <row r="581">
      <c r="H581" s="8" t="s">
        <v>364</v>
      </c>
    </row>
    <row r="582">
      <c r="H582" s="8" t="s">
        <v>364</v>
      </c>
    </row>
    <row r="583">
      <c r="H583" s="8" t="s">
        <v>364</v>
      </c>
    </row>
    <row r="584">
      <c r="H584" s="8" t="s">
        <v>364</v>
      </c>
    </row>
    <row r="585">
      <c r="H585" s="8" t="s">
        <v>364</v>
      </c>
    </row>
    <row r="586">
      <c r="H586" s="8" t="s">
        <v>364</v>
      </c>
    </row>
    <row r="587">
      <c r="H587" s="8" t="s">
        <v>364</v>
      </c>
    </row>
    <row r="588">
      <c r="H588" s="8" t="s">
        <v>364</v>
      </c>
    </row>
    <row r="589">
      <c r="H589" s="8" t="s">
        <v>364</v>
      </c>
    </row>
    <row r="590">
      <c r="H590" s="8" t="s">
        <v>364</v>
      </c>
    </row>
    <row r="591">
      <c r="H591" s="8" t="s">
        <v>364</v>
      </c>
    </row>
    <row r="592">
      <c r="H592" s="8" t="s">
        <v>364</v>
      </c>
    </row>
    <row r="593">
      <c r="H593" s="8" t="s">
        <v>364</v>
      </c>
    </row>
    <row r="594">
      <c r="H594" s="8" t="s">
        <v>364</v>
      </c>
    </row>
    <row r="595">
      <c r="H595" s="8" t="s">
        <v>364</v>
      </c>
    </row>
    <row r="596">
      <c r="H596" s="8" t="s">
        <v>364</v>
      </c>
    </row>
    <row r="597">
      <c r="H597" s="8" t="s">
        <v>364</v>
      </c>
    </row>
    <row r="598">
      <c r="H598" s="8" t="s">
        <v>364</v>
      </c>
    </row>
    <row r="599">
      <c r="H599" s="8" t="s">
        <v>364</v>
      </c>
    </row>
    <row r="600">
      <c r="H600" s="8" t="s">
        <v>364</v>
      </c>
    </row>
    <row r="601">
      <c r="H601" s="8" t="s">
        <v>364</v>
      </c>
    </row>
    <row r="602">
      <c r="H602" s="8" t="s">
        <v>364</v>
      </c>
    </row>
    <row r="603">
      <c r="H603" s="8" t="s">
        <v>364</v>
      </c>
    </row>
    <row r="604">
      <c r="H604" s="8" t="s">
        <v>364</v>
      </c>
    </row>
    <row r="605">
      <c r="H605" s="8" t="s">
        <v>364</v>
      </c>
    </row>
    <row r="606">
      <c r="H606" s="8" t="s">
        <v>364</v>
      </c>
    </row>
    <row r="607">
      <c r="H607" s="8" t="s">
        <v>364</v>
      </c>
    </row>
    <row r="608">
      <c r="H608" s="8" t="s">
        <v>364</v>
      </c>
    </row>
    <row r="609">
      <c r="H609" s="8" t="s">
        <v>364</v>
      </c>
    </row>
    <row r="610">
      <c r="H610" s="8" t="s">
        <v>364</v>
      </c>
    </row>
    <row r="611">
      <c r="H611" s="8" t="s">
        <v>364</v>
      </c>
    </row>
    <row r="612">
      <c r="H612" s="8" t="s">
        <v>364</v>
      </c>
    </row>
    <row r="613">
      <c r="H613" s="8" t="s">
        <v>364</v>
      </c>
    </row>
    <row r="614">
      <c r="H614" s="8" t="s">
        <v>364</v>
      </c>
    </row>
    <row r="615">
      <c r="H615" s="8" t="s">
        <v>364</v>
      </c>
    </row>
    <row r="616">
      <c r="H616" s="8" t="s">
        <v>364</v>
      </c>
    </row>
    <row r="617">
      <c r="H617" s="8" t="s">
        <v>364</v>
      </c>
    </row>
    <row r="618">
      <c r="H618" s="8" t="s">
        <v>364</v>
      </c>
    </row>
    <row r="619">
      <c r="H619" s="8" t="s">
        <v>364</v>
      </c>
    </row>
    <row r="620">
      <c r="H620" s="8" t="s">
        <v>364</v>
      </c>
    </row>
    <row r="621">
      <c r="H621" s="8" t="s">
        <v>364</v>
      </c>
    </row>
    <row r="622">
      <c r="H622" s="8" t="s">
        <v>364</v>
      </c>
    </row>
    <row r="623">
      <c r="H623" s="8" t="s">
        <v>364</v>
      </c>
    </row>
    <row r="624">
      <c r="H624" s="8" t="s">
        <v>364</v>
      </c>
    </row>
    <row r="625">
      <c r="H625" s="8" t="s">
        <v>364</v>
      </c>
    </row>
    <row r="626">
      <c r="H626" s="8" t="s">
        <v>364</v>
      </c>
    </row>
    <row r="627">
      <c r="H627" s="8" t="s">
        <v>364</v>
      </c>
    </row>
    <row r="628">
      <c r="H628" s="8" t="s">
        <v>364</v>
      </c>
    </row>
    <row r="629">
      <c r="H629" s="8" t="s">
        <v>364</v>
      </c>
    </row>
    <row r="630">
      <c r="H630" s="8" t="s">
        <v>364</v>
      </c>
    </row>
    <row r="631">
      <c r="H631" s="8" t="s">
        <v>364</v>
      </c>
    </row>
    <row r="632">
      <c r="H632" s="8" t="s">
        <v>364</v>
      </c>
    </row>
    <row r="633">
      <c r="H633" s="8" t="s">
        <v>364</v>
      </c>
    </row>
    <row r="634">
      <c r="H634" s="8" t="s">
        <v>364</v>
      </c>
    </row>
    <row r="635">
      <c r="H635" s="8" t="s">
        <v>364</v>
      </c>
    </row>
    <row r="636">
      <c r="H636" s="8" t="s">
        <v>364</v>
      </c>
    </row>
    <row r="637">
      <c r="H637" s="8" t="s">
        <v>364</v>
      </c>
    </row>
    <row r="638">
      <c r="H638" s="8" t="s">
        <v>364</v>
      </c>
    </row>
    <row r="639">
      <c r="H639" s="8" t="s">
        <v>364</v>
      </c>
    </row>
    <row r="640">
      <c r="H640" s="8" t="s">
        <v>364</v>
      </c>
    </row>
    <row r="641">
      <c r="H641" s="8" t="s">
        <v>364</v>
      </c>
    </row>
    <row r="642">
      <c r="H642" s="8" t="s">
        <v>364</v>
      </c>
    </row>
    <row r="643">
      <c r="H643" s="8" t="s">
        <v>364</v>
      </c>
    </row>
    <row r="644">
      <c r="H644" s="8" t="s">
        <v>364</v>
      </c>
    </row>
    <row r="645">
      <c r="H645" s="8" t="s">
        <v>364</v>
      </c>
    </row>
    <row r="646">
      <c r="H646" s="8" t="s">
        <v>364</v>
      </c>
    </row>
    <row r="647">
      <c r="H647" s="8" t="s">
        <v>364</v>
      </c>
    </row>
    <row r="648">
      <c r="H648" s="8" t="s">
        <v>364</v>
      </c>
    </row>
    <row r="649">
      <c r="H649" s="8" t="s">
        <v>364</v>
      </c>
    </row>
    <row r="650">
      <c r="H650" s="8" t="s">
        <v>364</v>
      </c>
    </row>
    <row r="651">
      <c r="H651" s="8" t="s">
        <v>364</v>
      </c>
    </row>
    <row r="652">
      <c r="H652" s="8" t="s">
        <v>364</v>
      </c>
    </row>
    <row r="653">
      <c r="H653" s="8" t="s">
        <v>364</v>
      </c>
    </row>
    <row r="654">
      <c r="H654" s="8" t="s">
        <v>364</v>
      </c>
    </row>
    <row r="655">
      <c r="H655" s="8" t="s">
        <v>364</v>
      </c>
    </row>
    <row r="656">
      <c r="H656" s="8" t="s">
        <v>364</v>
      </c>
    </row>
    <row r="657">
      <c r="H657" s="8" t="s">
        <v>364</v>
      </c>
    </row>
    <row r="658">
      <c r="H658" s="8" t="s">
        <v>364</v>
      </c>
    </row>
    <row r="659">
      <c r="H659" s="8" t="s">
        <v>364</v>
      </c>
    </row>
    <row r="660">
      <c r="H660" s="8" t="s">
        <v>364</v>
      </c>
    </row>
    <row r="661">
      <c r="H661" s="8" t="s">
        <v>364</v>
      </c>
    </row>
    <row r="662">
      <c r="H662" s="8" t="s">
        <v>364</v>
      </c>
    </row>
    <row r="663">
      <c r="H663" s="8" t="s">
        <v>364</v>
      </c>
    </row>
    <row r="664">
      <c r="H664" s="8" t="s">
        <v>364</v>
      </c>
    </row>
    <row r="665">
      <c r="H665" s="8" t="s">
        <v>364</v>
      </c>
    </row>
    <row r="666">
      <c r="H666" s="8" t="s">
        <v>364</v>
      </c>
    </row>
    <row r="667">
      <c r="H667" s="8" t="s">
        <v>364</v>
      </c>
    </row>
    <row r="668">
      <c r="H668" s="8" t="s">
        <v>364</v>
      </c>
    </row>
    <row r="669">
      <c r="H669" s="8" t="s">
        <v>364</v>
      </c>
    </row>
    <row r="670">
      <c r="H670" s="8" t="s">
        <v>364</v>
      </c>
    </row>
    <row r="671">
      <c r="H671" s="8" t="s">
        <v>364</v>
      </c>
    </row>
    <row r="672">
      <c r="H672" s="8" t="s">
        <v>364</v>
      </c>
    </row>
    <row r="673">
      <c r="H673" s="8" t="s">
        <v>364</v>
      </c>
    </row>
    <row r="674">
      <c r="H674" s="8" t="s">
        <v>364</v>
      </c>
    </row>
    <row r="675">
      <c r="H675" s="8" t="s">
        <v>364</v>
      </c>
    </row>
    <row r="676">
      <c r="H676" s="8" t="s">
        <v>364</v>
      </c>
    </row>
    <row r="677">
      <c r="H677" s="8" t="s">
        <v>364</v>
      </c>
    </row>
    <row r="678">
      <c r="H678" s="8" t="s">
        <v>364</v>
      </c>
    </row>
    <row r="679">
      <c r="H679" s="8" t="s">
        <v>364</v>
      </c>
    </row>
    <row r="680">
      <c r="H680" s="8" t="s">
        <v>364</v>
      </c>
    </row>
    <row r="681">
      <c r="H681" s="8" t="s">
        <v>364</v>
      </c>
    </row>
    <row r="682">
      <c r="H682" s="8" t="s">
        <v>364</v>
      </c>
    </row>
    <row r="683">
      <c r="H683" s="8" t="s">
        <v>364</v>
      </c>
    </row>
    <row r="684">
      <c r="H684" s="8" t="s">
        <v>364</v>
      </c>
    </row>
    <row r="685">
      <c r="H685" s="8" t="s">
        <v>364</v>
      </c>
    </row>
    <row r="686">
      <c r="H686" s="8" t="s">
        <v>364</v>
      </c>
    </row>
    <row r="687">
      <c r="H687" s="8" t="s">
        <v>364</v>
      </c>
    </row>
    <row r="688">
      <c r="H688" s="8" t="s">
        <v>364</v>
      </c>
    </row>
    <row r="689">
      <c r="H689" s="8" t="s">
        <v>364</v>
      </c>
    </row>
    <row r="690">
      <c r="H690" s="8" t="s">
        <v>364</v>
      </c>
    </row>
    <row r="691">
      <c r="H691" s="8" t="s">
        <v>364</v>
      </c>
    </row>
    <row r="692">
      <c r="H692" s="8" t="s">
        <v>364</v>
      </c>
    </row>
    <row r="693">
      <c r="H693" s="8" t="s">
        <v>364</v>
      </c>
    </row>
    <row r="694">
      <c r="H694" s="8" t="s">
        <v>364</v>
      </c>
    </row>
    <row r="695">
      <c r="H695" s="8" t="s">
        <v>364</v>
      </c>
    </row>
    <row r="696">
      <c r="H696" s="8" t="s">
        <v>364</v>
      </c>
    </row>
    <row r="697">
      <c r="H697" s="8" t="s">
        <v>364</v>
      </c>
    </row>
    <row r="698">
      <c r="H698" s="8" t="s">
        <v>364</v>
      </c>
    </row>
    <row r="699">
      <c r="H699" s="8" t="s">
        <v>364</v>
      </c>
    </row>
    <row r="700">
      <c r="H700" s="8" t="s">
        <v>364</v>
      </c>
    </row>
    <row r="701">
      <c r="H701" s="8" t="s">
        <v>364</v>
      </c>
    </row>
    <row r="702">
      <c r="H702" s="8" t="s">
        <v>364</v>
      </c>
    </row>
    <row r="703">
      <c r="H703" s="8" t="s">
        <v>364</v>
      </c>
    </row>
    <row r="704">
      <c r="H704" s="8" t="s">
        <v>364</v>
      </c>
    </row>
    <row r="705">
      <c r="H705" s="8" t="s">
        <v>364</v>
      </c>
    </row>
    <row r="706">
      <c r="H706" s="8" t="s">
        <v>364</v>
      </c>
    </row>
    <row r="707">
      <c r="H707" s="8" t="s">
        <v>364</v>
      </c>
    </row>
    <row r="708">
      <c r="H708" s="8" t="s">
        <v>364</v>
      </c>
    </row>
    <row r="709">
      <c r="H709" s="8" t="s">
        <v>364</v>
      </c>
    </row>
    <row r="710">
      <c r="H710" s="8" t="s">
        <v>364</v>
      </c>
    </row>
    <row r="711">
      <c r="H711" s="8" t="s">
        <v>364</v>
      </c>
    </row>
    <row r="712">
      <c r="H712" s="8" t="s">
        <v>364</v>
      </c>
    </row>
    <row r="713">
      <c r="H713" s="8" t="s">
        <v>364</v>
      </c>
    </row>
    <row r="714">
      <c r="H714" s="8" t="s">
        <v>364</v>
      </c>
    </row>
    <row r="715">
      <c r="H715" s="8" t="s">
        <v>364</v>
      </c>
    </row>
    <row r="716">
      <c r="H716" s="8" t="s">
        <v>364</v>
      </c>
    </row>
    <row r="717">
      <c r="H717" s="8" t="s">
        <v>364</v>
      </c>
    </row>
    <row r="718">
      <c r="H718" s="8" t="s">
        <v>364</v>
      </c>
    </row>
    <row r="719">
      <c r="H719" s="8" t="s">
        <v>364</v>
      </c>
    </row>
    <row r="720">
      <c r="H720" s="8" t="s">
        <v>364</v>
      </c>
    </row>
    <row r="721">
      <c r="H721" s="8" t="s">
        <v>364</v>
      </c>
    </row>
    <row r="722">
      <c r="H722" s="8" t="s">
        <v>364</v>
      </c>
    </row>
    <row r="723">
      <c r="H723" s="8" t="s">
        <v>364</v>
      </c>
    </row>
    <row r="724">
      <c r="H724" s="8" t="s">
        <v>364</v>
      </c>
    </row>
    <row r="725">
      <c r="H725" s="8" t="s">
        <v>364</v>
      </c>
    </row>
    <row r="726">
      <c r="H726" s="8" t="s">
        <v>364</v>
      </c>
    </row>
    <row r="727">
      <c r="H727" s="8" t="s">
        <v>364</v>
      </c>
    </row>
    <row r="728">
      <c r="H728" s="8" t="s">
        <v>364</v>
      </c>
    </row>
    <row r="729">
      <c r="H729" s="8" t="s">
        <v>364</v>
      </c>
    </row>
    <row r="730">
      <c r="H730" s="8" t="s">
        <v>364</v>
      </c>
    </row>
    <row r="731">
      <c r="H731" s="8" t="s">
        <v>364</v>
      </c>
    </row>
    <row r="732">
      <c r="H732" s="8" t="s">
        <v>364</v>
      </c>
    </row>
    <row r="733">
      <c r="H733" s="8" t="s">
        <v>364</v>
      </c>
    </row>
    <row r="734">
      <c r="H734" s="8" t="s">
        <v>364</v>
      </c>
    </row>
    <row r="735">
      <c r="H735" s="8" t="s">
        <v>364</v>
      </c>
    </row>
    <row r="736">
      <c r="H736" s="8" t="s">
        <v>364</v>
      </c>
    </row>
    <row r="737">
      <c r="H737" s="8" t="s">
        <v>364</v>
      </c>
    </row>
    <row r="738">
      <c r="H738" s="8" t="s">
        <v>364</v>
      </c>
    </row>
    <row r="739">
      <c r="H739" s="8" t="s">
        <v>364</v>
      </c>
    </row>
    <row r="740">
      <c r="H740" s="8" t="s">
        <v>364</v>
      </c>
    </row>
    <row r="741">
      <c r="H741" s="8" t="s">
        <v>364</v>
      </c>
    </row>
    <row r="742">
      <c r="H742" s="8" t="s">
        <v>364</v>
      </c>
    </row>
    <row r="743">
      <c r="H743" s="8" t="s">
        <v>364</v>
      </c>
    </row>
    <row r="744">
      <c r="H744" s="8" t="s">
        <v>364</v>
      </c>
    </row>
    <row r="745">
      <c r="H745" s="8" t="s">
        <v>364</v>
      </c>
    </row>
    <row r="746">
      <c r="H746" s="8" t="s">
        <v>364</v>
      </c>
    </row>
    <row r="747">
      <c r="H747" s="8" t="s">
        <v>364</v>
      </c>
    </row>
    <row r="748">
      <c r="H748" s="8" t="s">
        <v>364</v>
      </c>
    </row>
    <row r="749">
      <c r="H749" s="8" t="s">
        <v>364</v>
      </c>
    </row>
    <row r="750">
      <c r="H750" s="8" t="s">
        <v>364</v>
      </c>
    </row>
    <row r="751">
      <c r="H751" s="8" t="s">
        <v>364</v>
      </c>
    </row>
    <row r="752">
      <c r="H752" s="8" t="s">
        <v>364</v>
      </c>
    </row>
    <row r="753">
      <c r="H753" s="8" t="s">
        <v>364</v>
      </c>
    </row>
    <row r="754">
      <c r="H754" s="8" t="s">
        <v>364</v>
      </c>
    </row>
    <row r="755">
      <c r="H755" s="8" t="s">
        <v>364</v>
      </c>
    </row>
    <row r="756">
      <c r="H756" s="8" t="s">
        <v>364</v>
      </c>
    </row>
    <row r="757">
      <c r="H757" s="8" t="s">
        <v>364</v>
      </c>
    </row>
    <row r="758">
      <c r="H758" s="8" t="s">
        <v>364</v>
      </c>
    </row>
    <row r="759">
      <c r="H759" s="8" t="s">
        <v>364</v>
      </c>
    </row>
    <row r="760">
      <c r="H760" s="8" t="s">
        <v>364</v>
      </c>
    </row>
    <row r="761">
      <c r="H761" s="8" t="s">
        <v>364</v>
      </c>
    </row>
    <row r="762">
      <c r="H762" s="8" t="s">
        <v>364</v>
      </c>
    </row>
    <row r="763">
      <c r="H763" s="8" t="s">
        <v>364</v>
      </c>
    </row>
    <row r="764">
      <c r="H764" s="8" t="s">
        <v>364</v>
      </c>
    </row>
    <row r="765">
      <c r="H765" s="8" t="s">
        <v>364</v>
      </c>
    </row>
    <row r="766">
      <c r="H766" s="8" t="s">
        <v>364</v>
      </c>
    </row>
    <row r="767">
      <c r="H767" s="8" t="s">
        <v>364</v>
      </c>
    </row>
    <row r="768">
      <c r="H768" s="8" t="s">
        <v>364</v>
      </c>
    </row>
    <row r="769">
      <c r="H769" s="8" t="s">
        <v>364</v>
      </c>
    </row>
    <row r="770">
      <c r="H770" s="8" t="s">
        <v>364</v>
      </c>
    </row>
    <row r="771">
      <c r="H771" s="8" t="s">
        <v>364</v>
      </c>
    </row>
    <row r="772">
      <c r="H772" s="8" t="s">
        <v>364</v>
      </c>
    </row>
    <row r="773">
      <c r="H773" s="8" t="s">
        <v>364</v>
      </c>
    </row>
    <row r="774">
      <c r="H774" s="8" t="s">
        <v>364</v>
      </c>
    </row>
    <row r="775">
      <c r="H775" s="8" t="s">
        <v>364</v>
      </c>
    </row>
    <row r="776">
      <c r="H776" s="8" t="s">
        <v>364</v>
      </c>
    </row>
    <row r="777">
      <c r="H777" s="8" t="s">
        <v>364</v>
      </c>
    </row>
    <row r="778">
      <c r="H778" s="8" t="s">
        <v>364</v>
      </c>
    </row>
    <row r="779">
      <c r="H779" s="8" t="s">
        <v>364</v>
      </c>
    </row>
    <row r="780">
      <c r="H780" s="8" t="s">
        <v>364</v>
      </c>
    </row>
    <row r="781">
      <c r="H781" s="8" t="s">
        <v>364</v>
      </c>
    </row>
    <row r="782">
      <c r="H782" s="8" t="s">
        <v>364</v>
      </c>
    </row>
    <row r="783">
      <c r="H783" s="8" t="s">
        <v>364</v>
      </c>
    </row>
    <row r="784">
      <c r="H784" s="8" t="s">
        <v>364</v>
      </c>
    </row>
    <row r="785">
      <c r="H785" s="8" t="s">
        <v>364</v>
      </c>
    </row>
    <row r="786">
      <c r="H786" s="8" t="s">
        <v>364</v>
      </c>
    </row>
    <row r="787">
      <c r="H787" s="8" t="s">
        <v>364</v>
      </c>
    </row>
    <row r="788">
      <c r="H788" s="8" t="s">
        <v>364</v>
      </c>
    </row>
    <row r="789">
      <c r="H789" s="8" t="s">
        <v>364</v>
      </c>
    </row>
    <row r="790">
      <c r="H790" s="8" t="s">
        <v>364</v>
      </c>
    </row>
    <row r="791">
      <c r="H791" s="8" t="s">
        <v>364</v>
      </c>
    </row>
    <row r="792">
      <c r="H792" s="8" t="s">
        <v>364</v>
      </c>
    </row>
    <row r="793">
      <c r="H793" s="8" t="s">
        <v>364</v>
      </c>
    </row>
    <row r="794">
      <c r="H794" s="8" t="s">
        <v>364</v>
      </c>
    </row>
    <row r="795">
      <c r="H795" s="8" t="s">
        <v>364</v>
      </c>
    </row>
    <row r="796">
      <c r="H796" s="8" t="s">
        <v>364</v>
      </c>
    </row>
    <row r="797">
      <c r="H797" s="8" t="s">
        <v>364</v>
      </c>
    </row>
    <row r="798">
      <c r="H798" s="8" t="s">
        <v>364</v>
      </c>
    </row>
    <row r="799">
      <c r="H799" s="8" t="s">
        <v>364</v>
      </c>
    </row>
    <row r="800">
      <c r="H800" s="8" t="s">
        <v>364</v>
      </c>
    </row>
    <row r="801">
      <c r="H801" s="8" t="s">
        <v>364</v>
      </c>
    </row>
    <row r="802">
      <c r="H802" s="8" t="s">
        <v>364</v>
      </c>
    </row>
    <row r="803">
      <c r="H803" s="8" t="s">
        <v>364</v>
      </c>
    </row>
    <row r="804">
      <c r="H804" s="8" t="s">
        <v>364</v>
      </c>
    </row>
    <row r="805">
      <c r="H805" s="8" t="s">
        <v>364</v>
      </c>
    </row>
    <row r="806">
      <c r="H806" s="8" t="s">
        <v>364</v>
      </c>
    </row>
    <row r="807">
      <c r="H807" s="8" t="s">
        <v>364</v>
      </c>
    </row>
    <row r="808">
      <c r="H808" s="8" t="s">
        <v>364</v>
      </c>
    </row>
    <row r="809">
      <c r="H809" s="8" t="s">
        <v>364</v>
      </c>
    </row>
    <row r="810">
      <c r="H810" s="8" t="s">
        <v>364</v>
      </c>
    </row>
    <row r="811">
      <c r="H811" s="8" t="s">
        <v>364</v>
      </c>
    </row>
    <row r="812">
      <c r="H812" s="8" t="s">
        <v>364</v>
      </c>
    </row>
    <row r="813">
      <c r="H813" s="8" t="s">
        <v>364</v>
      </c>
    </row>
    <row r="814">
      <c r="H814" s="8" t="s">
        <v>364</v>
      </c>
    </row>
    <row r="815">
      <c r="H815" s="8" t="s">
        <v>364</v>
      </c>
    </row>
    <row r="816">
      <c r="H816" s="8" t="s">
        <v>364</v>
      </c>
    </row>
    <row r="817">
      <c r="H817" s="8" t="s">
        <v>364</v>
      </c>
    </row>
    <row r="818">
      <c r="H818" s="8" t="s">
        <v>364</v>
      </c>
    </row>
    <row r="819">
      <c r="H819" s="8" t="s">
        <v>364</v>
      </c>
    </row>
    <row r="820">
      <c r="H820" s="8" t="s">
        <v>364</v>
      </c>
    </row>
    <row r="821">
      <c r="H821" s="8" t="s">
        <v>364</v>
      </c>
    </row>
    <row r="822">
      <c r="H822" s="8" t="s">
        <v>364</v>
      </c>
    </row>
    <row r="823">
      <c r="H823" s="8" t="s">
        <v>364</v>
      </c>
    </row>
    <row r="824">
      <c r="H824" s="8" t="s">
        <v>364</v>
      </c>
    </row>
    <row r="825">
      <c r="H825" s="8" t="s">
        <v>364</v>
      </c>
    </row>
    <row r="826">
      <c r="H826" s="8" t="s">
        <v>364</v>
      </c>
    </row>
    <row r="827">
      <c r="H827" s="8" t="s">
        <v>364</v>
      </c>
    </row>
    <row r="828">
      <c r="H828" s="8" t="s">
        <v>364</v>
      </c>
    </row>
    <row r="829">
      <c r="H829" s="8" t="s">
        <v>364</v>
      </c>
    </row>
    <row r="830">
      <c r="H830" s="8" t="s">
        <v>364</v>
      </c>
    </row>
    <row r="831">
      <c r="H831" s="8" t="s">
        <v>364</v>
      </c>
    </row>
    <row r="832">
      <c r="H832" s="8" t="s">
        <v>364</v>
      </c>
    </row>
    <row r="833">
      <c r="H833" s="8" t="s">
        <v>364</v>
      </c>
    </row>
    <row r="834">
      <c r="H834" s="8" t="s">
        <v>364</v>
      </c>
    </row>
    <row r="835">
      <c r="H835" s="8" t="s">
        <v>364</v>
      </c>
    </row>
    <row r="836">
      <c r="H836" s="8" t="s">
        <v>364</v>
      </c>
    </row>
    <row r="837">
      <c r="H837" s="8" t="s">
        <v>364</v>
      </c>
    </row>
    <row r="838">
      <c r="H838" s="8" t="s">
        <v>364</v>
      </c>
    </row>
    <row r="839">
      <c r="H839" s="8" t="s">
        <v>364</v>
      </c>
    </row>
    <row r="840">
      <c r="H840" s="8" t="s">
        <v>364</v>
      </c>
    </row>
    <row r="841">
      <c r="H841" s="8" t="s">
        <v>364</v>
      </c>
    </row>
    <row r="842">
      <c r="H842" s="8" t="s">
        <v>364</v>
      </c>
    </row>
    <row r="843">
      <c r="H843" s="8" t="s">
        <v>364</v>
      </c>
    </row>
    <row r="844">
      <c r="H844" s="8" t="s">
        <v>364</v>
      </c>
    </row>
    <row r="845">
      <c r="H845" s="8" t="s">
        <v>364</v>
      </c>
    </row>
    <row r="846">
      <c r="H846" s="8" t="s">
        <v>364</v>
      </c>
    </row>
    <row r="847">
      <c r="H847" s="8" t="s">
        <v>364</v>
      </c>
    </row>
    <row r="848">
      <c r="H848" s="8" t="s">
        <v>364</v>
      </c>
    </row>
    <row r="849">
      <c r="H849" s="8" t="s">
        <v>364</v>
      </c>
    </row>
    <row r="850">
      <c r="H850" s="8" t="s">
        <v>364</v>
      </c>
    </row>
    <row r="851">
      <c r="H851" s="8" t="s">
        <v>364</v>
      </c>
    </row>
    <row r="852">
      <c r="H852" s="8" t="s">
        <v>364</v>
      </c>
    </row>
    <row r="853">
      <c r="H853" s="8" t="s">
        <v>364</v>
      </c>
    </row>
    <row r="854">
      <c r="H854" s="8" t="s">
        <v>364</v>
      </c>
    </row>
    <row r="855">
      <c r="H855" s="8" t="s">
        <v>364</v>
      </c>
    </row>
    <row r="856">
      <c r="H856" s="8" t="s">
        <v>364</v>
      </c>
    </row>
    <row r="857">
      <c r="H857" s="8" t="s">
        <v>364</v>
      </c>
    </row>
    <row r="858">
      <c r="H858" s="8" t="s">
        <v>364</v>
      </c>
    </row>
    <row r="859">
      <c r="H859" s="8" t="s">
        <v>364</v>
      </c>
    </row>
    <row r="860">
      <c r="H860" s="8" t="s">
        <v>364</v>
      </c>
    </row>
    <row r="861">
      <c r="H861" s="8" t="s">
        <v>364</v>
      </c>
    </row>
    <row r="862">
      <c r="H862" s="8" t="s">
        <v>364</v>
      </c>
    </row>
    <row r="863">
      <c r="H863" s="8" t="s">
        <v>364</v>
      </c>
    </row>
    <row r="864">
      <c r="H864" s="8" t="s">
        <v>364</v>
      </c>
    </row>
    <row r="865">
      <c r="H865" s="8" t="s">
        <v>364</v>
      </c>
    </row>
    <row r="866">
      <c r="H866" s="8" t="s">
        <v>364</v>
      </c>
    </row>
    <row r="867">
      <c r="H867" s="8" t="s">
        <v>364</v>
      </c>
    </row>
    <row r="868">
      <c r="H868" s="8" t="s">
        <v>364</v>
      </c>
    </row>
    <row r="869">
      <c r="H869" s="8" t="s">
        <v>364</v>
      </c>
    </row>
    <row r="870">
      <c r="H870" s="8" t="s">
        <v>364</v>
      </c>
    </row>
    <row r="871">
      <c r="H871" s="8" t="s">
        <v>364</v>
      </c>
    </row>
    <row r="872">
      <c r="H872" s="8" t="s">
        <v>364</v>
      </c>
    </row>
    <row r="873">
      <c r="H873" s="8" t="s">
        <v>364</v>
      </c>
    </row>
    <row r="874">
      <c r="H874" s="8" t="s">
        <v>364</v>
      </c>
    </row>
    <row r="875">
      <c r="H875" s="8" t="s">
        <v>364</v>
      </c>
    </row>
    <row r="876">
      <c r="H876" s="8" t="s">
        <v>364</v>
      </c>
    </row>
    <row r="877">
      <c r="H877" s="8" t="s">
        <v>364</v>
      </c>
    </row>
    <row r="878">
      <c r="H878" s="8" t="s">
        <v>364</v>
      </c>
    </row>
    <row r="879">
      <c r="H879" s="8" t="s">
        <v>364</v>
      </c>
    </row>
    <row r="880">
      <c r="H880" s="8" t="s">
        <v>364</v>
      </c>
    </row>
    <row r="881">
      <c r="H881" s="8" t="s">
        <v>364</v>
      </c>
    </row>
    <row r="882">
      <c r="H882" s="8" t="s">
        <v>364</v>
      </c>
    </row>
    <row r="883">
      <c r="H883" s="8" t="s">
        <v>364</v>
      </c>
    </row>
    <row r="884">
      <c r="H884" s="8" t="s">
        <v>364</v>
      </c>
    </row>
    <row r="885">
      <c r="H885" s="8" t="s">
        <v>364</v>
      </c>
    </row>
    <row r="886">
      <c r="H886" s="8" t="s">
        <v>364</v>
      </c>
    </row>
    <row r="887">
      <c r="H887" s="8" t="s">
        <v>364</v>
      </c>
    </row>
    <row r="888">
      <c r="H888" s="8" t="s">
        <v>364</v>
      </c>
    </row>
    <row r="889">
      <c r="H889" s="8" t="s">
        <v>364</v>
      </c>
    </row>
    <row r="890">
      <c r="H890" s="8" t="s">
        <v>364</v>
      </c>
    </row>
    <row r="891">
      <c r="H891" s="8" t="s">
        <v>364</v>
      </c>
    </row>
    <row r="892">
      <c r="H892" s="8" t="s">
        <v>364</v>
      </c>
    </row>
    <row r="893">
      <c r="H893" s="8" t="s">
        <v>364</v>
      </c>
    </row>
    <row r="894">
      <c r="H894" s="8" t="s">
        <v>364</v>
      </c>
    </row>
    <row r="895">
      <c r="H895" s="8" t="s">
        <v>364</v>
      </c>
    </row>
    <row r="896">
      <c r="H896" s="8" t="s">
        <v>364</v>
      </c>
    </row>
    <row r="897">
      <c r="H897" s="8" t="s">
        <v>364</v>
      </c>
    </row>
    <row r="898">
      <c r="H898" s="8" t="s">
        <v>364</v>
      </c>
    </row>
    <row r="899">
      <c r="H899" s="8" t="s">
        <v>364</v>
      </c>
    </row>
    <row r="900">
      <c r="H900" s="8" t="s">
        <v>364</v>
      </c>
    </row>
    <row r="901">
      <c r="H901" s="8" t="s">
        <v>364</v>
      </c>
    </row>
    <row r="902">
      <c r="H902" s="8" t="s">
        <v>364</v>
      </c>
    </row>
    <row r="903">
      <c r="H903" s="8" t="s">
        <v>364</v>
      </c>
    </row>
    <row r="904">
      <c r="H904" s="8" t="s">
        <v>364</v>
      </c>
    </row>
    <row r="905">
      <c r="H905" s="8" t="s">
        <v>364</v>
      </c>
    </row>
    <row r="906">
      <c r="H906" s="8" t="s">
        <v>364</v>
      </c>
    </row>
    <row r="907">
      <c r="H907" s="8" t="s">
        <v>364</v>
      </c>
    </row>
    <row r="908">
      <c r="H908" s="8" t="s">
        <v>364</v>
      </c>
    </row>
    <row r="909">
      <c r="H909" s="8" t="s">
        <v>364</v>
      </c>
    </row>
    <row r="910">
      <c r="H910" s="8" t="s">
        <v>364</v>
      </c>
    </row>
    <row r="911">
      <c r="H911" s="8" t="s">
        <v>364</v>
      </c>
    </row>
    <row r="912">
      <c r="H912" s="8" t="s">
        <v>364</v>
      </c>
    </row>
    <row r="913">
      <c r="H913" s="8" t="s">
        <v>364</v>
      </c>
    </row>
    <row r="914">
      <c r="H914" s="8" t="s">
        <v>364</v>
      </c>
    </row>
    <row r="915">
      <c r="H915" s="8" t="s">
        <v>364</v>
      </c>
    </row>
    <row r="916">
      <c r="H916" s="8" t="s">
        <v>364</v>
      </c>
    </row>
    <row r="917">
      <c r="H917" s="8" t="s">
        <v>364</v>
      </c>
    </row>
    <row r="918">
      <c r="H918" s="8" t="s">
        <v>364</v>
      </c>
    </row>
    <row r="919">
      <c r="H919" s="8" t="s">
        <v>364</v>
      </c>
    </row>
    <row r="920">
      <c r="H920" s="8" t="s">
        <v>364</v>
      </c>
    </row>
    <row r="921">
      <c r="H921" s="8" t="s">
        <v>364</v>
      </c>
    </row>
    <row r="922">
      <c r="H922" s="8" t="s">
        <v>364</v>
      </c>
    </row>
    <row r="923">
      <c r="H923" s="8" t="s">
        <v>364</v>
      </c>
    </row>
    <row r="924">
      <c r="H924" s="8" t="s">
        <v>364</v>
      </c>
    </row>
    <row r="925">
      <c r="H925" s="8" t="s">
        <v>364</v>
      </c>
    </row>
    <row r="926">
      <c r="H926" s="8" t="s">
        <v>364</v>
      </c>
    </row>
    <row r="927">
      <c r="H927" s="8" t="s">
        <v>364</v>
      </c>
    </row>
    <row r="928">
      <c r="H928" s="8" t="s">
        <v>364</v>
      </c>
    </row>
    <row r="929">
      <c r="H929" s="8" t="s">
        <v>364</v>
      </c>
    </row>
    <row r="930">
      <c r="H930" s="8" t="s">
        <v>364</v>
      </c>
    </row>
    <row r="931">
      <c r="H931" s="8" t="s">
        <v>364</v>
      </c>
    </row>
    <row r="932">
      <c r="H932" s="8" t="s">
        <v>364</v>
      </c>
    </row>
    <row r="933">
      <c r="H933" s="8" t="s">
        <v>364</v>
      </c>
    </row>
    <row r="934">
      <c r="H934" s="8" t="s">
        <v>364</v>
      </c>
    </row>
    <row r="935">
      <c r="H935" s="8" t="s">
        <v>364</v>
      </c>
    </row>
    <row r="936">
      <c r="H936" s="8" t="s">
        <v>364</v>
      </c>
    </row>
    <row r="937">
      <c r="H937" s="8" t="s">
        <v>364</v>
      </c>
    </row>
    <row r="938">
      <c r="H938" s="8" t="s">
        <v>364</v>
      </c>
    </row>
    <row r="939">
      <c r="H939" s="8" t="s">
        <v>364</v>
      </c>
    </row>
    <row r="940">
      <c r="H940" s="8" t="s">
        <v>364</v>
      </c>
    </row>
    <row r="941">
      <c r="H941" s="8" t="s">
        <v>364</v>
      </c>
    </row>
    <row r="942">
      <c r="H942" s="8" t="s">
        <v>364</v>
      </c>
    </row>
    <row r="943">
      <c r="H943" s="8" t="s">
        <v>364</v>
      </c>
    </row>
    <row r="944">
      <c r="H944" s="8" t="s">
        <v>364</v>
      </c>
    </row>
    <row r="945">
      <c r="H945" s="8" t="s">
        <v>364</v>
      </c>
    </row>
    <row r="946">
      <c r="H946" s="8" t="s">
        <v>364</v>
      </c>
    </row>
    <row r="947">
      <c r="H947" s="8" t="s">
        <v>364</v>
      </c>
    </row>
    <row r="948">
      <c r="H948" s="8" t="s">
        <v>364</v>
      </c>
    </row>
    <row r="949">
      <c r="H949" s="8" t="s">
        <v>364</v>
      </c>
    </row>
    <row r="950">
      <c r="H950" s="8" t="s">
        <v>364</v>
      </c>
    </row>
    <row r="951">
      <c r="H951" s="8" t="s">
        <v>364</v>
      </c>
    </row>
    <row r="952">
      <c r="H952" s="8" t="s">
        <v>364</v>
      </c>
    </row>
    <row r="953">
      <c r="H953" s="8" t="s">
        <v>364</v>
      </c>
    </row>
    <row r="954">
      <c r="H954" s="8" t="s">
        <v>364</v>
      </c>
    </row>
    <row r="955">
      <c r="H955" s="8" t="s">
        <v>364</v>
      </c>
    </row>
    <row r="956">
      <c r="H956" s="8" t="s">
        <v>364</v>
      </c>
    </row>
    <row r="957">
      <c r="H957" s="8" t="s">
        <v>364</v>
      </c>
    </row>
    <row r="958">
      <c r="H958" s="8" t="s">
        <v>364</v>
      </c>
    </row>
    <row r="959">
      <c r="H959" s="8" t="s">
        <v>364</v>
      </c>
    </row>
    <row r="960">
      <c r="H960" s="8" t="s">
        <v>364</v>
      </c>
    </row>
    <row r="961">
      <c r="H961" s="8" t="s">
        <v>364</v>
      </c>
    </row>
    <row r="962">
      <c r="H962" s="8" t="s">
        <v>364</v>
      </c>
    </row>
    <row r="963">
      <c r="H963" s="8" t="s">
        <v>364</v>
      </c>
    </row>
    <row r="964">
      <c r="H964" s="8" t="s">
        <v>364</v>
      </c>
    </row>
    <row r="965">
      <c r="H965" s="8" t="s">
        <v>364</v>
      </c>
    </row>
    <row r="966">
      <c r="H966" s="8" t="s">
        <v>364</v>
      </c>
    </row>
    <row r="967">
      <c r="H967" s="8" t="s">
        <v>364</v>
      </c>
    </row>
    <row r="968">
      <c r="H968" s="8" t="s">
        <v>364</v>
      </c>
    </row>
    <row r="969">
      <c r="H969" s="8" t="s">
        <v>364</v>
      </c>
    </row>
    <row r="970">
      <c r="H970" s="8" t="s">
        <v>364</v>
      </c>
    </row>
    <row r="971">
      <c r="H971" s="8" t="s">
        <v>364</v>
      </c>
    </row>
    <row r="972">
      <c r="H972" s="8" t="s">
        <v>364</v>
      </c>
    </row>
    <row r="973">
      <c r="H973" s="8" t="s">
        <v>364</v>
      </c>
    </row>
    <row r="974">
      <c r="H974" s="8" t="s">
        <v>364</v>
      </c>
    </row>
    <row r="975">
      <c r="H975" s="8" t="s">
        <v>364</v>
      </c>
    </row>
    <row r="976">
      <c r="H976" s="8" t="s">
        <v>364</v>
      </c>
    </row>
    <row r="977">
      <c r="H977" s="8" t="s">
        <v>364</v>
      </c>
    </row>
    <row r="978">
      <c r="H978" s="8" t="s">
        <v>364</v>
      </c>
    </row>
    <row r="979">
      <c r="H979" s="8" t="s">
        <v>364</v>
      </c>
    </row>
    <row r="980">
      <c r="H980" s="8" t="s">
        <v>364</v>
      </c>
    </row>
    <row r="981">
      <c r="H981" s="8" t="s">
        <v>364</v>
      </c>
    </row>
    <row r="982">
      <c r="H982" s="8" t="s">
        <v>364</v>
      </c>
    </row>
    <row r="983">
      <c r="H983" s="8" t="s">
        <v>364</v>
      </c>
    </row>
    <row r="984">
      <c r="H984" s="8" t="s">
        <v>364</v>
      </c>
    </row>
    <row r="985">
      <c r="H985" s="8" t="s">
        <v>364</v>
      </c>
    </row>
    <row r="986">
      <c r="H986" s="8" t="s">
        <v>364</v>
      </c>
    </row>
    <row r="987">
      <c r="H987" s="8" t="s">
        <v>364</v>
      </c>
    </row>
    <row r="988">
      <c r="H988" s="8" t="s">
        <v>364</v>
      </c>
    </row>
    <row r="989">
      <c r="H989" s="8" t="s">
        <v>364</v>
      </c>
    </row>
    <row r="990">
      <c r="H990" s="8" t="s">
        <v>364</v>
      </c>
    </row>
    <row r="991">
      <c r="H991" s="8" t="s">
        <v>364</v>
      </c>
    </row>
    <row r="992">
      <c r="H992" s="8" t="s">
        <v>364</v>
      </c>
    </row>
    <row r="993">
      <c r="H993" s="8" t="s">
        <v>364</v>
      </c>
    </row>
    <row r="994">
      <c r="H994" s="8" t="s">
        <v>364</v>
      </c>
    </row>
    <row r="995">
      <c r="H995" s="8" t="s">
        <v>364</v>
      </c>
    </row>
    <row r="996">
      <c r="H996" s="8" t="s">
        <v>364</v>
      </c>
    </row>
    <row r="997">
      <c r="H997" s="8" t="s">
        <v>364</v>
      </c>
    </row>
    <row r="998">
      <c r="H998" s="8" t="s">
        <v>364</v>
      </c>
    </row>
    <row r="999">
      <c r="H999" s="8" t="s">
        <v>364</v>
      </c>
    </row>
  </sheetData>
  <dataValidations>
    <dataValidation type="list" allowBlank="1" showDropDown="1" showErrorMessage="1" sqref="A2:A101">
      <formula1>"muay_thai_1.jpg,muay_thai_3.jpg,muay_thai_4.jpg,muay_thai_5.jpg,muay_thai_6.jpg,muay_thai_8.jpg,muay_thai_9.jpg,muay_thai_11.jpg,muay_thai_12.jpg,muay_thai_13.jpg,muay_thai_23.jpg,muay_thai_29.jpg,muay_thai_30.jpg,muay_thai_42.jpg,muay_thai_49.jpg,muay_th"&amp;"ai_53.jpg,muay_thai_68.jpg,muay_thai_70.jpg,muay_thai_79.jpg,muay_thai_83.jpg"</formula1>
    </dataValidation>
    <dataValidation type="custom" allowBlank="1" showDropDown="1" sqref="B2:B101">
      <formula1>AND(ISNUMBER(B2),(NOT(OR(NOT(ISERROR(DATEVALUE(B2))), AND(ISNUMBER(B2), LEFT(CELL("format", B2))="D")))))</formula1>
    </dataValidation>
  </dataValidations>
  <drawing r:id="rId1"/>
  <tableParts count="2">
    <tablePart r:id="rId4"/>
    <tablePart r:id="rId5"/>
  </tableParts>
</worksheet>
</file>
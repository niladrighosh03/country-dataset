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eng Ruer" sheetId="1" r:id="rId4"/>
    <sheet state="visible" name="chon wua" sheetId="2" r:id="rId5"/>
    <sheet state="visible" name="chon len wow" sheetId="3" r:id="rId6"/>
    <sheet state="hidden" name="sepak takraw" sheetId="4" r:id="rId7"/>
    <sheet state="visible" name="Thai Boxing" sheetId="5" r:id="rId8"/>
  </sheets>
  <definedNames>
    <definedName localSheetId="0" name="ExternalData_1">'Kaeng Ruer'!$G$1:$K$201</definedName>
    <definedName localSheetId="1" name="ExternalData_1">'chon wua'!$G$1:$K$201</definedName>
    <definedName localSheetId="3" name="ExternalData_1">'sepak takraw'!$A$1:$E$201</definedName>
    <definedName localSheetId="2" name="ExternalData_1">'chon len wow'!$G$1:$K$201</definedName>
    <definedName localSheetId="4" name="ExternalData_1">'Thai Boxing'!$G$1:$K$201</definedName>
  </definedNames>
  <calcPr/>
</workbook>
</file>

<file path=xl/sharedStrings.xml><?xml version="1.0" encoding="utf-8"?>
<sst xmlns="http://schemas.openxmlformats.org/spreadsheetml/2006/main" count="7539" uniqueCount="3518">
  <si>
    <t>Question no.</t>
  </si>
  <si>
    <t>Question</t>
  </si>
  <si>
    <t>Options</t>
  </si>
  <si>
    <t>Answer</t>
  </si>
  <si>
    <t>Description</t>
  </si>
  <si>
    <t>Question No.</t>
  </si>
  <si>
    <t>คำถาม</t>
  </si>
  <si>
    <t>ตัวเลือก</t>
  </si>
  <si>
    <t>คำตอบ</t>
  </si>
  <si>
    <t>คำอธิบาย</t>
  </si>
  <si>
    <t>ก่อนเริ่มแข่งเรือ คุณต้องตรวจสอบอะไรในเรือ?</t>
  </si>
  <si>
    <t>A) ความสมดุลของเรือ; B) ความยาวของพาย; C) สีของเรือ; D) จำนวนผู้ชม</t>
  </si>
  <si>
    <t>A) ความสมดุลของเรือ</t>
  </si>
  <si>
    <t>การตรวจสอบความสมดุลช่วยป้องกันอุบัติเหตุในระหว่างการแข่งขัน.</t>
  </si>
  <si>
    <t>คุณสังเกตว่าเพื่อนร่วมทีมลืมพายระหว่างเตรียมตัว คุณจะทำอย่างไร?</t>
  </si>
  <si>
    <t>A) แจ้งให้เขารับพายทันที; B) เริ่มแข่งโดยไม่มีเขา; C) แจ้งผู้ฝึกสอน; D) ใช้พายร่วมกัน</t>
  </si>
  <si>
    <t>A) แจ้งให้เขารับพายทันที</t>
  </si>
  <si>
    <t>ทุกคนต้องมีพายของตนเองตามกติกาการแข่ง.</t>
  </si>
  <si>
    <t>การแข่งขันเริ่มต้นโดยไม่มีสัญญาณ คุณจะทำอย่างไร?</t>
  </si>
  <si>
    <t>A) แจ้งกรรมการ; B) แข่งต่อไป; C) หยุดทันที; D) ร้องเรียนหลังแข่ง</t>
  </si>
  <si>
    <t>A) แจ้งกรรมการ</t>
  </si>
  <si>
    <t>สัญญาณเริ่มต้นเป็นส่วนสำคัญตามกติกา.</t>
  </si>
  <si>
    <t>ในระหว่างแข่งขัน คุณเห็นทีมอื่นออกนอกเส้นทาง คุณจะทำอย่างไร?</t>
  </si>
  <si>
    <t>A) แข่งต่อไป; B) แจ้งกรรมการ; C) เปลี่ยนเส้นทางของคุณ; D) หยุดเรือ</t>
  </si>
  <si>
    <t>B) แจ้งกรรมการ</t>
  </si>
  <si>
    <t>การรายงานการกระทำผิดช่วยรักษาความยุติธรรม.</t>
  </si>
  <si>
    <t>คุณสังเกตว่าน้ำเข้าเรือระหว่างแข่งขัน คุณต้องทำอย่างไร?</t>
  </si>
  <si>
    <t>A) ใช้อุปกรณ์ตักน้ำออก; B) แจ้งผู้ฝึกสอน; C) หยุดการแข่งขัน; D) แข่งต่อไปโดยไม่ทำอะไร</t>
  </si>
  <si>
    <t>A) ใช้อุปกรณ์ตักน้ำออก</t>
  </si>
  <si>
    <t>การตักน้ำออกช่วยป้องกันการจมเรือและทำให้การแข่งดำเนินต่อได้.</t>
  </si>
  <si>
    <t>เพื่อนร่วมทีมของคุณเริ่มพายไม่ตรงจังหวะ คุณจะทำอย่างไร?</t>
  </si>
  <si>
    <t>A) แจ้งให้พายตามจังหวะ; B) เพิกเฉย; C) ตำหนิอย่างดัง; D) หยุดแข่ง</t>
  </si>
  <si>
    <t>A) แจ้งให้พายตามจังหวะ</t>
  </si>
  <si>
    <t>การรักษาจังหวะพายเป็นกฎพื้นฐานเพื่อความสำเร็จของทีม.</t>
  </si>
  <si>
    <t>เรือของคุณสัมผัสเรือคู่แข่ง คุณต้องทำอย่างไร?</t>
  </si>
  <si>
    <t>A) แจ้งกรรมการ; B) แข่งต่อไป; C) พายให้ไกลขึ้น; D) หยุดเรือ</t>
  </si>
  <si>
    <t>การสัมผัสเรือคู่แข่งอาจผิดกติกาและต้องรายงาน.</t>
  </si>
  <si>
    <t>คุณสังเกตว่าเพื่อนในทีมไม่ได้สวมอุปกรณ์ป้องกัน คุณต้องทำอย่างไร?</t>
  </si>
  <si>
    <t>A) แจ้งเขาให้สวมทันที; B) ไม่ทำอะไร; C) ขอให้กรรมการตรวจสอบ; D) แข่งต่อไป</t>
  </si>
  <si>
    <t>A) แจ้งเขาให้สวมทันที</t>
  </si>
  <si>
    <t>การสวมอุปกรณ์ป้องกันเป็นกฎข้อบังคับเพื่อความปลอดภัย.</t>
  </si>
  <si>
    <t>ระหว่างการแข่งขัน ลมแรงทำให้เรือเสียทิศทาง คุณจะทำอย่างไร?</t>
  </si>
  <si>
    <t>A) ปรับทิศทางเรือทันที; B) หยุดการแข่ง; C) แจ้งกรรมการ; D) รอให้ลมหยุด</t>
  </si>
  <si>
    <t>A) ปรับทิศทางเรือทันที</t>
  </si>
  <si>
    <t>การรักษาทิศทางเรือสำคัญต่อความปลอดภัยและการทำเวลา.</t>
  </si>
  <si>
    <t>กรรมการให้สัญญาณหยุด คุณจะทำอย่างไร?</t>
  </si>
  <si>
    <t>A) หยุดพายทันที; B) แข่งต่อไป; C) แจ้งผู้ฝึกสอน; D) ร้องเรียนหลังแข่ง</t>
  </si>
  <si>
    <t>A) หยุดพายทันที</t>
  </si>
  <si>
    <t>การปฏิบัติตามสัญญาณของกรรมการเป็นกฎพื้นฐาน.</t>
  </si>
  <si>
    <t>คุณพบว่าพายของคุณมีปัญหาระหว่างแข่ง คุณต้องทำอย่างไร?</t>
  </si>
  <si>
    <t>A) ใช้พายสำรอง; B) แจ้งผู้ฝึกสอน; C) แข่งต่อไปโดยไม่ใช้พาย; D) หยุดการแข่งขัน</t>
  </si>
  <si>
    <t>A) ใช้พายสำรอง</t>
  </si>
  <si>
    <t>การใช้พายสำรองเป็นส่วนหนึ่งของการปฏิบัติตามกฎเพื่อให้แข่งต่อได้.</t>
  </si>
  <si>
    <t>ระหว่างฝึกซ้อม คุณสังเกตว่าเรือไม่สมดุล คุณต้องทำอย่างไร?</t>
  </si>
  <si>
    <t>A) แจ้งทีมให้ปรับตำแหน่ง; B) แข่งต่อไป; C) แจ้งผู้ฝึกสอน; D) เพิกเฉย</t>
  </si>
  <si>
    <t>A) แจ้งทีมให้ปรับตำแหน่ง</t>
  </si>
  <si>
    <t>การปรับสมดุลช่วยป้องกันปัญหาในระหว่างแข่งจริง.</t>
  </si>
  <si>
    <t>ระหว่างแข่งขัน คุณต้องเลี่ยงการทำสิ่งใด?</t>
  </si>
  <si>
    <t>A) เบียดเรือคู่แข่ง; B) รักษาทิศทาง; C) ใช้พายอย่างเหมาะสม; D) ร้องเพลงเชียร์</t>
  </si>
  <si>
    <t>A) เบียดเรือคู่แข่ง</t>
  </si>
  <si>
    <t>การเบียดเรือคู่แข่งถือเป็นการทำผิดกฎ.</t>
  </si>
  <si>
    <t>เมื่อทีมคู่แข่งเริ่มใช้เสียงดังยั่วยุ คุณต้องทำอย่างไร?</t>
  </si>
  <si>
    <t>A) เพิกเฉยและรักษาสมาธิ; B) ตอบโต้ทันที; C) แจ้งกรรมการ; D) หยุดการแข่งขัน</t>
  </si>
  <si>
    <t>A) เพิกเฉยและรักษาสมาธิ</t>
  </si>
  <si>
    <t>การเพิกเฉยช่วยป้องกันการเสียสมาธิและรักษากติกา.</t>
  </si>
  <si>
    <t>คุณสังเกตว่าเส้นทางแข่งขันมีสิ่งกีดขวาง คุณต้องทำอย่างไร?</t>
  </si>
  <si>
    <t>A) แจ้งกรรมการ; B) แข่งต่อไปโดยหลบหลีก; C) หยุดการแข่งขัน; D) เปลี่ยนเส้นทางเอง</t>
  </si>
  <si>
    <t>การแจ้งกรรมการช่วยแก้ไขปัญหาและป้องกันอุบัติเหตุ.</t>
  </si>
  <si>
    <t>คุณสังเกตว่าเพื่อนร่วมทีมลืมปรับอุปกรณ์ก่อนแข่ง คุณต้องทำอย่างไร?</t>
  </si>
  <si>
    <t>A) แจ้งให้ปรับทันที; B) เพิกเฉย; C) แจ้งผู้ฝึกสอน; D) เริ่มแข่งทันที</t>
  </si>
  <si>
    <t>A) แจ้งให้ปรับทันที</t>
  </si>
  <si>
    <t>การตรวจสอบอุปกรณ์ก่อนแข่งเป็นกฎพื้นฐาน.</t>
  </si>
  <si>
    <t>คุณสังเกตว่าเรือเริ่มรั่วระหว่างฝึกซ้อม คุณต้องทำอย่างไร?</t>
  </si>
  <si>
    <t>A) แจ้งทีมและซ่อมแซม; B) แข่งต่อไป; C) แจ้งผู้ฝึกสอน; D) เพิกเฉย</t>
  </si>
  <si>
    <t>A) แจ้งทีมและซ่อมแซม</t>
  </si>
  <si>
    <t>การซ่อมแซมทันทีช่วยป้องกันอันตรายและความล่าช้า.</t>
  </si>
  <si>
    <t>กรรมการแจ้งเตือนว่าคุณออกนอกเส้นทาง คุณต้องทำอย่างไร?</t>
  </si>
  <si>
    <t>A) กลับเข้าเส้นทางทันที; B) เพิกเฉย; C) แจ้งเหตุผลกับกรรมการ; D) หยุดแข่ง</t>
  </si>
  <si>
    <t>A) กลับเข้าเส้นทางทันที</t>
  </si>
  <si>
    <t>การรักษาเส้นทางเป็นกฎที่ต้องปฏิบัติตาม.</t>
  </si>
  <si>
    <t>คุณสังเกตว่าเรือคู่แข่งพยายามเบียดคุณ คุณต้องทำอย่างไร?</t>
  </si>
  <si>
    <t>A) แจ้งกรรมการ; B) แข่งต่อไปโดยหลบหลีก; C) หยุดการแข่งขัน; D) เบียดกลับ</t>
  </si>
  <si>
    <t>การแจ้งกรรมการช่วยแก้ไขปัญหาอย่างเหมาะสม.</t>
  </si>
  <si>
    <t>คุณสังเกตว่าทีมของคุณเริ่มเหนื่อยในช่วงท้าย คุณต้องทำอย่างไร?</t>
  </si>
  <si>
    <t>A) กระตุ้นให้รักษาจังหวะ; B) ชะลอความเร็ว; C) ขอหยุดพัก; D) แจ้งกรรมการ</t>
  </si>
  <si>
    <t>A) กระตุ้นให้รักษาจังหวะ</t>
  </si>
  <si>
    <t>การกระตุ้นช่วยให้ทีมปฏิบัติตามกติกาและรักษาแรงใจ.</t>
  </si>
  <si>
    <t>คุณสังเกตว่าทีมคู่แข่งทำผิดกฎเกี่ยวกับจังหวะพาย คุณต้องทำอย่างไร?</t>
  </si>
  <si>
    <t>A) แจ้งกรรมการ; B) แข่งต่อไป; C) ร้องเรียนหลังแข่ง; D) เพิกเฉย</t>
  </si>
  <si>
    <t>การแจ้งกรรมการช่วยให้การแข่งขันเป็นธรรม.</t>
  </si>
  <si>
    <t>เรือคู่แข่งเบียดเข้ามาในเส้นทางของคุณ คุณต้องทำอย่างไร?</t>
  </si>
  <si>
    <t>A) เบี่ยงหลบหลีก; B) แจ้งกรรมการ; C) หยุดการแข่งขัน; D) แข่งต่อไป</t>
  </si>
  <si>
    <t>A) เบี่ยงหลบหลีก</t>
  </si>
  <si>
    <t>การหลบหลีกช่วยป้องกันอุบัติเหตุ.</t>
  </si>
  <si>
    <t>คุณสังเกตว่าผู้ฝึกสอนของคุณให้สัญญาณผิดพลาด คุณต้องทำอย่างไร?</t>
  </si>
  <si>
    <t>A) ปฏิบัติตามกติกาหลัก; B) แจ้งผู้ฝึกสอน; C) แข่งต่อไป; D) หยุดการแข่งขัน</t>
  </si>
  <si>
    <t>A) ปฏิบัติตามกติกาหลัก</t>
  </si>
  <si>
    <t>การปฏิบัติตามกติกาเป็นสิ่งสำคัญที่สุด.</t>
  </si>
  <si>
    <t>ระหว่างฝึกซ้อม คุณต้องเลี่ยงการทำสิ่งใด?</t>
  </si>
  <si>
    <t>A) พายแรงเกินไป; B) รักษาจังหวะที่เหมาะสม; C) ตรวจสอบอุปกรณ์; D) แจ้งข้อผิดพลาด</t>
  </si>
  <si>
    <t>A) พายแรงเกินไป</t>
  </si>
  <si>
    <t>การพายแรงเกินอาจทำให้เกิดอุบัติเหตุและเสียจังหวะ.</t>
  </si>
  <si>
    <t>คุณต้องทำอย่างไรเมื่อต้องเข้าร่วมประชุมวางแผนการแข่งขัน?</t>
  </si>
  <si>
    <t>A) ฟังอย่างตั้งใจและเสนอข้อคิดเห็น; B) เพิกเฉย; C) เข้าร่วมครึ่งเดียว; D) บอกทีมว่าจะไม่มา</t>
  </si>
  <si>
    <t>A) ฟังอย่างตั้งใจและเสนอข้อคิดเห็น</t>
  </si>
  <si>
    <t>การวางแผนที่ดีช่วยให้ทีมปฏิบัติตามกติกาและประสบความสำเร็จ.</t>
  </si>
  <si>
    <t>คุณต้องทำอย่างไรหากมีการเปลี่ยนแปลงสภาพอากาศระหว่างการแข่งขัน?</t>
  </si>
  <si>
    <t>A) ปรับการเตรียมพร้อม; B) แจ้งผู้ฝึกสอน; C) หยุดการแข่งขันทันที; D) รอให้สภาพอากาศดีขึ้น</t>
  </si>
  <si>
    <t>A) ปรับการเตรียมพร้อม</t>
  </si>
  <si>
    <t>การเตรียมตัวให้เหมาะสมกับสภาพอากาศช่วยลดความเสี่ยงในการแข่ง.</t>
  </si>
  <si>
    <t>เมื่อเรือของคุณเริ่มช้า คุณจะทำอย่างไร?</t>
  </si>
  <si>
    <t>A) พยายามเพิ่มความเร็ว; B) แจ้งผู้ฝึกสอน; C) รักษาจังหวะการพาย; D) ลดความเร็ว</t>
  </si>
  <si>
    <t>A) พยายามเพิ่มความเร็ว</t>
  </si>
  <si>
    <t>การพยายามเพิ่มความเร็วช่วยเพิ่มโอกาสในการกลับมา.</t>
  </si>
  <si>
    <t>คุณต้องทำอย่างไรหากคุณเห็นว่าทีมของคุณพายไม่ตรงจังหวะ?</t>
  </si>
  <si>
    <t>A) แจ้งให้พายตามจังหวะ; B) หยุดแข่ง; C) บ่นให้ทีมฟัง; D) ไม่ทำอะไร</t>
  </si>
  <si>
    <t>การรักษาจังหวะพายเป็นสิ่งสำคัญในกติกาการแข่งขัน.</t>
  </si>
  <si>
    <t>ในระหว่างการแข่งขันคุณต้องการป้องกันการเหนื่อยล้า คุณจะทำอย่างไร?</t>
  </si>
  <si>
    <t>A) กระจายพลังและพยายามรักษาจังหวะ; B) พายเร็วขึ้น; C) ขอพักทันที; D) ชะลอความเร็ว</t>
  </si>
  <si>
    <t>A) กระจายพลังและพยายามรักษาจังหวะ</t>
  </si>
  <si>
    <t>การรักษาจังหวะช่วยให้ทีมแข็งแกร่งขึ้นในระยะยาว.</t>
  </si>
  <si>
    <t>ถ้าเรือของคุณหักระหว่างการแข่งขัน คุณต้องทำอย่างไร?</t>
  </si>
  <si>
    <t>A) แจ้งกรรมการและออกจากการแข่งขัน; B) พยายามซ่อมแซมเอง; C) แข่งต่อไปโดยไม่สนใจ; D) รอความช่วยเหลือ</t>
  </si>
  <si>
    <t>A) แจ้งกรรมการและออกจากการแข่งขัน</t>
  </si>
  <si>
    <t>การแจ้งกรรมการช่วยให้มีการแก้ไขตามกฎและรักษาความปลอดภัย.</t>
  </si>
  <si>
    <t>คุณต้องทำอย่างไรเมื่อทีมคู่แข่งมีการพายผิดจังหวะ?</t>
  </si>
  <si>
    <t>A) แจ้งกรรมการ; B) เพิกเฉย; C) เร่งความเร็ว; D) หยุดการแข่งขัน</t>
  </si>
  <si>
    <t>การแจ้งกรรมการช่วยรักษาความยุติธรรมในการแข่งขัน.</t>
  </si>
  <si>
    <t>ถ้าคุณเห็นเรือของคุณมีน้ำเข้า คุณต้องทำอย่างไร?</t>
  </si>
  <si>
    <t>A) ใช้ถังตักน้ำออกทันที; B) แจ้งผู้ฝึกสอน; C) แข่งต่อไป; D) หยุดเรือ</t>
  </si>
  <si>
    <t>A) ใช้ถังตักน้ำออกทันที</t>
  </si>
  <si>
    <t>การตักน้ำออกช่วยป้องกันการจมและทำให้เรือสามารถแข่งต่อได้.</t>
  </si>
  <si>
    <t>ในระหว่างการแข่งขันคุณสังเกตว่ามีสิ่งขวางทาง คุณต้องทำอย่างไร?</t>
  </si>
  <si>
    <t>A) แจ้งกรรมการเพื่อขอการแก้ไข; B) พยายามหลบหลีก; C) หยุดเรือทันที; D) แข่งต่อไป</t>
  </si>
  <si>
    <t>A) แจ้งกรรมการเพื่อขอการแก้ไข</t>
  </si>
  <si>
    <t>การแจ้งกรรมการเป็นกติกาที่จำเป็นในการจัดการกับปัญหานั้น.</t>
  </si>
  <si>
    <t>คุณต้องทำอย่างไรเมื่อเห็นว่าเส้นทางเริ่มผิดปกติระหว่างการแข่งขัน?</t>
  </si>
  <si>
    <t>A) ปรับทิศทางเรือให้ถูกต้อง; B) แข่งต่อไปโดยไม่ทำอะไร; C) แจ้งกรรมการ; D) หยุดเรือ</t>
  </si>
  <si>
    <t>A) ปรับทิศทางเรือให้ถูกต้อง</t>
  </si>
  <si>
    <t>การปรับทิศทางช่วยให้เรือไปในทิศทางที่ถูกต้องและทำเวลาได้.</t>
  </si>
  <si>
    <t>ในระหว่างการฝึกซ้อม เราเห็นว่าเรือเริ่มช้ากว่าปกติ คุณจะทำอย่างไร?</t>
  </si>
  <si>
    <t>A) แจ้งทีมให้เร่งความเร็ว; B) ปรับเทคนิคการพาย; C) หยุดการฝึกซ้อม; D) ทำตามจังหวะเดิม</t>
  </si>
  <si>
    <t>B) ปรับเทคนิคการพาย</t>
  </si>
  <si>
    <t>การปรับเทคนิคช่วยให้เรือเร็วขึ้น.</t>
  </si>
  <si>
    <t>ในระหว่างการแข่งขัน คุณเห็นทีมคู่แข่งพายผิดทิศทาง คุณจะทำอย่างไร?</t>
  </si>
  <si>
    <t>A) แจ้งกรรมการ; B) แข่งต่อไป; C) บ่นให้ทีมฟัง; D) รักษาทิศทางของคุณ</t>
  </si>
  <si>
    <t>คุณจะทำอย่างไรเมื่อเจอความล่าช้าในการแข่งขัน?</t>
  </si>
  <si>
    <t>A) รักษาความสงบและรอ; B) บ่นกับกรรมการ; C) หยุดการฝึกซ้อม; D) เร่งความเร็ว</t>
  </si>
  <si>
    <t>A) รักษาความสงบและรอ</t>
  </si>
  <si>
    <t>การรักษาความสงบช่วยให้คุณพร้อมสำหรับการแข่งขันที่แท้จริง.</t>
  </si>
  <si>
    <t>คุณเห็นเพื่อนร่วมทีมไม่สวมเสื้อชูชีพในขณะฝึกซ้อม คุณจะทำอย่างไร?</t>
  </si>
  <si>
    <t>A) แจ้งให้เขาสวมทันที; B) ไม่ทำอะไร; C) แจ้งผู้ฝึกสอน; D) หยุดการฝึกซ้อม</t>
  </si>
  <si>
    <t>A) แจ้งให้เขาสวมทันที</t>
  </si>
  <si>
    <t>การสวมเสื้อชูชีพเป็นกฎความปลอดภัยที่ต้องปฏิบัติตาม.</t>
  </si>
  <si>
    <t>ในระหว่างการฝึกซ้อม คุณเห็นว่ามีวัตถุกีดขวางเส้นทาง คุณจะทำอย่างไร?</t>
  </si>
  <si>
    <t>A) แจ้งผู้ฝึกสอนและรอคำแนะนำ; B) หลีกเลี่ยงและแข่งต่อไป; C) บ่นกับผู้ฝึกสอน; D) หยุดการฝึกซ้อม</t>
  </si>
  <si>
    <t>A) แจ้งผู้ฝึกสอนและรอคำแนะนำ</t>
  </si>
  <si>
    <t>การแจ้งผู้ฝึกสอนช่วยให้การฝึกซ้อมเป็นไปอย่างราบรื่น.</t>
  </si>
  <si>
    <t>เมื่อคุณเริ่มการแข่งขันใหม่ คุณต้องทำอย่างไร?</t>
  </si>
  <si>
    <t>A) ตรวจสอบการตั้งเรือและอุปกรณ์ทั้งหมด; B) รีบเริ่มแข่งโดยไม่ตรวจสอบ; C) พักผ่อนก่อนเริ่ม; D) แจ้งทีมให้พร้อม</t>
  </si>
  <si>
    <t>A) ตรวจสอบการตั้งเรือและอุปกรณ์ทั้งหมด</t>
  </si>
  <si>
    <t>การตรวจสอบอุปกรณ์และเรือเป็นสิ่งสำคัญในการเริ่มการแข่งขัน.</t>
  </si>
  <si>
    <t>คุณต้องทำอย่างไรหากผู้ฝึกสอนให้คำแนะนำผิด?</t>
  </si>
  <si>
    <t>A) แจ้งผู้ฝึกสอนและขอคำแนะนำใหม่; B) ปฏิบัติตามคำแนะนำเดิม; C) ไม่ทำตามคำแนะนำ; D) หยุดการแข่งขัน</t>
  </si>
  <si>
    <t>A) แจ้งผู้ฝึกสอนและขอคำแนะนำใหม่</t>
  </si>
  <si>
    <t>การขอคำแนะนำที่ถูกต้องช่วยเพิ่มความมั่นใจ.</t>
  </si>
  <si>
    <t>เมื่อมีการเปลี่ยนผู้เล่นในทีม คุณต้องทำอย่างไร?</t>
  </si>
  <si>
    <t>A) แจ้งการเปลี่ยนแปลงกับกรรมการ; B) เปลี่ยนโดยไม่แจ้งกรรมการ; C) เปลี่ยนผู้เล่นทันที; D) หยุดการแข่งขัน</t>
  </si>
  <si>
    <t>A) แจ้งการเปลี่ยนแปลงกับกรรมการ</t>
  </si>
  <si>
    <t>การแจ้งกรรมการช่วยรักษาความเป็นธรรมในการแข่งขัน.</t>
  </si>
  <si>
    <t>เมื่อคุณเห็นทีมคู่แข่งทำผิดกฎ คุณต้องทำอย่างไร?</t>
  </si>
  <si>
    <t>A) แจ้งกรรมการ; B) แข่งต่อไปโดยไม่ทำอะไร; C) บ่นกับทีมของคุณ; D) หยุดการแข่งขัน</t>
  </si>
  <si>
    <t>การแจ้งกรรมการช่วยให้การแข่งขันเป็นไปอย่างยุติธรรม.</t>
  </si>
  <si>
    <t>ในระหว่างการแข่งขัน หากเรือของคุณเริ่มเกิดปัญหา คุณจะทำอย่างไร?</t>
  </si>
  <si>
    <t>A) แจ้งกรรมการและขอความช่วยเหลือ; B) พยายามซ่อมแซมเอง; C) หยุดการแข่งขันทันที; D) แข่งต่อไป</t>
  </si>
  <si>
    <t>A) แจ้งกรรมการและขอความช่วยเหลือ</t>
  </si>
  <si>
    <t>การแจ้งกรรมการช่วยให้มีการจัดการอย่างถูกต้อง.</t>
  </si>
  <si>
    <t>ในระหว่างการฝึกซ้อม คุณต้องทำอย่างไรเมื่อเกิดสภาพน้ำที่ไม่ปลอดภัย?</t>
  </si>
  <si>
    <t>A) หยุดฝึกซ้อมและรายงานสภาพน้ำ; B) ฝึกต่อไป; C) แจ้งผู้ฝึกสอน; D) หลีกเลี่ยงการฝึก</t>
  </si>
  <si>
    <t>A) หยุดฝึกซ้อมและรายงานสภาพน้ำ</t>
  </si>
  <si>
    <t>การหยุดฝึกซ้อมช่วยป้องกันอันตรายจากสภาพน้ำที่ไม่ปลอดภัย.</t>
  </si>
  <si>
    <t>คุณต้องทำอย่างไรหากคุณไม่สามารถหาเส้นทางที่ชัดเจนในระหว่างการแข่งขัน?</t>
  </si>
  <si>
    <t>A) แจ้งกรรมการเพื่อขอคำแนะนำ; B) แข่งต่อไปโดยไม่สนใจ; C) หยุดและรอคำแนะนำ; D) เบี่ยงเบนจากเส้นทาง</t>
  </si>
  <si>
    <t>A) แจ้งกรรมการเพื่อขอคำแนะนำ</t>
  </si>
  <si>
    <t>การแจ้งกรรมการช่วยให้การแข่งเป็นไปตามกฎ.</t>
  </si>
  <si>
    <t>ในระหว่างการแข่งขัน คุณเห็นว่าวัตถุที่ลอยอยู่ในน้ำ คุณจะทำอย่างไร?</t>
  </si>
  <si>
    <t>A) แจ้งกรรมการและหลีกเลี่ยง; B) พยายามหลีกเลี่ยงเอง; C) แข่งต่อไป; D) หยุดการแข่งขัน</t>
  </si>
  <si>
    <t>A) แจ้งกรรมการและหลีกเลี่ยง</t>
  </si>
  <si>
    <t>การแจ้งกรรมการช่วยให้การตัดสินถูกต้อง.</t>
  </si>
  <si>
    <t>ในระหว่างการแข่งขัน คุณต้องทำอย่างไรเมื่อเส้นทางมีปัญหา?</t>
  </si>
  <si>
    <t>A) แจ้งกรรมการและขอคำแนะนำ; B) แข่งต่อไปโดยไม่ทำอะไร; C) หยุดการแข่งขันทันที; D) เปลี่ยนเส้นทาง</t>
  </si>
  <si>
    <t>A) แจ้งกรรมการและขอคำแนะนำ</t>
  </si>
  <si>
    <t>การแจ้งกรรมการช่วยให้มีการจัดการที่ดีขึ้น.</t>
  </si>
  <si>
    <t>เมื่อเรือของคุณเริ่มลอยออกจากเส้นทาง คุณต้องทำอย่างไร?</t>
  </si>
  <si>
    <t>A) ปรับทิศทางเรือให้ตรง; B) บ่นกับทีม; C) แจ้งกรรมการ; D) หยุดแข่ง</t>
  </si>
  <si>
    <t>A) ปรับทิศทางเรือให้ตรง</t>
  </si>
  <si>
    <t>การปรับทิศทางเรือช่วยให้เรือกลับมาสู่เส้นทางที่ถูกต้อง.</t>
  </si>
  <si>
    <t>คุณต้องทำอย่างไรหากคุณต้องการที่จะขอเปลี่ยนแปลงกติกา?</t>
  </si>
  <si>
    <t>A) แจ้งกรรมการให้ทราบ; B) ปฏิบัติตามกติกาเดิม; C) หยุดการแข่งขัน; D) ขอความช่วยเหลือจากผู้ฝึกสอน</t>
  </si>
  <si>
    <t>A) แจ้งกรรมการให้ทราบ</t>
  </si>
  <si>
    <t>การแจ้งกรรมการช่วยให้สามารถดำเนินการตามกติกาได้.</t>
  </si>
  <si>
    <t>คุณต้องทำอย่างไรหากเรือของคุณเกิดการชนกับเรืออื่นระหว่างการแข่งขัน?</t>
  </si>
  <si>
    <t>A) แจ้งกรรมการ; B) พยายามซ่อมแซมเรือ; C) แข่งต่อไป; D) หยุดการแข่งขันทันที</t>
  </si>
  <si>
    <t>การแจ้งกรรมการช่วยให้การตัดสินมีความยุติธรรม.</t>
  </si>
  <si>
    <t>ในระหว่างการแข่งขัน คุณเห็นทีมคู่แข่งพายผิดทาง คุณจะทำอย่างไร?</t>
  </si>
  <si>
    <t>A) แจ้งกรรมการ; B) แข่งต่อไป; C) ช่วยเหลือทีมคู่แข่ง; D) หยุดการแข่งขัน</t>
  </si>
  <si>
    <t>เมื่อมีการเปลี่ยนเส้นทางในระหว่างการแข่งขัน คุณต้องทำอย่างไร?</t>
  </si>
  <si>
    <t>A) ปรับทิศทางเรือทันที; B) หยุดและถามกรรมการ; C) พยายามพายต่อไป; D) เร่งความเร็ว</t>
  </si>
  <si>
    <t>การปรับทิศทางช่วยให้คุณยังคงแข่งได้ในเส้นทางที่ถูกต้อง.</t>
  </si>
  <si>
    <t>ในระหว่างการแข่งขัน เราเห็นว่าเส้นทางมีการเปลี่ยนแปลง คุณจะทำอย่างไร?</t>
  </si>
  <si>
    <t>A) แจ้งกรรมการ; B) แข่งต่อไป; C) หยุดการแข่งขัน; D) ไม่ทำอะไร</t>
  </si>
  <si>
    <t>การแจ้งกรรมการช่วยให้สถานการณ์มีการจัดการที่เหมาะสม.</t>
  </si>
  <si>
    <t>ในกรณีที่ทีมของคุณเกิดปัญหาเกี่ยวกับอุปกรณ์ คุณจะทำอย่างไร?</t>
  </si>
  <si>
    <t>A) แจ้งกรรมการและขอความช่วยเหลือ; B) พยายามซ่อมแซมเอง; C) หยุดการแข่งขัน; D) แข่งต่อไป</t>
  </si>
  <si>
    <t>การแจ้งกรรมการช่วยให้มีการแก้ไขปัญหาอย่างถูกต้อง.</t>
  </si>
  <si>
    <t>คุณต้องทำอย่างไรเมื่อคุณเห็นการละเมิดกติกาในทีมของคุณ?</t>
  </si>
  <si>
    <t>A) แจ้งผู้ฝึกสอน; B) หยุดการฝึกซ้อม; C) แก้ไขทันที; D) ปฏิบัติตามกติกาเดิม</t>
  </si>
  <si>
    <t>A) แจ้งผู้ฝึกสอน</t>
  </si>
  <si>
    <t>การแจ้งผู้ฝึกสอนช่วยให้สามารถแก้ไขปัญหาตามกฎได้.</t>
  </si>
  <si>
    <t>คุณต้องทำอย่างไรหากคุณพบว่าคุณามีอาการเหนื่อยล้าในระหว่างการแข่งขัน?</t>
  </si>
  <si>
    <t>A) ขอตัวออกจากการแข่งขัน; B) พยายามพายต่อไป; C) แจ้งผู้ฝึกสอน; D) หยุดการแข่งขัน</t>
  </si>
  <si>
    <t>C) แจ้งผู้ฝึกสอน</t>
  </si>
  <si>
    <t>การแจ้งผู้ฝึกสอนช่วยให้มีการตัดสินใจที่เหมาะสมในสถานการณ์นั้น.</t>
  </si>
  <si>
    <t>คุณต้องทำอย่างไรหากเรือของคุณเกิดการเอียงมากเกินไประหว่างการแข่งขัน?</t>
  </si>
  <si>
    <t>A) ปรับทิศทางและพยายามรักษาสมดุล; B) แจ้งกรรมการ; C) หยุดการแข่งขัน; D) พยายามพายแรงขึ้น</t>
  </si>
  <si>
    <t>A) ปรับทิศทางและพยายามรักษาสมดุล</t>
  </si>
  <si>
    <t>การรักษาสมดุลของเรือช่วยให้การแข่งเป็นไปตามกฎ.</t>
  </si>
  <si>
    <t>ในระหว่างการแข่งขัน คุณเห็นว่าเส้นทางมีปัญหาด้านความปลอดภัย คุณจะทำอย่างไร?</t>
  </si>
  <si>
    <t>A) แจ้งกรรมการและหยุดการแข่งขัน; B) ฝ่าไปต่อ; C) แจ้งทีมให้ระวัง; D) หยุดฝึกซ้อม</t>
  </si>
  <si>
    <t>A) แจ้งกรรมการและหยุดการแข่งขัน</t>
  </si>
  <si>
    <t>เมื่อมีการประกาศคำตัดสินของกรรมการในระหว่างการแข่งขัน คุณต้องทำอย่างไร?</t>
  </si>
  <si>
    <t>A) ปฏิบัติตามคำตัดสินของกรรมการ; B) บ่นกับกรรมการ; C) ถามเหตุผล; D) ไม่สนใจคำตัดสิน</t>
  </si>
  <si>
    <t>A) ปฏิบัติตามคำตัดสินของกรรมการ</t>
  </si>
  <si>
    <t>การปฏิบัติตามคำตัดสินช่วยให้การแข่งขันเป็นไปตามกติกา.</t>
  </si>
  <si>
    <t>ในระหว่างการแข่งขัน คุณพบว่ามีการเปลี่ยนแปลงกติกา คุณจะทำอย่างไร?</t>
  </si>
  <si>
    <t>A) ปรับตัวตามกติกาใหม่ทันที; B) ไม่สนใจการเปลี่ยนแปลง; C) สงสัยและถามกรรมการ; D) หยุดการแข่งขัน</t>
  </si>
  <si>
    <t>A) ปรับตัวตามกติกาใหม่ทันที</t>
  </si>
  <si>
    <t>การปรับตัวตามกติกาใหม่ช่วยให้การแข่งขันเป็นไปได้ดี.</t>
  </si>
  <si>
    <t>หากเรือของคุณเกิดปัญหากลางการแข่งขัน คุณจะทำอย่างไร?</t>
  </si>
  <si>
    <t>A) แจ้งกรรมการและขอการช่วยเหลือ; B) พยายามแก้ไขเอง; C) หยุดการแข่งขันทันที; D) แข่งต่อไป</t>
  </si>
  <si>
    <t>A) แจ้งกรรมการและขอการช่วยเหลือ</t>
  </si>
  <si>
    <t>การแจ้งกรรมการเป็นการดำเนินการที่ถูกต้อง.</t>
  </si>
  <si>
    <t>หากทีมของคุณทำผิดกติกาในการฝึกซ้อม คุณจะทำอย่างไร?</t>
  </si>
  <si>
    <t>A) แจ้งผู้ฝึกสอน; B) ปฏิบัติตามกติกาเดิม; C) เพิกเฉย; D) หยุดฝึกซ้อม</t>
  </si>
  <si>
    <t>การแจ้งผู้ฝึกสอนช่วยให้สามารถปรับปรุงการฝึกซ้อมได้.</t>
  </si>
  <si>
    <t>ในระหว่างการแข่งขันคุณเห็นว่าวัตถุขวางทาง คุณจะทำอย่างไร?</t>
  </si>
  <si>
    <t>A) แจ้งกรรมการ; B) หลีกเลี่ยงด้วยตัวเอง; C) หยุดการแข่งขัน; D) แข่งต่อไป</t>
  </si>
  <si>
    <t>การแจ้งกรรมการช่วยให้สถานการณ์ได้รับการจัดการที่ดี.</t>
  </si>
  <si>
    <t>คุณต้องทำอย่างไรหากมีการละเมิดกติกาจากทีมคู่แข่ง?</t>
  </si>
  <si>
    <t>A) แจ้งกรรมการ; B) หลีกเลี่ยงการสนทนา; C) พยายามหาทางแก้ไข; D) ไม่ทำอะไร</t>
  </si>
  <si>
    <t>การแจ้งกรรมการช่วยให้การแข่งขันเป็นไปตามกฎ.</t>
  </si>
  <si>
    <t>ในกรณีที่เส้นทางการแข่งไม่ชัดเจน คุณจะทำอย่างไร?</t>
  </si>
  <si>
    <t>A) แจ้งกรรมการให้ชี้แนะเส้นทางที่ถูกต้อง; B) แข่งต่อไปโดยไม่ทำอะไร; C) หยุดการแข่งขัน; D) พยายามเลือกเส้นทางเอง</t>
  </si>
  <si>
    <t>A) แจ้งกรรมการให้ชี้แนะเส้นทางที่ถูกต้อง</t>
  </si>
  <si>
    <t>การแจ้งกรรมการช่วยให้การแข่งดำเนินไปอย่างยุติธรรม.</t>
  </si>
  <si>
    <t>คุณต้องทำอย่างไรเมื่อเห็นทีมของคุณทำผิดกติกาในการฝึกซ้อม?</t>
  </si>
  <si>
    <t>A) แจ้งผู้ฝึกสอน; B) ไม่ทำอะไร; C) ละเลยไป; D) บ่นให้ทีมฟัง</t>
  </si>
  <si>
    <t>การแจ้งผู้ฝึกสอนช่วยให้การฝึกซ้อมเป็นไปตามกฎ.</t>
  </si>
  <si>
    <t>ในระหว่างการแข่งขัน คุณต้องทำอย่างไรเมื่อเห็นสิ่งกีดขวางอยู่ในน้ำ?</t>
  </si>
  <si>
    <t>A) แจ้งกรรมการเพื่อการตัดสินใจ; B) หลีกเลี่ยงเอง; C) ไม่ทำอะไร; D) หยุดการแข่งขัน</t>
  </si>
  <si>
    <t>A) แจ้งกรรมการเพื่อการตัดสินใจ</t>
  </si>
  <si>
    <t>การแจ้งกรรมการช่วยให้สถานการณ์ได้รับการแก้ไข.</t>
  </si>
  <si>
    <t>ในกรณีที่คุณพบปัญหาเกี่ยวกับเรือขณะฝึกซ้อม คุณจะทำอย่างไร?</t>
  </si>
  <si>
    <t>A) แจ้งผู้ฝึกสอนและหยุดฝึกซ้อม; B) ซ่อมแซมเอง; C) รอให้ปัญหาหายไปเอง; D) ทิ้งเรือ</t>
  </si>
  <si>
    <t>A) แจ้งผู้ฝึกสอนและหยุดฝึกซ้อม</t>
  </si>
  <si>
    <t>การแจ้งผู้ฝึกสอนช่วยให้การฝึกซ้อมดำเนินต่อไปอย่างปลอดภัย.</t>
  </si>
  <si>
    <t>ในระหว่างการแข่งขัน คุณเห็นว่ามีปัญหาเกี่ยวกับเส้นทางการแข่งขัน คุณจะทำอย่างไร?</t>
  </si>
  <si>
    <t>A) แจ้งกรรมการและขอให้แก้ไข; B) แข่งต่อไป; C) หยุดการแข่งขัน; D) บ่นกับกรรมการ</t>
  </si>
  <si>
    <t>A) แจ้งกรรมการและขอให้แก้ไข</t>
  </si>
  <si>
    <t>การแจ้งกรรมการช่วยให้การแข่งขันมีความยุติธรรม.</t>
  </si>
  <si>
    <t>คุณต้องทำอย่างไรหากทีมของคุณต้องการเปลี่ยนผู้เล่นระหว่างการแข่งขัน?</t>
  </si>
  <si>
    <t>A) แจ้งกรรมการ; B) เปลี่ยนโดยไม่แจ้งกรรมการ; C) หยุดการแข่งขัน; D) ไม่ทำอะไร</t>
  </si>
  <si>
    <t>การแจ้งกรรมการช่วยให้การเปลี่ยนแปลงผู้เล่นเป็นไปตามกติกา.</t>
  </si>
  <si>
    <t>เมื่อเส้นทางเริ่มผิดปกติ คุณจะทำอย่างไร?</t>
  </si>
  <si>
    <t>A) แจ้งกรรมการและปฏิบัติตามคำแนะนำ; B) ไม่ทำอะไร; C) พยายามปรับเส้นทางเอง; D) หยุดการแข่งขัน</t>
  </si>
  <si>
    <t>A) แจ้งกรรมการและปฏิบัติตามคำแนะนำ</t>
  </si>
  <si>
    <t>ในระหว่างการแข่งขัน คุณเห็นว่าเส้นทางการแข่งถูกปิดกั้น คุณจะทำอย่างไร?</t>
  </si>
  <si>
    <t>A) แจ้งกรรมการเพื่อหาทางออก; B) หลีกเลี่ยงด้วยตัวเอง; C) แข่งต่อไปตามปกติ; D) หยุดการแข่งขัน</t>
  </si>
  <si>
    <t>A) แจ้งกรรมการเพื่อหาทางออก</t>
  </si>
  <si>
    <t>การแจ้งกรรมการช่วยให้การแข่งเป็นไปได้ตามกฎ.</t>
  </si>
  <si>
    <t>หากเรือของคุณเสียหาย คุณจะทำอย่างไร?</t>
  </si>
  <si>
    <t>A) แจ้งกรรมการและขอการช่วยเหลือ; B) ซ่อมแซมเอง; C) หยุดการแข่งขัน; D) ไม่ทำอะไร</t>
  </si>
  <si>
    <t>การแจ้งกรรมการช่วยให้สามารถแก้ไขสถานการณ์ได้.</t>
  </si>
  <si>
    <t>ในระหว่างการแข่งขัน คุณต้องทำอย่างไรเมื่อเห็นว่ามีผู้เล่นผิดกติกา?</t>
  </si>
  <si>
    <t>A) แจ้งกรรมการทันที; B) หลีกเลี่ยงการพูดถึง; C) บอกให้ผู้เล่นคนนั้นหยุด; D) แข่งต่อไป</t>
  </si>
  <si>
    <t>A) แจ้งกรรมการทันที</t>
  </si>
  <si>
    <t>เมื่อคุณพบว่ามีการกระทำที่ไม่เป็นธรรมจากกรรมการ คุณจะทำอย่างไร?</t>
  </si>
  <si>
    <t>A) แจ้งกรรมการอาวุโส; B) ไม่ทำอะไร; C) ปฏิเสธคำตัดสิน; D) หยุดการแข่งขัน</t>
  </si>
  <si>
    <t>A) แจ้งกรรมการอาวุโส</t>
  </si>
  <si>
    <t>การแจ้งกรรมการอาวุโสช่วยให้มีการตรวจสอบและตัดสินอย่างยุติธรรม.</t>
  </si>
  <si>
    <t>ในระหว่างการแข่งขัน คุณต้องทำอย่างไรหากเรือของคุณเริ่มมีปัญหาทางเทคนิค?</t>
  </si>
  <si>
    <t>A) แจ้งกรรมการและขอความช่วยเหลือ; B) พยายามแก้ไขเอง; C) หยุดการแข่งขัน; D) แข่งต่อไป</t>
  </si>
  <si>
    <t>การแจ้งกรรมการช่วยให้ปัญหาถูกแก้ไขอย่างถูกต้อง.</t>
  </si>
  <si>
    <t>คุณต้องทำอย่างไรหากพบว่าคุณพลาดการตรวจสอบเรือก่อนการแข่งขัน?</t>
  </si>
  <si>
    <t>A) แจ้งกรรมการทันที; B) แข่งต่อไปโดยไม่แจ้ง; C) หยุดการแข่งขัน; D) ปฏิเสธการแข่งขัน</t>
  </si>
  <si>
    <t>ในระหว่างการแข่งขัน คุณเห็นว่าเส้นทางผิดปกติ คุณจะทำอย่างไร?</t>
  </si>
  <si>
    <t>A) แจ้งกรรมการ; B) หลีกเลี่ยงเส้นทางนั้นเอง; C) แข่งต่อไปตามปกติ; D) หยุดการแข่งขัน</t>
  </si>
  <si>
    <t>การแจ้งกรรมการช่วยให้สถานการณ์ได้รับการจัดการอย่างเหมาะสม.</t>
  </si>
  <si>
    <t>หากคุณต้องการเปลี่ยนกลยุทธ์การพายในระหว่างการแข่งขัน คุณจะทำอย่างไร?</t>
  </si>
  <si>
    <t>A) ปรึกษาผู้ฝึกสอน; B) เปลี่ยนกลยุทธ์โดยไม่แจ้งใคร; C) หยุดการแข่งขัน; D) ปฏิบัติตามกลยุทธ์เดิม</t>
  </si>
  <si>
    <t>A) ปรึกษาผู้ฝึกสอน</t>
  </si>
  <si>
    <t>การปรึกษาผู้ฝึกสอนช่วยให้กลยุทธ์มีประสิทธิภาพมากขึ้น.</t>
  </si>
  <si>
    <t>ในกรณีที่เรือของคุณเกิดการพลิกคว่ำ คุณต้องทำอย่างไร?</t>
  </si>
  <si>
    <t>A) แจ้งกรรมการและรอการช่วยเหลือ; B) พยายามพลิกเรือกลับเอง; C) หยุดการแข่งขัน; D) ขอออกจากการแข่งขัน</t>
  </si>
  <si>
    <t>A) แจ้งกรรมการและรอการช่วยเหลือ</t>
  </si>
  <si>
    <t>การแจ้งกรรมการช่วยให้สถานการณ์ได้รับการจัดการอย่างปลอดภัย.</t>
  </si>
  <si>
    <t>คุณต้องทำอย่างไรหากเรือของคุณเกิดการชนกับทุ่น?</t>
  </si>
  <si>
    <t>A) ปรับทิศทางและแจ้งกรรมการ; B) พยายามหลีกเลี่ยงเอง; C) หยุดการแข่งขัน; D) แข่งต่อไปโดยไม่ทำอะไร</t>
  </si>
  <si>
    <t>A) ปรับทิศทางและแจ้งกรรมการ</t>
  </si>
  <si>
    <t>ในระหว่างการแข่งขัน คุณพบว่าเส้นทางไม่ตรงตามที่กำหนด คุณจะทำอย่างไร?</t>
  </si>
  <si>
    <t>A) แจ้งกรรมการให้ทำการปรับเส้นทาง; B) แข่งต่อไป; C) พยายามปรับเส้นทางเอง; D) หยุดการแข่งขัน</t>
  </si>
  <si>
    <t>A) แจ้งกรรมการให้ทำการปรับเส้นทาง</t>
  </si>
  <si>
    <t>คุณต้องทำอย่างไรหากเรือของคุณมีปัญหาขณะเริ่มการแข่งขัน?</t>
  </si>
  <si>
    <t>A) แจ้งกรรมการและขอให้เริ่มใหม่; B) พยายามแก้ไขเอง; C) หยุดการแข่งขัน; D) แข่งต่อไป</t>
  </si>
  <si>
    <t>A) แจ้งกรรมการและขอให้เริ่มใหม่</t>
  </si>
  <si>
    <t>หากคุณพบว่ามีการละเมิดกติกาในทีมคู่แข่ง คุณจะทำอย่างไร?</t>
  </si>
  <si>
    <t>A) แจ้งกรรมการทันที; B) หลีกเลี่ยงการเข้าไปยุ่ง; C) พยายามหยุดการกระทำนั้น; D) แข่งต่อไป</t>
  </si>
  <si>
    <t>ในระหว่างการแข่งขัน คุณเห็นว่ามีผู้เล่นในทีมของคุณทำผิดกติกา คุณจะทำอย่างไร?</t>
  </si>
  <si>
    <t>A) แจ้งผู้ฝึกสอนทันที; B) ไม่ทำอะไร; C) พยายามแก้ไขเอง; D) หยุดการแข่งขัน</t>
  </si>
  <si>
    <t>A) แจ้งผู้ฝึกสอนทันที</t>
  </si>
  <si>
    <t>การแจ้งผู้ฝึกสอนช่วยให้สามารถดำเนินการตามกฎได้.</t>
  </si>
  <si>
    <t>หากเส้นทางการแข่งไม่สามารถใช้ได้ คุณจะทำอย่างไร?</t>
  </si>
  <si>
    <t>A) แจ้งกรรมการและขอคำแนะนำ; B) แข่งต่อไปในเส้นทางที่ไม่ถูกต้อง; C) หยุดการแข่งขัน; D) ปรับเส้นทางเอง</t>
  </si>
  <si>
    <t>ในระหว่างการแข่งขัน คุณพบว่ามีผู้เล่นถูกจับการละเมิดกติกา คุณจะทำอย่างไร?</t>
  </si>
  <si>
    <t>A) แจ้งกรรมการเพื่อให้มีการตัดสินที่เหมาะสม; B) หลีกเลี่ยงการเข้าไปยุ่ง; C) แข่งต่อไป; D) หยุดการแข่งขัน</t>
  </si>
  <si>
    <t>A) แจ้งกรรมการเพื่อให้มีการตัดสินที่เหมาะสม</t>
  </si>
  <si>
    <t>หากทีมของคุณทำผิดกติกา คุณจะทำอย่างไร?</t>
  </si>
  <si>
    <t>A) แจ้งผู้ฝึกสอนและแก้ไข; B) เพิกเฉย; C) ปฏิเสธการทำผิด; D) หยุดการแข่งขัน</t>
  </si>
  <si>
    <t>A) แจ้งผู้ฝึกสอนและแก้ไข</t>
  </si>
  <si>
    <t>การแจ้งผู้ฝึกสอนช่วยให้ทีมสามารถปรับปรุงได้.</t>
  </si>
  <si>
    <t>ในระหว่างการแข่งขัน คุณต้องทำอย่างไรหากเส้นทางถูกปิดกั้นด้วยอุปสรรค?</t>
  </si>
  <si>
    <t>A) แจ้งกรรมการเพื่อหาทางออก; B) พยายามหลีกเลี่ยงอุปสรรคเอง; C) หยุดการแข่งขัน; D) แข่งต่อไป</t>
  </si>
  <si>
    <t>คุณต้องทำอย่างไรหากทีมคู่แข่งทำการละเมิดกติกาอย่างชัดเจน?</t>
  </si>
  <si>
    <t>A) แจ้งกรรมการเพื่อให้มีการตัดสินที่ยุติธรรม; B) ไม่ทำอะไร; C) แข่งต่อไปตามปกติ; D) หยุดการแข่งขัน</t>
  </si>
  <si>
    <t>A) แจ้งกรรมการเพื่อให้มีการตัดสินที่ยุติธรรม</t>
  </si>
  <si>
    <t>การแจ้งกรรมการช่วยให้การแข่งขันเป็นไปอย่างถูกต้อง.</t>
  </si>
  <si>
    <t>เมื่อคุณพบว่าเส้นทางของคุณมีการเปลี่ยนแปลง คุณจะทำอย่างไร?</t>
  </si>
  <si>
    <t>A) แจ้งกรรมการทันที; B) แข่งต่อไปโดยไม่ทำอะไร; C) พยายามหาทางออกเอง; D) หยุดการแข่งขัน</t>
  </si>
  <si>
    <t>ในระหว่างการแข่งขัน คุณต้องทำอย่างไรหากเห็นว่าเรือของคุณมีความผิดปกติ?</t>
  </si>
  <si>
    <t>A) แจ้งกรรมการและขอให้หยุดการแข่งขัน; B) พยายามแก้ไขเอง; C) หยุดการแข่งขันเอง; D) แข่งต่อไปตามปกติ</t>
  </si>
  <si>
    <t>A) แจ้งกรรมการและขอให้หยุดการแข่งขัน</t>
  </si>
  <si>
    <t>คุณต้องทำอย่างไรหากพบว่ามีการละเมิดกติกาในการฝึกซ้อมของทีมอื่น?</t>
  </si>
  <si>
    <t>A) แจ้งผู้ฝึกสอนทันที; B) หลีกเลี่ยงการเข้าไปยุ่ง; C) ไม่ทำอะไร; D) แจ้งกรรมการ</t>
  </si>
  <si>
    <t>การแจ้งผู้ฝึกสอนช่วยให้ทีมสามารถปรับปรุงการฝึกซ้อมได้.</t>
  </si>
  <si>
    <t>ในกรณีที่มีการเปลี่ยนแปลงกติกาในระหว่างการแข่งขัน คุณจะทำอย่างไร?</t>
  </si>
  <si>
    <t>A) ปรับตัวตามกติกาใหม่ทันที; B) ไม่ทำอะไร; C) หลีกเลี่ยงการทำตาม; D) หยุดการแข่งขัน</t>
  </si>
  <si>
    <t>การปรับตัวตามกติกาใหม่ช่วยให้การแข่งขันดำเนินไปอย่างราบรื่น.</t>
  </si>
  <si>
    <t>ในกรณีที่เรือของคุณเริ่มเสียหายระหว่างการแข่งขัน คุณจะทำอย่างไร?</t>
  </si>
  <si>
    <t>A) แจ้งกรรมการและขอให้หยุดการแข่งขัน; B) พยายามแก้ไขเอง; C) หยุดการแข่งขัน; D) แข่งต่อไป</t>
  </si>
  <si>
    <t>ในระหว่างการแข่งขัน คุณต้องทำอย่างไรหากพบว่าเรือของคุณไม่พร้อมใช้งาน?</t>
  </si>
  <si>
    <t>A) แจ้งกรรมการทันที; B) พยายามแก้ไขเอง; C) หยุดการแข่งขัน; D) แข่งต่อไป</t>
  </si>
  <si>
    <t>คุณต้องทำอย่างไรหากพบว่าเรือของคุณมีการปัญหาด้านการควบคุม?</t>
  </si>
  <si>
    <t>A) แจ้งกรรมการและขอให้มีการแก้ไข; B) พยายามแก้ไขเอง; C) หยุดการแข่งขัน; D) แข่งต่อไป</t>
  </si>
  <si>
    <t>A) แจ้งกรรมการและขอให้มีการแก้ไข</t>
  </si>
  <si>
    <t>การแจ้งกรรมการช่วยให้การควบคุมเรือกลับสู่สภาพที่ดีขึ้น.</t>
  </si>
  <si>
    <t>หากคุณต้องการร้องเรียนเรื่องการตัดสินจากกรรมการ คุณจะทำอย่างไร?</t>
  </si>
  <si>
    <t>A) แจ้งกรรมการอาวุโส; B) ปฏิเสธคำตัดสิน; C) หลีกเลี่ยงการแจ้ง; D) หยุดการแข่งขัน</t>
  </si>
  <si>
    <t>การแจ้งกรรมการอาวุโสช่วยให้การตรวจสอบและตัดสินเป็นไปตามกฎ.</t>
  </si>
  <si>
    <t>หากทีมของคุณได้รับการตัดสินผิด คุณจะทำอย่างไร?</t>
  </si>
  <si>
    <t>A) แจ้งกรรมการเพื่อขอการตัดสินใหม่; B) ไม่ทำอะไร; C) ปฏิเสธการตัดสิน; D) หยุดการแข่งขัน</t>
  </si>
  <si>
    <t>A) แจ้งกรรมการเพื่อขอการตัดสินใหม่</t>
  </si>
  <si>
    <t>ในกรณีที่มีผู้เล่นบาดเจ็บระหว่างการแข่งขัน คุณจะทำอย่างไร?</t>
  </si>
  <si>
    <t>A) แจ้งกรรมการและขอการช่วยเหลือทางการแพทย์; B) พยายามช่วยเหลือด้วยตัวเอง; C) หยุดการแข่งขัน; D) แข่งต่อไป</t>
  </si>
  <si>
    <t>A) แจ้งกรรมการและขอการช่วยเหลือทางการแพทย์</t>
  </si>
  <si>
    <t>การแจ้งกรรมการช่วยให้ผู้เล่นได้รับการดูแลอย่างถูกต้อง.</t>
  </si>
  <si>
    <t>เมื่อคุณพบว่ามีผู้เล่นจากทีมคู่แข่งไม่ปฏิบัติตามกติกา คุณจะทำอย่างไร?</t>
  </si>
  <si>
    <t>A) แจ้งกรรมการทันที; B) หลีกเลี่ยงการเข้าไปยุ่ง; C) แข่งต่อไปตามปกติ; D) ปฏิเสธการตัดสิน</t>
  </si>
  <si>
    <t>คุณเห็นว่าเส้นทางของคุณมีการขัดข้องจากสิ่งกีดขวาง คุณจะทำอย่างไร?</t>
  </si>
  <si>
    <t>A) แจ้งกรรมการให้จัดการ; B) พยายามหลีกเลี่ยงอุปสรรคเอง; C) หยุดการแข่งขัน; D) แข่งต่อไปตามปกติ</t>
  </si>
  <si>
    <t>A) แจ้งกรรมการให้จัดการ</t>
  </si>
  <si>
    <t>การแจ้งกรรมการช่วยให้สถานการณ์ได้รับการจัดการอย่างถูกต้อง.</t>
  </si>
  <si>
    <t>หากมีการขัดแย้งในการตัดสินของกรรมการ คุณจะทำอย่างไร?</t>
  </si>
  <si>
    <t>A) แจ้งกรรมการอาวุโสเพื่อขอการทบทวน; B) ปฏิเสธการตัดสิน; C) หลีกเลี่ยงการพูดถึงเรื่องนี้; D) หยุดการแข่งขัน</t>
  </si>
  <si>
    <t>A) แจ้งกรรมการอาวุโสเพื่อขอการทบทวน</t>
  </si>
  <si>
    <t>การแจ้งกรรมการอาวุโสช่วยให้การตัดสินยุติธรรม.</t>
  </si>
  <si>
    <t>หากการแข่งเรือมีการหยุดชั่วคราว คุณจะทำอย่างไร?</t>
  </si>
  <si>
    <t>A) ปฏิบัติตามคำแนะนำของกรรมการ; B) แข่งต่อไปโดยไม่ทำอะไร; C) หยุดการแข่งขันทันที; D) บ่นเกี่ยวกับการหยุด</t>
  </si>
  <si>
    <t>A) ปฏิบัติตามคำแนะนำของกรรมการ</t>
  </si>
  <si>
    <t>การปฏิบัติตามคำแนะนำช่วยให้การแข่งขันเป็นไปอย่างราบรื่น.</t>
  </si>
  <si>
    <t>ในกรณีที่มีการละเมิดกติกาของคู่แข่ง คุณจะทำอย่างไร?</t>
  </si>
  <si>
    <t>A) แจ้งกรรมการทันที; B) ไม่ทำอะไร; C) พยายามแก้ไขเอง; D) หยุดการแข่งขัน</t>
  </si>
  <si>
    <t>การแจ้งกรรมการช่วยให้การตัดสินยุติธรรม.</t>
  </si>
  <si>
    <t>หากคุณพบว่าเส้นทางการแข่งมีการเปลี่ยนแปลง คุณจะทำอย่างไร?</t>
  </si>
  <si>
    <t>A) แจ้งกรรมการและขอคำแนะนำ; B) ปรับตัวเองโดยไม่แจ้งกรรมการ; C) หยุดการแข่งขัน; D) แข่งต่อไปตามปกติ</t>
  </si>
  <si>
    <t>คุณจะทำอย่างไรหากทีมของคุณทำผิดกติกา?</t>
  </si>
  <si>
    <t>A) แจ้งผู้ฝึกสอนและขอการปรับปรุง; B) ไม่ทำอะไร; C) หลีกเลี่ยงการแก้ไข; D) หยุดการแข่งขัน</t>
  </si>
  <si>
    <t>A) แจ้งผู้ฝึกสอนและขอการปรับปรุง</t>
  </si>
  <si>
    <t>การแจ้งผู้ฝึกสอนช่วยให้สามารถปรับปรุงการปฏิบัติในทีม.</t>
  </si>
  <si>
    <t>หากคุณพบว่าเรือของคุณมีปัญหาหรือเสียหาย คุณจะทำอย่างไร?</t>
  </si>
  <si>
    <t>A) แจ้งกรรมการและขอให้หยุดการแข่งขัน; B) พยายามแก้ไขเอง; C) หยุดการแข่งขันทันที; D) แข่งต่อไป</t>
  </si>
  <si>
    <t>หากการแข่งเรือถูกระงับเนื่องจากสภาพอากาศ คุณจะทำอย่างไร?</t>
  </si>
  <si>
    <t>A) ปฏิบัติตามคำแนะนำจากกรรมการ; B) หลีกเลี่ยงการทำตามคำแนะนำ; C) แข่งต่อไปโดยไม่สนใจคำแนะนำ; D) หยุดการแข่งขันทันที</t>
  </si>
  <si>
    <t>A) ปฏิบัติตามคำแนะนำจากกรรมการ</t>
  </si>
  <si>
    <t>การปฏิบัติตามคำแนะนำช่วยให้การแข่งขันดำเนินไปอย่างปลอดภัย.</t>
  </si>
  <si>
    <t>หากคุณพบว่าเรือของคู่แข่งทำผิดกติกา คุณจะทำอย่างไร?</t>
  </si>
  <si>
    <t>A) แจ้งกรรมการทันที; B) ไม่ทำอะไร; C) แข่งต่อไปตามปกติ; D) หยุดการแข่งขัน</t>
  </si>
  <si>
    <t>คุณจะทำอย่างไรหากมีการขัดแย้งระหว่างผู้เล่นในทีมของคุณ?</t>
  </si>
  <si>
    <t>A) แจ้งผู้ฝึกสอนเพื่อหาทางออก; B) ไม่ทำอะไร; C) ปฏิเสธการเข้าไปยุ่ง; D) หยุดการแข่งขัน</t>
  </si>
  <si>
    <t>A) แจ้งผู้ฝึกสอนเพื่อหาทางออก</t>
  </si>
  <si>
    <t>การแจ้งผู้ฝึกสอนช่วยให้สถานการณ์ได้รับการจัดการ.</t>
  </si>
  <si>
    <t>หากเรือของคุณทำลายกฎการแข่ง คุณจะทำอย่างไร?</t>
  </si>
  <si>
    <t>A) แจ้งกรรมการและขอให้มีการทบทวน; B) ไม่ทำอะไร; C) ปฏิเสธคำตัดสิน; D) หยุดการแข่งขัน</t>
  </si>
  <si>
    <t>A) แจ้งกรรมการและขอให้มีการทบทวน</t>
  </si>
  <si>
    <t>เมื่อคุณพบว่ามีผู้เล่นบาดเจ็บในทีมของคุณ คุณจะทำอย่างไร?</t>
  </si>
  <si>
    <t>A) แจ้งกรรมการและขอการช่วยเหลือทันที; B) พยายามช่วยเหลือผู้บาดเจ็บเอง; C) หยุดการแข่งขัน; D) แข่งต่อไป</t>
  </si>
  <si>
    <t>A) แจ้งกรรมการและขอการช่วยเหลือทันที</t>
  </si>
  <si>
    <t>หากคุณต้องการเปลี่ยนแปลงกลยุทธ์การพายในระหว่างการแข่งขัน คุณจะทำอย่างไร?</t>
  </si>
  <si>
    <t>A) ปรึกษาผู้ฝึกสอนและปรับกลยุทธ์; B) เปลี่ยนกลยุทธ์เองโดยไม่แจ้งใคร; C) หยุดการแข่งขัน; D) ไม่ทำการเปลี่ยนแปลง</t>
  </si>
  <si>
    <t>A) ปรึกษาผู้ฝึกสอนและปรับกลยุทธ์</t>
  </si>
  <si>
    <t>การปรึกษาผู้ฝึกสอนช่วยให้การเปลี่ยนแปลงกลยุทธ์มีประสิทธิภาพ.</t>
  </si>
  <si>
    <t>หากพบว่าผู้เล่นของคุณละเมิดกติกา คุณจะทำอย่างไร?</t>
  </si>
  <si>
    <t>A) แจ้งผู้ฝึกสอนทันที; B) หลีกเลี่ยงการเข้าไปยุ่ง; C) แข่งต่อไปตามปกติ; D) หยุดการแข่งขัน</t>
  </si>
  <si>
    <t>หากทีมของคุณประสบปัญหาทางเทคนิคในระหว่างการแข่งขัน คุณจะทำอย่างไร?</t>
  </si>
  <si>
    <t>A) แจ้งกรรมการและขอการช่วยเหลือทางเทคนิค; B) พยายามแก้ไขเอง; C) หยุดการแข่งขัน; D) แข่งต่อไปตามปกติ</t>
  </si>
  <si>
    <t>A) แจ้งกรรมการและขอการช่วยเหลือทางเทคนิค</t>
  </si>
  <si>
    <t>การแจ้งกรรมการช่วยให้ปัญหาถูกแก้ไข.</t>
  </si>
  <si>
    <t>หากเรือของคุณไม่ได้รับการตรวจสอบอย่างถูกต้องก่อนการแข่งขัน คุณจะทำอย่างไร?</t>
  </si>
  <si>
    <t>A) แจ้งกรรมการและขอให้ทำการตรวจสอบใหม่; B) แข่งต่อไปโดยไม่แจ้งกรรมการ; C) หยุดการแข่งขัน; D) ปฏิเสธการแข่งขัน</t>
  </si>
  <si>
    <t>A) แจ้งกรรมการและขอให้ทำการตรวจสอบใหม่</t>
  </si>
  <si>
    <t>หากเส้นทางของคุณมีการขัดแย้งในระหว่างการแข่งขัน คุณจะทำอย่างไร?</t>
  </si>
  <si>
    <t>A) แจ้งกรรมการเพื่อขอคำแนะนำ; B) ปรับเส้นทางเองโดยไม่แจ้งใคร; C) หยุดการแข่งขัน; D) แข่งต่อไปตามปกติ</t>
  </si>
  <si>
    <t>ในระหว่างการแข่งขัน คุณพบว่าผู้เล่นบางคนไม่ปฏิบัติตามกติกา คุณจะทำอย่างไร?</t>
  </si>
  <si>
    <t>หากเรือของคุณเสียสมดุลระหว่างการแข่งขัน คุณจะทำอย่างไร?</t>
  </si>
  <si>
    <t>A) ปรับสมดุลเรือและแจ้งกรรมการ; B) พยายามแข่งต่อไป; C) หยุดการแข่งขันทันที; D) แจ้งผู้ฝึกสอน</t>
  </si>
  <si>
    <t>A) ปรับสมดุลเรือและแจ้งกรรมการ</t>
  </si>
  <si>
    <t>หากกรรมการแจ้งคำตัดสินที่คุณไม่เห็นด้วย คุณจะทำอย่างไร?</t>
  </si>
  <si>
    <t>A) ขอให้กรรมการอธิบายการตัดสิน; B) ไม่ทำอะไร; C) ปฏิเสธคำตัดสิน; D) หยุดการแข่งขัน</t>
  </si>
  <si>
    <t>A) ขอให้กรรมการอธิบายการตัดสิน</t>
  </si>
  <si>
    <t>การขอคำอธิบายช่วยให้สถานการณ์ชัดเจน.</t>
  </si>
  <si>
    <t>หากคุณพบว่ามีการขัดแย้งระหว่างผู้เล่นในทีม คุณจะทำอย่างไร?</t>
  </si>
  <si>
    <t>หากคุณเห็นว่าเรือของคุณไม่สามารถทำความเร็วได้ตามปกติ คุณจะทำอย่างไร?</t>
  </si>
  <si>
    <t>A) แจ้งกรรมการและขอให้ตรวจสอบ; B) พยายามเร่งความเร็วเอง; C) หยุดการแข่งขัน; D) แข่งต่อไปตามปกติ</t>
  </si>
  <si>
    <t>A) แจ้งกรรมการและขอให้ตรวจสอบ</t>
  </si>
  <si>
    <t>การแจ้งกรรมการช่วยให้สถานการณ์ได้รับการจัดการ.</t>
  </si>
  <si>
    <t>หากการแข่งขันมีการหยุดชั่วคราวเนื่องจากสภาพอากาศ คุณจะทำอย่างไร?</t>
  </si>
  <si>
    <t>หากคุณเห็นว่าเรือของคู่แข่งขัดขวางเส้นทางของคุณ คุณจะทำอย่างไร?</t>
  </si>
  <si>
    <t>A) แจ้งกรรมการทันที; B) พยายามหลีกเลี่ยงอุปสรรคเอง; C) หยุดการแข่งขัน; D) แข่งต่อไปตามปกติ</t>
  </si>
  <si>
    <t>หากการแข่งเรือถูกยกเลิกกลางคัน คุณจะทำอย่างไร?</t>
  </si>
  <si>
    <t>A) ปฏิบัติตามคำแนะนำจากกรรมการ; B) พยายามแข่งต่อไป; C) หยุดการแข่งขัน; D) บ่นเกี่ยวกับการยกเลิก</t>
  </si>
  <si>
    <t>การปฏิบัติตามคำแนะนำช่วยให้สถานการณ์ได้รับการจัดการ.</t>
  </si>
  <si>
    <t>หากคุณเห็นว่ามีผู้เล่นจากทีมคู่แข่งไม่ได้ใส่อุปกรณ์ความปลอดภัย คุณจะทำอย่างไร?</t>
  </si>
  <si>
    <t>หากเรือของคุณได้รับการตัดสิทธิ์จากการแข่งขัน คุณจะทำอย่างไร?</t>
  </si>
  <si>
    <t>A) ขอการพิจารณาใหม่จากกรรมการ; B) ไม่ทำอะไร; C) หลีกเลี่ยงการขอการพิจารณาใหม่; D) หยุดการแข่งขัน</t>
  </si>
  <si>
    <t>A) ขอการพิจารณาใหม่จากกรรมการ</t>
  </si>
  <si>
    <t>การขอการพิจารณาใหม่ช่วยให้สถานการณ์ได้รับการแก้ไข.</t>
  </si>
  <si>
    <t>หากการแข่งเรือมีปัญหาด้านการสื่อสารระหว่างทีม คุณจะทำอย่างไร?</t>
  </si>
  <si>
    <t>A) ปรับปรุงการสื่อสารในทีมทันที; B) ไม่ทำอะไร; C) หลีกเลี่ยงการพูดถึงปัญหานี้; D) หยุดการแข่งขัน</t>
  </si>
  <si>
    <t>A) ปรับปรุงการสื่อสารในทีมทันที</t>
  </si>
  <si>
    <t>การปรับปรุงการสื่อสารช่วยให้ทีมสามารถทำงานร่วมกันได้ดีขึ้น.</t>
  </si>
  <si>
    <t>หากเรือของคุณมีปัญหาด้านเทคนิค คุณจะทำอย่างไร?</t>
  </si>
  <si>
    <t>A) แจ้งกรรมการและขอการช่วยเหลือ; B) พยายามแก้ไขเอง; C) หยุดการแข่งขัน; D) แข่งต่อไป</t>
  </si>
  <si>
    <t>หากคุณพบว่ามีผู้เล่นในทีมของคุณทำผิดกติกา คุณจะทำอย่างไร?</t>
  </si>
  <si>
    <t>A) แจ้งผู้ฝึกสอนและขอการปรับปรุง; B) ไม่ทำอะไร; C) ปฏิเสธการแก้ไข; D) หยุดการแข่งขัน</t>
  </si>
  <si>
    <t>หากทีมของคุณมีผู้เล่นไม่พร้อมสำหรับการแข่งขัน คุณจะทำอย่างไร?</t>
  </si>
  <si>
    <t>A) แจ้งผู้ฝึกสอนและขอการช่วยเหลือ; B) พยายามแข่งต่อไป; C) หลีกเลี่ยงการพูดถึงปัญหานี้; D) หยุดการแข่งขัน</t>
  </si>
  <si>
    <t>A) แจ้งผู้ฝึกสอนและขอการช่วยเหลือ</t>
  </si>
  <si>
    <t>การแจ้งผู้ฝึกสอนช่วยให้สถานการณ์ได้รับการแก้ไข.</t>
  </si>
  <si>
    <t>หากพบว่าผู้เล่นจากทีมคู่แข่งไม่ได้ปฏิบัติตามกติกา คุณจะทำอย่างไร?</t>
  </si>
  <si>
    <t>A) แจ้งกรรมการทันที; B) พยายามหลีกเลี่ยงการเข้าไปยุ่ง; C) แข่งต่อไปตามปกติ; D) หยุดการแข่งขัน</t>
  </si>
  <si>
    <t>หากเรือของคุณได้รับการจัดอันดับผิด คุณจะทำอย่างไร?</t>
  </si>
  <si>
    <t>A) แจ้งกรรมการและขอการพิจารณาใหม่; B) ไม่ทำอะไร; C) ปฏิเสธการตัดสิน; D) หยุดการแข่งขัน</t>
  </si>
  <si>
    <t>A) แจ้งกรรมการและขอการพิจารณาใหม่</t>
  </si>
  <si>
    <t>หากคุณพบว่าเส้นทางการแข่งขันถูกขัดขวาง คุณจะทำอย่างไร?</t>
  </si>
  <si>
    <t>A) แจ้งกรรมการให้จัดการ; B) หลีกเลี่ยงอุปสรรคเอง; C) หยุดการแข่งขัน; D) แข่งต่อไปตามปกติ</t>
  </si>
  <si>
    <t>หากมีการขัดแย้งในทีมของคุณระหว่างการแข่งขัน คุณจะทำอย่างไร?</t>
  </si>
  <si>
    <t>A) แจ้งผู้ฝึกสอนและขอการช่วยเหลือ; B) ไม่ทำอะไร; C) ปฏิเสธการเข้าไปยุ่ง; D) หยุดการแข่งขัน</t>
  </si>
  <si>
    <t>การแจ้งผู้ฝึกสอนช่วยให้การแก้ไขปัญหาภายในทีม.</t>
  </si>
  <si>
    <t>หากเรือของคุณมีปัญหาด้านความเร็ว คุณจะทำอย่างไร?</t>
  </si>
  <si>
    <t>A) แจ้งกรรมการและขอการตรวจสอบ; B) พยายามเร่งความเร็วเอง; C) หยุดการแข่งขัน; D) แข่งต่อไป</t>
  </si>
  <si>
    <t>A) แจ้งกรรมการและขอการตรวจสอบ</t>
  </si>
  <si>
    <t>หากมีการเปลี่ยนแปลงกฎระหว่างการแข่งขัน คุณจะทำอย่างไร?</t>
  </si>
  <si>
    <t>A) ปฏิบัติตามกฎใหม่ทันที; B) ไม่ทำอะไร; C) หลีกเลี่ยงการทำตามกฎใหม่; D) หยุดการแข่งขัน</t>
  </si>
  <si>
    <t>A) ปฏิบัติตามกฎใหม่ทันที</t>
  </si>
  <si>
    <t>การปฏิบัติตามกฎใหม่ช่วยให้การแข่งขันเป็นไปตามระเบียบ.</t>
  </si>
  <si>
    <t>หากคุณเห็นว่ามีการละเมิดกฎจากทีมคู่แข่ง คุณจะทำอย่างไร?</t>
  </si>
  <si>
    <t>หากคุณต้องการเปลี่ยนตำแหน่งในการแข่งขัน คุณจะทำอย่างไร?</t>
  </si>
  <si>
    <t>A) แจ้งผู้ฝึกสอนและขอคำแนะนำ; B) ไม่ทำอะไร; C) เปลี่ยนตำแหน่งเอง; D) หยุดการแข่งขัน</t>
  </si>
  <si>
    <t>A) แจ้งผู้ฝึกสอนและขอคำแนะนำ</t>
  </si>
  <si>
    <t>การแจ้งผู้ฝึกสอนช่วยให้การตัดสินใจเป็นไปตามกฎ.</t>
  </si>
  <si>
    <t>หากคุณมีการขัดแย้งกับกรรมการ คุณจะทำอย่างไร?</t>
  </si>
  <si>
    <t>A) ขอให้กรรมการอธิบายการตัดสิน; B) ปฏิเสธคำตัดสิน; C) หลีกเลี่ยงการพูดถึงการตัดสิน; D) หยุดการแข่งขัน</t>
  </si>
  <si>
    <t>หากทีมของคุณต้องการพักระหว่างการแข่งขัน คุณจะทำอย่างไร?</t>
  </si>
  <si>
    <t>A) แจ้งกรรมการขอเวลาพัก; B) พักเองโดยไม่แจ้งกรรมการ; C) หลีกเลี่ยงการพัก; D) หยุดการแข่งขัน</t>
  </si>
  <si>
    <t>A) แจ้งกรรมการขอเวลาพัก</t>
  </si>
  <si>
    <t>การขอเวลาพักช่วยให้ทีมสามารถฟื้นตัวได้.</t>
  </si>
  <si>
    <t>หากคุณพบว่ามีผู้เล่นจากทีมคู่แข่งใช้วิธีการผิดกฎหมาย คุณจะทำอย่างไร?</t>
  </si>
  <si>
    <t>A) แจ้งกรรมการทันที; B) ไม่ทำอะไร; C) ปฏิเสธการแจ้งกรรมการ; D) หยุดการแข่งขัน</t>
  </si>
  <si>
    <t>หากคุณเห็นว่าเรือของคุณต้องการซ่อมแซมในระหว่างการแข่งขัน คุณจะทำอย่างไร?</t>
  </si>
  <si>
    <t>A) แจ้งกรรมการเพื่อขอการอนุญาตซ่อมแซม; B) ซ่อมแซมเองโดยไม่แจ้งกรรมการ; C) หลีกเลี่ยงการซ่อมแซม; D) หยุดการแข่งขัน</t>
  </si>
  <si>
    <t>A) แจ้งกรรมการเพื่อขอการอนุญาตซ่อมแซม</t>
  </si>
  <si>
    <t>การแจ้งกรรมการช่วยให้การแข่งขันดำเนินไปตามกฎ.</t>
  </si>
  <si>
    <t>หากคุณมีความกังวลเกี่ยวกับสภาพอากาศในระหว่างการแข่งขัน คุณจะทำอย่างไร?</t>
  </si>
  <si>
    <t>A) แจ้งกรรมการเพื่อขอคำแนะนำ; B) ไม่ทำอะไร; C) แข่งต่อไปโดยไม่สนใจสภาพอากาศ; D) หยุดการแข่งขัน</t>
  </si>
  <si>
    <t>การแจ้งกรรมการช่วยให้การตัดสินใจเป็นไปตามกฎ.</t>
  </si>
  <si>
    <t>หากมีการเปลี่ยนแปลงเวลาการแข่งขัน คุณจะทำอย่างไร?</t>
  </si>
  <si>
    <t>A) ปฏิบัติตามเวลาใหม่ทันที; B) ไม่ทำอะไร; C) ปฏิเสธการเปลี่ยนแปลงเวลา; D) หยุดการแข่งขัน</t>
  </si>
  <si>
    <t>A) ปฏิบัติตามเวลาใหม่ทันที</t>
  </si>
  <si>
    <t>การปฏิบัติตามเวลาที่กำหนดช่วยให้การแข่งขันเป็นไปตามกำหนด.</t>
  </si>
  <si>
    <t>A) ขอการพิจารณาใหม่จากกรรมการ; B) ไม่ทำอะไร; C) ปฏิเสธการตัดสิทธิ์; D) หยุดการแข่งขัน</t>
  </si>
  <si>
    <t>หากคุณเห็นว่ามีการขัดขวางจากผู้เล่นทีมคู่แข่งในระหว่างการแข่งขัน คุณจะทำอย่างไร?</t>
  </si>
  <si>
    <t>A) แจ้งกรรมการทันที; B) พยายามหลีกเลี่ยงการขัดขวางเอง; C) หยุดการแข่งขัน; D) แข่งต่อไปตามปกติ</t>
  </si>
  <si>
    <t>หากคุณพบว่ามีผู้เล่นจากทีมของคุณไม่ได้ปฏิบัติตามกฎความปลอดภัย คุณจะทำอย่างไร?</t>
  </si>
  <si>
    <t>A) แจ้งผู้ฝึกสอนและขอให้ปรับปรุง; B) ไม่ทำอะไร; C) ปฏิเสธการแจ้งผู้ฝึกสอน; D) หยุดการแข่งขัน</t>
  </si>
  <si>
    <t>A) แจ้งผู้ฝึกสอนและขอให้ปรับปรุง</t>
  </si>
  <si>
    <t>หากคุณมีข้อสงสัยเกี่ยวกับการตัดสินของกรรมการ คุณจะทำอย่างไร?</t>
  </si>
  <si>
    <t>A) ขอการพิจารณาใหม่จากกรรมการ; B) ไม่ทำอะไร; C) ปฏิเสธการขอพิจารณาใหม่; D) หยุดการแข่งขัน</t>
  </si>
  <si>
    <t>การขอพิจารณาใหม่ช่วยให้สถานการณ์ได้รับการจัดการ.</t>
  </si>
  <si>
    <t>หากคุณเห็นว่าเรือของคู่แข่งไม่ปฏิบัติตามกฎเกี่ยวกับอุปกรณ์ความปลอดภัย คุณจะทำอย่างไร?</t>
  </si>
  <si>
    <t>หากผู้เล่นในทีมของคุณไม่ได้ปฏิบัติตามกฎเกี่ยวกับการสื่อสาร คุณจะทำอย่างไร?</t>
  </si>
  <si>
    <t>A) แจ้งผู้ฝึกสอนเพื่อให้คำแนะนำ; B) ไม่ทำอะไร; C) ปฏิเสธการเข้าไปยุ่ง; D) หยุดการแข่งขัน</t>
  </si>
  <si>
    <t>A) แจ้งผู้ฝึกสอนเพื่อให้คำแนะนำ</t>
  </si>
  <si>
    <t>การแจ้งผู้ฝึกสอนช่วยให้ทีมสามารถทำงานร่วมกันได้ดีขึ้น.</t>
  </si>
  <si>
    <t>หากคุณต้องการหยุดการแข่งเนื่องจากเหตุผลส่วนตัว คุณจะทำอย่างไร?</t>
  </si>
  <si>
    <t>A) แจ้งผู้ฝึกสอนและกรรมการก่อน; B) หยุดเองโดยไม่แจ้งใคร; C) ปฏิเสธการแจ้งเหตุผล; D) หยุดการแข่งขันทันที</t>
  </si>
  <si>
    <t>A) แจ้งผู้ฝึกสอนและกรรมการก่อน</t>
  </si>
  <si>
    <t>การแจ้งผู้ฝึกสอนและกรรมการช่วยให้สถานการณ์ได้รับการจัดการ.</t>
  </si>
  <si>
    <t>หากคุณเห็นว่าเรือของคุณได้รับความเสียหายจากการชนกับอุปสรรค คุณจะทำอย่างไร?</t>
  </si>
  <si>
    <t>A) แจ้งกรรมการและขอการช่วยเหลือ; B) ซ่อมแซมเอง; C) หลีกเลี่ยงการแจ้งกรรมการ; D) หยุดการแข่งขัน</t>
  </si>
  <si>
    <t>หากเรือของคุณมีปัญหาด้านการทำความเร็ว คุณจะทำอย่างไร?</t>
  </si>
  <si>
    <t>A) แจ้งกรรมการเพื่อขอความช่วยเหลือ; B) พยายามเร่งความเร็วเอง; C) หยุดการแข่งขัน; D) แข่งต่อไป</t>
  </si>
  <si>
    <t>A) แจ้งกรรมการเพื่อขอความช่วยเหลือ</t>
  </si>
  <si>
    <t>การแจ้งกรรมการช่วยให้ปัญหาถูกจัดการ.</t>
  </si>
  <si>
    <t>หากคุณพบว่ามีการละเมิดกฎในระหว่างการแข่งขัน คุณจะทำอย่างไร?</t>
  </si>
  <si>
    <t>A) แจ้งกรรมการทันที; B) ไม่ทำอะไร; C) หลีกเลี่ยงการแจ้งกรรมการ; D) หยุดการแข่งขัน</t>
  </si>
  <si>
    <t>หากทีมของคุณมีปัญหาเรื่องการสื่อสารระหว่างการแข่ง คุณจะทำอย่างไร?</t>
  </si>
  <si>
    <t>A) ปรับปรุงการสื่อสารทันที; B) ไม่ทำอะไร; C) หลีกเลี่ยงการสื่อสาร; D) หยุดการแข่งขัน</t>
  </si>
  <si>
    <t>A) ปรับปรุงการสื่อสารทันที</t>
  </si>
  <si>
    <t>หากคุณเห็นว่าเรือของคุณมีปัญหาในการเดินหน้า คุณจะทำอย่างไร?</t>
  </si>
  <si>
    <t>A) แจ้งกรรมการและขอให้ตรวจสอบ; B) พยายามเดินหน้าเอง; C) หยุดการแข่งขัน; D) แข่งต่อไป</t>
  </si>
  <si>
    <t>หากทีมของคุณต้องการขอเวลาเพิ่มเติมในการเตรียมตัว คุณจะทำอย่างไร?</t>
  </si>
  <si>
    <t>A) แจ้งกรรมการขอเวลา; B) พยายามเตรียมตัวเอง; C) หลีกเลี่ยงการขอเวลา; D) หยุดการแข่งขัน</t>
  </si>
  <si>
    <t>A) แจ้งกรรมการขอเวลา</t>
  </si>
  <si>
    <t>การขอเวลาเพิ่มเติมช่วยให้ทีมเตรียมตัวได้ดีขึ้น.</t>
  </si>
  <si>
    <t>หากเรือของคุณเกิดอาการผิดปกติในระหว่างการแข่งขัน คุณจะทำอย่างไร?</t>
  </si>
  <si>
    <t>A) แจ้งกรรมการและหยุดการแข่งขัน; B) พยายามซ่อมแซมเอง; C) แข่งต่อไปตามปกติ; D) หยุดการแข่งขันทันที</t>
  </si>
  <si>
    <t>การแจ้งกรรมการช่วยให้สามารถตัดสินใจได้อย่างถูกต้องตามกฎ.</t>
  </si>
  <si>
    <t>หากคุณเห็นทีมคู่แข่งทำการโกงในระหว่างการแข่งขัน คุณจะทำอย่างไร?</t>
  </si>
  <si>
    <t>A) แจ้งกรรมการทันที; B) ไม่ทำอะไร; C) โต้แย้งการตัดสิน; D) หยุดการแข่งขัน</t>
  </si>
  <si>
    <t>หากคุณต้องการทบทวนกฎของการแข่งขัน คุณจะทำอย่างไร?</t>
  </si>
  <si>
    <t>A) ขอคำอธิบายจากกรรมการ; B) หาข้อมูลจากแหล่งอื่น; C) ไม่ทำอะไร; D) รอจนกว่าจะถึงช่วงพัก</t>
  </si>
  <si>
    <t>A) ขอคำอธิบายจากกรรมการ</t>
  </si>
  <si>
    <t>การขอคำอธิบายช่วยให้เข้าใจถึงข้อกำหนดต่างๆ.</t>
  </si>
  <si>
    <t>หากในระหว่างการแข่งขันเรือของคุณไม่สามารถเดินหน้าได้ คุณจะทำอย่างไร?</t>
  </si>
  <si>
    <t>A) แจ้งกรรมการและขอให้หยุดการแข่งขัน; B) พยายามเดินหน้าเอง; C) หยุดการแข่งขัน; D) รอจนกว่าจะมีการช่วยเหลือ</t>
  </si>
  <si>
    <t>หากมีการแทรกแซงจากผู้ชมในระหว่างการแข่งขัน คุณจะทำอย่างไร?</t>
  </si>
  <si>
    <t>A) แจ้งกรรมการเพื่อขอการจัดการ; B) ไม่ทำอะไร; C) โต้แย้งการแทรกแซง; D) หยุดการแข่งขัน</t>
  </si>
  <si>
    <t>A) แจ้งกรรมการเพื่อขอการจัดการ</t>
  </si>
  <si>
    <t>หากเรือของคุณเสียหายจากการชนกับอุปสรรค คุณจะทำอย่างไร?</t>
  </si>
  <si>
    <t>หากคุณต้องการใช้เทคนิคพิเศษในระหว่างการแข่งขัน คุณจะทำอย่างไร?</t>
  </si>
  <si>
    <t>A) ขออนุญาตจากกรรมการก่อนใช้; B) ใช้เทคนิคเองโดยไม่แจ้งกรรมการ; C) หลีกเลี่ยงการใช้เทคนิคพิเศษ; D) หยุดการแข่งขัน</t>
  </si>
  <si>
    <t>A) ขออนุญาตจากกรรมการก่อนใช้</t>
  </si>
  <si>
    <t>การขออนุญาตช่วยให้การใช้เทคนิคเป็นไปตามกฎ.</t>
  </si>
  <si>
    <t>หากคุณพบว่าเพื่อนร่วมทีมไม่ปฏิบัติตามกฎความปลอดภัย คุณจะทำอย่างไร?</t>
  </si>
  <si>
    <t>A) แจ้งผู้ฝึกสอนเพื่อขอให้ปรับปรุง; B) ไม่ทำอะไร; C) ปฏิเสธการแจ้งผู้ฝึกสอน; D) หยุดการแข่งขัน</t>
  </si>
  <si>
    <t>A) แจ้งผู้ฝึกสอนเพื่อขอให้ปรับปรุง</t>
  </si>
  <si>
    <t>การแจ้งผู้ฝึกสอนช่วยให้ทีมปฏิบัติตามกฎ.</t>
  </si>
  <si>
    <t>หากผู้ฝึกสอนของคุณไม่สามารถเข้าแข่งขันในวันนั้น คุณจะทำอย่างไร?</t>
  </si>
  <si>
    <t>A) ปฏิบัติตามแผนที่ได้เตรียมไว้ก่อนหน้า; B) หยุดการแข่งขัน; C) ขอคำแนะนำจากกรรมการ; D) ปฏิเสธการแข่ง</t>
  </si>
  <si>
    <t>A) ปฏิบัติตามแผนที่ได้เตรียมไว้ก่อนหน้า</t>
  </si>
  <si>
    <t>การปฏิบัติตามแผนช่วยให้ทีมทำงานได้ต่อเนื่อง.</t>
  </si>
  <si>
    <t>หากเรือของคุณต้องการการซ่อมแซมในระหว่างการแข่งขัน คุณจะทำอย่างไร?</t>
  </si>
  <si>
    <t>การขออนุญาตจากกรรมการทำให้การซ่อมแซมถูกต้องตามกฎ.</t>
  </si>
  <si>
    <t>หากทีมของคุณทำผิดกฎ คุณจะทำอย่างไร?</t>
  </si>
  <si>
    <t>A) แจ้งกรรมการทันที; B) ปฏิเสธการยอมรับผิด; C) หลีกเลี่ยงการพูดถึงเรื่องนี้; D) หยุดการแข่งขัน</t>
  </si>
  <si>
    <t>หากคุณเห็นคู่แข่งใช้เทคนิคผิดกฎหมาย คุณจะทำอย่างไร?</t>
  </si>
  <si>
    <t>A) แจ้งกรรมการทันที; B) ปฏิเสธการแจ้งกรรมการ; C) หลีกเลี่ยงการพูดถึงเรื่องนี้; D) หยุดการแข่งขัน</t>
  </si>
  <si>
    <t>หากมีการเปลี่ยนแปลงเงื่อนไขของการแข่งขัน คุณจะทำอย่างไร?</t>
  </si>
  <si>
    <t>A) ปฏิบัติตามเงื่อนไขใหม่ทันที; B) ปฏิเสธเงื่อนไขใหม่; C) ไม่ทำอะไร; D) หยุดการแข่งขัน</t>
  </si>
  <si>
    <t>A) ปฏิบัติตามเงื่อนไขใหม่ทันที</t>
  </si>
  <si>
    <t>การปรับตัวตามเงื่อนไขใหม่ทำให้การแข่งขันดำเนินไปได้.</t>
  </si>
  <si>
    <t>หากเรือของคุณไม่สามารถแข่งขันต่อไปได้เนื่องจากปัญหาด้านเครื่องมือ คุณจะทำอย่างไร?</t>
  </si>
  <si>
    <t>A) แจ้งกรรมการและขอหยุดการแข่งขัน; B) ซ่อมแซมเอง; C) หลีกเลี่ยงการแจ้งกรรมการ; D) หยุดการแข่งขัน</t>
  </si>
  <si>
    <t>A) แจ้งกรรมการและขอหยุดการแข่งขัน</t>
  </si>
  <si>
    <t>หากคุณเห็นผู้เล่นในทีมของคุณทำการละเมิดกฎในระหว่างการแข่งขัน คุณจะทำอย่างไร?</t>
  </si>
  <si>
    <t>A) แจ้งผู้ฝึกสอนทันที; B) ปฏิเสธการแจ้งผู้ฝึกสอน; C) หลีกเลี่ยงการพูดถึงเรื่องนี้; D) หยุดการแข่งขัน</t>
  </si>
  <si>
    <t>หากทีมของคุณขาดผู้เล่นในระหว่างการแข่งขัน คุณจะทำอย่างไร?</t>
  </si>
  <si>
    <t>A) แจ้งกรรมการขอให้มีการแทนที่; B) แข่งต่อไปโดยไม่มีผู้เล่นเพิ่มเติม; C) หลีกเลี่ยงการแจ้งกรรมการ; D) หยุดการแข่งขัน</t>
  </si>
  <si>
    <t>A) แจ้งกรรมการขอให้มีการแทนที่</t>
  </si>
  <si>
    <t>หากคุณเห็นว่าเพื่อนร่วมทีมไม่ปฏิบัติตามแผนที่วางไว้ คุณจะทำอย่างไร?</t>
  </si>
  <si>
    <t>A) แจ้งผู้ฝึกสอนเพื่อขอคำแนะนำ; B) ปฏิเสธการแจ้งผู้ฝึกสอน; C) หลีกเลี่ยงการเข้าไปยุ่ง; D) หยุดการแข่งขัน</t>
  </si>
  <si>
    <t>A) แจ้งผู้ฝึกสอนเพื่อขอคำแนะนำ</t>
  </si>
  <si>
    <t>การแจ้งผู้ฝึกสอนช่วยให้แผนการดำเนินไปได้อย่างมีประสิทธิภาพ.</t>
  </si>
  <si>
    <t>หากคุณต้องการใช้เรืออื่นในการแข่งขัน คุณจะทำอย่างไร?</t>
  </si>
  <si>
    <t>A) ขออนุญาตจากกรรมการก่อน; B) ใช้เรือเองโดยไม่แจ้งกรรมการ; C) ไม่ทำอะไร; D) หยุดการแข่งขัน</t>
  </si>
  <si>
    <t>A) ขออนุญาตจากกรรมการก่อน</t>
  </si>
  <si>
    <t>การขออนุญาตจากกรรมการทำให้การใช้เรือถูกต้องตามกฎ.</t>
  </si>
  <si>
    <t>หากทีมของคุณต้องการขอเวลาเพิ่มในการฝึกซ้อม คุณจะทำอย่างไร?</t>
  </si>
  <si>
    <t>A) แจ้งกรรมการขอเวลาเพิ่มเติม; B) หลีกเลี่ยงการขอเวลา; C) ปฏิเสธการขอเวลาเพิ่ม; D) หยุดการแข่งขัน</t>
  </si>
  <si>
    <t>A) แจ้งกรรมการขอเวลาเพิ่มเติม</t>
  </si>
  <si>
    <t>การขอเวลาเพิ่มเติมช่วยให้ทีมสามารถฝึกซ้อมได้อย่างมีประสิทธิภาพ.</t>
  </si>
  <si>
    <t>หากผู้เล่นในทีมของคุณไม่สามารถทำการแข่งต่อไปได้เนื่องจากอาการบาดเจ็บ คุณจะทำอย่างไร?</t>
  </si>
  <si>
    <t>A) แจ้งกรรมการและขอให้มีการแทนที่; B) ปฏิเสธการแทนที่; C) หลีกเลี่ยงการแจ้งกรรมการ; D) หยุดการแข่งขัน</t>
  </si>
  <si>
    <t>A) แจ้งกรรมการและขอให้มีการแทนที่</t>
  </si>
  <si>
    <t>การแจ้งกรรมการช่วยให้การแข่งดำเนินไปตามกฎ.</t>
  </si>
  <si>
    <t>หากคุณรู้สึกว่าเพื่อนร่วมทีมของคุณมีปัญหาทางร่างกายระหว่างการแข่งขัน คุณจะทำอย่างไร?</t>
  </si>
  <si>
    <t>A) แจ้งกรรมการเพื่อขอให้หยุดการแข่งขัน; B) ปฏิเสธที่จะให้ความช่วยเหลือ; C) ให้กำลังใจเพื่อให้เขาผ่านไปได้; D) หลีกเลี่ยงการเข้าไปยุ่ง</t>
  </si>
  <si>
    <t>A) แจ้งกรรมการเพื่อขอให้หยุดการแข่งขัน</t>
  </si>
  <si>
    <t>หากคุณพบว่าเรือของทีมคุณมีปัญหาทางเทคนิคระหว่างการแข่งขัน คุณจะทำอย่างไร?</t>
  </si>
  <si>
    <t>A) แจ้งกรรมการเพื่อขอหยุดการแข่งขัน; B) ซ่อมแซมเองโดยไม่แจ้งกรรมการ; C) แข่งต่อไปตามปกติ; D) หยุดการแข่งขันทันที</t>
  </si>
  <si>
    <t>A) แจ้งกรรมการเพื่อขอหยุดการแข่งขัน</t>
  </si>
  <si>
    <t>หากกรรมการตัดสินใจผิด คุณจะทำอย่างไร?</t>
  </si>
  <si>
    <t>A) ยื่นคำร้องขอทบทวนการตัดสิน; B) โต้แย้งการตัดสินอย่างเปิดเผย; C) ปฏิเสธการยอมรับการตัดสิน; D) หยุดการแข่งขัน</t>
  </si>
  <si>
    <t>A) ยื่นคำร้องขอทบทวนการตัดสิน</t>
  </si>
  <si>
    <t>การยื่นคำร้องช่วยให้การตัดสินเป็นไปอย่างยุติธรรม.</t>
  </si>
  <si>
    <t>หากคุณเห็นคู่แข่งข้ามเส้นเริ่มต้นก่อนเวลา คุณจะทำอย่างไร?</t>
  </si>
  <si>
    <t>หากคุณต้องการตรวจสอบอุปกรณ์การแข่งขันก่อนเริ่ม คุณจะทำอย่างไร?</t>
  </si>
  <si>
    <t>A) ขออนุญาตจากกรรมการก่อนตรวจสอบ; B) ตรวจสอบเองโดยไม่แจ้งกรรมการ; C) ไม่ทำอะไร; D) หยุดการแข่งขัน</t>
  </si>
  <si>
    <t>A) ขออนุญาตจากกรรมการก่อนตรวจสอบ</t>
  </si>
  <si>
    <t>การขออนุญาตจากกรรมการทำให้การตรวจสอบถูกต้องตามกฎ.</t>
  </si>
  <si>
    <t>หากทีมของคุณไม่ได้ฝึกซ้อมตามแผนที่วางไว้ คุณจะทำอย่างไร?</t>
  </si>
  <si>
    <t>A) แจ้งผู้ฝึกสอนเพื่อปรับแผนใหม่; B) ปฏิเสธการปรับแผน; C) หลีกเลี่ยงการเข้าไปพูดคุย; D) หยุดการแข่งขัน</t>
  </si>
  <si>
    <t>A) แจ้งผู้ฝึกสอนเพื่อปรับแผนใหม่</t>
  </si>
  <si>
    <t>การแจ้งผู้ฝึกสอนช่วยให้การฝึกซ้อมเป็นไปตามแผน.</t>
  </si>
  <si>
    <t>หากคุณเห็นเพื่อนร่วมทีมทำการละเมิดกฎในระหว่างการแข่งขัน คุณจะทำอย่างไร?</t>
  </si>
  <si>
    <t>A) แจ้งผู้ฝึกสอนทันที; B) ไม่ทำอะไร; C) ปฏิเสธการแจ้งผู้ฝึกสอน; D) หยุดการแข่งขัน</t>
  </si>
  <si>
    <t>หากเรือของคุณไปผิดเส้นทางในระหว่างการแข่งขัน คุณจะทำอย่างไร?</t>
  </si>
  <si>
    <t>A) ปรับทิศทางเรือทันที; B) เพิกเฉยและแข่งต่อไป; C) แจ้งกรรมการ; D) หยุดการแข่งขัน</t>
  </si>
  <si>
    <t>การปรับทิศทางทันทีช่วยให้การแข่งเป็นไปตามเส้นทาง.</t>
  </si>
  <si>
    <t>หากกรรมการขอให้ทำการยืนยันตัวตนในระหว่างการแข่งขัน คุณจะทำอย่างไร?</t>
  </si>
  <si>
    <t>A) ยืนยันตัวตนทันทีตามคำขอ; B) ปฏิเสธการยืนยันตัวตน; C) ไม่ทำอะไร; D) หยุดการแข่งขัน</t>
  </si>
  <si>
    <t>A) ยืนยันตัวตนทันทีตามคำขอ</t>
  </si>
  <si>
    <t>การยืนยันตัวตนช่วยให้การแข่งขันโปร่งใส.</t>
  </si>
  <si>
    <t>หากคุณรู้สึกว่าเพื่อนร่วมทีมทำการละเมิดกฎความปลอดภัย คุณจะทำอย่างไร?</t>
  </si>
  <si>
    <t>A) แจ้งผู้ฝึกสอนเพื่อขอให้ปรับปรุง; B) ไม่ทำอะไร; C) หลีกเลี่ยงการแจ้งผู้ฝึกสอน; D) หยุดการแข่งขัน</t>
  </si>
  <si>
    <t>หากคุณต้องการใช้เทคนิคพิเศษในการแข่งขัน คุณจะทำอย่างไร?</t>
  </si>
  <si>
    <t>การขออนุญาตจากกรรมการทำให้การใช้เทคนิคถูกต้องตามกฎ.</t>
  </si>
  <si>
    <t>หากเรือของคุณมีปัญหาทางเทคนิคหลังจากการเริ่มการแข่งขัน คุณจะทำอย่างไร?</t>
  </si>
  <si>
    <t>A) แจ้งกรรมการและขอหยุดการแข่งขัน; B) ซ่อมแซมเองโดยไม่แจ้งกรรมการ; C) หลีกเลี่ยงการแจ้งกรรมการ; D) หยุดการแข่งขันทันที</t>
  </si>
  <si>
    <t>การแจ้งกรรมการช่วยให้การจัดการปัญหาเป็นไปตามกฎ.</t>
  </si>
  <si>
    <t>หากมีการเปลี่ยนแปลงในกฎระเบียบของการแข่งขัน คุณจะทำอย่างไร?</t>
  </si>
  <si>
    <t>A) ปฏิบัติตามกฎใหม่ทันที; B) โต้แย้งการเปลี่ยนแปลง; C) ไม่ทำอะไร; D) หยุดการแข่งขัน</t>
  </si>
  <si>
    <t>การปรับตัวตามกฎใหม่ทำให้การแข่งขันดำเนินไปได้.</t>
  </si>
  <si>
    <t>หากเรือของคุณต้องการการซ่อมแซมระหว่างการแข่งขัน คุณจะทำอย่างไร?</t>
  </si>
  <si>
    <t>หากคุณเห็นคู่แข่งทำการโกงในระหว่างการแข่งขัน คุณจะทำอย่างไร?</t>
  </si>
  <si>
    <t>หากกรรมการบอกว่าเรือของคุณไม่ผ่านการตรวจสอบ คุณจะทำอย่างไร?</t>
  </si>
  <si>
    <t>A) ปรับปรุงและขอการตรวจสอบใหม่; B) ปฏิเสธการปรับปรุง; C) หลีกเลี่ยงการขอการตรวจสอบใหม่; D) หยุดการแข่งขัน</t>
  </si>
  <si>
    <t>A) ปรับปรุงและขอการตรวจสอบใหม่</t>
  </si>
  <si>
    <t>การขอการตรวจสอบใหม่ช่วยให้การแข่งขันโปร่งใส.</t>
  </si>
  <si>
    <t>หากทีมของคุณขาดสมาชิกในระหว่างการแข่งขัน คุณจะทำอย่างไร?</t>
  </si>
  <si>
    <t>A) แจ้งกรรมการเพื่อขอแทนที่; B) แข่งต่อไปโดยไม่มีผู้เล่นเพิ่มเติม; C) หลีกเลี่ยงการแจ้งกรรมการ; D) หยุดการแข่งขัน</t>
  </si>
  <si>
    <t>A) แจ้งกรรมการเพื่อขอแทนที่</t>
  </si>
  <si>
    <t>การแจ้งกรรมการช่วยให้ทีมสามารถดำเนินการแข่งขันได้.</t>
  </si>
  <si>
    <t>หากคุณต้องการใช้ทักษะใหม่ในการแข่งขัน คุณจะทำอย่างไร?</t>
  </si>
  <si>
    <t>A) ขออนุญาตจากกรรมการก่อนใช้; B) ใช้ทักษะใหม่โดยไม่แจ้งกรรมการ; C) หลีกเลี่ยงการใช้ทักษะใหม่; D) หยุดการแข่งขัน</t>
  </si>
  <si>
    <t>การขออนุญาตจากกรรมการทำให้ทักษะใหม่ถูกต้องตามกฎ.</t>
  </si>
  <si>
    <t>หากคุณเห็นกรรมการตัดสินไม่ถูกต้อง คุณจะทำอย่างไร?</t>
  </si>
  <si>
    <t>A) แจ้งกรรมการเพื่อขอทบทวนการตัดสิน; B) โต้แย้งการตัดสิน; C) ปฏิเสธการยอมรับการตัดสิน; D) หยุดการแข่งขัน</t>
  </si>
  <si>
    <t>A) แจ้งกรรมการเพื่อขอทบทวนการตัดสิน</t>
  </si>
  <si>
    <t>การแจ้งกรรมการช่วยให้การตัดสินเป็นไปอย่างยุติธรรม.</t>
  </si>
  <si>
    <t>หากคุณต้องการหยุดการแข่งขันด้วยเหตุผลส่วนตัว คุณจะทำอย่างไร?</t>
  </si>
  <si>
    <t>A) แจ้งกรรมการและขอหยุดการแข่งขัน; B) หลีกเลี่ยงการแจ้งกรรมการ; C) หยุดการแข่งขันเองโดยไม่แจ้งกรรมการ; D) ไม่ทำอะไร</t>
  </si>
  <si>
    <t>การแจ้งกรรมการช่วยให้การหยุดการแข่งขันถูกต้องตามกฎ.</t>
  </si>
  <si>
    <t>Annotated</t>
  </si>
  <si>
    <t>Label</t>
  </si>
  <si>
    <t>QuestionR</t>
  </si>
  <si>
    <t>Options-R</t>
  </si>
  <si>
    <t>Answer-R</t>
  </si>
  <si>
    <t>Description-R</t>
  </si>
  <si>
    <t>A) แจ้งให้เขาไปเอาพายทันที; B) เริ่มแข่งโดยไม่มีเขา; C) แจ้งผู้ฝึกสอน; D) ใช้พายร่วมกัน</t>
  </si>
  <si>
    <t>A) แจ้งให้เขาไปเอาพายทันที</t>
  </si>
  <si>
    <t>เรือของคุณกระทบกับเรือคู่แข่ง คุณต้องทำอย่างไร?</t>
  </si>
  <si>
    <t>การกระทบกับเรือคู่แข่งอาจผิดกติกาและต้องรายงาน.</t>
  </si>
  <si>
    <t>ถ้าเรือของคุณเสียหายระหว่างการแข่งขัน คุณต้องทำอย่างไร?</t>
  </si>
  <si>
    <t>B) เพิกเฉย</t>
  </si>
  <si>
    <t>คู่แข่งพายผิดจังหวะส่งผลให้ความเร็วลดลง</t>
  </si>
  <si>
    <t>B) แข่งต่อไป</t>
  </si>
  <si>
    <t>คู่แข่งพายผิดทางส่งผลให้ใช้เวลาในการถึงเส้นชัยมากขึ้น</t>
  </si>
  <si>
    <t>B) พยายามเร่งความเร็วเอง;</t>
  </si>
  <si>
    <t>เร่งความเร็วเพื่อให้ความเร็วเพิ่มขึ้น</t>
  </si>
  <si>
    <t>หากมีปัญหาด้านการสื่อสารระหว่างทีมแข่งเรือ คุณจะทำอย่างไร?</t>
  </si>
  <si>
    <t>หากคุณเห็นว่าเรือของคุณได้รับความเสียหายจากการชนกับสิ่งกีดขวาง คุณจะทำอย่างไร?</t>
  </si>
  <si>
    <t>หากเรือของคุณไม่สามารถแข่งขันต่อไปได้เนื่องจากปัญหาด้านอุปกรณ์ คุณจะทำอย่างไร?</t>
  </si>
  <si>
    <t>ในการแข่งขันชนวัว วัวแต่ละตัวต้องมีการตรวจสุขภาพก่อนการแข่งหรือไม่?</t>
  </si>
  <si>
    <t>A) ต้องตรวจ; B) ไม่ต้องตรวจ; C) ขึ้นอยู่กับกฎของสนาม; D) ต้องตรวจเฉพาะวัวที่มีปัญหาสุขภาพ</t>
  </si>
  <si>
    <t>A) ต้องตรวจ</t>
  </si>
  <si>
    <t>การตรวจสุขภาพเป็นสิ่งสำคัญเพื่อป้องกันอุบัติเหตุ.</t>
  </si>
  <si>
    <t>ในกรณีที่วัวเกิดอาการเจ็บป่วยระหว่างการแข่งขัน ผู้ดูแลวัวสามารถทำการรักษาหรือไม่?</t>
  </si>
  <si>
    <t>A) ไม่ได้; B) ได้หากได้รับอนุญาตจากกรรมการ; C) ได้โดยไม่ต้องแจ้งกรรมการ; D) สามารถทำการรักษาได้ทันที</t>
  </si>
  <si>
    <t>B) ได้หากได้รับอนุญาตจากกรรมการ</t>
  </si>
  <si>
    <t>การรักษาต้องได้รับการอนุมัติจากกรรมการเพื่อความยุติธรรม.</t>
  </si>
  <si>
    <t>การแข่งขันชนวัวจะต้องเริ่มต้นเมื่อมีการเตรียมความพร้อมของวัวทั้งสองตัวหรือไม่?</t>
  </si>
  <si>
    <t>A) ใช่; B) ไม่จำเป็นต้อง; C) ขึ้นอยู่กับเวลา; D) ขึ้นอยู่กับสถานการณ์</t>
  </si>
  <si>
    <t>A) ใช่</t>
  </si>
  <si>
    <t>วัวต้องพร้อมสำหรับการแข่งขันก่อนการเริ่ม.</t>
  </si>
  <si>
    <t>วัวที่ไม่ยอมเข้าสู่สนามแข่งจะได้รับโทษอย่างไร?</t>
  </si>
  <si>
    <t>A) ยอมให้เข้าร่วม; B) จะถูกปรับ; C) จะถูกตัดสิทธิ์; D) จะถูกขับออกจากสนาม</t>
  </si>
  <si>
    <t>C) จะถูกตัดสิทธิ์</t>
  </si>
  <si>
    <t>การไม่ยอมเข้าร่วมทำให้การแข่งขันไม่สมบูรณ์.</t>
  </si>
  <si>
    <t>การใช้สารเคมีหรือยาบางชนิดเพื่อเพิ่มประสิทธิภาพในการแข่งวัวเป็นสิ่งที่อนุญาตหรือไม่?</t>
  </si>
  <si>
    <t>A) อนุญาต; B) ไม่อนุญาต; C) ขึ้นอยู่กับประเภทของสารเคมี; D) อนุญาตหากมีใบอนุญาต</t>
  </si>
  <si>
    <t>B) ไม่อนุญาต</t>
  </si>
  <si>
    <t>การใช้สารเคมีผิดกฎหมายสามารถทำให้การแข่งไม่เป็นธรรม.</t>
  </si>
  <si>
    <t>ในการแข่งขันชนวัว วัวที่แพ้จะต้องถูกทำการรักษาหรือไม่?</t>
  </si>
  <si>
    <t>A) ต้องรักษาทันที; B) สามารถปล่อยให้หายเอง; C) ขึ้นอยู่กับอาการ; D) ไม่ต้องรักษา</t>
  </si>
  <si>
    <t>A) ต้องรักษาทันที</t>
  </si>
  <si>
    <t>การรักษาความปลอดภัยและสุขภาพของวัวหลังการแข่งขันเป็นสิ่งสำคัญ.</t>
  </si>
  <si>
    <t>วัวที่มีอาการอ่อนแอหรือบาดเจ็บจะได้รับอนุญาตให้แข่งขันต่อไปหรือไม่?</t>
  </si>
  <si>
    <t>A) ได้; B) ไม่ได้; C) ขึ้นอยู่กับการตัดสินของกรรมการ; D) ขึ้นอยู่กับผู้ดูแลวัว</t>
  </si>
  <si>
    <t>B) ไม่ได้</t>
  </si>
  <si>
    <t>การแข่งต่อในสภาพที่ไม่พร้อมอาจเสี่ยงอันตราย.</t>
  </si>
  <si>
    <t>การใช้สายจูงในการควบคุมวัวระหว่างการแข่งขันเป็นสิ่งที่อนุญาตหรือไม่?</t>
  </si>
  <si>
    <t>A) อนุญาต; B) ไม่อนุญาต; C) อนุญาตเฉพาะในบางกรณี; D) อนุญาตหากได้รับอนุมัติจากกรรมการ</t>
  </si>
  <si>
    <t>การควบคุมวัวต้องใช้วิธีที่ปลอดภัยและเป็นธรรม.</t>
  </si>
  <si>
    <t>ในการแข่งขันชนวัว ผู้เข้าร่วมสามารถใช้เทคนิคการกระตุ้นวัวหรือไม่?</t>
  </si>
  <si>
    <t>A) สามารถ; B) ไม่สามารถ; C) ขึ้นอยู่กับประเภทของการแข่งขัน; D) สามารถหากได้รับอนุญาตจากกรรมการ</t>
  </si>
  <si>
    <t>B) ไม่สามารถ</t>
  </si>
  <si>
    <t>การกระตุ้นโดยวิธีที่ไม่เหมาะสมทำให้ไม่เป็นธรรม.</t>
  </si>
  <si>
    <t>การติดตั้งอุปกรณ์ป้องกันสำหรับวัวระหว่างการแข่งขันเป็นสิ่งที่จำเป็นหรือไม่?</t>
  </si>
  <si>
    <t>A) จำเป็น; B) ไม่จำเป็น; C) ขึ้นอยู่กับกฎของสนาม; D) จำเป็นเฉพาะในบางกรณี</t>
  </si>
  <si>
    <t>A) จำเป็น</t>
  </si>
  <si>
    <t>การป้องกันอันตรายที่อาจเกิดขึ้นจากการชนเป็นสิ่งสำคัญ.</t>
  </si>
  <si>
    <t>การแข่งขันชนวัวจะถูกหยุดหากมีการใช้ความรุนแรงเกินไปหรือไม่?</t>
  </si>
  <si>
    <t>A) ถูกหยุดทันที; B) ยังคงดำเนินต่อไป; C) ขึ้นอยู่กับกรรมการ; D) จะได้รับการเตือนก่อน</t>
  </si>
  <si>
    <t>A) ถูกหยุดทันที</t>
  </si>
  <si>
    <t>การหยุดการแข่งขันช่วยป้องกันอันตรายที่อาจเกิดขึ้น.</t>
  </si>
  <si>
    <t>ในกรณีที่วัวมีอาการตกใจและไม่สามารถแข่งขันได้ จะมีการยกเลิกการแข่งขันหรือไม่?</t>
  </si>
  <si>
    <t>A) จะยกเลิกการแข่งขัน; B) การแข่งขันยังคงดำเนินต่อไป; C) วัวจะได้รับการพักและการแข่งขันดำเนินต่อไป; D) ขึ้นอยู่กับกรณี</t>
  </si>
  <si>
    <t>A) จะยกเลิกการแข่งขัน</t>
  </si>
  <si>
    <t>การปกป้องความปลอดภัยของสัตว์เป็นสิ่งสำคัญ.</t>
  </si>
  <si>
    <t>กรรมการสามารถตัดสินใจเปลี่ยนกฎการแข่งขันได้หรือไม่?</t>
  </si>
  <si>
    <t>A) สามารถ; B) ไม่สามารถ; C) ขึ้นอยู่กับสถานการณ์; D) ขึ้นอยู่กับจำนวนผู้ชม</t>
  </si>
  <si>
    <t>A) สามารถ</t>
  </si>
  <si>
    <t>กรรมการมีอำนาจในการตัดสินใจเพื่อความยุติธรรมในระหว่างการแข่งขัน.</t>
  </si>
  <si>
    <t>ในการแข่งขันชนวัว วัวที่มีน้ำหนักมากกว่าคู่แข่งจะได้รับการยกเว้นจากกฎหรือไม่?</t>
  </si>
  <si>
    <t>A) ไม่ได้รับการยกเว้น; B) ได้รับการยกเว้น; C) ขึ้นอยู่กับกฎของสนาม; D) ได้รับการยกเว้นในบางกรณี</t>
  </si>
  <si>
    <t>A) ไม่ได้รับการยกเว้น</t>
  </si>
  <si>
    <t>การรักษาความยุติธรรมในการแข่งขันเป็นสิ่งสำคัญ.</t>
  </si>
  <si>
    <t>วัวที่มีอาการบาดเจ็บเล็กน้อยระหว่างการแข่งขันจะได้รับอนุญาตให้พักไหม?</t>
  </si>
  <si>
    <t>A) สามารถพักได้; B) ไม่สามารถพักได้; C) ขึ้นอยู่กับอาการ; D) จะได้รับการตัดสิทธิ์</t>
  </si>
  <si>
    <t>A) สามารถพักได้</t>
  </si>
  <si>
    <t>การดูแลวัวและการป้องกันอันตรายเป็นสิ่งสำคัญ.</t>
  </si>
  <si>
    <t>ในการแข่งขันชนวัว วัวต้องมีอายุเท่าไหร่ถึงจะเข้าร่วมการแข่งขันได้?</t>
  </si>
  <si>
    <t>A) 2 ปี; B) 3 ปี; C) 4 ปี; D) 5 ปี</t>
  </si>
  <si>
    <t>B) 3 ปี</t>
  </si>
  <si>
    <t>การกำหนดอายุช่วยให้วัวมีความแข็งแรงและพร้อมสำหรับการแข่งขัน.</t>
  </si>
  <si>
    <t>วัวที่มีพฤติกรรมก้าวร้าวเกินไปจะได้รับการตัดสิทธิ์หรือไม่?</t>
  </si>
  <si>
    <t>A) ได้; B) ไม่ได้; C) ขึ้นอยู่กับกรรมการ; D) สามารถปรับปรุงพฤติกรรมได้</t>
  </si>
  <si>
    <t>A) ได้</t>
  </si>
  <si>
    <t>การควบคุมพฤติกรรมวัวเป็นสิ่งสำคัญเพื่อให้การแข่งขันเป็นไปอย่างยุติธรรม.</t>
  </si>
  <si>
    <t>ในกรณีที่วัวเกิดการบาดเจ็บระหว่างการแข่งขัน ต้องหยุดการแข่งขันหรือไม่?</t>
  </si>
  <si>
    <t>A) ต้องหยุดการแข่งขันทันที; B) ให้การแข่งขันดำเนินต่อไป; C) หยุดจนกว่าวัวจะฟื้นตัว; D) ขึ้นอยู่กับความรุนแรงของบาดเจ็บ</t>
  </si>
  <si>
    <t>A) ต้องหยุดการแข่งขันทันที</t>
  </si>
  <si>
    <t>ความปลอดภัยของวัวและผู้เข้าร่วมเป็นสิ่งสำคัญ.</t>
  </si>
  <si>
    <t>วัวที่ไม่ได้รับการดูแลอย่างเหมาะสมจะได้รับการตัดสิทธิ์หรือไม่?</t>
  </si>
  <si>
    <t>A) ได้; B) ไม่ได้; C) ขึ้นอยู่กับสถานการณ์; D) ได้หากกรรมการตัดสิน</t>
  </si>
  <si>
    <t>การดูแลวัวอย่างเหมาะสมเป็นการรับประกันความยุติธรรมในการแข่งขัน.</t>
  </si>
  <si>
    <t>ผู้เข้าร่วมสามารถใช้เครื่องมือหรืออุปกรณ์เสริมในการควบคุมวัวได้หรือไม่?</t>
  </si>
  <si>
    <t>A) ได้; B) ไม่ได้; C) ขึ้นอยู่กับกฎของสนาม; D) อนุญาตในบางกรณี</t>
  </si>
  <si>
    <t>การใช้อุปกรณ์เสริมที่ไม่เป็นธรรมสามารถทำให้การแข่งขันไม่ยุติธรรม.</t>
  </si>
  <si>
    <t>ในการแข่งขันชนวัว มีการกำหนดระยะเวลาการแข่งขันหรือไม่?</t>
  </si>
  <si>
    <t>A) มีการกำหนด; B) ไม่มีการกำหนด; C) ขึ้นอยู่กับสถานการณ์; D) กำหนดตามข้อตกลง</t>
  </si>
  <si>
    <t>A) มีการกำหนด</t>
  </si>
  <si>
    <t>การมีระยะเวลาในการแข่งขันช่วยควบคุมและรักษาความยุติธรรม.</t>
  </si>
  <si>
    <t>หากวัวไม่สามารถแข่งขันได้เนื่องจากการบาดเจ็บวัวจะได้รับการพิจารณาอย่างไร?</t>
  </si>
  <si>
    <t>A) ได้รับการตัดสิทธิ์; B) ได้รับการพัก; C) การแข่งขันจะหยุดชั่วคราว; D) ขึ้นอยู่กับกรรมการ</t>
  </si>
  <si>
    <t>A) ได้รับการตัดสิทธิ์</t>
  </si>
  <si>
    <t>ความการกำหนดอายุของวัวช่วยให้การแข่งขันเป็นไปอย่างยุติธรรม.</t>
  </si>
  <si>
    <t>วัวที่ไม่ยอมเดินเข้าสู่สนามการแข่งขันจะได้รับโทษหรือไม่?</t>
  </si>
  <si>
    <t>A) ได้รับโทษ; B) ไม่ได้รับโทษ; C) จะได้รับการตักเตือน; D) จะถูกยกเลิกการแข่งขัน</t>
  </si>
  <si>
    <t>A) ได้รับโทษ</t>
  </si>
  <si>
    <t>การไม่ยอมเข้าสู่สนามทำให้การแข่งไม่เป็นไปตามกฎ.</t>
  </si>
  <si>
    <t>การใช้ความรุนแรงเกินไปในการควบคุมวัวระหว่างการแข่งขันเป็นสิ่งที่อนุญาตหรือไม่?</t>
  </si>
  <si>
    <t>A) อนุญาต; B) ไม่อนุญาต; C) อนุญาตเฉพาะในกรณีฉุกเฉิน; D) ขึ้นอยู่กับกรรมการ</t>
  </si>
  <si>
    <t>การใช้ความรุนแรงทำให้การแข่งขันไม่ยุติธรรม.</t>
  </si>
  <si>
    <t>ในการแข่งขันชนวัว วัวที่ได้รับการฝึกซ้อมอย่างหนักสามารถเข้าร่วมการแข่งขันได้หรือไม่?</t>
  </si>
  <si>
    <t>A) สามารถ; B) ไม่สามารถ; C) ขึ้นอยู่กับการตัดสินของกรรมการ; D) ขึ้นอยู่กับอายุของวัว</t>
  </si>
  <si>
    <t>การฝึกซ้อมทำให้วัวพร้อมสำหรับการแข่งขัน.</t>
  </si>
  <si>
    <t>การใช้วิธีการใดๆ เพื่อทำให้วัวกลัวหรือวิตกกังวลระหว่างการแข่งขันเป็นสิ่งที่อนุญาตหรือไม่?</t>
  </si>
  <si>
    <t>A) อนุญาต; B) ไม่อนุญาต; C) อนุญาตเฉพาะในบางกรณี; D) ขึ้นอยู่กับกรรมการ</t>
  </si>
  <si>
    <t>การทำให้วัวกลัวทำให้การแข่งขันไม่ยุติธรรม.</t>
  </si>
  <si>
    <t>ในกรณีที่วัวได้รับบาดเจ็บที่รุนแรงระหว่างการแข่งขัน จะมีการหยุดการแข่งขันหรือไม่?</t>
  </si>
  <si>
    <t>A) จะหยุดการแข่งขันทันที; B) การแข่งขันจะดำเนินต่อไป; C) การแข่งขันจะหยุดชั่วคราว; D) ขึ้นอยู่กับกรรมการ</t>
  </si>
  <si>
    <t>A) จะหยุดการแข่งขันทันที</t>
  </si>
  <si>
    <t>การหยุดการแข่งขันเพื่อรักษาความปลอดภัยเป็นสิ่งสำคัญ.</t>
  </si>
  <si>
    <t>การมีผู้ชมในสนามการแข่งขันสามารถมีผลต่อการตัดสินหรือไม่?</t>
  </si>
  <si>
    <t>A) ไม่มีผล; B) อาจมีผลต่อการตัดสิน; C) ขึ้นอยู่กับจำนวนผู้ชม; D) ขึ้นอยู่กับความนิยม</t>
  </si>
  <si>
    <t>B) อาจมีผลต่อการตัดสิน</t>
  </si>
  <si>
    <t>ผู้ชมอาจมีผลต่อการตัดสินใจของกรรมการ.</t>
  </si>
  <si>
    <t>วัวที่แพ้ในการแข่งขันจะต้องได้รับการดูแลหลังจากการแข่งขันหรือไม่?</t>
  </si>
  <si>
    <t>A) ต้องได้รับการดูแล; B) ไม่จำเป็นต้องดูแล; C) ขึ้นอยู่กับสภาพของวัว; D) วัวแพ้จะได้รับการตัดสิทธิ์</t>
  </si>
  <si>
    <t>A) ต้องได้รับการดูแล</t>
  </si>
  <si>
    <t>การดูแลหลังการแข่งเป็นสิ่งสำคัญเพื่อป้องกันปัญหาสุขภาพ.</t>
  </si>
  <si>
    <t>ผู้ดูแลวัวสามารถเปลี่ยนแปลงการตั้งตำแหน่งของวัวระหว่างการแข่งขันได้หรือไม่?</t>
  </si>
  <si>
    <t>A) ได้; B) ไม่ได้; C) ขึ้นอยู่กับกฎของสนาม; D) ขึ้นอยู่กับสภาพของการแข่งขัน</t>
  </si>
  <si>
    <t>การเปลี่ยนแปลงตำแหน่งไม่อนุญาตเพื่อให้การแข่งขันยุติธรรม.</t>
  </si>
  <si>
    <t>ในการแข่งขันชนวัว วัวที่มีพฤติกรรมไม่เหมาะสมต้องถูกตัดสิทธิ์หรือไม่?</t>
  </si>
  <si>
    <t>A) ถูกตัดสิทธิ์; B) ไม่ถูกตัดสิทธิ์; C) จะได้รับการเตือนก่อน; D) ขึ้นอยู่กับกรณี</t>
  </si>
  <si>
    <t>A) ถูกตัดสิทธิ์</t>
  </si>
  <si>
    <t>พฤติกรรมที่ไม่เหมาะสมทำให้ไม่ยุติธรรม.</t>
  </si>
  <si>
    <t>ในกรณีที่วัวเกิดการเจ็บป่วยระหว่างการแข่งขัน ผู้ดูแลสามารถนำวัวออกจากการแข่งขันได้หรือไม่?</t>
  </si>
  <si>
    <t>A) สามารถ; B) ไม่สามารถ; C) ขึ้นอยู่กับกรรมการ; D) ขึ้นอยู่กับอาการ</t>
  </si>
  <si>
    <t>การดูแลสุขภาพของวัวสำคัญกว่าการแข่งขัน.</t>
  </si>
  <si>
    <t>การใช้เครื่องมือช่วยในการควบคุมวัวเช่นเชือก หรือไม้ในการแข่งขันเป็นสิ่งที่อนุญาตหรือไม่?</t>
  </si>
  <si>
    <t>การใช้เครื่องมือเสริมที่ไม่จำเป็นทำให้การแข่งขันไม่ยุติธรรม.</t>
  </si>
  <si>
    <t>การแข่งขันชนวัวสามารถมีการตัดสินด้วยการใช้การให้คะแนนจากกรรมการหรือไม่?</t>
  </si>
  <si>
    <t>A) สามารถ; B) ไม่สามารถ; C) ขึ้นอยู่กับประเภทการแข่งขัน; D) ขึ้นอยู่กับจำนวนผู้ชนะ</t>
  </si>
  <si>
    <t>การใช้การให้คะแนนช่วยให้การแข่งขันยุติธรรม.</t>
  </si>
  <si>
    <t>วัวที่มีอาการบาดเจ็บเพียงเล็กน้อยสามารถแข่งขันต่อไปได้หรือไม่?</t>
  </si>
  <si>
    <t>A) ได้; B) ไม่ได้; C) ขึ้นอยู่กับชนิดของบาดเจ็บ; D) ขึ้นอยู่กับการตัดสินของกรรมการ</t>
  </si>
  <si>
    <t>บาดเจ็บเล็กน้อยไม่ควรส่งผลต่อการแข่งขัน.</t>
  </si>
  <si>
    <t>หากกรรมการพบว่ามีการโกงในการแข่งขัน วัวหรือผู้เข้าร่วมจะได้รับโทษอย่างไร?</t>
  </si>
  <si>
    <t>A) จะถูกตัดสิทธิ์ทันที; B) จะได้รับการตักเตือน; C) จะมีการปรับเงิน; D) ขึ้นอยู่กับกรณี</t>
  </si>
  <si>
    <t>A) จะถูกตัดสิทธิ์ทันที</t>
  </si>
  <si>
    <t>การโกงทำให้การแข่งขันไม่ยุติธรรม.</t>
  </si>
  <si>
    <t>ผู้เข้าร่วมสามารถใช้พฤติกรรมที่ไม่เหมาะสมเช่นการดึงดูดความสนใจจากผู้ชมระหว่างการแข่งขันได้หรือไม่?</t>
  </si>
  <si>
    <t>A) ได้; B) ไม่ได้; C) ขึ้นอยู่กับประเภทของการแข่งขัน; D) อนุญาตในบางกรณี</t>
  </si>
  <si>
    <t>พฤติกรรมที่ไม่เหมาะสมทำให้การแข่งไม่เป็นธรรม.</t>
  </si>
  <si>
    <t>วัวที่มีอายุเกิน 5 ปีสามารถเข้าร่วมการแข่งขันได้หรือไม่?</t>
  </si>
  <si>
    <t>A) ได้; B) ไม่ได้; C) ขึ้นอยู่กับกรณี; D) ขึ้นอยู่กับประเภทการแข่งขัน</t>
  </si>
  <si>
    <t>การกำหนดอายุของวัวช่วยให้การแข่งขันเป็นไปอย่างยุติธรรม.</t>
  </si>
  <si>
    <t>ผู้ดูแลสามารถตัดสินใจปล่อยให้วัวที่มีบาดเจ็บแข่งขันต่อไปได้หรือไม่?</t>
  </si>
  <si>
    <t>A) ได้; B) ไม่ได้; C) ขึ้นอยู่กับกรรมการ; D) ขึ้นอยู่กับสภาพของบาดเจ็บ</t>
  </si>
  <si>
    <t>การปล่อยให้วัวที่บาดเจ็บแข่งขันอาจทำให้เกิดความเสี่ยง.</t>
  </si>
  <si>
    <t>ในกรณีที่วัวไม่สามารถแข่งขันได้เนื่องจากอาการเจ็บป่วยหรือบาดเจ็บ การแข่งขันจะได้รับการยกเลิกหรือไม่?</t>
  </si>
  <si>
    <t>A) จะยกเลิกการแข่งขัน; B) การแข่งขันยังคงดำเนินต่อไป; C) การแข่งขันจะหยุดชั่วคราว; D) ขึ้นอยู่กับกรรมการ</t>
  </si>
  <si>
    <t>การรักษาความปลอดภัยของสัตว์เป็นสิ่งสำคัญ.</t>
  </si>
  <si>
    <t>กรรมการสามารถตัดสินให้วัวที่แพ้ได้รับการช่วยเหลือหรือไม่?</t>
  </si>
  <si>
    <t>A) ได้; B) ไม่ได้; C) ขึ้นอยู่กับอาการของวัว; D) ขึ้นอยู่กับการตัดสินของผู้ดูแล</t>
  </si>
  <si>
    <t>การช่วยเหลือวัวหลังการแข่งขันเป็นสิ่งสำคัญ.</t>
  </si>
  <si>
    <t>การใช้เสียงดังหรือการทำเสียงที่รบกวนระหว่างการแข่งขันชนวัวเป็นสิ่งที่อนุญาตหรือไม่?</t>
  </si>
  <si>
    <t>A) อนุญาต; B) ไม่อนุญาต; C) อนุญาตในบางกรณี; D) ขึ้นอยู่กับผู้จัดการแข่งขัน</t>
  </si>
  <si>
    <t>การทำเสียงรบกวนสามารถส่งผลกระทบต่อสมาธิของวัวและผู้เข้าร่วม.</t>
  </si>
  <si>
    <t>ในการแข่งขันชนวัวมีการจำกัดจำนวนรอบการแข่งขันหรือไม่?</t>
  </si>
  <si>
    <t>A) มีการจำกัดจำนวนรอบ; B) ไม่มีการจำกัดจำนวนรอบ; C) ขึ้นอยู่กับประเภทของการแข่งขัน; D) ขึ้นอยู่กับกฎของสนาม</t>
  </si>
  <si>
    <t>A) มีการจำกัดจำนวนรอบ</t>
  </si>
  <si>
    <t>การจำกัดจำนวนรอบช่วยให้การแข่งขันเป็นไปอย่างมีระเบียบ.</t>
  </si>
  <si>
    <t>วัวที่มีปัญหาสุขภาพอย่างรุนแรงจะได้รับอนุญาตให้เข้าร่วมการแข่งขันหรือไม่?</t>
  </si>
  <si>
    <t>A) อนุญาต; B) ไม่อนุญาต; C) ขึ้นอยู่กับการตัดสินของกรรมการ; D) ขึ้นอยู่กับประเภทของปัญหาสุขภาพ</t>
  </si>
  <si>
    <t>การป้องกันอันตรายจากปัญหาสุขภาพของวัวสำคัญ.</t>
  </si>
  <si>
    <t>วัวที่มีพฤติกรรมดุร้ายจะได้รับโทษหรือไม่?</t>
  </si>
  <si>
    <t>A) จะได้รับโทษ; B) ไม่ได้รับโทษ; C) ขึ้นอยู่กับกรรมการ; D) ขึ้นอยู่กับสถานการณ์</t>
  </si>
  <si>
    <t>A) จะได้รับโทษ</t>
  </si>
  <si>
    <t>พฤติกรรมดุร้ายส่งผลต่อความยุติธรรมในการแข่งขัน.</t>
  </si>
  <si>
    <t>การใช้วัสดุอันตรายในการแข่งขันชนวัว เช่น เหล็ก หรือสิ่งของมีคมเป็นสิ่งที่อนุญาตหรือไม่?</t>
  </si>
  <si>
    <t>A) อนุญาต; B) ไม่อนุญาต; C) อนุญาตในบางกรณี; D) ขึ้นอยู่กับกรรมการ</t>
  </si>
  <si>
    <t>การใช้วัสดุอันตรายทำให้การแข่งไม่ปลอดภัย.</t>
  </si>
  <si>
    <t>วัวที่มีอาการตื่นเต้นหรือมีพฤติกรรมที่ไม่สมดุลจะได้รับการยุติการแข่งขันหรือไม่?</t>
  </si>
  <si>
    <t>A) ได้; B) ไม่ได้; C) ขึ้นอยู่กับกรรมการ; D) ขึ้นอยู่กับสภาพการแข่งขัน</t>
  </si>
  <si>
    <t>การยุติการแข่งขันทำเพื่อความปลอดภัยของวัว.</t>
  </si>
  <si>
    <t>การทำความสะอาดและดูแลสนามแข่งขันก่อนเริ่มการแข่งขันเป็นสิ่งที่จำเป็นหรือไม่?</t>
  </si>
  <si>
    <t>A) จำเป็น; B) ไม่จำเป็น; C) ขึ้นอยู่กับสภาพสนาม; D) ขึ้นอยู่กับประเภทการแข่งขัน</t>
  </si>
  <si>
    <t>การรักษาความสะอาดสนามทำให้การแข่งขันปลอดภัยและยุติธรรม.</t>
  </si>
  <si>
    <t>ผู้เข้าร่วมสามารถเปลี่ยนการตั้งวางแผนการต่อสู้ระหว่างการแข่งขันได้หรือไม่?</t>
  </si>
  <si>
    <t>A) ได้; B) ไม่ได้; C) ขึ้นอยู่กับกรรมการ; D) ขึ้นอยู่กับสถานการณ์</t>
  </si>
  <si>
    <t>การเปลี่ยนแปลงแผนการต่อสู้ระหว่างการแข่งขันอาจทำให้ไม่ยุติธรรม.</t>
  </si>
  <si>
    <t>ในกรณีที่การแข่งขันต้องยกเลิก การแข่งขันใหม่จะถูกกำหนดเมื่อไร?</t>
  </si>
  <si>
    <t>A) ทันที; B) จะกำหนดใหม่หลังจากการตรวจสอบ; C) ขึ้นอยู่กับการตัดสินของกรรมการ; D) ขึ้นอยู่กับผู้จัดการแข่งขัน</t>
  </si>
  <si>
    <t>B) จะกำหนดใหม่หลังจากการตรวจสอบ</t>
  </si>
  <si>
    <t>การตรวจสอบสถานการณ์ก่อนจะกำหนดการแข่งขันใหม่.</t>
  </si>
  <si>
    <t>ผู้ดูแลสามารถย้ายวัวจากสนามแข่งขันระหว่างการแข่งขันได้หรือไม่?</t>
  </si>
  <si>
    <t>A) ได้; B) ไม่ได้; C) ขึ้นอยู่กับสถานการณ์; D) ขึ้นอยู่กับกรรมการ</t>
  </si>
  <si>
    <t>การย้ายวัวระหว่างการแข่งขันอาจทำให้เกิดความไม่ยุติธรรม.</t>
  </si>
  <si>
    <t>หากกรรมการพบว่ามีการใช้สารกระตุ้นหรือยาเสพติดกับวัวจะมีผลกระทบต่อการตัดสินหรือไม่?</t>
  </si>
  <si>
    <t>A) มีผลกระทบ; B) ไม่มีผลกระทบ; C) ขึ้นอยู่กับความรุนแรงของการใช้ยา; D) ขึ้นอยู่กับกรรมการ</t>
  </si>
  <si>
    <t>A) มีผลกระทบ</t>
  </si>
  <si>
    <t>การใช้สารกระตุ้นทำให้การแข่งขันไม่ยุติธรรม.</t>
  </si>
  <si>
    <t>หากวัวมีการแสดงท่าทางไม่เหมาะสมในการแข่งขันจะได้รับโทษหรือไม่?</t>
  </si>
  <si>
    <t>A) ได้รับโทษ; B) ไม่ได้รับโทษ; C) ขึ้นอยู่กับกรรมการ; D) ขึ้นอยู่กับพฤติกรรม</t>
  </si>
  <si>
    <t>การแสดงท่าทางไม่เหมาะสมทำให้ไม่เป็นไปตามกฎ.</t>
  </si>
  <si>
    <t>ผู้จัดการแข่งขันสามารถกำหนดกฎพิเศษสำหรับการแข่งขันได้หรือไม่?</t>
  </si>
  <si>
    <t>A) ได้; B) ไม่ได้; C) ขึ้นอยู่กับสถานการณ์; D) ขึ้นอยู่กับประเภทการแข่งขัน</t>
  </si>
  <si>
    <t>ผู้จัดสามารถกำหนดกฎเพื่อความปลอดภัยและความยุติธรรม.</t>
  </si>
  <si>
    <t>ผู้ดูแลสามารถใช้วัสดุช่วยเสริมในการควบคุมวัวเช่น เชือกหรือแส้ได้หรือไม่?</t>
  </si>
  <si>
    <t>A) ได้; B) ไม่ได้; C) อนุญาตเฉพาะในกรณีฉุกเฉิน; D) ขึ้นอยู่กับกรรมการ</t>
  </si>
  <si>
    <t>การใช้วัสดุเสริมสามารถทำให้การแข่งขันไม่ยุติธรรม.</t>
  </si>
  <si>
    <t>ในการแข่งขันชนวัว กรรมการสามารถตัดสินว่าใครเป็นผู้ชนะได้โดยไม่ต้องดูการต่อสู้ทั้งหมดหรือไม่?</t>
  </si>
  <si>
    <t>A) ได้; B) ไม่ได้; C) ขึ้นอยู่กับการต่อสู้; D) ขึ้นอยู่กับจำนวนรอบ</t>
  </si>
  <si>
    <t>การตัดสินต้องดูการต่อสู้ทั้งหมดเพื่อความยุติธรรม.</t>
  </si>
  <si>
    <t>ในการแข่งขันชนวัว วัวที่ไม่เข้าสู่สนามแข่งขันตามเวลาที่กำหนดจะได้รับโทษหรือไม่?</t>
  </si>
  <si>
    <t>A) ได้รับโทษ; B) ไม่ได้รับโทษ; C) จะได้รับการเตือน; D) ขึ้นอยู่กับกรรมการ</t>
  </si>
  <si>
    <t>การไม่เข้าร่วมตามเวลาที่กำหนดทำให้การแข่งขันไม่เป็นไปตามกฎ.</t>
  </si>
  <si>
    <t>การใช้วิธีการที่ทำให้วัวหลบหลีกหรือไม่ต่อสู้ในระหว่างการแข่งขันเป็นสิ่งที่อนุญาตหรือไม่?</t>
  </si>
  <si>
    <t>การหลีกเลี่ยงการต่อสู้ทำให้การแข่งขันไม่ยุติธรรม.</t>
  </si>
  <si>
    <t>ในการแข่งขันชนวัว วัวที่มีการบาดเจ็บเล็กน้อยสามารถดำเนินการแข่งขันต่อไปได้หรือไม่?</t>
  </si>
  <si>
    <t>A) ได้; B) ไม่ได้; C) ขึ้นอยู่กับการบาดเจ็บ; D) ขึ้นอยู่กับกรรมการ</t>
  </si>
  <si>
    <t>บาดเจ็บเล็กน้อยไม่ควรส่งผลต่อการแข่ง.</t>
  </si>
  <si>
    <t>การมีผู้ช่วยในการควบคุมวัวระหว่างการแข่งขันเป็นสิ่งที่อนุญาตหรือไม่?</t>
  </si>
  <si>
    <t>A) อนุญาต; B) ไม่อนุญาต; C) อนุญาตในบางกรณี; D) ขึ้นอยู่กับสถานการณ์</t>
  </si>
  <si>
    <t>การควบคุมวัวต้องเป็นการกระทำของผู้ดูแลแต่เพียงผู้เดียว.</t>
  </si>
  <si>
    <t>หากวัวมีอาการเจ็บป่วยขณะการแข่งขัน การแข่งขันจะต้องหยุดทันทีหรือไม่?</t>
  </si>
  <si>
    <t>A) ต้องหยุดทันที; B) การแข่งขันจะดำเนินต่อไป; C) ขึ้นอยู่กับการตัดสินของกรรมการ; D) ขึ้นอยู่กับอาการของวัว</t>
  </si>
  <si>
    <t>A) ต้องหยุดทันที</t>
  </si>
  <si>
    <t>การหยุดการแข่งขันเพื่อปกป้องวัวเป็นสิ่งสำคัญ.</t>
  </si>
  <si>
    <t>การให้วัวพักระหว่างการแข่งขันมีความจำเป็นหรือไม่?</t>
  </si>
  <si>
    <t>A) จำเป็น; B) ไม่จำเป็น; C) ขึ้นอยู่กับสถานการณ์; D) ขึ้นอยู่กับประเภทของการแข่งขัน</t>
  </si>
  <si>
    <t>การพักช่วยให้วัวมีสมรรถภาพในการแข่งขันที่ดีขึ้น.</t>
  </si>
  <si>
    <t>วัวที่ถูกทำร้ายหรือมีอาการเจ็บป่วยในระหว่างการแข่งขันต้องได้รับการดูแลหลังการแข่งหรือไม่?</t>
  </si>
  <si>
    <t>A) ต้องได้รับการดูแล; B) ไม่จำเป็นต้องดูแล; C) ขึ้นอยู่กับกรณี; D) ขึ้นอยู่กับอาการ</t>
  </si>
  <si>
    <t>การดูแลหลังการแข่งขันช่วยป้องกันปัญหาสุขภาพ.</t>
  </si>
  <si>
    <t>ผู้ดูแลสามารถเปลี่ยนวัวระหว่างการแข่งขันได้หรือไม่?</t>
  </si>
  <si>
    <t>การเปลี่ยนวัวทำให้การแข่งขันไม่ยุติธรรม.</t>
  </si>
  <si>
    <t>ในการแข่งขันชนวัว วัวที่ไม่ได้รับการฝึกซ้อมสามารถเข้าร่วมการแข่งขันได้หรือไม่?</t>
  </si>
  <si>
    <t>A) สามารถ; B) ไม่สามารถ; C) ขึ้นอยู่กับการตัดสินของกรรมการ; D) ขึ้นอยู่กับประเภทของการแข่งขัน</t>
  </si>
  <si>
    <t>การฝึกซ้อมช่วยให้วัวเตรียมพร้อมสำหรับการแข่งขัน.</t>
  </si>
  <si>
    <t>ในการแข่งขันชนวัว มีการจำกัดจำนวนผู้ดูแลที่สามารถอยู่ในสนามได้หรือไม่?</t>
  </si>
  <si>
    <t>A) มีการจำกัดจำนวน; B) ไม่มีการจำกัดจำนวน; C) ขึ้นอยู่กับขนาดของสนาม; D) ขึ้นอยู่กับประเภทการแข่งขัน</t>
  </si>
  <si>
    <t>A) มีการจำกัดจำนวน</t>
  </si>
  <si>
    <t>การจำกัดจำนวนผู้ดูแลช่วยรักษาความเป็นระเบียบ.</t>
  </si>
  <si>
    <t>ในการแข่งขันชนวัว หากวัวไม่สามารถทำการต่อสู้ได้ตามกติกา ผู้ดูแลสามารถขอให้ยกเลิกการแข่งขันได้หรือไม่?</t>
  </si>
  <si>
    <t>การยกเลิกการแข่งขันทำให้การแข่งขันเป็นไปตามกฎ.</t>
  </si>
  <si>
    <t>การใช้สิ่งของหรืออุปกรณ์ที่อาจทำให้เกิดอันตรายในระหว่างการแข่งขันเป็นสิ่งที่อนุญาตหรือไม่?</t>
  </si>
  <si>
    <t>การใช้สิ่งของอันตรายสามารถทำให้การแข่งขันไม่ปลอดภัย.</t>
  </si>
  <si>
    <t>การตัดสินการแข่งขันชนวัวสามารถทำได้โดยใช้การให้คะแนนจากผู้ชมหรือไม่?</t>
  </si>
  <si>
    <t>การตัดสินต้องมาจากกรรมการเพื่อให้การแข่งเป็นไปตามกฎ.</t>
  </si>
  <si>
    <t>วัวที่มีการบาดเจ็บจะได้รับการพิจารณาให้แพ้ในการแข่งขันหรือไม่?</t>
  </si>
  <si>
    <t>A) ได้; B) ไม่ได้; C) ขึ้นอยู่กับประเภทของบาดเจ็บ; D) ขึ้นอยู่กับกรรมการ</t>
  </si>
  <si>
    <t>บาดเจ็บทำให้วัวไม่สามารถแข่งขันได้อย่างยุติธรรม.</t>
  </si>
  <si>
    <t>ผู้เข้าร่วมสามารถใช้วิธีการที่ทำให้วัวมีอาการตกใจในระหว่างการแข่งขันได้หรือไม่?</t>
  </si>
  <si>
    <t>การทำให้วัวตกใจสามารถทำให้การแข่งขันไม่ยุติธรรม.</t>
  </si>
  <si>
    <t>การให้วัวหยุดพักระหว่างรอบการแข่งขันเป็นสิ่งที่จำเป็นหรือไม่?</t>
  </si>
  <si>
    <t>การให้พักช่วยให้วัวสามารถแข่งขันต่อไปได้ในสภาพที่ดีที่สุด.</t>
  </si>
  <si>
    <t>วัวที่มีอาการไม่สมดุลหรือมีพฤติกรรมไม่ดีในการแข่งขันจะได้รับโทษหรือไม่?</t>
  </si>
  <si>
    <t>A) จะได้รับโทษ; B) ไม่ได้รับโทษ; C) ขึ้นอยู่กับกรรมการ; D) ขึ้นอยู่กับการพิจารณา</t>
  </si>
  <si>
    <t>พฤติกรรมไม่สมดุลทำให้การแข่งขันไม่ยุติธรรม.</t>
  </si>
  <si>
    <t>กรรมการสามารถยกเลิกการแข่งขันหากมีเหตุการณ์ที่ไม่คาดคิดเกิดขึ้นหรือไม่?</t>
  </si>
  <si>
    <t>A) ได้; B) ไม่ได้; C) ขึ้นอยู่กับเหตุการณ์; D) ขึ้นอยู่กับผู้จัดการแข่งขัน</t>
  </si>
  <si>
    <t>การยกเลิกการแข่งขันทำเพื่อความปลอดภัยและความยุติธรรม.</t>
  </si>
  <si>
    <t>การใช้อุปกรณ์เสริมเช่น เชือกหรือแส้ในการควบคุมวัวระหว่างการแข่งขันเป็นสิ่งที่อนุญาตหรือไม่?</t>
  </si>
  <si>
    <t>การใช้อุปกรณ์เสริมทำให้การแข่งขันไม่ยุติธรรม.</t>
  </si>
  <si>
    <t>การบังคับวัวให้ทำการต่อสู้ในทิศทางที่ไม่ถูกต้องสามารถทำได้หรือไม่?</t>
  </si>
  <si>
    <t>A) สามารถทำได้; B) ไม่สามารถทำได้; C) ขึ้นอยู่กับสถานการณ์; D) ขึ้นอยู่กับกรรมการ</t>
  </si>
  <si>
    <t>B) ไม่สามารถทำได้</t>
  </si>
  <si>
    <t>การบังคับในทิศทางที่ไม่ถูกต้องไม่ยุติธรรม.</t>
  </si>
  <si>
    <t>หากมีการบาดเจ็บเกิดขึ้นระหว่างการแข่งขัน การประกันภัยสำหรับวัวจะได้รับการชดเชยหรือไม่?</t>
  </si>
  <si>
    <t>A) จะได้รับการชดเชย; B) จะไม่ได้รับการชดเชย; C) ขึ้นอยู่กับสถานการณ์; D) ขึ้นอยู่กับประเภทของบาดเจ็บ</t>
  </si>
  <si>
    <t>A) จะได้รับการชดเชย</t>
  </si>
  <si>
    <t>การชดเชยช่วยให้การแข่งขันปลอดภัย.</t>
  </si>
  <si>
    <t>การตั้งแผนการต่อสู้สำหรับวัวในแต่ละรอบการแข่งขันเป็นสิ่งที่จำเป็นหรือไม่?</t>
  </si>
  <si>
    <t>A) จำเป็น; B) ไม่จำเป็น; C) ขึ้นอยู่กับประเภทของการแข่งขัน; D) ขึ้นอยู่กับกรรมการ</t>
  </si>
  <si>
    <t>การตั้งแผนการช่วยให้การแข่งขันดำเนินไปอย่างมีระเบียบ.</t>
  </si>
  <si>
    <t>ในกรณีที่ผู้ดูแลไม่สามารถควบคุมวัวได้ ผลลัพธ์ของการแข่งขันจะเป็นอย่างไร?</t>
  </si>
  <si>
    <t>A) วัวจะถูกตัดสินแพ้; B) การแข่งขันจะยุติทันที; C) การแข่งขันจะดำเนินต่อไป; D) ขึ้นอยู่กับกรรมการ</t>
  </si>
  <si>
    <t>A) วัวจะถูกตัดสินแพ้</t>
  </si>
  <si>
    <t>การควบคุมวัวเป็นส่วนสำคัญในการแข่งขัน.</t>
  </si>
  <si>
    <t>การตัดสินการแข่งขันชนวัวจะต้องอิงจากหลักการใด?</t>
  </si>
  <si>
    <t>A) ความยุติธรรมและความปลอดภัย; B) ความเร็ว; C) ความแข็งแรงของวัว; D) ความสามารถของผู้ดูแล</t>
  </si>
  <si>
    <t>A) ความยุติธรรมและความปลอดภัย</t>
  </si>
  <si>
    <t xml:space="preserve">การตัดสินต้องมีความยุติธรรมและรักษาความปลอดภัย. </t>
  </si>
  <si>
    <t>การใช้เครื่องมือหรืออุปกรณ์ที่อาจทำให้วัวเจ็บปวดในระหว่างการแข่งขันเป็นสิ่งที่อนุญาตหรือไม่?</t>
  </si>
  <si>
    <t>การทำให้วัวเจ็บปวดเป็นสิ่งที่ไม่ปลอดภัยและไม่ยุติธรรม.</t>
  </si>
  <si>
    <t>หากวัวมีอาการบาดเจ็บในระหว่างการแข่งขัน กรรมการสามารถหยุดการแข่งขันได้หรือไม่?</t>
  </si>
  <si>
    <t>A) ได้; B) ไม่ได้; C) ขึ้นอยู่กับอาการบาดเจ็บ; D) ขึ้นอยู่กับสถานการณ์</t>
  </si>
  <si>
    <t>การหยุดการแข่งขันเพื่อปกป้องความปลอดภัยของวัว.</t>
  </si>
  <si>
    <t>ในการแข่งขันชนวัว วัวที่มีพฤติกรรมไม่เป็นมิตรต่อผู้ดูแลจะถูกตัดสินอย่างไร?</t>
  </si>
  <si>
    <t>A) จะได้รับการตัดสินแพ้; B) จะได้รับการเตือน; C) ขึ้นอยู่กับการพิจารณาของกรรมการ; D) จะได้รับการยกเลิกการแข่งขัน</t>
  </si>
  <si>
    <t>A) จะได้รับการตัดสินแพ้</t>
  </si>
  <si>
    <t>พฤติกรรมไม่เหมาะสมทำให้การแข่งขันไม่ยุติธรรม.</t>
  </si>
  <si>
    <t>การให้คะแนนในการแข่งขันชนวัวจะต้องพิจารณาจากอะไรเป็นหลัก?</t>
  </si>
  <si>
    <t>A) ความเร็ว; B) ความแข็งแรงของวัว; C) พฤติกรรมในการต่อสู้; D) ขนาดของวัว</t>
  </si>
  <si>
    <t>C) พฤติกรรมในการต่อสู้</t>
  </si>
  <si>
    <t>พฤติกรรมเป็นตัวกำหนดความยุติธรรมในการแข่งขัน.</t>
  </si>
  <si>
    <t>การใช้วิธีการที่ทำให้วัวตกใจหรือเสียสมดุลเป็นสิ่งที่อนุญาตหรือไม่?</t>
  </si>
  <si>
    <t>การทำให้วัวตกใจทำให้การแข่งขันไม่ยุติธรรมและไม่ปลอดภัย.</t>
  </si>
  <si>
    <t>หากกรรมการเห็นว่ามีการใช้เทคนิคที่ผิดกฎ ผู้ดูแลจะถูกลงโทษอย่างไร?</t>
  </si>
  <si>
    <t>A) จะได้รับการเตือน; B) จะถูกตัดสินแพ้; C) จะถูกห้ามเข้าร่วมการแข่งขันถัดไป; D) ขึ้นอยู่กับกรรมการ</t>
  </si>
  <si>
    <t>B) จะถูกตัดสินแพ้</t>
  </si>
  <si>
    <t>การใช้เทคนิคที่ผิดกฎทำให้การแข่งขันไม่ยุติธรรม.</t>
  </si>
  <si>
    <t>หากวัวได้รับบาดเจ็บอย่างรุนแรงในระหว่างการแข่งขัน การแข่งขันจะถูกยกเลิกหรือไม่?</t>
  </si>
  <si>
    <t>A) จะถูกยกเลิก; B) จะดำเนินต่อไป; C) ขึ้นอยู่กับสถานการณ์; D) ขึ้นอยู่กับการตัดสินของกรรมการ</t>
  </si>
  <si>
    <t>A) จะถูกยกเลิก</t>
  </si>
  <si>
    <t>การยกเลิกการแข่งขันช่วยรักษาความปลอดภัย.</t>
  </si>
  <si>
    <t>การตั้งใจทำร้ายวัวในระหว่างการแข่งขันเป็นสิ่งที่ได้รับอนุญาตหรือไม่?</t>
  </si>
  <si>
    <t>การทำร้ายวัวเป็นสิ่งที่ไม่ปลอดภัยและผิดกฎ.</t>
  </si>
  <si>
    <t>วัวที่มีพฤติกรรมที่ไม่เหมาะสมสามารถถูกตัดสินแพ้ได้หรือไม่?</t>
  </si>
  <si>
    <t>กรรมการสามารถใช้กฎพิเศษในการตัดสินการแข่งขันได้หรือไม่?</t>
  </si>
  <si>
    <t>A) ได้; B) ไม่ได้; C) ขึ้นอยู่กับประเภทการแข่งขัน; D) ขึ้นอยู่กับสถานการณ์</t>
  </si>
  <si>
    <t>กรรมการสามารถใช้กฎพิเศษในกรณีที่จำเป็นเพื่อรักษาความยุติธรรม.</t>
  </si>
  <si>
    <t>ในการแข่งขันชนวัว ผู้ดูแลสามารถใช้วิธีการที่ไม่เป็นธรรมเพื่อควบคุมวัวได้หรือไม่?</t>
  </si>
  <si>
    <t>การใช้วิธีการที่ไม่เป็นธรรมทำให้การแข่งขันไม่ยุติธรรม.</t>
  </si>
  <si>
    <t>หากวัวมีอาการผิดปกติในระหว่างการแข่งขัน กรรมการสามารถตัดสินให้ยุติการแข่งขันได้หรือไม่?</t>
  </si>
  <si>
    <t>A) ได้; B) ไม่ได้; C) ขึ้นอยู่กับอาการ; D) ขึ้นอยู่กับสถานการณ์</t>
  </si>
  <si>
    <t>การยุติการแข่งขันช่วยป้องกันความเสียหายต่อวัว.</t>
  </si>
  <si>
    <t>ในการแข่งขันชนวัว มีการจำกัดจำนวนครั้งที่วัวสามารถหยุดพักระหว่างการแข่งขันหรือไม่?</t>
  </si>
  <si>
    <t>A) มีการจำกัดจำนวนครั้ง; B) ไม่มีการจำกัด; C) ขึ้นอยู่กับกรรมการ; D) ขึ้นอยู่กับประเภทของการแข่งขัน</t>
  </si>
  <si>
    <t>A) มีการจำกัดจำนวนครั้ง</t>
  </si>
  <si>
    <t>การจำกัดจำนวนครั้งช่วยให้การแข่งขันเป็นไปตามกฎ.</t>
  </si>
  <si>
    <t>หากผู้ดูแลไม่สามารถควบคุมวัวในระหว่างการแข่งขันได้ ผลลัพธ์จะเป็นอย่างไร?</t>
  </si>
  <si>
    <t>A) วัวจะถูกตัดสินแพ้; B) การแข่งขันจะหยุดทันที; C) การแข่งขันจะดำเนินต่อไป; D) ขึ้นอยู่กับการตัดสินของกรรมการ</t>
  </si>
  <si>
    <t>การควบคุมวัวเป็นสิ่งสำคัญในการแข่งขัน.</t>
  </si>
  <si>
    <t>การเลือกวัวที่มีอาการบาดเจ็บเล็กน้อยมาร่วมการแข่งขันเป็นสิ่งที่อนุญาตหรือไม่?</t>
  </si>
  <si>
    <t>A) อนุญาต; B) ไม่อนุญาต; C) ขึ้นอยู่กับสถานการณ์; D) ขึ้นอยู่กับกรรมการ</t>
  </si>
  <si>
    <t>การเลือกวัวที่บาดเจ็บทำให้การแข่งขันไม่ยุติธรรม.</t>
  </si>
  <si>
    <t>หากการต่อสู้ไม่สามารถตัดสินได้ในเวลาที่กำหนด การแข่งขันจะต้องทำอย่างไร?</t>
  </si>
  <si>
    <t>A) ให้คะแนนตามพฤติกรรม; B) สั่งให้ยกเลิกการแข่งขัน; C) ให้ตัดสินจากกรรมการ; D) ขึ้นอยู่กับสถานการณ์</t>
  </si>
  <si>
    <t>C) ให้ตัดสินจากกรรมการ</t>
  </si>
  <si>
    <t>การตัดสินจากกรรมการทำให้การแข่งขันเป็นไปอย่างยุติธรรม.</t>
  </si>
  <si>
    <t>ในกรณีที่มีการใช้สารกระตุ้นกับวัวในระหว่างการแข่งขัน จะได้รับโทษหรือไม่?</t>
  </si>
  <si>
    <t>A) จะได้รับโทษ; B) ไม่ได้รับโทษ; C) ขึ้นอยู่กับความรุนแรงของการใช้สาร; D) ขึ้นอยู่กับกรรมการ</t>
  </si>
  <si>
    <t>การใช้สารกระตุ้นทำให้การแข่งขันไม่ยุติธรรมและเป็นอันตราย.</t>
  </si>
  <si>
    <t>การใช้วิธีการที่ทำให้วัวต้องทนทุกข์ทรมานในระหว่างการแข่งขันเป็นสิ่งที่อนุญาตหรือไม่?</t>
  </si>
  <si>
    <t>การทำให้วัวทนทุกข์ทรมานไม่ปลอดภัยและไม่ยุติธรรม.</t>
  </si>
  <si>
    <t>ในการแข่งขันชนวัว กรรมการสามารถยกเลิกการแข่งขันหากมีการกระทำผิดกฎหรือไม่?</t>
  </si>
  <si>
    <t>A) ได้; B) ไม่ได้; C) ขึ้นอยู่กับความรุนแรงของการกระทำผิด; D) ขึ้นอยู่กับผู้จัดการแข่งขัน</t>
  </si>
  <si>
    <t>การยกเลิกการแข่งขันทำเพื่อรักษาความยุติธรรม.</t>
  </si>
  <si>
    <t>การให้คะแนนการแข่งขันชนวัวจะต้องพิจารณาจากอะไรเป็นหลัก?</t>
  </si>
  <si>
    <t>A) พฤติกรรมในการต่อสู้; B) ความเร็วในการเคลื่อนที่ของวัว; C) การใช้กลยุทธ์ในการต่อสู้; D) ความแข็งแรงของวัว</t>
  </si>
  <si>
    <t>A) พฤติกรรมในการต่อสู้</t>
  </si>
  <si>
    <t>การพิจารณาคะแนนต้องพิจารณาจากพฤติกรรมในการต่อสู้ของวัว.</t>
  </si>
  <si>
    <t>การใช้วิธีการที่ทำให้วัวตกใจในระหว่างการแข่งขันเป็นสิ่งที่อนุญาตหรือไม่?</t>
  </si>
  <si>
    <t>การทำให้วัวตกใจทำให้การแข่งขันไม่ยุติธรรมและอันตราย.</t>
  </si>
  <si>
    <t>ในการแข่งขันชนวัว วัวที่แสดงพฤติกรรมขาดการควบคุมจะต้องถูกตัดสินอย่างไร?</t>
  </si>
  <si>
    <t>A) วัวจะถูกตัดสินแพ้; B) วัวจะได้รับคำเตือน; C) วัวจะได้รับการปรับปรุงโดยผู้ดูแล; D) ขึ้นอยู่กับกรรมการ</t>
  </si>
  <si>
    <t>ถ้าผู้ดูแลทำให้วัวสู้ไม่เต็มที่ในระหว่างการแข่งขัน จะได้รับผลกระทบอย่างไร?</t>
  </si>
  <si>
    <t>A) ผู้ดูแลจะถูกลงโทษ; B) วัวจะถูกตัดสินแพ้; C) การแข่งขันจะถูกยกเลิก; D) ขึ้นอยู่กับกรรมการ</t>
  </si>
  <si>
    <t>A) ผู้ดูแลจะถูกลงโทษ</t>
  </si>
  <si>
    <t>การทำให้วัวสู้ไม่เต็มที่ทำให้การแข่งขันไม่ยุติธรรม.</t>
  </si>
  <si>
    <t>การใช้เครื่องมือในการป้องกันตัวของผู้ดูแลในการแข่งขันชนวัวสามารถทำได้หรือไม่?</t>
  </si>
  <si>
    <t>การใช้เครื่องมือไม่เหมาะสมทำให้การแข่งขันไม่ยุติธรรม.</t>
  </si>
  <si>
    <t>หากมีการบาดเจ็บเกิดขึ้นในระหว่างการแข่งขัน คำตัดสินจากกรรมการจะต้องเป็นอย่างไร?</t>
  </si>
  <si>
    <t>A) การแข่งขันจะถูกยกเลิก; B) วัวที่บาดเจ็บจะได้รับการรักษาก่อนการตัดสิน; C) การแข่งขันจะดำเนินต่อไปตามปกติ; D) ขึ้นอยู่กับความรุนแรงของการบาดเจ็บ</t>
  </si>
  <si>
    <t>B) วัวที่บาดเจ็บจะได้รับการรักษาก่อนการตัดสิน</t>
  </si>
  <si>
    <t>ความปลอดภัยของวัวต้องมาก่อน.</t>
  </si>
  <si>
    <t>การตัดสินให้วัวชนะจะพิจารณาจากอะไรเป็นหลัก?</t>
  </si>
  <si>
    <t>A) ความเร็ว; B) ความแข็งแรง; C) ความสามารถในการสู้; D) การควบคุมของผู้ดูแล</t>
  </si>
  <si>
    <t>C) ความสามารถในการสู้</t>
  </si>
  <si>
    <t>การต่อสู้ที่ดีเป็นตัวกำหนดผู้ชนะ.</t>
  </si>
  <si>
    <t>ในการแข่งขันชนวัว หากผู้ดูแลใช้ความรุนแรงมากเกินไปในระหว่างการควบคุมวัวจะได้รับโทษหรือไม่?</t>
  </si>
  <si>
    <t>A) จะได้รับโทษ; B) ไม่ได้รับโทษ; C) ขึ้นอยู่กับสถานการณ์; D) ขึ้นอยู่กับการตัดสินของกรรมการ</t>
  </si>
  <si>
    <t>การใช้ความรุนแรงเกินไปทำให้การแข่งขันไม่ยุติธรรม.</t>
  </si>
  <si>
    <t>ในกรณีที่วัวแสดงอาการบาดเจ็บอย่างชัดเจนในระหว่างการแข่งขัน กรรมการสามารถยุติการแข่งขันได้หรือไม่?</t>
  </si>
  <si>
    <t>การยุติการแข่งขันช่วยป้องกันความเสียหาย.</t>
  </si>
  <si>
    <t>การใช้สารเคมีหรือสารกระตุ้นในการเพิ่มประสิทธิภาพของวัวสามารถทำได้หรือไม่?</t>
  </si>
  <si>
    <t>การประเมินความสามารถของวัวในการแข่งขันจะต้องพิจารณาจากอะไร?</t>
  </si>
  <si>
    <t>A) ขนาดของวัว; B) พฤติกรรมในการสู้; C) อายุของวัว; D) ความเร็วของวัว</t>
  </si>
  <si>
    <t>B) พฤติกรรมในการสู้</t>
  </si>
  <si>
    <t>พฤติกรรมในการต่อสู้เป็นปัจจัยหลักในการตัดสิน.</t>
  </si>
  <si>
    <t>ในการแข่งขันชนวัว กรรมการสามารถแนะนำให้หยุดการแข่งขันหากเห็นว่าวัวไม่ได้รับการดูแลที่เหมาะสมได้หรือไม่?</t>
  </si>
  <si>
    <t>A) ได้; B) ไม่ได้; C) ขึ้นอยู่กับสถานการณ์; D) ขึ้นอยู่กับการตัดสินของกรรมการ</t>
  </si>
  <si>
    <t>การดูแลวัวให้เหมาะสมเป็นสิ่งสำคัญ.</t>
  </si>
  <si>
    <t>หากวัวแสดงอาการตกใจในระหว่างการแข่งขัน ผู้ดูแลสามารถใช้วิธีการที่ทำให้วัวสงบได้หรือไม่?</t>
  </si>
  <si>
    <t>C) อนุญาตในบางกรณี</t>
  </si>
  <si>
    <t>การใช้วิธีการที่เหมาะสมทำให้การแข่งขันปลอดภัย.</t>
  </si>
  <si>
    <t>หากวัวมีพฤติกรรมที่ไม่เป็นมิตรต่อผู้ดูแลในระหว่างการแข่งขัน การตัดสินจะเป็นอย่างไร?</t>
  </si>
  <si>
    <t>A) วัวจะถูกตัดสินแพ้; B) ผู้ดูแลจะได้รับการเตือน; C) ผู้ดูแลจะถูกลงโทษ; D) ขึ้นอยู่กับกรรมการ</t>
  </si>
  <si>
    <t>พฤติกรรมที่ไม่ดีต่อผู้ดูแลเป็นสิ่งที่ไม่สามารถยอมรับได้.</t>
  </si>
  <si>
    <t>ในการแข่งขันชนวัว การใช้วิธีการที่ทำให้วัวบาดเจ็บต้องห้ามหรือไม่?</t>
  </si>
  <si>
    <t>A) ต้องห้าม; B) ไม่ห้าม; C) อนุญาตในบางกรณี; D) ขึ้นอยู่กับกรรมการ</t>
  </si>
  <si>
    <t>A) ต้องห้าม</t>
  </si>
  <si>
    <t>การทำให้วัวบาดเจ็บไม่ปลอดภัยและผิดกฎ.</t>
  </si>
  <si>
    <t>การใช้สารอาหารเสริมเพื่อเพิ่มความสามารถของวัวในระหว่างการแข่งขันสามารถทำได้หรือไม่?</t>
  </si>
  <si>
    <t>การใช้สารอาหารเสริมทำให้การแข่งขันไม่ยุติธรรม.</t>
  </si>
  <si>
    <t>หากผู้ดูแลไม่ได้ปฏิบัติตามกฎในการควบคุมวัว จะได้รับผลกระทบอย่างไร?</t>
  </si>
  <si>
    <t>การไม่ปฏิบัติตามกฎทำให้การแข่งขันไม่ยุติธรรม.</t>
  </si>
  <si>
    <t>การใช้วิธีการที่ไม่ยุติธรรมในการควบคุมวัวระหว่างการแข่งขันเป็นสิ่งที่อนุญาตหรือไม่?</t>
  </si>
  <si>
    <t>การใช้วิธีการที่ไม่ยุติธรรมทำให้การแข่งขันไม่ยุติธรรม.</t>
  </si>
  <si>
    <t>หากกรรมการเห็นว่ามีการละเมิดกฎ เขาสามารถตัดสินให้ยกเลิกการแข่งขันได้หรือไม่?</t>
  </si>
  <si>
    <t>A) ได้; B) ไม่ได้; C) ขึ้นอยู่กับประเภทของการละเมิด; D) ขึ้นอยู่กับการตัดสินของกรรมการ</t>
  </si>
  <si>
    <t>การยกเลิกการแข่งขันช่วยรักษาความยุติธรรม.</t>
  </si>
  <si>
    <t>การใช้วิธีการที่ทำให้วัวบาดเจ็บในระหว่างการแข่งขันเป็นสิ่งที่ได้รับอนุญาตหรือไม่?</t>
  </si>
  <si>
    <t>ในการแข่งขันชนวัว วัวที่แสดงท่าทีไม่พร้อมที่จะต่อสู้จะได้รับการตัดสินอย่างไร?</t>
  </si>
  <si>
    <t>การแสดงท่าทีไม่พร้อมทำให้การแข่งขันไม่ยุติธรรม.</t>
  </si>
  <si>
    <t>หากผู้ดูแลใช้วิธีการที่ไม่เหมาะสมในการเตรียมวัวสำหรับการแข่งขันจะได้รับโทษหรือไม่?</t>
  </si>
  <si>
    <t>การใช้วิธีการที่ไม่เหมาะสมจะทำให้ผู้ดูแลได้รับโทษ.</t>
  </si>
  <si>
    <t>ในการแข่งขันชนวัว ผู้ดูแลต้องสวมอุปกรณ์ป้องกันตัวหรือไม่?</t>
  </si>
  <si>
    <t>A) ต้องสวม; B) ไม่ต้องสวม; C) ขึ้นอยู่กับประเภทของการแข่งขัน; D) ขึ้นอยู่กับการตัดสินของกรรมการ</t>
  </si>
  <si>
    <t>A) ต้องสวม</t>
  </si>
  <si>
    <t>การสวมอุปกรณ์ป้องกันตัวช่วยให้การแข่งขันปลอดภัย.</t>
  </si>
  <si>
    <t>หากกรรมการเห็นว่าวัวมีอาการบาดเจ็บหลังจากการแข่งขันเริ่มต้น เขาสามารถหยุดการแข่งขันได้หรือไม่?</t>
  </si>
  <si>
    <t>A) ได้; B) ไม่ได้; C) ขึ้นอยู่กับความรุนแรงของการบาดเจ็บ; D) ขึ้นอยู่กับการตัดสินของกรรมการ</t>
  </si>
  <si>
    <t>การหยุดการแข่งขันจะช่วยป้องกันการบาดเจ็บเพิ่มเติม.</t>
  </si>
  <si>
    <t>การใช้วิธีการที่ทำให้วัวกลัวหรือวิตกกังวลสามารถทำได้ในระหว่างการแข่งขันหรือไม่?</t>
  </si>
  <si>
    <t>ในกรณีที่วัวไม่สามารถต่อสู้ได้เนื่องจากความเหนื่อยล้า ผู้ดูแลจะต้องทำอย่างไร?</t>
  </si>
  <si>
    <t>A) ให้วัวพักและพยายามต่อสู้ต่อ; B) หยุดการแข่งขันทันที; C) เปลี่ยนวัวใหม่; D) ขอให้กรรมการตัดสิน</t>
  </si>
  <si>
    <t>B) หยุดการแข่งขันทันที</t>
  </si>
  <si>
    <t>การป้องกันการบาดเจ็บจากความเหนื่อยล้าคือสิ่งสำคัญ.</t>
  </si>
  <si>
    <t>หากมีการใช้สารเคมีในการกระตุ้นประสิทธิภาพของวัวในระหว่างการแข่งขัน กรรมการจะต้องทำอย่างไร?</t>
  </si>
  <si>
    <t>A) ลงโทษผู้ดูแล; B) ยกเลิกการแข่งขัน; C) ตัดสินให้วัวแพ้; D) ขึ้นอยู่กับสถานการณ์</t>
  </si>
  <si>
    <t>A) ลงโทษผู้ดูแล</t>
  </si>
  <si>
    <t>การใช้สารเคมีเป็นการละเมิดกฎ.</t>
  </si>
  <si>
    <t>หากวัวแสดงอาการดุร้ายเกินไปในระหว่างการแข่งขัน จะมีการตัดสินอย่างไร?</t>
  </si>
  <si>
    <t>A) วัวจะถูกตัดสินแพ้; B) วัวจะได้รับคำเตือน; C) วัวจะถูกปรับปรุงโดยผู้ดูแล; D) ขึ้นอยู่กับกรรมการ</t>
  </si>
  <si>
    <t>การแสดงพฤติกรรมดุร้ายไม่เป็นที่ยอมรับ.</t>
  </si>
  <si>
    <t>ในการแข่งขันชนวัว กรรมการสามารถใช้เวลาในการประเมินความแข็งแกร่งของวัวหรือไม่?</t>
  </si>
  <si>
    <t>A) ได้; B) ไม่ได้; C) ขึ้นอยู่กับประเภทของการแข่งขัน; D) ขึ้นอยู่กับการตัดสินของกรรมการ</t>
  </si>
  <si>
    <t>การประเมินความแข็งแกร่งเป็นส่วนสำคัญในการตัดสิน.</t>
  </si>
  <si>
    <t>การเปลี่ยนแปลงผู้ดูแลระหว่างการแข่งขันชนวัวสามารถทำได้หรือไม่?</t>
  </si>
  <si>
    <t>การเปลี่ยนแปลงผู้ดูแลระหว่างการแข่งขันทำให้การแข่งขันไม่ยุติธรรม.</t>
  </si>
  <si>
    <t>ในการแข่งขันชนวัว หากวัวไม่สามารถเดินต่อไปหลังจากการกระทบกระเทือน ควรทำอย่างไร?</t>
  </si>
  <si>
    <t>A) ยกเลิกการแข่งขัน; B) ให้วัวพักและต่อสู้ต่อ; C) ใช้วิธีการที่ช่วยให้วัวฟื้นตัว; D) ตัดสินให้วัวแพ้</t>
  </si>
  <si>
    <t>A) ยกเลิกการแข่งขัน</t>
  </si>
  <si>
    <t>การใช้เครื่องมือในการควบคุมวัวในระหว่างการแข่งขันสามารถทำได้หรือไม่?</t>
  </si>
  <si>
    <t>การใช้เครื่องมือช่วยในการควบคุมวัวทำให้การแข่งขันไม่ยุติธรรม.</t>
  </si>
  <si>
    <t>หากกรรมการเห็นว่าผู้ดูแลไม่ให้ความสำคัญกับสุขภาพของวัว เขาสามารถลงโทษได้หรือไม่?</t>
  </si>
  <si>
    <t>การไม่ให้ความสำคัญกับสุขภาพของวัวเป็นการละเมิดกฎ.</t>
  </si>
  <si>
    <t>ในการแข่งขันชนวัว การยอมรับการฝึกฝนหรือการพัฒนาวิธีการใหม่ๆ สามารถทำได้หรือไม่?</t>
  </si>
  <si>
    <t>การฝึกฝนเพื่อพัฒนาทักษะต้องเป็นไปตามกฎ.</t>
  </si>
  <si>
    <t>หากมีการละเมิดกฎในการเตรียมวัว กรรมการจะต้องทำอย่างไร?</t>
  </si>
  <si>
    <t>A) ตัดสินให้วัวแพ้; B) ลงโทษผู้ดูแล; C) ยกเลิกการแข่งขัน; D) ขึ้นอยู่กับประเภทของการละเมิด</t>
  </si>
  <si>
    <t>B) ลงโทษผู้ดูแล</t>
  </si>
  <si>
    <t>การละเมิดกฎในการเตรียมวัวทำให้การแข่งขันไม่ยุติธรรม.</t>
  </si>
  <si>
    <t>การใช้ความรุนแรงเกินไปในการฝึกฝนวัวสามารถทำได้หรือไม่?</t>
  </si>
  <si>
    <t>การใช้ความรุนแรงในการฝึกฝนทำให้วัวบาดเจ็บและไม่ยุติธรรม.</t>
  </si>
  <si>
    <t>การควบคุมวัวในระหว่างการแข่งขันชนวัวต้องเป็นไปตามกฎหรือไม่?</t>
  </si>
  <si>
    <t>A) ต้องเป็นไปตามกฎ; B) ไม่ต้องเป็นไปตามกฎ; C) ขึ้นอยู่กับสถานการณ์; D) ขึ้นอยู่กับกรรมการ</t>
  </si>
  <si>
    <t>A) ต้องเป็นไปตามกฎ</t>
  </si>
  <si>
    <t>การควบคุมวัวต้องทำอย่างถูกต้องและยุติธรรม.</t>
  </si>
  <si>
    <t>ในกรณีที่วัวมีอาการป่วยในระหว่างการแข่งขัน กรรมการสามารถยุติการแข่งขันได้หรือไม่?</t>
  </si>
  <si>
    <t>A) ได้; B) ไม่ได้; C) ขึ้นอยู่กับความรุนแรงของอาการ; D) ขึ้นอยู่กับการตัดสินของกรรมการ</t>
  </si>
  <si>
    <t>การยุติการแข่งขันเพื่อรักษาความปลอดภัยของวัว.</t>
  </si>
  <si>
    <t>หากมีการกระทำที่ไม่เหมาะสมในระหว่างการแข่งขันชนวัว ผู้ดูแลจะได้รับโทษหรือไม่?</t>
  </si>
  <si>
    <t>A) ได้; B) ไม่ได้; C) ขึ้นอยู่กับประเภทของการกระทำ; D) ขึ้นอยู่กับกรรมการ</t>
  </si>
  <si>
    <t>การกระทำที่ไม่เหมาะสมจะได้รับการลงโทษ.</t>
  </si>
  <si>
    <t>หากวัวแสดงอาการไม่พร้อมต่อสู้ในระหว่างการแข่งขัน ควรทำอย่างไร?</t>
  </si>
  <si>
    <t>A) หยุดการแข่งขันทันที; B) ให้วัวพักและกลับมาสู้ต่อ; C) เปลี่ยนวัวใหม่; D) ขึ้นอยู่กับกรรมการ</t>
  </si>
  <si>
    <t>A) หยุดการแข่งขันทันที</t>
  </si>
  <si>
    <t>การหยุดการแข่งขันช่วยให้วัวปลอดภัย.</t>
  </si>
  <si>
    <t>ในการแข่งขันชนวัว วัวที่ไม่สามารถต่อสู้ได้เนื่องจากความอ่อนแอจะได้รับการตัดสินอย่างไร?</t>
  </si>
  <si>
    <t>A) วัวจะถูกตัดสินแพ้; B) วัวจะได้รับคำเตือน; C) การแข่งขันจะถูกยกเลิก; D) ขึ้นอยู่กับกรรมการ</t>
  </si>
  <si>
    <t>การต่อสู้ที่ไม่เต็มที่ทำให้การแข่งขันไม่ยุติธรรม.</t>
  </si>
  <si>
    <t>หากวัวมีอาการบาดเจ็บรุนแรงในระหว่างการแข่งขัน กรรมการสามารถยุติการแข่งขันได้หรือไม่?</t>
  </si>
  <si>
    <t>A) ได้; B) ไม่ได้; C) ขึ้นอยู่กับการตัดสินของกรรมการ; D) ขึ้นอยู่กับความรุนแรงของอาการ</t>
  </si>
  <si>
    <t>การยุติการแข่งขันเพื่อป้องกันการบาดเจ็บเพิ่มเติม.</t>
  </si>
  <si>
    <t>หากผู้ดูแลไม่สามารถควบคุมวัวได้ กรรมการสามารถลงโทษได้หรือไม่?</t>
  </si>
  <si>
    <t>A) ได้; B) ไม่ได้; C) ขึ้นอยู่กับการตัดสินของกรรมการ; D) ขึ้นอยู่กับเหตุผลที่ไม่สามารถควบคุมได้</t>
  </si>
  <si>
    <t>การควบคุมวัวเป็นความรับผิดชอบของผู้ดูแล.</t>
  </si>
  <si>
    <t>การใช้สารกระตุ้นให้วัวมีพละกำลังมากขึ้นในระหว่างการแข่งขันเป็นสิ่งที่ทำได้หรือไม่?</t>
  </si>
  <si>
    <t>A) ได้; B) ไม่ได้; C) อนุญาตในบางกรณี; D) ขึ้นอยู่กับการตัดสินของกรรมการ</t>
  </si>
  <si>
    <t>การทำให้วัวรู้สึกวิตกกังวลก่อนการแข่งขันอาจถูกลงโทษหรือไม่?</t>
  </si>
  <si>
    <t>A) อาจถูกลงโทษ; B) ไม่ถูกลงโทษ; C) ขึ้นอยู่กับกรรมการ; D) ขึ้นอยู่กับวิธีการทำ</t>
  </si>
  <si>
    <t>A) อาจถูกลงโทษ</t>
  </si>
  <si>
    <t>การทำให้วัววิตกกังวลเป็นการกระทำที่ไม่เหมาะสม.</t>
  </si>
  <si>
    <t>หากวัวออกจากสนามแข่งขันในระหว่างการแข่งขัน กรรมการสามารถยุติการแข่งขันได้หรือไม่?</t>
  </si>
  <si>
    <t>A) ได้; B) ไม่ได้; C) ขึ้นอยู่กับสาเหตุที่ออกจากสนาม; D) ขึ้นอยู่กับการตัดสินของกรรมการ</t>
  </si>
  <si>
    <t>การออกจากสนามระหว่างการแข่งขันทำให้การแข่งขันไม่เป็นธรรม.</t>
  </si>
  <si>
    <t>การใช้เครื่องมือหรืออุปกรณ์ที่มีอันตรายต่อวัวในระหว่างการแข่งขันสามารถทำได้หรือไม่?</t>
  </si>
  <si>
    <t>การใช้เครื่องมือที่มีอันตรายทำให้วัวบาดเจ็บและไม่ยุติธรรม.</t>
  </si>
  <si>
    <t>การใช้กำลังเกินไปในการควบคุมวัวในระหว่างการแข่งขันสามารถทำได้หรือไม่?</t>
  </si>
  <si>
    <t>การใช้กำลังเกินไปทำให้วัวบาดเจ็บ.</t>
  </si>
  <si>
    <t>หากมีการละเมิดกฎเกี่ยวกับการปฏิบัติต่อวัวในระหว่างการแข่งขัน กรรมการสามารถลงโทษผู้ดูแลได้หรือไม่?</t>
  </si>
  <si>
    <t>การละเมิดกฎจะทำให้ผู้ดูแลได้รับการลงโทษ.</t>
  </si>
  <si>
    <t>ในการแข่งขันชนวัว กรรมการสามารถตัดสินได้ว่าเกมจะต้องหยุดเมื่อใดหรือไม่?</t>
  </si>
  <si>
    <t>A) ได้; B) ไม่ได้; C) ขึ้นอยู่กับสถานการณ์; D) ขึ้นอยู่กับความรุนแรงของการแข่งขัน</t>
  </si>
  <si>
    <t>กรรมการมีสิทธิ์หยุดการแข่งขันเพื่อความปลอดภัย.</t>
  </si>
  <si>
    <t>การฝึกฝนวัวเพื่อการแข่งขันชนวัวต้องเป็นไปตามกฎหรือไม่?</t>
  </si>
  <si>
    <t>A) ต้องเป็นไปตามกฎ; B) ไม่ต้องเป็นไปตามกฎ; C) ขึ้นอยู่กับการตัดสินของกรรมการ; D) ขึ้นอยู่กับสถานการณ์</t>
  </si>
  <si>
    <t>การฝึกฝนต้องทำตามหลักเกณฑ์เพื่อให้การแข่งขันยุติธรรม.</t>
  </si>
  <si>
    <t>หากวัวไม่สามารถแสดงทักษะในการแข่งขันได้ตามที่กำหนด วัวจะถูกตัดสินอย่างไร?</t>
  </si>
  <si>
    <t>A) วัวจะถูกตัดสินแพ้; B) วัวจะได้รับคำเตือน; C) วัวจะได้รับโอกาสในการฟื้นฟู; D) ขึ้นอยู่กับกรรมการ</t>
  </si>
  <si>
    <t>การไม่สามารถแสดงทักษะได้ทำให้การแข่งขันไม่ยุติธรรม.</t>
  </si>
  <si>
    <t>การจัดการแข่งขันชนวัวที่ไม่มีการควบคุมหรือไม่ได้รับอนุญาตจากหน่วยงานที่เกี่ยวข้องสามารถทำได้หรือไม่?</t>
  </si>
  <si>
    <t>การแข่งขันต้องได้รับการอนุญาตจากหน่วยงานที่เกี่ยวข้อง.</t>
  </si>
  <si>
    <t>หากวัวมีอาการเจ็บป่วยก่อนการแข่งขัน ผู้ดูแลควรทำอย่างไร?</t>
  </si>
  <si>
    <t>A) ยกเลิกการแข่งขัน; B) ให้วัวเข้าร่วมการแข่งขันตามปกติ; C) ให้วัวพักและต่อสู้ต่อ; D) ขึ้นอยู่กับการตัดสินของกรรมการ</t>
  </si>
  <si>
    <t>การให้วัวเข้าร่วมการแข่งขันเมื่อเจ็บป่วยเป็นอันตราย.</t>
  </si>
  <si>
    <t>การใช้พฤติกรรมที่ก้าวร้าวหรือทำให้วัวเกิดความเครียดในระหว่างการแข่งขันอาจทำให้เกิดโทษได้หรือไม่?</t>
  </si>
  <si>
    <t>การใช้พฤติกรรมที่ทำให้วัวเครียดอาจทำให้เกิดการลงโทษ.</t>
  </si>
  <si>
    <t>หากวัวไม่สามารถต่อสู้ได้เนื่องจากความเหนื่อยล้า กรรมการจะตัดสินให้วัวแพ้หรือไม่?</t>
  </si>
  <si>
    <t>A) ใช่; B) ไม่ใช่; C) ขึ้นอยู่กับสถานการณ์; D) ขึ้นอยู่กับการตัดสินของกรรมการ</t>
  </si>
  <si>
    <t>ความเหนื่อยล้าทำให้วัวไม่สามารถแข่งขันได้อย่างเต็มที่.</t>
  </si>
  <si>
    <t>การใช้วิธีการที่ทำให้วัวเกิดบาดแผลในระหว่างการแข่งขันสามารถทำได้หรือไม่?</t>
  </si>
  <si>
    <t>A) อนุญาต; B) ไม่อนุญาต; C) ขึ้นอยู่กับการตัดสินของกรรมการ; D) ขึ้นอยู่กับประเภทของการแข่งขัน</t>
  </si>
  <si>
    <t>การทำให้วัวบาดแผลเป็นการกระทำที่ไม่ยุติธรรม.</t>
  </si>
  <si>
    <t>การฝึกฝนวัวในระหว่างการพักการต่อสู้สามารถทำได้หรือไม่?</t>
  </si>
  <si>
    <t>A) อนุญาต; B) ไม่อนุญาต; C) ขึ้นอยู่กับสถานการณ์; D) ขึ้นอยู่กับการตัดสินของกรรมการ</t>
  </si>
  <si>
    <t>การฝึกฝนวัวในระหว่างการแข่งขันอาจทำให้การต่อสู้ไม่ยุติธรรม.</t>
  </si>
  <si>
    <t>หากมีการละเมิดกฎในระหว่างการแข่งขัน กรรมการสามารถลงโทษผู้ดูแลได้หรือไม่?</t>
  </si>
  <si>
    <t>A) ได้; B) ไม่ได้; C) ขึ้นอยู่กับการตัดสินของกรรมการ; D) ขึ้นอยู่กับประเภทของการละเมิด</t>
  </si>
  <si>
    <t>การใช้ความรุนแรงเกินไปในการฝึกวัวสามารถทำให้เกิดโทษได้หรือไม่?</t>
  </si>
  <si>
    <t>A) ได้; B) ไม่ได้; C) ขึ้นอยู่กับการตัดสินของกรรมการ; D) ขึ้นอยู่กับสถานการณ์</t>
  </si>
  <si>
    <t>การใช้ความรุนแรงในการฝึกฝนเป็นการกระทำที่ไม่เหมาะสม.</t>
  </si>
  <si>
    <t>การฝึกวัวในลักษณะที่อาจทำให้เกิดการบาดเจ็บในระหว่างการแข่งขันเป็นสิ่งที่ถูกต้องหรือไม่?</t>
  </si>
  <si>
    <t>A) ถูกต้อง; B) ไม่ถูกต้อง; C) ขึ้นอยู่กับสถานการณ์; D) ขึ้นอยู่กับการตัดสินของกรรมการ</t>
  </si>
  <si>
    <t>B) ไม่ถูกต้อง</t>
  </si>
  <si>
    <t>การฝึกวัวให้เกิดบาดเจ็บเป็นการละเมิดกฎ.</t>
  </si>
  <si>
    <t>หากผู้ดูแลใช้วัตถุที่ไม่ได้รับอนุญาตในระหว่างการแข่งขัน กรรมการสามารถลงโทษได้หรือไม่?</t>
  </si>
  <si>
    <t>การใช้วัตถุที่ไม่ได้รับอนุญาตเป็นการละเมิดกฎ.</t>
  </si>
  <si>
    <t>การบังคับให้วัวต่อสู้กับวัวที่มีขนาดใหญ่กว่ามากสามารถทำได้หรือไม่?</t>
  </si>
  <si>
    <t>A) อนุญาต; B) ไม่อนุญาต; C) ขึ้นอยู่กับการตัดสินของกรรมการ; D) ขึ้นอยู่กับขนาดของวัว</t>
  </si>
  <si>
    <t>การแข่งขันควรเป็นไปอย่างยุติธรรม.</t>
  </si>
  <si>
    <t>หากวัวถูกกระทำรุนแรงจนทำให้บาดเจ็บในระหว่างการแข่งขัน กรรมการสามารถยุติการแข่งขันได้หรือไม่?</t>
  </si>
  <si>
    <t>A) ได้; B) ไม่ได้; C) ขึ้นอยู่กับสภาพการบาดเจ็บ; D) ขึ้นอยู่กับการตัดสินของกรรมการ</t>
  </si>
  <si>
    <t>การยุติการแข่งขันเป็นสิ่งที่จำเป็นเพื่อความปลอดภัย.</t>
  </si>
  <si>
    <t>ผู้ดูแลวัวสามารถเลือกวัวที่ไม่ผ่านการตรวจสอบตามมาตรฐานในการแข่งขันได้หรือไม่?</t>
  </si>
  <si>
    <t>การตรวจสอบวัวเป็นสิ่งที่จำเป็นก่อนการแข่งขัน.</t>
  </si>
  <si>
    <t>ถ้าวัวทำท่าทางที่ไม่เหมาะสมในระหว่างการแข่งขัน กรรมการสามารถลงโทษผู้ดูแลได้หรือไม่?</t>
  </si>
  <si>
    <t>A) ได้; B) ไม่ได้; C) ขึ้นอยู่กับท่าทางของวัว; D) ขึ้นอยู่กับการตัดสินของกรรมการ</t>
  </si>
  <si>
    <t>การควบคุมวัวเป็นหน้าที่ของผู้ดูแล.</t>
  </si>
  <si>
    <t>หากผู้ดูแลไม่ปฏิบัติตามคำแนะนำของกรรมการในระหว่างการแข่งขัน กรรมการสามารถลงโทษได้หรือไม่?</t>
  </si>
  <si>
    <t>A) ได้; B) ไม่ได้; C) ขึ้นอยู่กับคำแนะนำที่ให้; D) ขึ้นอยู่กับการตัดสินของกรรมการ</t>
  </si>
  <si>
    <t>การไม่ปฏิบัติตามคำแนะนำถือเป็นการละเมิดกฎ.</t>
  </si>
  <si>
    <t>การใช้สารเคมีในการดูแลวัวก่อนการแข่งขันสามารถทำได้หรือไม่?</t>
  </si>
  <si>
    <t>A) ได้; B) ไม่ได้; C) ขึ้นอยู่กับประเภทของสารเคมี; D) ขึ้นอยู่กับการตัดสินของกรรมการ</t>
  </si>
  <si>
    <t>การใช้สารเคมีอาจเป็นอันตรายและทำให้การแข่งขันไม่ยุติธรรม.</t>
  </si>
  <si>
    <t>การให้วัวหยุดพักระหว่างการแข่งขันเพื่อฟื้นฟูพลังสามารถทำได้หรือไม่?</t>
  </si>
  <si>
    <t>A) ได้; B) ไม่ได้; C) ขึ้นอยู่กับระยะเวลา; D) ขึ้นอยู่กับการตัดสินของกรรมการ</t>
  </si>
  <si>
    <t>การหยุดพักทำให้การแข่งขันไม่ยุติธรรม.</t>
  </si>
  <si>
    <t>หากวัวมีพฤติกรรมที่ไม่คาดคิดในระหว่างการแข่งขัน กรรมการสามารถหยุดการแข่งขันได้หรือไม่?</t>
  </si>
  <si>
    <t>A) ได้; B) ไม่ได้; C) ขึ้นอยู่กับพฤติกรรมของวัว; D) ขึ้นอยู่กับการตัดสินของกรรมการ</t>
  </si>
  <si>
    <t>การหยุดการแข่งขันช่วยป้องกันอุบัติเหตุ.</t>
  </si>
  <si>
    <t>หากวัวไม่ยอมต่อสู้และอยู่เฉยๆ กรรมการสามารถตัดสินให้วัวแพ้ได้หรือไม่?</t>
  </si>
  <si>
    <t>การไม่ต่อสู้ทำให้วัวแพ้ในการแข่งขัน.</t>
  </si>
  <si>
    <t>การนำวัวที่ไม่ผ่านการตรวจสุขภาพเข้าร่วมการแข่งขันสามารถทำได้หรือไม่?</t>
  </si>
  <si>
    <t>A) ได้; B) ไม่ได้; C) ขึ้นอยู่กับการตัดสินของกรรมการ; D) ขึ้นอยู่กับผลการตรวจสุขภาพ</t>
  </si>
  <si>
    <t>การตรวจสุขภาพเป็นการป้องกันอันตราย.</t>
  </si>
  <si>
    <t>ถ้าผู้ดูแลไม่สามารถควบคุมวัวในระหว่างการแข่งขัน กรรมการสามารถลงโทษได้หรือไม่?</t>
  </si>
  <si>
    <t>A) ได้; B) ไม่ได้; C) ขึ้นอยู่กับสาเหตุ; D) ขึ้นอยู่กับการตัดสินของกรรมการ</t>
  </si>
  <si>
    <t>การปฏิบัติที่ไม่สุภาพต่อคู่ต่อสู้ในการแข่งขันชนวัวสามารถทำได้หรือไม่?</t>
  </si>
  <si>
    <t>การรักษามารยาทเป็นสิ่งสำคัญในการแข่งขัน.</t>
  </si>
  <si>
    <t>การใช้เครื่องมือที่อาจทำให้วัวบาดเจ็บในระหว่างการแข่งขันสามารถทำได้หรือไม่?</t>
  </si>
  <si>
    <t>A) อนุญาต; B) ไม่อนุญาต; C) ขึ้นอยู่กับเครื่องมือ; D) ขึ้นอยู่กับการตัดสินของกรรมการ</t>
  </si>
  <si>
    <t>การใช้เครื่องมือที่อันตรายเป็นการละเมิดกฎ.</t>
  </si>
  <si>
    <t>หากวัวมีท่าทางก้าวร้าวเกินไปในระหว่างการแข่งขัน กรรมการสามารถยุติการแข่งขันได้หรือไม่?</t>
  </si>
  <si>
    <t>A) ได้; B) ไม่ได้; C) ขึ้นอยู่กับความรุนแรงของการก้าวร้าว; D) ขึ้นอยู่กับการตัดสินของกรรมการ</t>
  </si>
  <si>
    <t>การยุติการแข่งขันช่วยป้องกันการบาดเจ็บ.</t>
  </si>
  <si>
    <t>ผู้ดูแลสามารถใช้พฤติกรรมที่ไม่เหมาะสมกับวัวในระหว่างการแข่งขันได้หรือไม่?</t>
  </si>
  <si>
    <t>A) ได้; B) ไม่ได้; C) ขึ้นอยู่กับพฤติกรรม; D) ขึ้นอยู่กับการตัดสินของกรรมการ</t>
  </si>
  <si>
    <t>การปฏิบัติต่อวัวต้องเป็นไปตามกฎ.</t>
  </si>
  <si>
    <t>การตรวจสอบความแข็งแรงของวัวก่อนการแข่งขันเป็นสิ่งที่จำเป็นหรือไม่?</t>
  </si>
  <si>
    <t>A) จำเป็น; B) ไม่จำเป็น; C) ขึ้นอยู่กับชนิดของการแข่งขัน; D) ขึ้นอยู่กับการตัดสินของกรรมการ</t>
  </si>
  <si>
    <t>การตรวจสอบความแข็งแรงช่วยป้องกันอุบัติเหตุ.</t>
  </si>
  <si>
    <t>การใช้ความรุนแรงในการฝึกวัวก่อนการแข่งขันเป็นสิ่งที่สามารถทำได้หรือไม่?</t>
  </si>
  <si>
    <t>การใช้ความรุนแรงทำให้วัวบาดเจ็บ.</t>
  </si>
  <si>
    <t>การบังคับให้วัวต่อสู้เมื่อมันไม่พร้อมหรือไม่สามารถต่อสู้ได้เป็นการกระทำที่ถูกต้องหรือไม่?</t>
  </si>
  <si>
    <t>การแข่งขันควรเป็นไปอย่างยุติธรรมและปลอดภัย.</t>
  </si>
  <si>
    <t>กรรมการสามารถเปลี่ยนแปลงกฎในระหว่างการแข่งขันได้หรือไม่?</t>
  </si>
  <si>
    <t>กฎต้องถูกปฏิบัติตามตลอดการแข่งขัน.</t>
  </si>
  <si>
    <t>หากมีการโจมตีที่ไม่ยุติธรรมในระหว่างการแข่งขัน กรรมการสามารถลงโทษผู้กระทำได้หรือไม่?</t>
  </si>
  <si>
    <t>A) ได้; B) ไม่ได้; C) ขึ้นอยู่กับความรุนแรงของการโจมตี; D) ขึ้นอยู่กับการตัดสินของกรรมการ</t>
  </si>
  <si>
    <t>การโจมตีที่ไม่ยุติธรรมเป็นการละเมิดกฎ.</t>
  </si>
  <si>
    <t>การใช้วัสดุที่ทำให้วัวเจ็บปวดหรือเสียหายในระหว่างการแข่งขันสามารถทำได้หรือไม่?</t>
  </si>
  <si>
    <t>A) อนุญาต; B) ไม่อนุญาต; C) ขึ้นอยู่กับวัสดุที่ใช้; D) ขึ้นอยู่กับการตัดสินของกรรมการ</t>
  </si>
  <si>
    <t>การทำร้ายวัวเป็นการละเมิดกฎ.</t>
  </si>
  <si>
    <t>การให้ผู้ดูแลใช้วิธีการฝึกที่ผิดกฎหมายเพื่อเตรียมวัวสามารถทำได้หรือไม่?</t>
  </si>
  <si>
    <t>A) ได้; B) ไม่ได้; C) ขึ้นอยู่กับวิธีการฝึก; D) ขึ้นอยู่กับการตัดสินของกรรมการ</t>
  </si>
  <si>
    <t>การฝึกไม่เหมาะสมถือเป็นการละเมิดกฎ.</t>
  </si>
  <si>
    <t>หากวัวได้รับบาดเจ็บจากการกระทำของผู้ดูแลในระหว่างการแข่งขัน กรรมการสามารถยุติการแข่งขันได้หรือไม่?</t>
  </si>
  <si>
    <t>A) ได้; B) ไม่ได้; C) ขึ้นอยู่กับอาการบาดเจ็บ; D) ขึ้นอยู่กับการตัดสินของกรรมการ</t>
  </si>
  <si>
    <t>การใช้การโจมตีที่อันตรายในระหว่างการแข่งขันชนวัวสามารถทำได้หรือไม่?</t>
  </si>
  <si>
    <t>A) ได้; B) ไม่ได้; C) ขึ้นอยู่กับประเภทของการโจมตี; D) ขึ้นอยู่กับการตัดสินของกรรมการ</t>
  </si>
  <si>
    <t>การโจมตีที่อันตรายทำให้เกิดความไม่ยุติธรรม.</t>
  </si>
  <si>
    <t>การให้วัวมีโอกาสพักผ่อนระหว่างการแข่งขันสามารถทำได้หรือไม่?</t>
  </si>
  <si>
    <t>A) ได้; B) ไม่ได้; C) ขึ้นอยู่กับระยะเวลาของการแข่งขัน; D) ขึ้นอยู่กับการตัดสินของกรรมการ</t>
  </si>
  <si>
    <t>การแข่งขันต้องดำเนินไปต่อเนื่อง.</t>
  </si>
  <si>
    <t>กรรมการสามารถใช้คำเตือนเพื่อป้องกันการกระทำผิดในการแข่งขันได้หรือไม่?</t>
  </si>
  <si>
    <t>A) ได้; B) ไม่ได้; C) ขึ้นอยู่กับการกระทำผิด; D) ขึ้นอยู่กับการตัดสินของกรรมการ</t>
  </si>
  <si>
    <t>การเตือนเป็นการช่วยป้องกันการกระทำผิดในอนาคต.</t>
  </si>
  <si>
    <t>หากวัวไม่สามารถทำตามกฎของการแข่งขัน กรรมการสามารถตัดสินให้วัวแพ้ได้หรือไม่?</t>
  </si>
  <si>
    <t>การไม่ปฏิบัติตามกฎทำให้วัวแพ้.</t>
  </si>
  <si>
    <t>การใช้การกระทำที่ทำให้คู่ต่อสู้รู้สึกกลัวหรือเครียดในระหว่างการแข่งขันสามารถทำได้หรือไม่?</t>
  </si>
  <si>
    <t>A) ได้; B) ไม่ได้; C) ขึ้นอยู่กับการกระทำ; D) ขึ้นอยู่กับการตัดสินของกรรมการ</t>
  </si>
  <si>
    <t>การกระทำที่ไม่เหมาะสมทำให้เกิดความไม่ยุติธรรม.</t>
  </si>
  <si>
    <t>หากผู้ดูแลละเมิดกฎในระหว่างการแข่งขัน กรรมการสามารถยุติการแข่งขันได้หรือไม่?</t>
  </si>
  <si>
    <t>A) ได้; B) ไม่ได้; C) ขึ้นอยู่กับการละเมิด; D) ขึ้นอยู่กับการตัดสินของกรรมการ</t>
  </si>
  <si>
    <t>การยุติการแข่งขันช่วยรักษาความยุติธรรม.</t>
  </si>
  <si>
    <t>ผู้ดูแลสามารถเปลี่ยนแปลงกฎของการแข่งขันได้หรือไม่?</t>
  </si>
  <si>
    <t>กฎการแข่งขันต้องถูกปฏิบัติตาม.</t>
  </si>
  <si>
    <t>A) ได้; B) ไม่ได้; C) ขึ้นอยู่กับชนิดของสารเคมี; D) ขึ้นอยู่กับการตัดสินของกรรมการ</t>
  </si>
  <si>
    <t>สารเคมีอาจทำให้วัวได้รับอันตราย.</t>
  </si>
  <si>
    <t>กรรมการสามารถเปลี่ยนแปลงประเภทของการแข่งขันในระหว่างการแข่งได้หรือไม่?</t>
  </si>
  <si>
    <t>ประเภทของการแข่งขันต้องชัดเจนตั้งแต่เริ่มต้น.</t>
  </si>
  <si>
    <t>การสั่งให้วัวหยุดพักในระหว่างการแข่งขันสามารถทำได้หรือไม่?</t>
  </si>
  <si>
    <t>การหยุดพักจะทำให้การแข่งขันไม่ยุติธรรม.</t>
  </si>
  <si>
    <t>หากผู้ดูแลละเลยการตรวจสอบวัวก่อนการแข่งขัน กรรมการสามารถยุติการแข่งขันได้หรือไม่?</t>
  </si>
  <si>
    <t>การตรวจสอบก่อนการแข่งขันเป็นการป้องกันความเสี่ยง.</t>
  </si>
  <si>
    <t>ผู้ดูแลสามารถใช้เครื่องมือที่ไม่ได้รับอนุญาตในระหว่างการแข่งขันได้หรือไม่?</t>
  </si>
  <si>
    <t>A) ได้; B) ไม่ได้; C) ขึ้นอยู่กับประเภทของเครื่องมือ; D) ขึ้นอยู่กับการตัดสินของกรรมการ</t>
  </si>
  <si>
    <t>การใช้เครื่องมือที่ไม่ได้รับอนุญาตเป็นการละเมิดกฎ.</t>
  </si>
  <si>
    <t>หากวัวได้รับบาดเจ็บในระหว่างการแข่งขัน กรรมการสามารถให้การรักษาทันทีได้หรือไม่?</t>
  </si>
  <si>
    <t>A) ได้; B) ไม่ได้; C) ขึ้นอยู่กับการบาดเจ็บ; D) ขึ้นอยู่กับการตัดสินของกรรมการ</t>
  </si>
  <si>
    <t>การรักษาทันทีช่วยป้องกันอันตรายที่อาจเกิดขึ้น.</t>
  </si>
  <si>
    <t>ผู้ดูแลสามารถเลือกวัวที่ไม่ได้รับการตรวจสอบจากกรรมการเข้าร่วมการแข่งขันได้หรือไม่?</t>
  </si>
  <si>
    <t>A) ได้; B) ไม่ได้; C) ขึ้นอยู่กับการตรวจสอบ; D) ขึ้นอยู่กับการตัดสินของกรรมการ</t>
  </si>
  <si>
    <t>การตรวจสอบวัวเป็นสิ่งจำเป็น.</t>
  </si>
  <si>
    <t>หากมีการโกงเกิดขึ้นในระหว่างการแข่งขัน กรรมการสามารถลงโทษได้หรือไม่?</t>
  </si>
  <si>
    <t>A) ได้; B) ไม่ได้; C) ขึ้นอยู่กับการโกง; D) ขึ้นอยู่กับการตัดสินของกรรมการ</t>
  </si>
  <si>
    <t>การโกงเป็นการละเมิดกฎการแข่งขัน.</t>
  </si>
  <si>
    <t>การตัดสินต้องมีความยุติธรรมและรักษาความปลอดภัย.</t>
  </si>
  <si>
    <t>ก่อนเริ่มการแข่งขันชอนเลนวาว คุณต้องตรวจสอบอะไรใน kite?</t>
  </si>
  <si>
    <t>A) ความสมดุลของ kite; B) ขนาดของ kite; C) สีของ kite; D) ความแข็งแรงของเชือก</t>
  </si>
  <si>
    <t>A) ความสมดุลของ kite</t>
  </si>
  <si>
    <t>การตรวจสอบความสมดุลช่วยให้ kite อยู่ในตำแหน่งที่เหมาะสมในการบิน.</t>
  </si>
  <si>
    <t>ในระหว่างการแข่งขัน หาก kite ของคุณพุ่งชนกับคู่แข่ง คุณจะทำอย่างไร?</t>
  </si>
  <si>
    <t>A) บินต่อไป; B) แจ้งกรรมการ; C) ปรับทิศทาง; D) หยุดการแข่งขัน</t>
  </si>
  <si>
    <t>กรรมการต้องตรวจสอบการชนของ kite ตามกฎการแข่งขัน.</t>
  </si>
  <si>
    <t>หากเชือกของ kite ขาดระหว่างการแข่งขัน คุณจะทำอย่างไร?</t>
  </si>
  <si>
    <t>A) หยุดทันที; B) แจ้งกรรมการ; C) เปลี่ยน kite; D) หาทางทำให้เชือกยาวขึ้น</t>
  </si>
  <si>
    <t>A) หยุดทันที</t>
  </si>
  <si>
    <t>การขาดเชือกทำให้ไม่สามารถแข่งขันต่อได้.</t>
  </si>
  <si>
    <t>การพับ kite ก่อนการแข่งขันมีข้อห้ามหรือไม่?</t>
  </si>
  <si>
    <t>A) มีข้อห้าม; B) ไม่มีข้อห้าม</t>
  </si>
  <si>
    <t>A) มีข้อห้าม</t>
  </si>
  <si>
    <t>การพับ kite อาจทำให้เสียสมรรถภาพการบิน.</t>
  </si>
  <si>
    <t>ผู้เล่นสามารถใช้วัสดุใดในการสร้าง kite?</t>
  </si>
  <si>
    <t>A) ไม้และผ้า; B) เหล็กและพลาสติก; C) กระดาษและเชือก; D) ใยแก้วและอลูมิเนียม</t>
  </si>
  <si>
    <t>A) ไม้และผ้า</t>
  </si>
  <si>
    <t>วัสดุที่เหมาะสมจะช่วยให้ kite บินได้ดี.</t>
  </si>
  <si>
    <t>การบิน kite ในลมที่แรงเกินไปผิดกฎหรือไม่?</t>
  </si>
  <si>
    <t>A) ผิดกฎ; B) ไม่ผิดกฎ</t>
  </si>
  <si>
    <t>A) ผิดกฎ</t>
  </si>
  <si>
    <t>ลมที่แรงเกินไปอาจทำให้ kite ไม่สามารถควบคุมได้.</t>
  </si>
  <si>
    <t>ในการแข่งขัน kite fighting ห้ามใช้วิธีการใดในการควบคุม kite?</t>
  </si>
  <si>
    <t>A) ใช้เชือกเสริมแรง; B) ใช้เครื่องยนต์; C) ใช้การควบคุมด้วยมือ; D) ใช้แป้นควบคุม</t>
  </si>
  <si>
    <t>B) ใช้เครื่องยนต์</t>
  </si>
  <si>
    <t>การใช้เครื่องยนต์ใน kite ถือเป็นการโกง.</t>
  </si>
  <si>
    <t>หาก kite ของคุณบินออกจากพื้นที่แข่งขัน คุณจะทำอย่างไร?</t>
  </si>
  <si>
    <t>A) แจ้งกรรมการ; B) แข่งต่อไป; C) ลาก kite กลับ; D) หยุดการแข่งขัน</t>
  </si>
  <si>
    <t>กรรมการจะพิจารณาตามกฎที่เกี่ยวข้อง.</t>
  </si>
  <si>
    <t>ระหว่างการแข่งขัน ผู้เล่นสามารถเปลี่ยน kite ได้หรือไม่?</t>
  </si>
  <si>
    <t>A) เปลี่ยนได้; B) เปลี่ยนไม่ได้</t>
  </si>
  <si>
    <t>B) เปลี่ยนไม่ได้</t>
  </si>
  <si>
    <t>ผู้เล่นต้องใช้ kite ที่ลงทะเบียนไว้เท่านั้น.</t>
  </si>
  <si>
    <t>ในการแข่งขัน kite fighting กฎการจบเกมเป็นอย่างไร?</t>
  </si>
  <si>
    <t>A) เมื่อ kite ของคู่แข่งตก; B) เมื่อ kite ของตัวเองตก; C) เมื่อเชือกขาด; D) เมื่อมีเวลาเกินกำหนด</t>
  </si>
  <si>
    <t>A) เมื่อ kite ของคู่แข่งตก</t>
  </si>
  <si>
    <t>การตกของ kite ของคู่แข่งถือเป็นการแพ้.</t>
  </si>
  <si>
    <t>หากผู้เล่นใช้เชือกที่ยาวเกินไป จะมีผลกระทบอะไร?</t>
  </si>
  <si>
    <t>A) ไม่มีผล; B) อาจทำให้ kite บินออกนอกพื้นที่แข่งขัน; C) ช่วยให้ kite บินได้สูงขึ้น; D) อาจถูกปรับ</t>
  </si>
  <si>
    <t>B) อาจทำให้ kite บินออกนอกพื้นที่แข่งขัน</t>
  </si>
  <si>
    <t>การใช้เชือกที่ยาวเกินไปอาจทำให้สูญเสียการควบคุม.</t>
  </si>
  <si>
    <t>ในกรณีที่กรรมการไม่สามารถตัดสินได้ คุณจะทำอย่างไร?</t>
  </si>
  <si>
    <t>A) หยุดการแข่งขัน; B) แจ้งผู้จัดการแข่งขัน; C) โต้แย้งกับคู่แข่ง; D) ทำการลงคะแนน</t>
  </si>
  <si>
    <t>B) แจ้งผู้จัดการแข่งขัน</t>
  </si>
  <si>
    <t>ผู้จัดจะมีคำตัดสินสุดท้าย.</t>
  </si>
  <si>
    <t>ในขณะที่กำลังแข่งขัน ผู้เล่นสามารถรับคำแนะนำจากทีมงานหรือผู้ช่วยได้หรือไม่?</t>
  </si>
  <si>
    <t>A) ได้; B) ไม่ได้</t>
  </si>
  <si>
    <t>การแข่งขันต้องเป็นการแสดงฝีมือของผู้เล่นเพียงคนเดียว.</t>
  </si>
  <si>
    <t>การเปลี่ยนเชือกในระหว่างการแข่งขันเป็นเรื่องที่ทำได้หรือไม่?</t>
  </si>
  <si>
    <t>A) ทำได้; B) ทำไม่ได้</t>
  </si>
  <si>
    <t>B) ทำไม่ได้</t>
  </si>
  <si>
    <t>การเปลี่ยนเชือกจะทำให้เกิดความไม่ยุติธรรมในการแข่งขัน.</t>
  </si>
  <si>
    <t>ผู้เล่นสามารถทำ kite ให้มีรูปร่างหรือขนาดตามต้องการได้หรือไม่?</t>
  </si>
  <si>
    <t>แต่ต้องเป็นไปตามกฎที่กำหนดเกี่ยวกับขนาดและรูปทรง.</t>
  </si>
  <si>
    <t>เมื่อ kite ของคุณขาดในระหว่างการแข่งขัน คุณสามารถกลับมาลงแข่งขันใหม่ได้หรือไม่?</t>
  </si>
  <si>
    <t>การขาด kite หมายถึงการสิ้นสุดการแข่งขัน.</t>
  </si>
  <si>
    <t>ในระหว่างการแข่งขัน หาก kite ของคุณถูกดึงจากฝ่ายตรงข้าม คุณจะทำอย่างไร?</t>
  </si>
  <si>
    <t>A) แจ้งกรรมการ; B) สู้ต่อไป; C) หยุดทันที; D) ลาก kite กลับ</t>
  </si>
  <si>
    <t>กรรมการจะตรวจสอบและตัดสินตามกฎ.</t>
  </si>
  <si>
    <t>การใช้เทคนิคการบินที่ผิดกฎหมายใน kite fighting มีบทลงโทษหรือไม่?</t>
  </si>
  <si>
    <t>A) ไม่มีบทลงโทษ; B) มีบทลงโทษ</t>
  </si>
  <si>
    <t>B) มีบทลงโทษ</t>
  </si>
  <si>
    <t>การใช้เทคนิคที่ผิดกฎหมายอาจทำให้ถูกตัดสิทธิ์.</t>
  </si>
  <si>
    <t>การแข่งขัน kite fighting ใช้ระยะเวลานานเท่าไร?</t>
  </si>
  <si>
    <t>A) 1 ชั่วโมง; B) 30 นาที; C) จนกว่า kite ของฝ่ายใดฝ่ายหนึ่งตก; D) 2 ชั่วโมง</t>
  </si>
  <si>
    <t>C) จนกว่า kite ของฝ่ายใดฝ่ายหนึ่งตก</t>
  </si>
  <si>
    <t>การแข่งขันจะสิ้นสุดเมื่อมีฝ่ายแพ้.</t>
  </si>
  <si>
    <t>ผู้เล่นสามารถใช้คมมีดตัดเชือกของคู่แข่งได้หรือไม่?</t>
  </si>
  <si>
    <t>การใช้คมมีดถือเป็นการโกง.</t>
  </si>
  <si>
    <t>ในกรณีที่กรรมการสั่งให้หยุดการแข่งขัน ผู้เล่นสามารถคัดค้านคำสั่งได้หรือไม่?</t>
  </si>
  <si>
    <t>การหยุดการแข่งขันตามคำสั่งของกรรมการต้องปฏิบัติตามกฎ.</t>
  </si>
  <si>
    <t>ผู้เล่นสามารถฝึกบิน kite ได้ก่อนการแข่งขันหรือไม่?</t>
  </si>
  <si>
    <t>การฝึกซ้อมล่วงหน้าช่วยเพิ่มทักษะในการแข่งขัน.</t>
  </si>
  <si>
    <t>การใช้เครื่องมือช่วยในการควบคุม kite เช่น ควบคุมทางอิเล็กทรอนิกส์เป็นสิ่งที่อนุญาตหรือไม่?</t>
  </si>
  <si>
    <t>A) อนุญาต; B) ไม่อนุญาต</t>
  </si>
  <si>
    <t>การใช้เครื่องมือที่ไม่ธรรมชาติถือเป็นการโกง.</t>
  </si>
  <si>
    <t>ผู้เล่นสามารถใช้เชือกหลายเส้นเพื่อควบคุม kite ได้หรือไม่?</t>
  </si>
  <si>
    <t>ผู้เล่นต้องใช้เชือกเส้นเดียว.</t>
  </si>
  <si>
    <t>เมื่อ kite ของคู่แข่งถูกตัดเชือก ผู้เล่นที่เหลือจะต้องทำอย่างไร?</t>
  </si>
  <si>
    <t>A) แจ้งกรรมการ; B) แข่งต่อไป; C) หยุดเกม; D) ยกมือขอหยุด</t>
  </si>
  <si>
    <t>การตัดเชือกของคู่แข่งไม่ใช่เหตุผลในการหยุดเกม.</t>
  </si>
  <si>
    <t>ในการแข่งขัน ผู้เล่นสามารถเลือกใช้ kite ที่ไม่ลงทะเบียนไว้ได้หรือไม่?</t>
  </si>
  <si>
    <t>ผู้เล่นต้องใช้ kite ที่ได้ลงทะเบียน.</t>
  </si>
  <si>
    <t>หากมีฝนตกในระหว่างการแข่งขัน จะมีการหยุดแข่งขันหรือไม่?</t>
  </si>
  <si>
    <t>A) มี; B) ไม่มี</t>
  </si>
  <si>
    <t>A) มี</t>
  </si>
  <si>
    <t>การหยุดการแข่งขันเนื่องจากสภาพอากาศที่ไม่เหมาะสม.</t>
  </si>
  <si>
    <t>ในการแข่งขัน kite fighting หาก kite ของคุณบินสูงเกินไป อาจมีผลกระทบอะไร?</t>
  </si>
  <si>
    <t>A) ไม่มีผล; B) อาจทำให้สูญเสียการควบคุม; C) ช่วยให้คุมคู่แข่งได้ง่าย; D) ทำให้ kite ของคุณเร็วขึ้น</t>
  </si>
  <si>
    <t>B) อาจทำให้สูญเสียการควบคุม</t>
  </si>
  <si>
    <t>การบินสูงเกินไปอาจทำให้ kite หลงทาง.</t>
  </si>
  <si>
    <t>ในระหว่างการแข่งขัน หากมีผู้ชมเข้าไปในพื้นที่แข่งขัน ผู้เล่นจะต้องทำอย่างไร?</t>
  </si>
  <si>
    <t>A) แจ้งกรรมการ; B) หยุดการแข่งขัน; C) ทำการล่าช้า; D) แจ้งผู้จัด</t>
  </si>
  <si>
    <t>กรรมการต้องจัดการกับสถานการณ์ที่ไม่เหมาะสม.</t>
  </si>
  <si>
    <t>หากผู้เล่นทำการทุจริตในระหว่างการแข่งขัน กรรมการจะลงโทษอย่างไร?</t>
  </si>
  <si>
    <t>A) ตักเตือน; B) ปรับคะแนน; C) ตัดสิทธิ์; D) เปลี่ยนทีม</t>
  </si>
  <si>
    <t>C) ตัดสิทธิ์</t>
  </si>
  <si>
    <t>การทุจริตถือเป็นการฝ่าฝืนกฎ.</t>
  </si>
  <si>
    <t>ในการแข่งขัน kite fighting ผู้เล่นต้องมีอายุเท่าไรถึงจะเข้าร่วมได้?</t>
  </si>
  <si>
    <t>A) 18 ปี; B) 15 ปี; C) 21 ปี; D) ไม่มีข้อจำกัด</t>
  </si>
  <si>
    <t>D) ไม่มีข้อจำกัด</t>
  </si>
  <si>
    <t>ผู้เล่นสามารถเข้าร่วมการแข่งขันได้โดยไม่มีข้อกำหนดด้านอายุ.</t>
  </si>
  <si>
    <t>ผู้เล่นสามารถใช้วัสดุใดในการทำ kite ได้บ้าง?</t>
  </si>
  <si>
    <t>A) พลาสติก; B) กระดาษ; C) โลหะ; D) ไม้และผ้า</t>
  </si>
  <si>
    <t>D) ไม้และผ้า</t>
  </si>
  <si>
    <t>วัสดุธรรมชาติช่วยให้ kite บินได้ดีและมีความคงทน.</t>
  </si>
  <si>
    <t>การเปลี่ยนเชือกของ kite ระหว่างการแข่งขันเป็นสิ่งที่ทำได้หรือไม่?</t>
  </si>
  <si>
    <t>การเปลี่ยนเชือกกลางการแข่งขันถือเป็นการละเมิดกฎ.</t>
  </si>
  <si>
    <t>หาก kite ของคุณบินออกจากพื้นที่การแข่งขัน คุณสามารถบินกลับมาใหม่ได้หรือไม่?</t>
  </si>
  <si>
    <t>เมื่อ kite ออกจากพื้นที่การแข่งขันจะถือว่าแพ้.</t>
  </si>
  <si>
    <t>ผู้เล่นสามารถใช้อุปกรณ์ช่วยเสริมเชือกเพื่อเพิ่มความเร็วได้หรือไม่?</t>
  </si>
  <si>
    <t>การใช้เครื่องมือช่วยเหลือเป็นการละเมิดกฎ.</t>
  </si>
  <si>
    <t>การบิน kite ในลมที่พัดเบาเกินไปเป็นสิ่งที่อนุญาตหรือไม่?</t>
  </si>
  <si>
    <t>A) อนุญาต</t>
  </si>
  <si>
    <t>ลมเบาอาจทำให้ kite ไม่บินได้ดี แต่ไม่ได้ผิดกฎ.</t>
  </si>
  <si>
    <t>ผู้เล่นสามารถนำ kite ที่ได้รับความเสียหายกลับมาบินใหม่ได้หรือไม่?</t>
  </si>
  <si>
    <t xml:space="preserve"> kite ที่ได้รับความเสียหายจะต้องถอนออกจากการแข่งขัน.</t>
  </si>
  <si>
    <t>กรรมการสามารถปรับเปลี่ยนกฎการแข่งขันระหว่างการแข่งขันได้หรือไม่?</t>
  </si>
  <si>
    <t>กฎการแข่งขันจะต้องเป็นไปตามที่กำหนดไว้ล่วงหน้า.</t>
  </si>
  <si>
    <t>ในกรณีที่มีการชนกันระหว่าง kite สองลำ ผู้เล่นสามารถกลับมาแข่งใหม่ได้หรือไม่?</t>
  </si>
  <si>
    <t>เมื่อเกิดการชนกันจะถือว่าเป็นการแพ้.</t>
  </si>
  <si>
    <t>ผู้เล่นสามารถใช้เทคนิคการบินแบบพิเศษในการแข่งขันได้หรือไม่?</t>
  </si>
  <si>
    <t>เทคนิคพิเศษที่ไม่เป็นไปตามกฎจะถือว่าไม่ถูกต้อง.</t>
  </si>
  <si>
    <t>การบิน kite ในพื้นที่ที่มีสายไฟฟ้าแรงสูงถือเป็นสิ่งที่ผิดกฎหรือไม่?</t>
  </si>
  <si>
    <t>การบินใกล้สายไฟฟ้าอาจเกิดอันตรายได้.</t>
  </si>
  <si>
    <t>ผู้เล่นสามารถใช้อุปกรณ์เสริมในการควบคุม kite เช่น ตัวปรับสมดุลได้หรือไม่?</t>
  </si>
  <si>
    <t>อุปกรณ์เสริมที่ไม่ถูกต้องถือเป็นการละเมิดกฎ.</t>
  </si>
  <si>
    <t>ในการแข่งขัน หาก kite ของคุณถูกโจมตีโดย kite ของคู่แข่ง คุณต้องทำอย่างไร?</t>
  </si>
  <si>
    <t>A) แจ้งกรรมการ; B) สู้ต่อไป; C) หยุดเกม; D) ยอมแพ้</t>
  </si>
  <si>
    <t>กรรมการจะพิจารณาความผิดตามกฎ.</t>
  </si>
  <si>
    <t>ผู้เล่นสามารถบิน kite ในทิศทางที่ไม่ตรงกับลมได้หรือไม่?</t>
  </si>
  <si>
    <t>การบิน kite ในทิศทางต่างๆ สามารถทำได้แต่ต้องระมัดระวัง.</t>
  </si>
  <si>
    <t>ถ้าผู้เล่นทำ kite ตกลงพื้น จะถือว่าเป็นการแพ้หรือไม่?</t>
  </si>
  <si>
    <t>A) ถือว่าแพ้; B) ไม่ถือว่าแพ้</t>
  </si>
  <si>
    <t>A) ถือว่าแพ้</t>
  </si>
  <si>
    <t>การตกของ kite หมายถึงการสิ้นสุดเกม.</t>
  </si>
  <si>
    <t>ผู้เล่นสามารถบิน kite ได้ในสภาพอากาศที่มีฝนตกได้หรือไม่?</t>
  </si>
  <si>
    <t>การบิน kite ในสภาพอากาศที่มีฝนตกถือเป็นสิ่งที่ไม่ปลอดภัย.</t>
  </si>
  <si>
    <t>การใช้ kite ที่มีการดัดแปลงให้มีความเร็วสูงเกินไปผิดกฎหรือไม่?</t>
  </si>
  <si>
    <t>การดัดแปลง kite เพื่อเพิ่มความเร็วเกินไปถือเป็นการโกง.</t>
  </si>
  <si>
    <t>ผู้เล่นสามารถใช้เชือกที่ยาวเกินกว่ากำหนดในการแข่งขันได้หรือไม่?</t>
  </si>
  <si>
    <t>เชือกที่ยาวเกินกว่ากฎอาจทำให้สูญเสียการควบคุม.</t>
  </si>
  <si>
    <t>หากมีการใช้ kite ที่มีขนาดใหญ่เกินไป ผู้เล่นจะถูกลงโทษหรือไม่?</t>
  </si>
  <si>
    <t>A) ถูกลงโทษ; B) ไม่ถูกลงโทษ</t>
  </si>
  <si>
    <t>A) ถูกลงโทษ</t>
  </si>
  <si>
    <t>ขนาด kite ที่ใหญ่เกินไปอาจทำให้เสียสมดุล.</t>
  </si>
  <si>
    <t>ผู้เล่นสามารถใช้เชือกที่มีลักษณะเป็นสายรัดได้หรือไม่?</t>
  </si>
  <si>
    <t>เชือกต้องมีลักษณะที่เหมาะสมตามกฎการแข่งขัน.</t>
  </si>
  <si>
    <t>การใช้งาน kite ในการฝึกซ้อมล่วงหน้าเป็นสิ่งที่อนุญาตหรือไม่?</t>
  </si>
  <si>
    <t>การฝึกซ้อมล่วงหน้าช่วยเพิ่มความชำนาญ.</t>
  </si>
  <si>
    <t>หาก kite ของคุณเกิดการขาดในระหว่างการแข่งขัน คุณสามารถใช้ kite อื่นได้หรือไม่?</t>
  </si>
  <si>
    <t>ผู้เล่นต้องใช้ kite เดิมตลอดการแข่งขัน.</t>
  </si>
  <si>
    <t>ในการแข่งขัน ผู้เล่นสามารถเลือกใช้วิธีการบิน kite แบบใดก็ได้หรือไม่?</t>
  </si>
  <si>
    <t>ผู้เล่นต้องปฏิบัติตามกฎวิธีการบินที่กำหนด.</t>
  </si>
  <si>
    <t>หากกรรมการสั่งให้หยุดการแข่งขันระหว่างเกม ผู้เล่นสามารถทำอะไรได้บ้าง?</t>
  </si>
  <si>
    <t>A) โต้แย้ง; B) หยุดและรอคำสั่งใหม่; C) เริ่มเกมใหม่; D) ถอนตัว</t>
  </si>
  <si>
    <t>B) หยุดและรอคำสั่งใหม่</t>
  </si>
  <si>
    <t>ผู้เล่นต้องปฏิบัติตามคำสั่งของกรรมการ.</t>
  </si>
  <si>
    <t>ในการแข่งขัน kite fighting คุณสามารถบิน kite บนพื้นผิวที่ไม่เรียบได้หรือไม่?</t>
  </si>
  <si>
    <t>การบินบนพื้นผิวไม่เรียบอาจทำให้ kite ไม่สามารถบินได้ดี.</t>
  </si>
  <si>
    <t>ผู้เล่นสามารถมีผู้ช่วยในการบิน kite ได้หรือไม่?</t>
  </si>
  <si>
    <t>การแข่งขันต้องเป็นการแสดงความสามารถของผู้เล่นเพียงคนเดียว.</t>
  </si>
  <si>
    <t>ในกรณีที่มีความผิดปกติในการบิน ผู้เล่นสามารถทำการซ่อมแซม kite ได้หรือไม่?</t>
  </si>
  <si>
    <t>การซ่อมแซมในระหว่างการแข่งขันเป็นการละเมิดกฎ.</t>
  </si>
  <si>
    <t>ผู้เล่นสามารถใช้ kite ที่มีการตกแต่งเพิ่มเติม เช่น สีสันได้หรือไม่?</t>
  </si>
  <si>
    <t>การตกแต่ง kite ด้วยสีสันสามารถทำได้ตามที่กฎอนุญาต.</t>
  </si>
  <si>
    <t>หาก kite ของผู้เล่นตกลงจากท้องฟ้าและไม่สามารถเก็บได้ในระหว่างการแข่งขัน จะต้องทำอย่างไร?</t>
  </si>
  <si>
    <t>A) แจ้งกรรมการ; B) หยุดทันที; C) กลับไปเริ่มใหม่; D) รอให้กรรมการตัดสิน</t>
  </si>
  <si>
    <t>กรรมการจะตัดสินตามกฎที่เกี่ยวข้อง.</t>
  </si>
  <si>
    <t>การใช้เชือกที่มีความทนทานสูงเป็นสิ่งที่ผิดกฎหรือไม่?</t>
  </si>
  <si>
    <t>B) ไม่ผิดกฎ</t>
  </si>
  <si>
    <t>การใช้เชือกที่ทนทานช่วยให้การแข่งขันเป็นไปอย่างปลอดภัย.</t>
  </si>
  <si>
    <t>ในการแข่งขัน kite fighting ผู้เล่นสามารถใช้ kite ที่มีขนาดใหญ่กว่ากำหนดได้หรือไม่?</t>
  </si>
  <si>
    <t>การใช้ kite ที่มีขนาดใหญ่เกินกว่ากฎจะทำให้เสียเปรียบในการแข่งขัน.</t>
  </si>
  <si>
    <t>ถ้าผู้เล่นใช้เชือกที่มีความยาวเกินกว่าที่กฎกำหนด จะมีผลอย่างไร?</t>
  </si>
  <si>
    <t>A) ถูกปรับคะแนน; B) ถูกตัดสิทธิ์; C) ได้คะแนนเพิ่ม; D) ไม่มีผล</t>
  </si>
  <si>
    <t>B) ถูกตัดสิทธิ์</t>
  </si>
  <si>
    <t>เชือกที่ยาวเกินกว่ากฎจะทำให้ผู้เล่นถูกตัดสิทธิ์.</t>
  </si>
  <si>
    <t>การบิน kite ในสภาพอากาศที่มีลมแรงเกินไปเป็นสิ่งที่อนุญาตหรือไม่?</t>
  </si>
  <si>
    <t>ลมแรงเกินไปอาจทำให้ kite ควบคุมได้ยากและอาจเกิดอันตราย.</t>
  </si>
  <si>
    <t>ผู้เล่นสามารถบิน kite ในเวลาที่มืดได้หรือไม่?</t>
  </si>
  <si>
    <t>การบินในที่มืดไม่ปลอดภัยและขัดกับกฎการแข่งขัน.</t>
  </si>
  <si>
    <t>หาก kite ของผู้เล่นถูกตัดเชือกและตกลงมา ถือว่าเป็นการแพ้หรือไม่?</t>
  </si>
  <si>
    <t>การตัดเชือกหรือทำให้ kite ตกลงถือว่าแพ้ในเกม.</t>
  </si>
  <si>
    <t>ในการแข่งขัน ผู้เล่นสามารถใช้เครื่องมือเสริมในการควบคุม kite ได้หรือไม่?</t>
  </si>
  <si>
    <t>การใช้เครื่องมือเสริมที่ไม่เกี่ยวข้องถือเป็นการโกง.</t>
  </si>
  <si>
    <t>ผู้เล่นสามารถให้ความช่วยเหลือกับผู้เล่นทีมเดียวกันในการบิน kite ได้หรือไม่?</t>
  </si>
  <si>
    <t>แต่ละผู้เล่นต้องแข่งขันกันเองโดยไม่มีการช่วยเหลือ.</t>
  </si>
  <si>
    <t>การขัดขวางการบินของคู่แข่งด้วยวิธีการที่ไม่เป็นธรรม เช่น การใช้สารเคมี ถือว่าเป็นการละเมิดกฎหรือไม่?</t>
  </si>
  <si>
    <t>A) ถือว่าเป็นการละเมิด; B) ไม่ถือว่าเป็นการละเมิด</t>
  </si>
  <si>
    <t>A) ถือว่าเป็นการละเมิด</t>
  </si>
  <si>
    <t>การขัดขวางคู่แข่งด้วยวิธีไม่เป็นธรรมถือเป็นการฝ่าฝืนกฎ.</t>
  </si>
  <si>
    <t>ผู้เล่นสามารถใช้ kite ที่มีการตกแต่งหรือภาพวาดพิเศษได้หรือไม่?</t>
  </si>
  <si>
    <t>ผู้เล่นสามารถตกแต่ง kite ได้ตามที่ต้องการ.</t>
  </si>
  <si>
    <t>การใช้เชือกที่มีความทนทานสูงมากเกินไปถือว่าเป็นสิ่งที่ผิดกฎหรือไม่?</t>
  </si>
  <si>
    <t>การใช้เชือกที่ทนทานช่วยให้การควบคุม kite เป็นไปอย่างปลอดภัย.</t>
  </si>
  <si>
    <t>ผู้เล่นสามารถฝึกซ้อมการบิน kite ก่อนการแข่งขันได้หรือไม่?</t>
  </si>
  <si>
    <t>การฝึกซ้อมก่อนการแข่งขันช่วยให้ผู้เล่นมีความชำนาญมากขึ้น.</t>
  </si>
  <si>
    <t>ถ้า kite ของผู้เล่นได้รับความเสียหายในระหว่างการแข่งขัน ผู้เล่นต้องทำอย่างไร?</t>
  </si>
  <si>
    <t>A) หยุดเกมและซ่อม kite; B) แจ้งกรรมการ; C) กลับไปเริ่มใหม่; D) ใช้ kite อื่น</t>
  </si>
  <si>
    <t>กรรมการจะตัดสินตามกฎที่กำหนด.</t>
  </si>
  <si>
    <t>การบิน kite ในท่าที่ไม่ถูกต้องหรือไม่สมดุลถือว่าเป็นการละเมิดกฎหรือไม่?</t>
  </si>
  <si>
    <t>การบินที่ไม่สมดุลสามารถทำให้ kite ตกได้.</t>
  </si>
  <si>
    <t>การใช้เชือกที่มีลักษณะไม่เหมาะสม เช่น เชือกที่มีความยืดหยุ่นสูงเกินไปถือว่าเป็นการละเมิดกฎหรือไม่?</t>
  </si>
  <si>
    <t>เชือกที่มีลักษณะไม่เหมาะสมทำให้การควบคุม kite ยากขึ้น.</t>
  </si>
  <si>
    <t>ถ้าผู้เล่นตัดสินใจเปลี่ยน kite ในระหว่างการแข่งขัน ถือว่าเป็นการผิดกฎหรือไม่?</t>
  </si>
  <si>
    <t>ผู้เล่นสามารถบิน kite ในสนามที่มีอุปสรรค เช่น ต้นไม้ หรือสิ่งกีดขวางได้หรือไม่?</t>
  </si>
  <si>
    <t>อุปสรรคอาจทำให้ kite บินได้ไม่ดีและเสี่ยงต่อการเสียหาย.</t>
  </si>
  <si>
    <t>ในการแข่งขัน ผู้เล่นสามารถร่วมแข่งขันพร้อมกันหลายๆ คนได้หรือไม่?</t>
  </si>
  <si>
    <t>การแข่งขันจะต้องทำโดยผู้เล่นคนเดียว.</t>
  </si>
  <si>
    <t>การตั้งค่าขนาดของ kite ที่ไม่สอดคล้องกับกฎการแข่งขันจะมีผลอย่างไร?</t>
  </si>
  <si>
    <t>A) จะถูกปรับคะแนน; B) จะถูกตัดสิทธิ์; C) ไม่มีผล</t>
  </si>
  <si>
    <t>B) จะถูกตัดสิทธิ์</t>
  </si>
  <si>
    <t>ขนาดของ kite ต้องตรงตามที่กฎกำหนด.</t>
  </si>
  <si>
    <t>ถ้า kite ของผู้เล่นตกลงในพื้นที่ของคู่แข่ง ผู้เล่นจะได้รับผลอย่างไร?</t>
  </si>
  <si>
    <t>A) จะได้รับคะแนน; B) จะเสียคะแนน; C) จะเสียสิทธิ์</t>
  </si>
  <si>
    <t>B) จะเสียคะแนน</t>
  </si>
  <si>
    <t>การตกในพื้นที่ของคู่แข่งถือว่าเป็นการแพ้.</t>
  </si>
  <si>
    <t>ผู้เล่นสามารถใช้การปรับเปลี่ยน kite ให้เหมาะสมกับสภาพอากาศได้หรือไม่?</t>
  </si>
  <si>
    <t>การปรับเปลี่ยน kite ให้เหมาะสมช่วยให้การแข่งขันเป็นไปได้ดี.</t>
  </si>
  <si>
    <t>ผู้เล่นสามารถใช้อุปกรณ์เสริมในการปรับสมดุล kite ระหว่างการแข่งขันได้หรือไม่?</t>
  </si>
  <si>
    <t>การใช้เครื่องมือเสริมถือเป็นการละเมิดกฎ.</t>
  </si>
  <si>
    <t>การบิน kite ในช่วงที่ลมไม่คงที่หรือเปลี่ยนทิศบ่อยๆ ถือว่าเป็นการผิดกฎหรือไม่?</t>
  </si>
  <si>
    <t>การบินในลมที่ไม่คงที่ถือเป็นส่วนหนึ่งของการแข่งขัน.</t>
  </si>
  <si>
    <t>ผู้เล่นสามารถใช้การบิน kite ที่มีความเร็วสูงเกินกว่าความเร็วที่กฎกำหนดได้หรือไม่?</t>
  </si>
  <si>
    <t>การบิน kite ด้วยความเร็วเกินไปอาจทำให้เกิดอุบัติเหตุ.</t>
  </si>
  <si>
    <t>ในการแข่งขัน ผู้เล่นสามารถขอให้กรรมการหยุดการแข่งขันได้หรือไม่?</t>
  </si>
  <si>
    <t>การหยุดการแข่งขันจะต้องขึ้นอยู่กับการตัดสินของกรรมการ.</t>
  </si>
  <si>
    <t>หาก kite ของผู้เล่นไม่สามารถควบคุมได้และบินออกนอกสนาม จะถือว่าเป็นการแพ้หรือไม่?</t>
  </si>
  <si>
    <t>การที่ kite ออกนอกสนามจะถือว่าแพ้.</t>
  </si>
  <si>
    <t>การใช้ kite ที่มีความเสี่ยงสูงเช่น การใช้วัสดุที่ไม่เหมาะสมในเวลาฝนตกถือว่าเป็นการฝ่าฝืนกฎหรือไม่?</t>
  </si>
  <si>
    <t>A) ถือว่าเป็นการฝ่าฝืน; B) ไม่ถือว่าเป็นการฝ่าฝืน</t>
  </si>
  <si>
    <t>A) ถือว่าเป็นการฝ่าฝืน</t>
  </si>
  <si>
    <t>การใช้วัสดุไม่เหมาะสมในสภาพอากาศเลวร้ายถือเป็นการละเมิดกฎ.</t>
  </si>
  <si>
    <t>ในการแข่งขัน kite fighting ผู้เล่นสามารถใช้พฤติกรรมที่ไม่สุภาพกับคู่แข่งได้หรือไม่?</t>
  </si>
  <si>
    <t>การใช้พฤติกรรมที่ไม่สุภาพถือเป็นการละเมิดกฎ.</t>
  </si>
  <si>
    <t>หาก kite ของผู้เล่นเกิดความเสียหายในระหว่างการแข่งขัน ผู้เล่นสามารถทำการซ่อมแซม kite ได้หรือไม่?</t>
  </si>
  <si>
    <t>ผู้เล่นไม่สามารถซ่อมแซม kite ระหว่างการแข่งขัน.</t>
  </si>
  <si>
    <t>ผู้เล่นสามารถขอเปลี่ยน kite หลังจากการแข่งขันเริ่มไปแล้วได้หรือไม่?</t>
  </si>
  <si>
    <t>ในการแข่งขัน หากมีการเกิดความผิดพลาดทางเทคนิคในการบิน kite ผู้เล่นจะทำอย่างไร?</t>
  </si>
  <si>
    <t>A) แจ้งกรรมการ; B) หยุดเกมทันที; C) ทำการซ่อมแซมและเล่นต่อ; D) โต้แย้ง</t>
  </si>
  <si>
    <t>กรรมการจะพิจารณาและตัดสินตามกฎที่เกี่ยวข้อง.</t>
  </si>
  <si>
    <t>ผู้เล่นสามารถใช้เทคนิคการบิน kite ที่ไม่เคยใช้ในการฝึกซ้อมได้หรือไม่?</t>
  </si>
  <si>
    <t>การใช้เทคนิคที่ไม่เคยฝึกซ้อมอาจทำให้ kite ควบคุมไม่ได้.</t>
  </si>
  <si>
    <t>ถ้าผู้เล่นใช้เชือกที่มีความยาวไม่เท่ากันในคู่แข่งสองคน จะถือว่าเป็นการผิดกฎหรือไม่?</t>
  </si>
  <si>
    <t>เชือกต้องมีความยาวเท่ากันสำหรับการแข่งขันที่ยุติธรรม.</t>
  </si>
  <si>
    <t>การแข่งขัน kite fighting สามารถจัดในสนามที่มีฝนตกได้หรือไม่?</t>
  </si>
  <si>
    <t>ฝนตกอาจทำให้ kite เสียหายและเพิ่มความเสี่ยง.</t>
  </si>
  <si>
    <t>หากผู้เล่นทำ kite ตกลงในพื้นที่ของฝ่ายตรงข้าม เขาจะต้องทำอย่างไร?</t>
  </si>
  <si>
    <t>A) หยุดเล่นและยอมแพ้; B) ขอแก้ไขสถานการณ์; C) ไม่ต้องทำอะไร</t>
  </si>
  <si>
    <t>A) หยุดเล่นและยอมแพ้</t>
  </si>
  <si>
    <t>การตกในพื้นที่ของฝ่ายตรงข้ามถือเป็นการแพ้.</t>
  </si>
  <si>
    <t>ในการแข่งขัน ผู้เล่นสามารถใช้วัสดุที่ไม่ใช่ไม้หรือผ้าในการทำ kite ได้หรือไม่?</t>
  </si>
  <si>
    <t>วัสดุที่ใช้ต้องเหมาะสมกับกฎการแข่งขัน.</t>
  </si>
  <si>
    <t>หาก kite ของผู้เล่นมีความเสียหายเล็กน้อยระหว่างการแข่งขัน เขาจะต้องทำอย่างไร?</t>
  </si>
  <si>
    <t>A) ซ่อม kite ทันที; B) แจ้งกรรมการ; C) หยุดเล่น</t>
  </si>
  <si>
    <t>ผู้เล่นสามารถเปลี่ยนตำแหน่ง kite ภายในสนามได้หรือไม่?</t>
  </si>
  <si>
    <t>ตำแหน่ง kite ควรจะคงที่ในระหว่างการแข่งขัน.</t>
  </si>
  <si>
    <t>การใช้วิธีการที่ผิดปกติในการตัดสินการชนของ kite ถือว่าเป็นการละเมิดกฎหรือไม่?</t>
  </si>
  <si>
    <t>วิธีการที่ผิดกฎไม่ควรใช้ในการตัดสินผล.</t>
  </si>
  <si>
    <t>การบิน kite ในสภาพอากาศที่มีฝนหรือเมฆมาก ถือว่าเป็นการละเมิดกฎหรือไม่?</t>
  </si>
  <si>
    <t>สภาพอากาศเช่นนี้อาจทำให้การควบคุม kite เป็นไปได้ยาก.</t>
  </si>
  <si>
    <t>การใช้เชือกที่มีลักษณะบางเกินไปจะมีผลต่อการบินของ kite หรือไม่?</t>
  </si>
  <si>
    <t>A) มีผล; B) ไม่มีผล</t>
  </si>
  <si>
    <t>A) มีผล</t>
  </si>
  <si>
    <t>เชือกที่บางเกินไปอาจทำให้ kite ไม่สามารถควบคุมได้ดี.</t>
  </si>
  <si>
    <t>หาก kite ของผู้เล่นไม่ได้รับการอนุมัติจากกรรมการก่อนการแข่งขัน ถือว่าเป็นการผิดกฎหรือไม่?</t>
  </si>
  <si>
    <t>A) ถือว่าเป็นการผิดกฎ; B) ไม่ถือว่าเป็นการผิดกฎ</t>
  </si>
  <si>
    <t>A) ถือว่าเป็นการผิดกฎ</t>
  </si>
  <si>
    <t>ทุก kite ต้องได้รับการตรวจสอบและอนุมัติก่อนการแข่งขัน.</t>
  </si>
  <si>
    <t>ผู้เล่นสามารถขอให้กรรมการยืดเวลาในการแข่งขันได้หรือไม่?</t>
  </si>
  <si>
    <t>เวลาในการแข่งขันต้องเป็นไปตามกฎที่กำหนด.</t>
  </si>
  <si>
    <t>หากผู้เล่นไม่ได้ปฏิบัติตามกฎการตั้งค่า kite ก่อนการแข่งขัน เขาจะได้รับผลอย่างไร?</t>
  </si>
  <si>
    <t>A) ถูกปรับคะแนน; B) ถูกตัดสิทธิ์; C) ไม่มีผล</t>
  </si>
  <si>
    <t>การไม่ปฏิบัติตามกฎจะทำให้ผู้เล่นถูกตัดสิทธิ์.</t>
  </si>
  <si>
    <t>ผู้เล่นสามารถใช้วิธีการที่ไม่เป็นธรรม เช่น การใช้สารเคมีในการเพิ่มความเร็ว kite ได้หรือไม่?</t>
  </si>
  <si>
    <t>การใช้สารเคมีในการโกงถือเป็นการฝ่าฝืนกฎ.</t>
  </si>
  <si>
    <t>การบิน kite ที่มีขนาดไม่ตรงตามข้อกำหนดในกฎจะถือว่าเป็นการผิดกฎหรือไม่?</t>
  </si>
  <si>
    <t>ขนาดของ kite ต้องเป็นไปตามข้อกำหนด.</t>
  </si>
  <si>
    <t>ผู้เล่นสามารถใช้การบิน kite ที่มีการตกแต่งพิเศษได้หรือไม่?</t>
  </si>
  <si>
    <t>การตกแต่ง kite ถือเป็นเรื่องที่อนุญาตในการแข่งขัน.</t>
  </si>
  <si>
    <t>การใช้ kite ที่มีความคงทนสูงหรือวัสดุที่มีคุณภาพเกินไปถือว่าเป็นการผิดกฎหรือไม่?</t>
  </si>
  <si>
    <t>B) ไม่ถือว่าเป็นการผิดกฎ</t>
  </si>
  <si>
    <t>วัสดุที่ดีช่วยให้ kite แข็งแรงและปลอดภัย.</t>
  </si>
  <si>
    <t>การบิน kite ที่มีความเร็วสูงเกินไปสามารถส่งผลกระทบต่อผลการแข่งขันได้หรือไม่?</t>
  </si>
  <si>
    <t>A) สามารถส่งผลกระทบ; B) ไม่สามารถส่งผลกระทบ</t>
  </si>
  <si>
    <t>A) สามารถส่งผลกระทบ</t>
  </si>
  <si>
    <t>ความเร็วสูงเกินไปอาจทำให้ kite ไม่สามารถควบคุมได้.</t>
  </si>
  <si>
    <t>ผู้เล่นสามารถใช้เทคนิคพิเศษเพื่อขัดขวางคู่แข่งในการแข่งขันได้หรือไม่?</t>
  </si>
  <si>
    <t>การขัดขวางคู่แข่งถือเป็นการละเมิดกฎ.</t>
  </si>
  <si>
    <t>หาก kite ของผู้เล่นถูกขัดขวางจากคู่แข่ง การแข่งขันจะถูกหยุดหรือไม่?</t>
  </si>
  <si>
    <t>A) จะถูกหยุด; B) จะไม่ถูกหยุด</t>
  </si>
  <si>
    <t>B) จะไม่ถูกหยุด</t>
  </si>
  <si>
    <t>การแข่งขันจะดำเนินต่อไปตามกฎ.</t>
  </si>
  <si>
    <t>ผู้เล่นสามารถขอให้กรรมการตัดสินเรื่องที่เกิดขึ้นในระหว่างการแข่งขันได้หรือไม่?</t>
  </si>
  <si>
    <t>กรรมการสามารถตัดสินข้อขัดแย้งในระหว่างการแข่งขัน.</t>
  </si>
  <si>
    <t>การใช้เชือกที่มีลักษณะพิเศษที่อาจมีผลต่อการบินของ kite ถือว่าเป็นการผิดกฎหรือไม่?</t>
  </si>
  <si>
    <t>เชือกต้องมีลักษณะที่เหมาะสมกับการแข่งขัน.</t>
  </si>
  <si>
    <t>ผู้เล่นสามารถบิน kite ในท่าที่ผิดกฎได้หรือไม่?</t>
  </si>
  <si>
    <t>การบินในท่าที่ผิดกฎอาจทำให้ kite ตกหรือเสียหาย.</t>
  </si>
  <si>
    <t>ในการแข่งขัน ผู้เล่นสามารถใช้เทคนิคในการควบคุม kite ที่ผิดจากกฎได้หรือไม่?</t>
  </si>
  <si>
    <t>การใช้เทคนิคที่ผิดกฎทำให้เสียเปรียบในการแข่งขัน.</t>
  </si>
  <si>
    <t>ผู้เล่นสามารถใช้ kite ที่มีขนาดเล็กเกินไปได้หรือไม่?</t>
  </si>
  <si>
    <t>ขนาดของ kite ต้องตรงตามกฎที่กำหนด.</t>
  </si>
  <si>
    <t>หาก kite ของผู้เล่นมีการเปลี่ยนแปลงรูปแบบหรือขนาดในระหว่างการแข่งขัน ถือว่าเป็นการผิดกฎหรือไม่?</t>
  </si>
  <si>
    <t>รูปแบบและขนาดต้องคงที่ตลอดการแข่งขัน.</t>
  </si>
  <si>
    <t>ผู้เล่นสามารถเปลี่ยน kite ระหว่างการแข่งขันได้หรือไม่?</t>
  </si>
  <si>
    <t>ในการแข่งขัน kite fighting ผู้เล่นต้องรักษามาตรฐานของ kite ตามกฎที่กำหนดหรือไม่?</t>
  </si>
  <si>
    <t>A) ต้องรักษา; B) ไม่ต้องรักษา</t>
  </si>
  <si>
    <t>A) ต้องรักษา</t>
  </si>
  <si>
    <t>มาตรฐานของ kite เป็นสิ่งที่สำคัญสำหรับการแข่งขันที่ยุติธรรม.</t>
  </si>
  <si>
    <t>การฝ่าฝืนกฎในการตั้งค่า kite อาจทำให้ผู้เล่นได้รับผลกระทบอะไร?</t>
  </si>
  <si>
    <t>A) ได้คะแนนเพิ่ม; B) ได้คะแนนลด; C) ถูกตัดสิทธิ์</t>
  </si>
  <si>
    <t>C) ถูกตัดสิทธิ์</t>
  </si>
  <si>
    <t>การฝ่าฝืนกฎจะทำให้ผู้เล่นถูกตัดสิทธิ์.</t>
  </si>
  <si>
    <t>ผู้เล่นสามารถใช้ kite ที่มีส่วนเสริมเพิ่มเติมในระหว่างการแข่งขันได้หรือไม่?</t>
  </si>
  <si>
    <t>การใช้ส่วนเสริมเพิ่มเติมถือเป็นการละเมิดกฎ.</t>
  </si>
  <si>
    <t>ผู้เล่นสามารถใช้เทคนิคในการบิน kite ที่ผิดปกติหรือไม่?</t>
  </si>
  <si>
    <t>เทคนิคการบินต้องอยู่ในขอบเขตของกฎที่กำหนด.</t>
  </si>
  <si>
    <t>หาก kite ของผู้เล่นติดอยู่ในต้นไม้ระหว่างการแข่งขัน เขาจะต้องทำอย่างไร?</t>
  </si>
  <si>
    <t>A) แจ้งกรรมการ; B) ลองดึง kite ออกมา; C) หยุดการแข่งขัน</t>
  </si>
  <si>
    <t>กรรมการจะตัดสินสถานการณ์ตามกฎที่เกี่ยวข้อง.</t>
  </si>
  <si>
    <t>การใช้เชือกที่มีความหนาเกินไปจะมีผลต่อการบินของ kite หรือไม่?</t>
  </si>
  <si>
    <t>เชือกที่หนาเกินไปอาจทำให้ kite ควบคุมได้ยาก.</t>
  </si>
  <si>
    <t>ในการแข่งขัน kite fighting ผู้เล่นสามารถบิน kite ในลักษณะที่ทำให้คู่แข่งไม่สามารถเห็นได้หรือไม่?</t>
  </si>
  <si>
    <t>การบิน kite ต้องไม่เป็นการหลบหลีกเพื่อให้คู่แข่งเห็นได้ชัดเจน.</t>
  </si>
  <si>
    <t>หากผู้เล่นใช้ kite ที่มีขนาดไม่ตรงตามกฎ เขาจะได้รับผลกระทบอย่างไร?</t>
  </si>
  <si>
    <t>A) คะแนนเพิ่ม; B) คะแนนลด; C) ถูกตัดสิทธิ์</t>
  </si>
  <si>
    <t>การใช้ kite ที่ไม่ตรงตามกฎจะทำให้ผู้เล่นถูกตัดสิทธิ์.</t>
  </si>
  <si>
    <t>หากการบิน kite ทำให้เกิดความเสียหายกับสนามการแข่งขัน จะมีการปรับเปลี่ยนกฎหรือไม่?</t>
  </si>
  <si>
    <t>A) จะมีการปรับเปลี่ยน; B) จะไม่มีการปรับเปลี่ยน</t>
  </si>
  <si>
    <t>B) จะไม่มีการปรับเปลี่ยน</t>
  </si>
  <si>
    <t>สนามแข่งขันจะต้องได้รับการดูแลให้เหมาะสม.</t>
  </si>
  <si>
    <t>ผู้เล่นสามารถบิน kite ของฝ่ายตรงข้ามได้หรือไม่?</t>
  </si>
  <si>
    <t>การบิน kite ของฝ่ายตรงข้ามถือเป็นการละเมิดกฎ.</t>
  </si>
  <si>
    <t>ผู้เล่นต้องบิน kite ด้วยมือเดียวหรือไม่?</t>
  </si>
  <si>
    <t>A) ต้อง; B) ไม่ต้อง</t>
  </si>
  <si>
    <t>B) ไม่ต้อง</t>
  </si>
  <si>
    <t>ผู้เล่นสามารถบิน kite ด้วยทั้งสองมือได้ตามสะดวก.</t>
  </si>
  <si>
    <t>A) แจ้งกรรมการ; B) ซ่อม kite ทันที; C) หยุดการแข่งขัน</t>
  </si>
  <si>
    <t>กรรมการจะตัดสินตามสถานการณ์ที่เกิดขึ้น.</t>
  </si>
  <si>
    <t>การใช้ kite ที่มีส่วนเสริมพิเศษ เช่น การติดลวดหรือวัสดุที่ทำให้ kite แข็งแรงขึ้น ถือว่าเป็นการผิดกฎหรือไม่?</t>
  </si>
  <si>
    <t>การใช้ส่วนเสริมที่ไม่อนุญาตถือเป็นการละเมิดกฎ.</t>
  </si>
  <si>
    <t>การบิน kite ในช่วงเวลากลางคืนสามารถทำได้หรือไม่?</t>
  </si>
  <si>
    <t>การบิน kite ต้องทำในช่วงเวลาที่มีแสงสว่างเพียงพอเพื่อความปลอดภัย.</t>
  </si>
  <si>
    <t>หาก kite ของผู้เล่นบินออกนอกสนาม จะถือว่าเป็นการผิดกฎหรือไม่?</t>
  </si>
  <si>
    <t>การบินออกนอกสนามจะทำให้ผู้เล่นแพ้ในการแข่งขัน.</t>
  </si>
  <si>
    <t>หากผู้เล่นใช้ kite ที่มีสีหรือการออกแบบที่ไม่เหมาะสม จะถูกตัดสิทธิ์หรือไม่?</t>
  </si>
  <si>
    <t>A) ถูกตัดสิทธิ์; B) ไม่ถูกตัดสิทธิ์</t>
  </si>
  <si>
    <t>การออกแบบและสีของ kite ต้องตรงตามข้อกำหนดของกฎ.</t>
  </si>
  <si>
    <t>ผู้เล่นสามารถใช้ kite ที่มีเชือกที่แตกต่างจากกฎได้หรือไม่?</t>
  </si>
  <si>
    <t>เชือกต้องตรงตามกฎเพื่อความปลอดภัยและยุติธรรม.</t>
  </si>
  <si>
    <t>หากผู้เล่นทำ kite ของคู่แข่งตกลงจากการชนกัน เขาจะได้รับผลอย่างไร?</t>
  </si>
  <si>
    <t>A) คะแนนเพิ่ม; B) คะแนนลด; C) ไม่มีผล</t>
  </si>
  <si>
    <t>A) คะแนนเพิ่ม</t>
  </si>
  <si>
    <t>การทำ kite ของคู่แข่งตกถือเป็นการชนะ.</t>
  </si>
  <si>
    <t>ในการแข่งขัน kite fighting ผู้เล่นสามารถใช้อุปกรณ์เสริมใด ๆ ที่ไม่เกี่ยวข้องกับ kite หรือไม่?</t>
  </si>
  <si>
    <t>การใช้อุปกรณ์เสริมที่ไม่เกี่ยวข้องถือเป็นการละเมิดกฎ.</t>
  </si>
  <si>
    <t>หากผู้เล่นทำ kite ของตนเองตกลงบนพื้น เขาจะได้รับผลอะไร?</t>
  </si>
  <si>
    <t>การทำ kite ของตัวเองตกถือเป็นการแพ้.</t>
  </si>
  <si>
    <t>การใช้เชือกที่มีความยาวไม่เหมาะสมกับขนาดของ kite ถือว่าเป็นการผิดกฎหรือไม่?</t>
  </si>
  <si>
    <t>เชือกต้องมีความยาวที่เหมาะสมกับขนาดของ kite.</t>
  </si>
  <si>
    <t>หากผู้เล่นบิน kite ในท่าที่ไม่เหมาะสมและทำให้เกิดความเสียหายต่อ kite เขาจะได้รับผลกระทบอย่างไร?</t>
  </si>
  <si>
    <t>A) คะแนนลด; B) ถูกตัดสิทธิ์; C) ไม่มีผล</t>
  </si>
  <si>
    <t>A) คะแนนลด</t>
  </si>
  <si>
    <t>การบินในท่าที่ไม่เหมาะสมอาจทำให้ kite เสียหาย.</t>
  </si>
  <si>
    <t>หาก kite ของผู้เล่นติดในพื้นที่ที่ไม่สามารถเข้าถึงได้ เช่น ที่สูง จะต้องทำอย่างไร?</t>
  </si>
  <si>
    <t>A) แจ้งกรรมการ; B) พยายามดึง kite ออก; C) หยุดการแข่งขัน</t>
  </si>
  <si>
    <t>ผู้เล่นสามารถใช้ kite ที่มีการตกแต่งพิเศษได้หรือไม่?</t>
  </si>
  <si>
    <t>การตกแต่ง kite เพื่อเพิ่มความสวยงามหรือประสิทธิภาพเป็นเรื่องที่อนุญาต.</t>
  </si>
  <si>
    <t>ผู้เล่นต้องใช้ kite ที่มีความคงทนตามกฎการแข่งขันหรือไม่?</t>
  </si>
  <si>
    <t>A) ต้อง</t>
  </si>
  <si>
    <t>การใช้ kite ที่มีความคงทนและปลอดภัยเป็นสิ่งจำเป็น.</t>
  </si>
  <si>
    <t>หากผู้เล่นใช้ kite ที่มีขนาดหรือรูปแบบผิดจากข้อกำหนดของกฎ เขาจะได้รับผลกระทบอย่างไร?</t>
  </si>
  <si>
    <t>การใช้ kite ที่ไม่ตรงตามกฎทำให้ผู้เล่นถูกตัดสิทธิ์.</t>
  </si>
  <si>
    <t>การใช้เชือกที่ไม่เป็นไปตามข้อกำหนดจะส่งผลต่อการแข่งขันอย่างไร?</t>
  </si>
  <si>
    <t>A) ทำให้ไม่สามารถแข่งขันได้; B) ไม่มีผลต่อการแข่งขัน</t>
  </si>
  <si>
    <t>A) ทำให้ไม่สามารถแข่งขันได้</t>
  </si>
  <si>
    <t>เชือกต้องตรงตามข้อกำหนดเพื่อการควบคุมที่ปลอดภัย.</t>
  </si>
  <si>
    <t>ผู้เล่นสามารถบิน kite ที่มีความเร็วสูงเกินไปหรือไม่?</t>
  </si>
  <si>
    <t>การบิน kite ที่มีความเร็วสูงเกินไปอาจทำให้ kite ควบคุมไม่ได้.</t>
  </si>
  <si>
    <t>ผู้เล่นสามารถใช้วิธีการที่จะทำให้ kite ของคู่แข่งขาดหรือเสียหายได้หรือไม่?</t>
  </si>
  <si>
    <t>การทำลาย kite ของคู่แข่งถือเป็นการละเมิดกฎ.</t>
  </si>
  <si>
    <t>หาก kite ของผู้เล่นไม่ได้รับการอนุมัติจากกรรมการก่อนการแข่งขัน เขาจะต้องทำอย่างไร?</t>
  </si>
  <si>
    <t>A) รอการอนุมัติจากกรรมการ; B) ใช้ kite ที่ไม่ได้รับอนุมัติ</t>
  </si>
  <si>
    <t>A) รอการอนุมัติจากกรรมการ</t>
  </si>
  <si>
    <t xml:space="preserve"> kite ต้องได้รับการอนุมัติจากกรรมการก่อนการแข่งขัน.</t>
  </si>
  <si>
    <t>หากการบิน kite ถูกขัดจังหวะจากปัจจัยภายนอก เช่น สภาพอากาศจะต้องทำอย่างไร?</t>
  </si>
  <si>
    <t>A) หยุดการแข่งขัน; B) ดำเนินการแข่งขันต่อไป</t>
  </si>
  <si>
    <t>A) หยุดการแข่งขัน</t>
  </si>
  <si>
    <t>ปัจจัยภายนอกที่ไม่คาดคิดอาจทำให้การบินไม่ปลอดภัย.</t>
  </si>
  <si>
    <t>ผู้เล่นสามารถใช้ kite ที่มีวัสดุพิเศษที่ไม่เป็นอันตรายได้หรือไม่?</t>
  </si>
  <si>
    <t>วัสดุพิเศษที่ไม่เป็นอันตรายสามารถใช้ได้ตามกฎ.</t>
  </si>
  <si>
    <t>หาก kite ของผู้เล่นตกจากท้องฟ้าและโดนคู่แข่ง จะถือว่าเป็นการแพ้หรือไม่?</t>
  </si>
  <si>
    <t>การทำ kite ของผู้เล่นตกลงและชนคู่แข่งถือเป็นการแพ้.</t>
  </si>
  <si>
    <t>ผู้เล่นสามารถใช้ kite ที่มีน้ำหนักมากเกินไปในการแข่งขันได้หรือไม่?</t>
  </si>
  <si>
    <t>การใช้ kite ที่หนักเกินไปอาจทำให้การควบคุมไม่เหมาะสม.</t>
  </si>
  <si>
    <t>ผู้เล่นสามารถบิน kite ที่มีการเสริมวัสดุที่ช่วยเพิ่มความเร็วได้หรือไม่?</t>
  </si>
  <si>
    <t>การใช้วัสดุที่ไม่อนุญาตเพื่อเพิ่มความเร็วถือเป็นการละเมิดกฎ.</t>
  </si>
  <si>
    <t>หากผู้เล่นทำ kite ของตัวเองแตกหรือเสียหาย เขาจะได้รับผลกระทบอย่างไร?</t>
  </si>
  <si>
    <t>A) ถูกตัดสิทธิ์; B) คะแนนลด; C) ไม่มีผล</t>
  </si>
  <si>
    <t>การทำ kite ของตัวเองเสียหายถือเป็นการละเมิดกฎ.</t>
  </si>
  <si>
    <t>ผู้เล่นสามารถบิน kite ด้วยการใช้เครื่องมือเสริมที่ไม่เกี่ยวข้องกับ kite หรือไม่?</t>
  </si>
  <si>
    <t>เครื่องมือเสริมที่ไม่เกี่ยวข้องถือเป็นการผิดกฎ.</t>
  </si>
  <si>
    <t>ในการแข่งขัน kite fighting ผู้เล่นสามารถใช้ kite ที่มีการปรับแต่งให้ได้ประสิทธิภาพมากขึ้นได้หรือไม่?</t>
  </si>
  <si>
    <t>การปรับแต่ง kite ให้ได้ประสิทธิภาพที่ไม่ตามกฎถือเป็นการละเมิด.</t>
  </si>
  <si>
    <t>หาก kite ของผู้เล่นไม่ตรงตามขนาดที่กำหนดจะทำให้เกิดผลอย่างไร?</t>
  </si>
  <si>
    <t>ขนาดของ kite ต้องตรงตามข้อกำหนด.</t>
  </si>
  <si>
    <t>ผู้เล่นสามารถบิน kite ที่มีการออกแบบที่ไม่เหมาะสมได้หรือไม่?</t>
  </si>
  <si>
    <t>การออกแบบ kite ต้องเป็นไปตามกฎที่กำหนด.</t>
  </si>
  <si>
    <t>การใช้ kite ที่มีความคงทนไม่ตรงตามมาตรฐานจะทำให้เกิดผลอะไร?</t>
  </si>
  <si>
    <t>การใช้ kite ที่ไม่ตรงตามมาตรฐานทำให้ผู้เล่นถูกตัดสิทธิ์.</t>
  </si>
  <si>
    <t>หากผู้เล่นใช้ kite ที่มีการใช้วัสดุที่ไม่ได้รับอนุญาต จะถูกลงโทษอย่างไร?</t>
  </si>
  <si>
    <t>A) ถูกตัดสิทธิ์; B) ถูกปรับคะแนน; C) ไม่มีผล</t>
  </si>
  <si>
    <t>การใช้วัสดุที่ไม่ได้รับอนุญาตถือเป็นการผิดกฎ.</t>
  </si>
  <si>
    <t>หาก kite ของผู้เล่นทำให้คู่แข่งหลุดออกจากสนาม จะถือว่าเป็นการแพ้หรือไม่?</t>
  </si>
  <si>
    <t>B) ไม่ถือว่าแพ้</t>
  </si>
  <si>
    <t>การทำให้คู่แข่งหลุดออกจากสนามไม่ได้ทำให้ผู้เล่นแพ้.</t>
  </si>
  <si>
    <t>ผู้เล่นสามารถใช้ kite ที่มีการตกแต่งพิเศษที่ไม่ได้รับอนุญาตได้หรือไม่?</t>
  </si>
  <si>
    <t>การใช้การตกแต่งพิเศษที่ไม่ได้รับอนุญาตถือเป็นการละเมิดกฎ.</t>
  </si>
  <si>
    <t>หาก kite ของผู้เล่นทำให้เกิดความเสียหายต่อตัวเองหรือผู้อื่น จะได้รับผลกระทบอย่างไร?</t>
  </si>
  <si>
    <t>การทำให้เกิดความเสียหายต่อผู้อื่นหรือสิ่งแวดล้อมถือเป็นการละเมิด.</t>
  </si>
  <si>
    <t>หากผู้เล่นใช้ kite ที่ไม่ตรงตามข้อกำหนดเรื่องความแข็งแรง จะได้รับผลอะไร?</t>
  </si>
  <si>
    <t>A) ถูกตัดสิทธิ์; B) คะแนนเพิ่ม; C) ไม่มีผล</t>
  </si>
  <si>
    <t>การใช้ kite ที่ไม่ตรงตามข้อกำหนดจะทำให้ถูกตัดสิทธิ์.</t>
  </si>
  <si>
    <t>ผู้เล่นสามารถใช้ kite ที่มีวัสดุที่ไม่ทนทานเพื่อเพิ่มความเร็วได้หรือไม่?</t>
  </si>
  <si>
    <t>การใช้วัสดุที่ไม่ทนทานเพื่อเพิ่มความเร็วถือเป็นการละเมิดกฎ.</t>
  </si>
  <si>
    <t>การใช้ kite ที่มีส่วนที่ไม่เหมาะสม เช่น ลวดหรือเหล็ก เป็นการผิดกฎหรือไม่?</t>
  </si>
  <si>
    <t>A) ถือเป็นการผิดกฎ; B) ไม่ถือเป็นการผิดกฎ</t>
  </si>
  <si>
    <t>A) ถือเป็นการผิดกฎ</t>
  </si>
  <si>
    <t>การใช้ส่วนเสริมที่ไม่เหมาะสมถือเป็นการละเมิดกฎ.</t>
  </si>
  <si>
    <t>หาก kite ของผู้เล่นโดนลมแรงเกินไปจนทำให้เกิดความเสียหาย จะได้รับผลกระทบอย่างไร?</t>
  </si>
  <si>
    <t>การทำ kite เสียหายเนื่องจากลมแรงถือเป็นการละเมิดกฎ.</t>
  </si>
  <si>
    <t>ผู้เล่นสามารถใช้ kite ที่มีน้ำหนักเกินไปได้หรือไม่?</t>
  </si>
  <si>
    <t xml:space="preserve"> kite ต้องมีน้ำหนักที่เหมาะสมกับขนาด.</t>
  </si>
  <si>
    <t>ผู้เล่นสามารถบิน kite ที่มีเชือกที่ไม่ตรงตามข้อกำหนดได้หรือไม่?</t>
  </si>
  <si>
    <t>เชือกต้องตรงตามข้อกำหนดเพื่อความปลอดภัย.</t>
  </si>
  <si>
    <t>หากผู้เล่นใช้ kite ที่มีขนาดเล็กเกินไป เขาจะได้รับผลกระทบอย่างไร?</t>
  </si>
  <si>
    <t>ขนาดของ kite ต้องตรงตามกฎ.</t>
  </si>
  <si>
    <t>หากผู้เล่นบิน kite ในท่าที่ผิดปกติและทำให้เกิดความเสียหาย เขาจะถูกลงโทษอย่างไร?</t>
  </si>
  <si>
    <t>การบิน kite ในท่าที่ไม่เหมาะสมอาจทำให้เกิดความเสียหาย.</t>
  </si>
  <si>
    <t>การใช้ kite ที่มีส่วนที่อาจทำให้เกิดการบาดเจ็บได้ถือเป็นการผิดกฎหรือไม่?</t>
  </si>
  <si>
    <t>การใช้ kite ที่มีส่วนที่อาจทำให้เกิดอันตรายถือเป็นการละเมิดกฎ.</t>
  </si>
  <si>
    <t>หาก kite ของผู้เล่นตัดขาดจากเชือก เขาจะได้รับผลกระทบอย่างไร?</t>
  </si>
  <si>
    <t>การทำให้ kite ขาดจากเชือกถือเป็นการละเมิดกฎ.</t>
  </si>
  <si>
    <t>การบิน kite ที่ไม่สามารถควบคุมได้ถือเป็นการผิดกฎหรือไม่?</t>
  </si>
  <si>
    <t xml:space="preserve"> kite ต้องสามารถควบคุมได้ตามกฎที่กำหนด.</t>
  </si>
  <si>
    <t>ผู้เล่นสามารถใช้ kite ที่มีสีที่ไม่อนุญาตในการแข่งขันได้หรือไม่?</t>
  </si>
  <si>
    <t>การเลือกสีของ kite ต้องเป็นไปตามข้อกำหนด.</t>
  </si>
  <si>
    <t>หาก kite ของผู้เล่นถูกทำให้ตกลงด้วยการชนกับ kite ของคู่แข่ง จะถือว่าเป็นการแพ้หรือไม่?</t>
  </si>
  <si>
    <t>B) ไม่ถือว่าเป็นการแพ้</t>
  </si>
  <si>
    <t>การชนกันไม่ทำให้แพ้หาก kite ไม่ตก.</t>
  </si>
  <si>
    <t>การใช้เชือกที่ยาวเกินไปในการบิน kite ถือเป็นการละเมิดกฎหรือไม่?</t>
  </si>
  <si>
    <t>A) ถือเป็นการละเมิด; B) ไม่ถือเป็นการละเมิด</t>
  </si>
  <si>
    <t>A) ถือเป็นการละเมิด</t>
  </si>
  <si>
    <t>เชือกต้องมีความยาวที่เหมาะสมตามกฎ.</t>
  </si>
  <si>
    <t>หากผู้เล่นไม่สามารถบิน kite ของตนเองได้ในระหว่างการแข่งขัน จะได้รับผลกระทบอย่างไร?</t>
  </si>
  <si>
    <t>ผู้เล่นต้องสามารถบิน kite ของตนเองได้ตลอดการแข่งขัน.</t>
  </si>
  <si>
    <t>หาก kite ของผู้เล่นทำให้เกิดอันตรายแก่ผู้ชม จะมีการลงโทษอย่างไร?</t>
  </si>
  <si>
    <t>การทำให้เกิดอันตรายต่อผู้ชมถือเป็นการละเมิดกฎ.</t>
  </si>
  <si>
    <t>หากผู้เล่นไม่ยินยอมปฏิบัติตามคำแนะนำจากกรรมการ จะได้รับผลกระทบอย่างไร?</t>
  </si>
  <si>
    <t>การไม่ปฏิบัติตามคำแนะนำกรรมการถือเป็นการละเมิด.</t>
  </si>
  <si>
    <t>ผู้เล่นสามารถใช้ kite ที่มีการตกแต่งที่ไม่เหมาะสมได้หรือไม่?</t>
  </si>
  <si>
    <t>การตกแต่ง kite ที่ไม่เหมาะสมถือเป็นการละเมิดกฎ.</t>
  </si>
  <si>
    <t>หาก kite ของผู้เล่นได้รับความเสียหายจากสภาพอากาศ จะได้รับผลกระทบอย่างไร?</t>
  </si>
  <si>
    <t>C) ไม่มีผล</t>
  </si>
  <si>
    <t>ความเสียหายจากสภาพอากาศไม่ได้มีผลต่อการแข่งขัน.</t>
  </si>
  <si>
    <t>การใช้ kite ที่มีเชือกยาวเกินไปจะส่งผลกระทบอย่างไร?</t>
  </si>
  <si>
    <t>B) คะแนนลด</t>
  </si>
  <si>
    <t>เชือกยาวเกินไปอาจทำให้ควบคุม kite ได้ยาก.</t>
  </si>
  <si>
    <t>ผู้เล่นสามารถใช้ kite ที่มีลักษณะเสริมที่ไม่อนุญาตได้หรือไม่?</t>
  </si>
  <si>
    <t>การใช้ลักษณะเสริมที่ไม่ได้รับอนุญาตถือเป็นการผิดกฎ.</t>
  </si>
  <si>
    <t>หาก kite ของผู้เล่นชนกับ kite ของคู่แข่งในขณะแข่งขัน จะถือว่าเป็นการแพ้หรือไม่?</t>
  </si>
  <si>
    <t>การชนกันระหว่าง kite ไม่ทำให้ผู้เล่นแพ้.</t>
  </si>
  <si>
    <t>ผู้เล่นสามารถใช้ kite ที่มีขนาดไม่ตรงตามข้อกำหนดได้หรือไม่?</t>
  </si>
  <si>
    <t>ขนาดของ kite ต้องตรงตามข้อกำหนดในการแข่งขัน.</t>
  </si>
  <si>
    <t>หากผู้เล่นใช้เชือกที่มีความแข็งแรงไม่ตรงตามมาตรฐาน จะได้รับผลกระทบอย่างไร?</t>
  </si>
  <si>
    <t>เชือกที่ไม่ตรงมาตรฐานทำให้ผู้เล่นถูกตัดสิทธิ์.</t>
  </si>
  <si>
    <t>หาก kite ของผู้เล่นไม่สามารถควบคุมได้ในระหว่างการแข่งขัน จะได้รับผลกระทบอย่างไร?</t>
  </si>
  <si>
    <t>ผู้เล่นต้องสามารถควบคุม kite ของตนเองได้ตลอดการแข่งขัน.</t>
  </si>
  <si>
    <t>หาก kite ของผู้เล่นเกินขนาดที่กำหนด จะได้รับผลกระทบอย่างไร?</t>
  </si>
  <si>
    <t xml:space="preserve"> kite ที่เกินขนาดถือเป็นการละเมิดกฎ.</t>
  </si>
  <si>
    <t>การใช้วัสดุที่ไม่ปลอดภัยในการทำ kite ถือเป็นการผิดกฎหรือไม่?</t>
  </si>
  <si>
    <t>วัสดุที่ไม่ปลอดภัยถือเป็นการละเมิดกฎ.</t>
  </si>
  <si>
    <t>หาก kite ของผู้เล่นถูกทำให้ตกจากฟ้าโดยคู่แข่ง เขาจะได้รับผลกระทบอย่างไร?</t>
  </si>
  <si>
    <t>การทำให้ kite ตกจากฟ้าโดยคู่แข่งถือเป็นการผิดกฎ.</t>
  </si>
  <si>
    <t>หากผู้เล่นละเมิดกฎเกี่ยวกับขนาดของ kite จะได้รับผลกระทบอย่างไร?</t>
  </si>
  <si>
    <t>การละเมิดกฎขนาดของ kite ทำให้ผู้เล่นถูกตัดสิทธิ์.</t>
  </si>
  <si>
    <t>ผู้เล่นสามารถใช้ kite ที่มีรูปร่างที่ไม่เหมาะสมได้หรือไม่?</t>
  </si>
  <si>
    <t>รูปร่างของ kite ต้องตรงตามข้อกำหนด.</t>
  </si>
  <si>
    <t>หาก kite ของผู้เล่นไม่เป็นไปตามกฎความแข็งแรง เขาจะได้รับผลกระทบอย่างไร?</t>
  </si>
  <si>
    <t>การใช้ kite ที่ไม่ตรงตามกฎความแข็งแรงทำให้ผู้เล่นถูกตัดสิทธิ์.</t>
  </si>
  <si>
    <t>หาก kite ของผู้เล่นถูกลมพัดหลุดจากท้องฟ้า จะได้รับผลกระทบอย่างไร?</t>
  </si>
  <si>
    <t>ลมพัด kite หลุดไม่ถือเป็นการละเมิด.</t>
  </si>
  <si>
    <t>ผู้เล่นสามารถใช้ kite ที่มีส่วนที่อาจทำให้เกิดการบาดเจ็บได้หรือไม่?</t>
  </si>
  <si>
    <t xml:space="preserve"> kite ต้องปลอดภัยจากการทำให้เกิดการบาดเจ็บ.</t>
  </si>
  <si>
    <t>หากผู้เล่นละเมิดกฎเกี่ยวกับวัสดุที่ใช้ทำ kite จะได้รับผลกระทบอย่างไร?</t>
  </si>
  <si>
    <t>การใช้วัสดุที่ไม่ถูกต้องทำให้ถูกตัดสิทธิ์.</t>
  </si>
  <si>
    <t>การใช้ kite ที่มีการออกแบบที่ไม่เหมาะสมในการแข่งขันถือเป็นการละเมิดกฎหรือไม่?</t>
  </si>
  <si>
    <t>การออกแบบ kite ที่ไม่เหมาะสมถือเป็นการละเมิดกฎ.</t>
  </si>
  <si>
    <t>หาก kite ของผู้เล่นถูกทำให้หลุดจากเชือกระหว่างการแข่งขัน จะได้รับผลกระทบอย่างไร?</t>
  </si>
  <si>
    <t>การทำให้ kite หลุดจากเชือกถือเป็นการละเมิดกฎ.</t>
  </si>
  <si>
    <t>การใช้ kite ที่มีสีที่ไม่ได้รับอนุญาตในการแข่งขันถือเป็นการผิดกฎหรือไม่?</t>
  </si>
  <si>
    <t>การเลือกสี kite ต้องตรงตามกฎ.</t>
  </si>
  <si>
    <t>Option-R</t>
  </si>
  <si>
    <t>ก่อนเริ่มการแข่งขันเล่นว่าว คุณต้องตรวจสอบอะไรในว่าว?</t>
  </si>
  <si>
    <t>ลมแรงไม่แรง แค่ทำให้ว่าวบินยากหรือง่ายขึ้นเท่านั้น</t>
  </si>
  <si>
    <t>A) ใช้เชือกเสริมแรง; B) ใช้เครื่องยนต์หรืออุปกรณ์ควบคุม; C) ใช้การควบคุมด้วยมือ; D) ใช้ว่าวของคนในทีมตัวเอง</t>
  </si>
  <si>
    <t>B) ใช้เครื่องยนต์หรืออุปกรณ์ควบคุม</t>
  </si>
  <si>
    <t>การใช้เครื่องยนต์หรืออุปกรณ์ควบคุมใน kite ถือเป็นการโกง.</t>
  </si>
  <si>
    <t>โดยปกติ การเปลี่ยนเชือกกลางการแข่งขันถือเป็นการละเมิดกฎ แต่ถ้ามีการชำรุดหรือขาดก็สามารถเปลี่ยนได้.</t>
  </si>
  <si>
    <t>ไม่ควรทำ เพราะต้องเตรียมความพร้อมมาก่อนแล้ว</t>
  </si>
  <si>
    <t>เมื่อว่าวของคู่แข่งถูกตัดเชือก ผู้เล่นที่เหลือจะต้องทำอย่างไร?</t>
  </si>
  <si>
    <t>ในการแข่งขัน ผู้เล่นสามารถเลือกใช้ว่าวที่ไม่ลงทะเบียนไว้ได้หรือไม่?</t>
  </si>
  <si>
    <t>หากมีฝนตกในระหว่างการแข่งขัน จะมีโอกาศหยุดการแข่งขันหรือไม่?</t>
  </si>
  <si>
    <t>แล้วแต่ดุลพินิจของกรรมการว่าจะให้งดการแข่งขันในวันนั้น หรือให้เลื่อนการแข่งขันไป เนื่องจากสภาพอากาศที่ไม่เหมาะสม.</t>
  </si>
  <si>
    <t>ในการแข่งขันเล่นว่าวหากว่าวของคุณบินสูงเกินไป อาจมีผลกระทบอะไร?</t>
  </si>
  <si>
    <t>A) ไม่มีผล; B) อาจทำให้สูญเสียการควบคุม; C) ช่วยให้คุมคู่แข่งได้ง่าย; D) ทำให้ว่าวของคุณเร็วขึ้น</t>
  </si>
  <si>
    <t>การบินสูงเกินไปอาจทำให้ว่าวหลงทาง.</t>
  </si>
  <si>
    <t>การเล่นว่าวในสถานที่ที่ลมพัดเบาเกินไป อนุญาตให้แข่งได้หรือไม่?</t>
  </si>
  <si>
    <t>ลมเบาอาจทำให้ว่าวบินได้ไม่ดี แต่ไม่ได้ผิดกฎ. ทั้งนี้แล้วแต่ดุลพินิจของกรรมการว่าจะให้งดการแข่งขันในวันนั้น หรือให้เลื่อนการแข่งขันไป</t>
  </si>
  <si>
    <t>kite ที่ได้รับความเสียหายจะต้องถอนออกจากการแข่งขัน.</t>
  </si>
  <si>
    <t>หากว่าวของผู้เล่นถูกตัดเชือกและตกลงมา ถือว่าแพ้หรือไม่?</t>
  </si>
  <si>
    <t>ผู้เล่นสามารถใช้ว่าวที่มีการตกแต่งหรือภาพวาดพิเศษได้หรือไม่?</t>
  </si>
  <si>
    <t>ผู้เล่นสามารถตกแต่งว่าวได้ตามที่ต้องการ.</t>
  </si>
  <si>
    <t>ผู้เล่นสามารถฝึกซ้อมเล่นว่าวก่อนการแข่งขันได้หรือไม่?</t>
  </si>
  <si>
    <t>ถ้าว่าวของผู้เล่นได้รับความเสียหายในระหว่างการแข่งขัน ผู้เล่นต้องทำอย่างไร?</t>
  </si>
  <si>
    <t>A) หยุดเกมและซ่อมว่าว; B) แจ้งกรรมการ; C) กลับไปเริ่มใหม่; D) ใช้ว่าวอื่น</t>
  </si>
  <si>
    <t>แจ้งกรรมการเพื่อตัดสิน</t>
  </si>
  <si>
    <t>ผู้เล่นสามารถเล่นว่าวในสนามที่มีอุปสรรค เช่น ต้นไม้ หรือสิ่งกีดขวางได้หรือไม่?</t>
  </si>
  <si>
    <t>อุปสรรคอาจทำให้ว่าวบินได้ไม่ดีและเสี่ยงต่อการเสียหาย.</t>
  </si>
  <si>
    <t>การแข่งขันสามารถแข่งประเภททีมได้</t>
  </si>
  <si>
    <t>ถ้าว่าวของผู้เล่นตกลงในพื้นที่ของคู่แข่ง ผู้เล่นจะได้รับผลอย่างไร?</t>
  </si>
  <si>
    <t>ผู้เล่นไม่สามารถซ่อมแซมว่าวระหว่างการแข่งขัน.</t>
  </si>
  <si>
    <t>ฝนตกอาจทำให้ว่าวเสียหายและเพิ่มความเสี่ยง.</t>
  </si>
  <si>
    <t>หากผู้เล่นทำว่าวตกลงในพื้นที่ของฝ่ายตรงข้าม เขาจะต้องทำอย่างไร?</t>
  </si>
  <si>
    <t>ตำแหน่ง kite เปลี่ยนได้ แต่ต้องไม่เป็นการรบกวนหรือขัดขวางผู้เล่นคนอื่น.</t>
  </si>
  <si>
    <t>หากผู้เล่นไม่ได้ใช้ว่าวที่มีขนาดตามกฎ ผู้เล่นจะได้รับผลอย่างไร?</t>
  </si>
  <si>
    <t>การฝ่าฝืนกฎในการตั้งค่าว่าว อาจทำให้ผู้เล่นได้รับผลกระทบอะไร?</t>
  </si>
  <si>
    <t>ผู้เล่นต้องเล่นว่าวด้วยมือเดียวหรือไม่?</t>
  </si>
  <si>
    <t>การใช้เชือกที่มีความยาวไม่เหมาะสมกับขนาดของว่าวถือว่าเป็นการผิดกฎหรือไม่?</t>
  </si>
  <si>
    <t>kite ต้องได้รับการอนุมัติจากกรรมการก่อนการแข่งขัน.</t>
  </si>
  <si>
    <t>kite ต้องมีน้ำหนักที่เหมาะสมกับขนาด.</t>
  </si>
  <si>
    <t>kite ต้องสามารถควบคุมได้ตามกฎที่กำหนด.</t>
  </si>
  <si>
    <t>kite ที่เกินขนาดถือเป็นการละเมิดกฎ.</t>
  </si>
  <si>
    <t>หากว่าวของผู้เล่นถูกทำให้ตกจากฟ้าโดยคู่แข่ง เขาจะได้รับผลกระทบอย่างไร?</t>
  </si>
  <si>
    <t>kite ต้องปลอดภัยจากการทำให้เกิดการบาดเจ็บ.</t>
  </si>
  <si>
    <t>ก่อนเริ่มแข่งขันตะกร้อ คุณต้องตรวจสอบอะไรในอุปกรณ์?</t>
  </si>
  <si>
    <t>A) ความยืดหยุ่นของลูกตะกร้อ; B) ขนาดตาข่าย; C) สีของสนาม; D) จำนวนผู้ชม</t>
  </si>
  <si>
    <t>A) ความยืดหยุ่นของลูกตะกร้อ</t>
  </si>
  <si>
    <t>การตรวจสอบความยืดหยุ่นของลูกตะกร้อช่วยให้แน่ใจว่าเหมาะสมตามกติกา.</t>
  </si>
  <si>
    <t>หากลูกตะกร้อสัมผัสเสาหรือสายตาข่ายในขณะเสิร์ฟ การกระทำนั้นจะเป็นอย่างไร?</t>
  </si>
  <si>
    <t>A) ถือว่าฟาวล์; B) เล่นต่อได้; C) เสิร์ฟใหม่; D) ได้คะแนน</t>
  </si>
  <si>
    <t>A) ถือว่าฟาวล์</t>
  </si>
  <si>
    <t>ลูกที่สัมผัสเสาหรือสายตาข่ายถือว่าผิดกติกา.</t>
  </si>
  <si>
    <t>ผู้เล่นสามารถสัมผัสลูกตะกร้อได้กี่ครั้งติดต่อกัน?</t>
  </si>
  <si>
    <t>A) 1 ครั้ง; B) 2 ครั้ง; C) 3 ครั้ง; D) ไม่จำกัด</t>
  </si>
  <si>
    <t>B) 2 ครั้ง</t>
  </si>
  <si>
    <t>ผู้เล่นแต่ละคนสามารถสัมผัสลูกได้ไม่เกิน 2 ครั้งตามกติกา.</t>
  </si>
  <si>
    <t>ในขณะเสิร์ฟ ผู้เล่นต้องอยู่ในตำแหน่งใด?</t>
  </si>
  <si>
    <t>A) ตรงกลางสนาม; B) หลังเส้นเขตแดน; C) ข้างเสาตาข่าย; D) ที่ใดก็ได้</t>
  </si>
  <si>
    <t>B) หลังเส้นเขตแดน</t>
  </si>
  <si>
    <t>การเสิร์ฟต้องอยู่หลังเส้นเขตแดนตามกติกา.</t>
  </si>
  <si>
    <t>หากผู้เล่นสัมผัสลูกโดยใช้มือ จะเกิดอะไรขึ้น?</t>
  </si>
  <si>
    <t>A) ฟาวล์; B) ได้คะแนน; C) เล่นต่อได้; D) เสิร์ฟใหม่</t>
  </si>
  <si>
    <t>A) ฟาวล์</t>
  </si>
  <si>
    <t>การใช้มือสัมผัสลูกถือว่าผิดกติกา.</t>
  </si>
  <si>
    <t>หากผู้เล่นใช้ส่วนขาหลังเข่าสัมผัสลูก จะถือว่าผิดกติกาหรือไม่?</t>
  </si>
  <si>
    <t>A) ผิด; B) ไม่ผิด; C) ขึ้นอยู่กับสถานการณ์; D) เสิร์ฟใหม่</t>
  </si>
  <si>
    <t>B) ไม่ผิด</t>
  </si>
  <si>
    <t>การใช้ขาสัมผัสลูกเป็นไปตามกติกา.</t>
  </si>
  <si>
    <t>ลูกตะกร้อที่สัมผัสเส้นเขตแดนในสนามถือว่าเป็นอะไร?</t>
  </si>
  <si>
    <t>A) ออกนอกสนาม; B) อยู่ในสนาม; C) ฟาวล์; D) ขึ้นอยู่กับผู้ตัดสิน</t>
  </si>
  <si>
    <t>B) อยู่ในสนาม</t>
  </si>
  <si>
    <t>ลูกที่สัมผัสเส้นเขตแดนยังถือว่าอยู่ในสนาม.</t>
  </si>
  <si>
    <t>หากผู้เล่นก้าวล้ำเข้าไปในสนามของฝ่ายตรงข้าม จะเกิดอะไรขึ้น?</t>
  </si>
  <si>
    <t>A) ฟาวล์; B) เสิร์ฟใหม่; C) ได้คะแนน; D) ไม่มีผล</t>
  </si>
  <si>
    <t>การก้าวล้ำสนามฝ่ายตรงข้ามถือว่าผิดกติกา.</t>
  </si>
  <si>
    <t>ในกรณีที่มีคะแนนเท่ากันที่ 20-20 จะต้องเล่นต่อจนถึงกี่คะแนน?</t>
  </si>
  <si>
    <t>A) 22 คะแนน; B) 23 คะแนน; C) 25 คะแนน; D) ต้องนำ 2 คะแนน</t>
  </si>
  <si>
    <t>D) ต้องนำ 2 คะแนน</t>
  </si>
  <si>
    <t>กติกากำหนดว่าต้องนำห่างฝ่ายตรงข้าม 2 คะแนนเพื่อชนะ.</t>
  </si>
  <si>
    <t>การทำคะแนนในตะกร้อเรียกว่าอะไร?</t>
  </si>
  <si>
    <t>A) แต้ม; B) ชนะ; C) ได้เซต; D) ฟาวล์</t>
  </si>
  <si>
    <t>A) แต้ม</t>
  </si>
  <si>
    <t>การทำคะแนนเรียกว่าแต้มในตะกร้อ.</t>
  </si>
  <si>
    <t>หากผู้เล่นสัมผัสตาข่ายในขณะเล่น จะถือว่าอะไร?</t>
  </si>
  <si>
    <t>A) ฟาวล์; B) ได้คะแนน; C) ขึ้นอยู่กับสถานการณ์; D) เล่นต่อได้</t>
  </si>
  <si>
    <t>การสัมผัสตาข่ายในขณะเล่นถือว่าผิดกติกา.</t>
  </si>
  <si>
    <t>ผู้เล่นคนใดเป็นผู้เสิร์ฟในแต่ละรอบ?</t>
  </si>
  <si>
    <t>A) ผู้เล่นตำแหน่งใกล้ตาข่าย; B) ผู้เล่นตำแหน่งหลังสนาม; C) ผู้เล่นที่ทำคะแนนได้ล่าสุด; D) ผู้เล่นที่กำหนดไว้</t>
  </si>
  <si>
    <t>D) ผู้เล่นที่กำหนดไว้</t>
  </si>
  <si>
    <t>การเสิร์ฟต้องทำโดยผู้เล่นที่ระบุในกติกา.</t>
  </si>
  <si>
    <t>หากลูกตะกร้อหล่นลงพื้นกลางสนาม ถือว่าอะไร?</t>
  </si>
  <si>
    <t>A) ฟาวล์; B) เสิร์ฟใหม่; C) คะแนนของฝ่ายตรงข้าม; D) ไม่มีผล</t>
  </si>
  <si>
    <t>C) คะแนนของฝ่ายตรงข้าม</t>
  </si>
  <si>
    <t>ลูกที่หล่นในสนามจะเป็นคะแนนของฝ่ายตรงข้าม.</t>
  </si>
  <si>
    <t>การแตะตาข่ายด้วยร่างกายในระหว่างเล่นถือว่าผิดหรือไม่?</t>
  </si>
  <si>
    <t>A) ผิด</t>
  </si>
  <si>
    <t>การแตะตาข่ายด้วยร่างกายถือว่าผิดกติกา.</t>
  </si>
  <si>
    <t>การเสิร์ฟจะต้องทำจากตำแหน่งไหนของสนาม?</t>
  </si>
  <si>
    <t>A) หลังเส้นเขตแดน; B) ข้างเสาตาข่าย; C) ตรงกลางสนาม; D) ที่ใดก็ได้</t>
  </si>
  <si>
    <t>A) หลังเส้นเขตแดน</t>
  </si>
  <si>
    <t>การเสิร์ฟต้องเริ่มจากหลังเส้นเขตแดน.</t>
  </si>
  <si>
    <t>การใช้ศอกเพื่อเล่นลูกตะกร้อถือว่าผิดหรือไม่?</t>
  </si>
  <si>
    <t>การใช้ศอกถือว่าผิดกติกา.</t>
  </si>
  <si>
    <t>ผู้เล่นสามารถเปลี่ยนตัวได้กี่ครั้งในหนึ่งเซต?</t>
  </si>
  <si>
    <t>กติกากำหนดให้เปลี่ยนตัวได้ 2 ครั้งต่อเซต.</t>
  </si>
  <si>
    <t>หากผู้เล่นหยุดเล่นระหว่างเกมโดยไม่มีเหตุผล จะเกิดอะไรขึ้น?</t>
  </si>
  <si>
    <t>A) เสียคะแนน; B) เสิร์ฟใหม่; C) ฟาวล์; D) ไม่มีผล</t>
  </si>
  <si>
    <t>A) เสียคะแนน</t>
  </si>
  <si>
    <t>การหยุดเล่นโดยไม่มีเหตุผลจะเสียคะแนนให้ฝ่ายตรงข้าม.</t>
  </si>
  <si>
    <t>ทีมใดจะเริ่มเซตใหม่หลังจากเสมอในเซตก่อนหน้า?</t>
  </si>
  <si>
    <t>A) ทีมที่ทำคะแนนได้สุดท้าย; B) ทีมที่คะแนนต่ำกว่า; C) ทีมที่กรรมการกำหนด; D) ทีมที่เสิร์ฟล่าสุด</t>
  </si>
  <si>
    <t>C) ทีมที่กรรมการกำหนด</t>
  </si>
  <si>
    <t>กรรมการจะเป็นผู้กำหนดการเริ่มเซตใหม่.</t>
  </si>
  <si>
    <t>ผู้เล่นสามารถสัมผัสลูกตะกร้อด้วยเท้าข้างเดียวได้หรือไม่?</t>
  </si>
  <si>
    <t>A) ได้; B) ไม่ได้; C) ขึ้นอยู่กับสถานการณ์; D) เสิร์ฟใหม่</t>
  </si>
  <si>
    <t>การสัมผัสลูกด้วยเท้าข้างเดียวเป็นไปตามกติกา.</t>
  </si>
  <si>
    <t>หากผู้เล่นเปลี่ยนตำแหน่งในระหว่างเกม จะถือว่าเป็นอะไร?</t>
  </si>
  <si>
    <t>A) ฟาวล์; B) ได้คะแนน; C) เสิร์ฟใหม่; D) ไม่มีผล</t>
  </si>
  <si>
    <t>การเปลี่ยนตำแหน่งระหว่างเกมถือว่าผิดกติกา.</t>
  </si>
  <si>
    <t>ถ้าผู้เล่นล้ำเส้นเขตแดนในขณะเล่น จะเกิดอะไรขึ้น?</t>
  </si>
  <si>
    <t>การล้ำเส้นเขตแดนถือว่าผิดกติกา.</t>
  </si>
  <si>
    <t>หากผู้เล่นใช้ส่วนของร่างกายที่ไม่ได้อยู่ในกติกาในการเล่นลูก จะถือว่าอะไร?</t>
  </si>
  <si>
    <t>A) ฟาวล์; B) เล่นต่อได้; C) ได้คะแนน; D) เสิร์ฟใหม่</t>
  </si>
  <si>
    <t>การใช้ส่วนของร่างกายที่ไม่ได้อยู่ในกติกาถือว่าเป็นฟาวล์.</t>
  </si>
  <si>
    <t>ในการเสิร์ฟ ลูกตะกร้อจะต้องข้ามตาข่ายหรือไม่?</t>
  </si>
  <si>
    <t>A) ข้ามตาข่าย; B) ไม่ข้ามตาข่าย; C) ข้ามตาข่ายในกรณีพิเศษ; D) ขึ้นอยู่กับการตัดสินของกรรมการ</t>
  </si>
  <si>
    <t>A) ข้ามตาข่าย</t>
  </si>
  <si>
    <t>ลูกตะกร้อจะต้องข้ามตาข่ายในการเสิร์ฟ.</t>
  </si>
  <si>
    <t>การตัดสินฟาวล์จะเป็นการตัดสินโดยใคร?</t>
  </si>
  <si>
    <t>A) ผู้เล่น; B) กรรมการ; C) ผู้ฝึกสอน; D) ทีมที่ชนะ</t>
  </si>
  <si>
    <t>B) กรรมการ</t>
  </si>
  <si>
    <t>กรรมการเป็นผู้ตัดสินการฟาวล์ตามกติกา.</t>
  </si>
  <si>
    <t>หากผู้เล่นได้สัมผัสลูกตะกร้อสองครั้งติดกันโดยไม่ได้ตั้งใจ จะเกิดอะไรขึ้น?</t>
  </si>
  <si>
    <t>B) เล่นต่อได้</t>
  </si>
  <si>
    <t>หากสัมผัสลูกโดยไม่ได้ตั้งใจถือว่าเล่นต่อได้.</t>
  </si>
  <si>
    <t>หากผู้เล่นรับลูกตะกร้อโดยใช้มือหรือแขน จะถือว่าอะไร?</t>
  </si>
  <si>
    <t>A) ฟาวล์; B) ได้คะแนน; C) เสิร์ฟใหม่; D) เล่นต่อได้</t>
  </si>
  <si>
    <t>การใช้มือหรือแขนในการรับลูกถือว่าเป็นฟาวล์.</t>
  </si>
  <si>
    <t>หากลูกตะกร้อออกนอกสนามในขณะที่ไม่มีการเล่น จะเกิดอะไรขึ้น?</t>
  </si>
  <si>
    <t>A) เสิร์ฟใหม่; B) ฝ่ายตรงข้ามได้คะแนน; C) ไม่มีผล; D) ผู้เล่นเปลี่ยนตัว</t>
  </si>
  <si>
    <t>B) ฝ่ายตรงข้ามได้คะแนน</t>
  </si>
  <si>
    <t>ลูกที่ออกนอกสนามถือว่าฝ่ายตรงข้ามได้คะแนน.</t>
  </si>
  <si>
    <t>การเปลี่ยนตัวในระหว่างเกมจะต้องแจ้งให้ใครทราบ?</t>
  </si>
  <si>
    <t>A) ผู้ตัดสิน; B) ผู้เล่น; C) ทีมคู่แข่ง; D) ไม่มีใคร</t>
  </si>
  <si>
    <t>A) ผู้ตัดสิน</t>
  </si>
  <si>
    <t>การเปลี่ยนตัวต้องแจ้งให้ผู้ตัดสินทราบก่อน.</t>
  </si>
  <si>
    <t>การเล่นลูกตะกร้อด้วยเท้าถือว่าผิดหรือไม่?</t>
  </si>
  <si>
    <t>การเล่นลูกตะกร้อด้วยเท้าเป็นการเล่นที่ถูกต้องตามกติกา.</t>
  </si>
  <si>
    <t>การเสิร์ฟลูกตะกร้อในเซตที่สองต้องเริ่มจากตำแหน่งใด?</t>
  </si>
  <si>
    <t>A) ตำแหน่งหลังเส้นเขตแดน; B) ตำแหน่งกลางสนาม; C) ตำแหน่งใดก็ได้; D) ตำแหน่งที่กรรมการกำหนด</t>
  </si>
  <si>
    <t>A) ตำแหน่งหลังเส้นเขตแดน</t>
  </si>
  <si>
    <t>การเสิร์ฟต้องเริ่มจากหลังเส้นเขตแดนในทุกเซต.</t>
  </si>
  <si>
    <t>หากผู้เล่นรับลูกตะกร้อด้วยศีรษะจะถือว่าเป็นฟาวล์หรือไม่?</t>
  </si>
  <si>
    <t>A) ฟาวล์; B) ไม่ฟาวล์; C) ขึ้นอยู่กับสถานการณ์; D) เสิร์ฟใหม่</t>
  </si>
  <si>
    <t>B) ไม่ฟาวล์</t>
  </si>
  <si>
    <t>การรับลูกด้วยศีรษะเป็นการเล่นที่ถูกต้องตามกติกา.</t>
  </si>
  <si>
    <t>ลูกตะกร้อที่ถูกตีเข้าไปในช่องตาข่ายโดยตรงจะถือว่าอะไร?</t>
  </si>
  <si>
    <t>A) ฟาวล์; B) ได้คะแนน; C) ออกนอกสนาม; D) เสิร์ฟใหม่</t>
  </si>
  <si>
    <t>การตีลูกตะกร้อเข้าไปในตาข่ายโดยตรงถือว่าเป็นฟาวล์.</t>
  </si>
  <si>
    <t>การกระโดดขึ้นเพื่อเล่นลูกตะกร้อถือว่าผิดกติกาหรือไม่?</t>
  </si>
  <si>
    <t>A) ผิดกติกา; B) ไม่ผิดกติกา; C) ขึ้นอยู่กับสถานการณ์; D) เสิร์ฟใหม่</t>
  </si>
  <si>
    <t>B) ไม่ผิดกติกา</t>
  </si>
  <si>
    <t>การกระโดดขึ้นเพื่อเล่นลูกเป็นการกระทำที่ถูกต้อง.</t>
  </si>
  <si>
    <t>หากทีมทำฟาวล์ 3 ครั้งติดต่อกัน จะเกิดอะไรขึ้น?</t>
  </si>
  <si>
    <t>A) เสิร์ฟใหม่; B) ทีมคู่แข่งได้คะแนน; C) การเล่นหยุดชั่วคราว; D) ทีมต้องเปลี่ยนตัว</t>
  </si>
  <si>
    <t>B) ทีมคู่แข่งได้คะแนน</t>
  </si>
  <si>
    <t>ฟาวล์ 3 ครั้งทำให้ทีมตรงข้ามได้คะแนน.</t>
  </si>
  <si>
    <t>หากลูกตะกร้อออกนอกสนามหลังการตีของผู้เล่นฝ่ายตรงข้ามจะเกิดอะไรขึ้น?</t>
  </si>
  <si>
    <t>A) ฝ่ายตรงข้ามได้คะแนน; B) เสิร์ฟใหม่; C) ฟาวล์; D) ไม่มีผล</t>
  </si>
  <si>
    <t>A) ฝ่ายตรงข้ามได้คะแนน</t>
  </si>
  <si>
    <t>ลูกที่ออกนอกสนามถือว่าเป็นคะแนนของฝ่ายตรงข้าม.</t>
  </si>
  <si>
    <t>หากผู้เล่นตัดสินใจเปลี่ยนตำแหน่งในระหว่างเกม จะทำได้หรือไม่?</t>
  </si>
  <si>
    <t>A) ทำได้; B) ไม่ทำได้; C) ขึ้นอยู่กับสถานการณ์; D) เสิร์ฟใหม่</t>
  </si>
  <si>
    <t>B) ไม่ทำได้</t>
  </si>
  <si>
    <t>การเปลี่ยนตำแหน่งในระหว่างเกมถือว่าเป็นฟาวล์.</t>
  </si>
  <si>
    <t>การใช้เท้าเล่นลูกตะกร้อที่ลอยอยู่ในอากาศจะถือว่าเป็นอะไร?</t>
  </si>
  <si>
    <t>A) ฟาวล์; B) ได้คะแนน; C) ขึ้นอยู่กับสถานการณ์; D) เสิร์ฟใหม่</t>
  </si>
  <si>
    <t>B) ได้คะแนน</t>
  </si>
  <si>
    <t>การใช้เท้าเล่นลูกที่ลอยอยู่ไม่ถือเป็นฟาวล์.</t>
  </si>
  <si>
    <t>ถ้าผู้เล่นมีการสัมผัสลูกสองครั้งติดกันจะเกิดอะไรขึ้น?</t>
  </si>
  <si>
    <t>การสัมผัสลูกสองครั้งติดต่อกันถือว่าเป็นฟาวล์.</t>
  </si>
  <si>
    <t>หากผู้เล่นอยู่ในตำแหน่งไม่ถูกต้องเมื่อเริ่มเสิร์ฟ จะเกิดอะไรขึ้น?</t>
  </si>
  <si>
    <t>A) ฟาวล์; B) เสิร์ฟใหม่; C) เสียคะแนนให้ฝ่ายตรงข้าม; D) ไม่มีผล</t>
  </si>
  <si>
    <t>การอยู่ในตำแหน่งไม่ถูกต้องถือว่าเป็นฟาวล์.</t>
  </si>
  <si>
    <t>ผู้เล่นสามารถใช้มือในการรับลูกตะกร้อได้หรือไม่?</t>
  </si>
  <si>
    <t>การใช้มือในการรับลูกตะกร้อถือเป็นฟาวล์.</t>
  </si>
  <si>
    <t>หากผู้เล่นสัมผัสลูกตะกร้อก่อนที่มันข้ามตาข่าย จะเกิดอะไรขึ้น?</t>
  </si>
  <si>
    <t>ผู้เล่นไม่สามารถสัมผัสลูกก่อนที่ลูกจะข้ามตาข่าย.</t>
  </si>
  <si>
    <t>การทำคะแนนในตะกร้อจะต้องเกิดจากการทำอะไร?</t>
  </si>
  <si>
    <t>A) เสิร์ฟลูก; B) การเล่นที่ผิดกติกา; C) การทำฟาวล์; D) การรับลูกที่ผิดกติกา</t>
  </si>
  <si>
    <t>A) เสิร์ฟลูก</t>
  </si>
  <si>
    <t>การทำคะแนนต้องมาจากการเสิร์ฟลูกที่ถูกต้อง.</t>
  </si>
  <si>
    <t>หากฝ่ายตรงข้ามตีลูกออกนอกสนาม ผู้เล่นสามารถทำอะไรได้?</t>
  </si>
  <si>
    <t>A) เปลี่ยนตำแหน่ง; B) ได้คะแนน; C) เล่นต่อไป; D) เสิร์ฟใหม่</t>
  </si>
  <si>
    <t>หากฝ่ายตรงข้ามตีลูกออกนอกสนาม ผู้เล่นจะได้คะแนน.</t>
  </si>
  <si>
    <t>การรับลูกตะกร้อด้วยเท้าจะถือว่าเป็นฟาวล์หรือไม่?</t>
  </si>
  <si>
    <t>การรับลูกตะกร้อด้วยเท้าเป็นการเล่นที่ถูกต้อง.</t>
  </si>
  <si>
    <t>ผู้เล่นจะต้องตัดสินใจเล่นลูกภายในกี่วินาทีหลังจากเสิร์ฟ?</t>
  </si>
  <si>
    <t>A) 5 วินาที; B) 10 วินาที; C) 15 วินาที; D) 20 วินาที</t>
  </si>
  <si>
    <t>B) 10 วินาที</t>
  </si>
  <si>
    <t>ผู้เล่นต้องตัดสินใจเล่นลูกในระยะเวลาที่กำหนด.</t>
  </si>
  <si>
    <t>ถ้าผู้เล่นตีลูกตะกร้อเข้าไปในสนามของฝ่ายตรงข้ามแล้วลูกตกลงในพื้นที่ที่ไม่ถูกต้อง จะเกิดอะไรขึ้น?</t>
  </si>
  <si>
    <t>ลูกที่ตกในพื้นที่ที่ไม่ถูกต้องถือว่าเป็นฟาวล์.</t>
  </si>
  <si>
    <t>การให้คะแนนในตะกร้อจะคำนวณจากอะไร?</t>
  </si>
  <si>
    <t>A) คะแนนการเสิร์ฟ; B) จำนวนลูกที่ถูกตี; C) จำนวนฟาวล์; D) คะแนนจากการเล่นถูกต้อง</t>
  </si>
  <si>
    <t>D) คะแนนจากการเล่นถูกต้อง</t>
  </si>
  <si>
    <t>การให้คะแนนจะคำนวณจากการเล่นที่ถูกต้องตามกติกา.</t>
  </si>
  <si>
    <t>ถ้าผู้เล่นทำฟาวล์ 2 ครั้งในเซตเดียว จะมีผลอย่างไร?</t>
  </si>
  <si>
    <t>A) เสิร์ฟใหม่; B) ทีมตรงข้ามได้คะแนน; C) ฟาวล์ครั้งที่สองถือว่าผิดกติกา; D) ไม่มีผล</t>
  </si>
  <si>
    <t>B) ทีมตรงข้ามได้คะแนน</t>
  </si>
  <si>
    <t>การทำฟาวล์ 2 ครั้งจะทำให้ฝ่ายตรงข้ามได้คะแนน.</t>
  </si>
  <si>
    <t>หากลูกตะกร้อโดนเส้นขอบสนามจะถือว่าอะไร?</t>
  </si>
  <si>
    <t>ลูกที่โดนเส้นขอบสนามถือว่าเล่นต่อได้.</t>
  </si>
  <si>
    <t>การตีลูกตะกร้อที่มีความแรงมากเกินไปจนออกนอกสนาม จะถือว่าเป็นอะไร?</t>
  </si>
  <si>
    <t>การตีลูกแรงเกินไปจนออกนอกสนามถือว่าเป็นฟาวล์.</t>
  </si>
  <si>
    <t>การเล่นตะกร้อในตำแหน่งใดที่ผิดกติกาจะทำให้ฝ่ายตรงข้ามได้คะแนน?</t>
  </si>
  <si>
    <t>A) ตำแหน่งที่กำหนดไว้ไม่ถูกต้อง; B) ตำแหน่งตรงกลางสนาม; C) ตำแหน่งใกล้เส้นขอบสนาม; D) ตำแหน่งที่ผู้เล่นยืนในระหว่างเกม</t>
  </si>
  <si>
    <t>A) ตำแหน่งที่กำหนดไว้ไม่ถูกต้อง</t>
  </si>
  <si>
    <t>การเล่นในตำแหน่งที่ผิดกติกาจะทำให้ฝ่ายตรงข้ามได้คะแนน.</t>
  </si>
  <si>
    <t>หากผู้เล่นตีลูกออกนอกสนามในขณะที่ไม่ได้ตั้งใจ จะเกิดอะไรขึ้น?</t>
  </si>
  <si>
    <t>การตีลูกออกนอกสนามจะถือว่าเป็นฟาวล์.</t>
  </si>
  <si>
    <t>ในกรณีที่มีลูกตะกร้อออกนอกสนามและมีการทำฟาวล์เกิดขึ้นในเวลาเดียวกันจะเกิดอะไรขึ้น?</t>
  </si>
  <si>
    <t>A) ฝ่ายที่ทำฟาวล์จะเสียคะแนน; B) เสิร์ฟใหม่; C) ทีมตรงข้ามได้คะแนน; D) ไม่มีผล</t>
  </si>
  <si>
    <t>A) ฝ่ายที่ทำฟาวล์จะเสียคะแนน</t>
  </si>
  <si>
    <t>การทำฟาวล์จะทำให้ฝ่ายที่ทำฟาวล์เสียคะแนน.</t>
  </si>
  <si>
    <t>หากผู้เล่นตัดสินใจหยุดเล่นระหว่างเกมโดยไม่มีเหตุผล จะเกิดอะไรขึ้น?</t>
  </si>
  <si>
    <t>A) เสียคะแนนให้ฝ่ายตรงข้าม; B) เสิร์ฟใหม่; C) ฟาวล์; D) ไม่มีผล</t>
  </si>
  <si>
    <t>A) เสียคะแนนให้ฝ่ายตรงข้าม</t>
  </si>
  <si>
    <t>การหยุดเล่นโดยไม่มีเหตุผลทำให้เสียคะแนนให้ฝ่ายตรงข้าม.</t>
  </si>
  <si>
    <t>การยอมรับการตัดสินของผู้ตัดสินถือว่าเป็นส่วนหนึ่งของกติกาหรือไม่?</t>
  </si>
  <si>
    <t>A) ไม่ถือว่าเป็นส่วนหนึ่ง; B) ถือว่าเป็นส่วนหนึ่ง; C) ขึ้นอยู่กับสถานการณ์; D) เสิร์ฟใหม่</t>
  </si>
  <si>
    <t>B) ถือว่าเป็นส่วนหนึ่ง</t>
  </si>
  <si>
    <t>การยอมรับการตัดสินของผู้ตัดสินถือเป็นส่วนหนึ่งของการเล่น.</t>
  </si>
  <si>
    <t>หากผู้เล่นทำฟาวล์ในช่วงเสิร์ฟ ลูกจะทำอะไร?</t>
  </si>
  <si>
    <t>A) เสิร์ฟใหม่; B) ฝ่ายตรงข้ามได้คะแนน; C) ฟาวล์; D) ไม่มีผล</t>
  </si>
  <si>
    <t>ฟาวล์ในช่วงเสิร์ฟจะทำให้ฝ่ายตรงข้ามได้คะแนน.</t>
  </si>
  <si>
    <t>หากลูกตะกร้อมีการกระเด้งออกจากสนามแล้วตีโดยผู้เล่นฝ่ายตรงข้าม จะถือว่าอะไร?</t>
  </si>
  <si>
    <t>การตีลูกที่กระเด้งออกจากสนามแล้วถือเป็นฟาวล์.</t>
  </si>
  <si>
    <t>ถ้าผู้เล่นไม่สามารถรับลูกที่ลอยเข้ามาได้ จะเกิดอะไรขึ้น?</t>
  </si>
  <si>
    <t>A) ฝ่ายตรงข้ามได้คะแนน; B) ฟาวล์; C) เสิร์ฟใหม่; D) ไม่มีผล</t>
  </si>
  <si>
    <t>หากไม่สามารถรับลูกที่ลอยเข้ามาจะทำให้ฝ่ายตรงข้ามได้คะแนน.</t>
  </si>
  <si>
    <t>การใช้ท่าทางที่ไม่สุภาพระหว่างเกมจะทำให้เกิดอะไรขึ้น?</t>
  </si>
  <si>
    <t>A) เสิร์ฟใหม่; B) ฝ่ายตรงข้ามได้คะแนน; C) ฟาวล์; D) ผู้เล่นถูกปรับ</t>
  </si>
  <si>
    <t>D) ผู้เล่นถูกปรับ</t>
  </si>
  <si>
    <t>การใช้ท่าทางที่ไม่สุภาพจะทำให้ผู้เล่นถูกปรับ.</t>
  </si>
  <si>
    <t>การเสิร์ฟลูกตะกร้อจะต้องทำอย่างไร?</t>
  </si>
  <si>
    <t>A) เสิร์ฟลูกจากตำแหน่งที่กำหนด; B) เสิร์ฟลูกจากที่ใดก็ได้; C) เสิร์ฟลูกในขณะที่ลูกอยู่ในอากาศ; D) เสิร์ฟลูกให้สูงที่สุดเท่าที่ทำได้</t>
  </si>
  <si>
    <t>A) เสิร์ฟลูกจากตำแหน่งที่กำหนด</t>
  </si>
  <si>
    <t>การเสิร์ฟต้องทำจากตำแหน่งที่กำหนดให้.</t>
  </si>
  <si>
    <t>ผู้เล่นสามารถยืนในตำแหน่งที่ผิดกติกาได้หรือไม่?</t>
  </si>
  <si>
    <t>ผู้เล่นต้องยืนในตำแหน่งที่ถูกต้องตามกติกา.</t>
  </si>
  <si>
    <t>หากลูกตะกร้อออกนอกสนามในระหว่างการแข่งขัน ผู้เล่นจะทำอะไร?</t>
  </si>
  <si>
    <t>ลูกที่ออกนอกสนามจะทำให้ฝ่ายตรงข้ามได้คะแนน.</t>
  </si>
  <si>
    <t>เมื่อผู้เล่นทำฟาวล์ในการเสิร์ฟ จะเกิดอะไรขึ้น?</t>
  </si>
  <si>
    <t>A) ฝ่ายตรงข้ามได้คะแนน; B) เสิร์ฟใหม่; C) ฟาวล์อีกครั้ง; D) ไม่มีผล</t>
  </si>
  <si>
    <t>ฟาวล์ในการเสิร์ฟจะทำให้ฝ่ายตรงข้ามได้คะแนน.</t>
  </si>
  <si>
    <t>หากผู้เล่นได้รับลูกด้วยมือจะถือว่าอะไร?</t>
  </si>
  <si>
    <t>การใช้มือรับลูกถือว่าเป็นฟาวล์.</t>
  </si>
  <si>
    <t>หากลูกตะกร้อไปโดนตาข่ายในระหว่างการเล่นจะเกิดอะไรขึ้น?</t>
  </si>
  <si>
    <t>D) เล่นต่อได้</t>
  </si>
  <si>
    <t>การโดนตาข่ายในระหว่างการเล่นถือว่าเล่นต่อได้.</t>
  </si>
  <si>
    <t>การเล่นลูกตะกร้อที่ลอยอยู่ในอากาศโดยไม่ตีทันทีจะถือว่าอะไร?</t>
  </si>
  <si>
    <t>การไม่ตีลูกตะกร้อที่ลอยอยู่ในอากาศไม่ได้ถือว่าเป็นฟาวล์.</t>
  </si>
  <si>
    <t>หากฝ่ายตรงข้ามเสิร์ฟลูกผิดพลาดจะเกิดอะไรขึ้น?</t>
  </si>
  <si>
    <t>A) เสิร์ฟใหม่</t>
  </si>
  <si>
    <t>หากเสิร์ฟผิดจะทำให้เสิร์ฟใหม่.</t>
  </si>
  <si>
    <t>การรับลูกตะกร้อโดยใช้เท้าถือว่าผิดกติกาหรือไม่?</t>
  </si>
  <si>
    <t>การใช้เท้าในการรับลูกตะกร้อเป็นการเล่นที่ถูกต้อง.</t>
  </si>
  <si>
    <t>หากผู้เล่นได้รับการตีลูกจากฝ่ายตรงข้ามแล้วลูกตกในสนามของตนเอง จะเกิดอะไรขึ้น?</t>
  </si>
  <si>
    <t>การรับลูกที่ตกในสนามตัวเองถือว่าได้คะแนน.</t>
  </si>
  <si>
    <t>การเปลี่ยนตัวผู้เล่นจะต้องแจ้งให้ใครทราบ?</t>
  </si>
  <si>
    <t>A) ผู้ตัดสิน; B) ผู้เล่นคนอื่น; C) ทีมคู่แข่ง; D) ไม่มีใคร</t>
  </si>
  <si>
    <t>การเปลี่ยนตัวต้องแจ้งให้ผู้ตัดสินทราบ.</t>
  </si>
  <si>
    <t>หากผู้เล่นตีลูกออกนอกสนามแล้วไม่สามารถรับลูกได้ จะเกิดอะไรขึ้น?</t>
  </si>
  <si>
    <t>การตีลูกออกนอกสนามทำให้ฝ่ายตรงข้ามได้คะแนน.</t>
  </si>
  <si>
    <t>การทำฟาวล์ในการรับลูกตะกร้อจะทำให้เกิดอะไร?</t>
  </si>
  <si>
    <t>การทำฟาวล์ในการรับลูกทำให้ผู้เล่นฝ่ายนั้นเสียคะแนน.</t>
  </si>
  <si>
    <t>ผู้เล่นสามารถใช้มือในการเล่นลูกตะกร้อได้หรือไม่?</t>
  </si>
  <si>
    <t>การใช้มือในการเล่นลูกถือว่าเป็นฟาวล์.</t>
  </si>
  <si>
    <t>หากทีมทำฟาวล์ 3 ครั้งติดต่อกันจะเกิดอะไรขึ้น?</t>
  </si>
  <si>
    <t>A) ฝ่ายตรงข้ามได้คะแนน; B) เสิร์ฟใหม่; C) ทีมต้องเปลี่ยนตัว; D) ไม่มีผล</t>
  </si>
  <si>
    <t>ฟาวล์ 3 ครั้งจะทำให้ฝ่ายตรงข้ามได้คะแนน.</t>
  </si>
  <si>
    <t>การตีลูกตะกร้อให้ข้ามตาข่ายไปในทางที่ไม่ถูกต้องจะทำให้เกิดอะไร?</t>
  </si>
  <si>
    <t>การตีลูกไปในทางที่ไม่ถูกต้องถือว่าเป็นฟาวล์.</t>
  </si>
  <si>
    <t>หากผู้เล่นได้รับลูกตะกร้อจากผู้เล่นฝ่ายตรงข้ามในสถานการณ์ที่ผิดกติกา จะเกิดอะไรขึ้น?</t>
  </si>
  <si>
    <t>การรับลูกในสถานการณ์ผิดกติกาถือว่าเป็นฟาวล์.</t>
  </si>
  <si>
    <t>หากมีการเล่นที่ผิดกติกาในระหว่างเกม การตัดสินของกรรมการจะเป็นอย่างไร?</t>
  </si>
  <si>
    <t>A) ฟาวล์; B) ทีมต้องเปลี่ยนตัว; C) ฝ่ายตรงข้ามได้คะแนน; D) เสิร์ฟใหม่</t>
  </si>
  <si>
    <t>C) ฝ่ายตรงข้ามได้คะแนน</t>
  </si>
  <si>
    <t>การตัดสินผิดกติกาจะทำให้ฝ่ายตรงข้ามได้คะแนน.</t>
  </si>
  <si>
    <t>การที่ลูกตะกร้อออกจากสนามในขณะที่ยังไม่ได้รับการตีจะทำให้เกิดอะไร?</t>
  </si>
  <si>
    <t>การที่ลูกออกจากสนามโดยไม่ผ่านการตีถือว่าเป็นฟาวล์.</t>
  </si>
  <si>
    <t>การเปลี่ยนตำแหน่งระหว่างเกมถือว่าเป็นการทำอะไร?</t>
  </si>
  <si>
    <t>การเปลี่ยนตำแหน่งในระหว่างเกมถือว่าเป็นการทำฟาวล์.</t>
  </si>
  <si>
    <t>หากผู้เล่นตีลูกตะกร้อในทิศทางที่ไม่ถูกต้อง จะเกิดอะไรขึ้น?</t>
  </si>
  <si>
    <t>A) ฟาวล์; B) เสิร์ฟใหม่; C) ได้คะแนน; D) เล่นต่อได้</t>
  </si>
  <si>
    <t>การตีลูกไปในทิศทางที่ไม่ถูกต้องถือว่าเป็นฟาวล์.</t>
  </si>
  <si>
    <t>หากผู้เล่นไม่สามารถตอบสนองต่อการเสิร์ฟได้ภายในเวลาที่กำหนด จะเกิดอะไรขึ้น?</t>
  </si>
  <si>
    <t>ไม่สามารถตอบสนองภายในเวลาที่กำหนดจะทำให้เกิดฟาวล์.</t>
  </si>
  <si>
    <t>การใช้เท้าในการรับลูกถือว่าเป็นการเล่นที่ถูกต้อง.</t>
  </si>
  <si>
    <t>การตีลูกตะกร้อที่ถูกตีแรงเกินไปจนออกนอกสนามจะถือว่าเป็นอะไร?</t>
  </si>
  <si>
    <t>หากลูกตะกร้อไปโดนเครื่องหมายขอบสนามแล้วถือว่าเป็นอะไร?</t>
  </si>
  <si>
    <t>การโดนขอบสนามถือว่าเป็นการเล่นที่ถูกต้อง.</t>
  </si>
  <si>
    <t>ถ้าผู้เล่นทำฟาวล์ในการรับลูก ตำแหน่งของทีมจะได้รับการเปลี่ยนแปลงหรือไม่?</t>
  </si>
  <si>
    <t>การทำฟาวล์ในการรับลูกจะไม่ทำให้ตำแหน่งของทีมเปลี่ยนแปลง.</t>
  </si>
  <si>
    <t>หากทีมทำฟาวล์ในขณะที่กำลังเสิร์ฟ จะเกิดอะไรขึ้น?</t>
  </si>
  <si>
    <t>ฟาวล์ในขณะเสิร์ฟจะทำให้ฝ่ายตรงข้ามได้คะแนน.</t>
  </si>
  <si>
    <t>การใช้ท่าทางที่ไม่สุภาพในระหว่างการแข่งขันจะทำให้เกิดอะไรขึ้น?</t>
  </si>
  <si>
    <t>A) ฟาวล์; B) ได้คะแนน; C) เสิร์ฟใหม่; D) ผู้เล่นถูกปรับ</t>
  </si>
  <si>
    <t>การใช้ท่าทางไม่สุภาพจะทำให้ผู้เล่นถูกปรับ.</t>
  </si>
  <si>
    <t>หากผู้เล่นเปลี่ยนตัวในระหว่างการแข่งขัน จะเกิดอะไรขึ้น?</t>
  </si>
  <si>
    <t>A) ฟาวล์; B) ได้คะแนน; C) เสิร์ฟใหม่; D) ต้องแจ้งผู้ตัดสิน</t>
  </si>
  <si>
    <t>D) ต้องแจ้งผู้ตัดสิน</t>
  </si>
  <si>
    <t>การเปลี่ยนตัวในระหว่างการแข่งขันต้องแจ้งให้ผู้ตัดสินทราบ.</t>
  </si>
  <si>
    <t>การเปลี่ยนตัวผู้เล่นในระหว่างเกมสามารถทำได้กี่ครั้ง?</t>
  </si>
  <si>
    <t>A) 1 ครั้ง; B) 2 ครั้ง; C) ขึ้นอยู่กับสถานการณ์; D) ไม่จำกัด</t>
  </si>
  <si>
    <t>C) ขึ้นอยู่กับสถานการณ์</t>
  </si>
  <si>
    <t>จำนวนครั้งที่เปลี่ยนตัวขึ้นอยู่กับกติกาที่กำหนด.</t>
  </si>
  <si>
    <t>การทำฟาวล์ในช่วงเสิร์ฟจะทำให้เกิดอะไร?</t>
  </si>
  <si>
    <t>การทำฟาวล์ในการเสิร์ฟจะทำให้ฝ่ายตรงข้ามได้คะแนน.</t>
  </si>
  <si>
    <t>หากลูกตะกร้อกระเด้งออกจากสนามในขณะที่ยังไม่ได้ตีจะถือว่าอะไร?</t>
  </si>
  <si>
    <t>การที่ลูกกระเด้งออกจากสนามโดยไม่ได้ตีถือว่าเป็นฟาวล์.</t>
  </si>
  <si>
    <t>การใช้เท้าในการเล่นลูกตะกร้อในระหว่างเกมถือว่าอะไร?</t>
  </si>
  <si>
    <t>การใช้เท้าในการเล่นลูกตะกร้อถือว่าเป็นการเล่นที่ถูกต้อง.</t>
  </si>
  <si>
    <t>หากผู้เล่นไม่ได้ยืนในตำแหน่งที่ถูกต้องเมื่อเสิร์ฟจะเกิดอะไรขึ้น?</t>
  </si>
  <si>
    <t>A) ฟาวล์; B) เสิร์ฟใหม่; C) ฝ่ายตรงข้ามได้คะแนน; D) ไม่มีผล</t>
  </si>
  <si>
    <t>ผู้เล่นต้องยืนในตำแหน่งที่ถูกต้องเมื่อต้องเสิร์ฟ.</t>
  </si>
  <si>
    <t>หากลูกตะกร้อถูกตีผิดจากการเสิร์ฟจะเกิดอะไรขึ้น?</t>
  </si>
  <si>
    <t>A) ฟาวล์; B) เสิร์ฟใหม่; C) ฝ่ายตรงข้ามได้คะแนน; D) เล่นต่อได้</t>
  </si>
  <si>
    <t>การตีลูกผิดในการเสิร์ฟจะทำให้ฝ่ายตรงข้ามได้คะแนน.</t>
  </si>
  <si>
    <t>หากผู้เล่นลืมเปลี่ยนตัวตามกติกา จะเกิดอะไรขึ้น?</t>
  </si>
  <si>
    <t>การลืมเปลี่ยนตัวตามกติกาถือว่าเป็นฟาวล์.</t>
  </si>
  <si>
    <t>การใช้ท่าทางที่ไม่สุภาพในการแข่งขันจะส่งผลอย่างไร?</t>
  </si>
  <si>
    <t>A) ฟาวล์; B) ได้คะแนน; C) ผู้เล่นถูกปรับ; D) ไม่มีผล</t>
  </si>
  <si>
    <t>C) ผู้เล่นถูกปรับ</t>
  </si>
  <si>
    <t>การใช้ท่าทางที่ไม่สุภาพในการแข่งขันจะทำให้ผู้เล่นถูกปรับ.</t>
  </si>
  <si>
    <t>หากผู้เล่นใช้มือในการเล่นลูกตะกร้อจะเกิดอะไร?</t>
  </si>
  <si>
    <t>การใช้มือในการเล่นลูกตะกร้อถือเป็นฟาวล์.</t>
  </si>
  <si>
    <t>การตีลูกตะกร้อให้โดนขอบสนามจะถือว่าอะไร?</t>
  </si>
  <si>
    <t>การตีลูกให้โดนขอบสนามถือว่าเป็นการทำคะแนน.</t>
  </si>
  <si>
    <t>การขอโทษต่อผู้ตัดสินหลังจากทำฟาวล์จะทำให้เกิดอะไร?</t>
  </si>
  <si>
    <t>D) ไม่มีผล</t>
  </si>
  <si>
    <t>การขอโทษไม่ส่งผลต่อการตัดสิน.</t>
  </si>
  <si>
    <t>หากลูกตะกร้ออยู่ในสนาม แต่ฝ่ายหนึ่งไม่ได้ตีทันทีจะถือว่าอะไร?</t>
  </si>
  <si>
    <t>การไม่ตีลูกทันทีไม่ได้ถือว่าเป็นฟาวล์.</t>
  </si>
  <si>
    <t>การให้คะแนนของผู้ตัดสินจะมีผลอย่างไร?</t>
  </si>
  <si>
    <t>A) จะมีผลทันที; B) ขึ้นอยู่กับสถานการณ์; C) จะได้รับการตรวจสอบอีกครั้ง; D) ไม่มีผล</t>
  </si>
  <si>
    <t>A) จะมีผลทันที</t>
  </si>
  <si>
    <t>การตัดสินของผู้ตัดสินมีผลทันที.</t>
  </si>
  <si>
    <t>การที่ลูกตะกร้อออกนอกสนามในระหว่างเกมจะทำให้เกิดอะไร?</t>
  </si>
  <si>
    <t>การที่ผู้เล่นทำฟาวล์ในระหว่างเสิร์ฟจะทำให้เกิดอะไร?</t>
  </si>
  <si>
    <t>การทำฟาวล์ในระหว่างเสิร์ฟจะทำให้ฝ่ายตรงข้ามได้คะแนน.</t>
  </si>
  <si>
    <t>หากผู้เล่นไม่ได้รับลูกที่ลอยเข้ามาอย่างถูกต้องจะเกิดอะไร?</t>
  </si>
  <si>
    <t>การไม่รับลูกที่ลอยเข้ามาอย่างถูกต้องทำให้ฝ่ายตรงข้ามได้คะแนน.</t>
  </si>
  <si>
    <t>การตัดสินของผู้ตัดสินในกรณีที่ลูกตะกร้อกระเด้งออกจากสนามจะเป็นอย่างไร?</t>
  </si>
  <si>
    <t>การกระเด้งออกจากสนามจะทำให้ฝ่ายตรงข้ามได้คะแนน.</t>
  </si>
  <si>
    <t>การตีลูกตะกร้อในทิศทางที่ไม่ถูกต้องจะทำให้เกิดอะไร?</t>
  </si>
  <si>
    <t>หากผู้เล่นทำฟาวล์ในขณะที่กำลังเล่นลูก จะเกิดอะไรขึ้น?</t>
  </si>
  <si>
    <t>การทำฟาวล์ในระหว่างเกมจะทำให้ฝ่ายตรงข้ามได้คะแนน.</t>
  </si>
  <si>
    <t>หากผู้เล่นเปลี่ยนตำแหน่งในขณะเล่น จะเกิดอะไร?</t>
  </si>
  <si>
    <t>การเปลี่ยนตำแหน่งระหว่างเกมถือว่าเป็นฟาวล์.</t>
  </si>
  <si>
    <t>การทำฟาวล์ 3 ครั้งติดต่อกันจะทำให้เกิดอะไร?</t>
  </si>
  <si>
    <t>A) เสิร์ฟใหม่; B) ฝ่ายตรงข้ามได้คะแนน; C) ฟาวล์อีกครั้ง; D) ไม่มีผล</t>
  </si>
  <si>
    <t>การทำฟาวล์ 3 ครั้งติดต่อกันจะทำให้ฝ่ายตรงข้ามได้คะแนน.</t>
  </si>
  <si>
    <t>หากผู้เล่นใช้มือในการเล่นลูกตะกร้อ จะเกิดอะไรขึ้น?</t>
  </si>
  <si>
    <t>การใช้มือในการเล่นลูกตะกร้อถือว่าเป็นฟาวล์.</t>
  </si>
  <si>
    <t>หากฝ่ายใดฝ่ายหนึ่งทำฟาวล์ในการรับลูก จะเกิดอะไร?</t>
  </si>
  <si>
    <t>การทำฟาวล์ในการรับลูกจะทำให้ฝ่ายนั้นเสียคะแนน.</t>
  </si>
  <si>
    <t>การที่ลูกตะกร้อออกนอกสนามจะทำให้เกิดอะไร?</t>
  </si>
  <si>
    <t>ลูกตะกร้อที่ออกนอกสนามทำให้ฝ่ายตรงข้ามได้คะแนน.</t>
  </si>
  <si>
    <t>การตีลูกตะกร้อในทิศทางที่ไม่ถูกต้องจะถือว่าเป็นอะไร?</t>
  </si>
  <si>
    <t>การตีลูกในทิศทางที่ไม่ถูกต้องถือเป็นฟาวล์.</t>
  </si>
  <si>
    <t>หากผู้เล่นใช้เท้าในการรับลูกตะกร้อ จะเกิดอะไร?</t>
  </si>
  <si>
    <t>A) ฟาวล์; B) ไม่ฟาวล์; C) เสิร์ฟใหม่; D) ได้คะแนน</t>
  </si>
  <si>
    <t>การที่ผู้เล่นตีลูกตะกร้อให้ไปโดนขอบสนามจะถือว่าอะไร?</t>
  </si>
  <si>
    <t>การตีลูกให้โดนขอบสนามถือว่าได้คะแนน.</t>
  </si>
  <si>
    <t>การเสิร์ฟในตำแหน่งที่ผิดกติกาจะทำให้เกิดอะไร?</t>
  </si>
  <si>
    <t>การเสิร์ฟในตำแหน่งที่ผิดกติกาถือว่าเป็นฟาวล์.</t>
  </si>
  <si>
    <t>การทำฟาวล์ในการเสิร์ฟจะทำให้เกิดอะไร?</t>
  </si>
  <si>
    <t>การทำฟาวล์ในขณะที่กำลังเล่นลูกตะกร้อจะทำให้เกิดอะไร?</t>
  </si>
  <si>
    <t>การเปลี่ยนตัวผู้เล่นในระหว่างการแข่งขันจะต้องทำอย่างไร?</t>
  </si>
  <si>
    <t>A) แจ้งผู้ตัดสิน; B) ไม่ต้องแจ้งผู้ตัดสิน; C) เปลี่ยนตัวตามความต้องการ; D) ไม่มีผล</t>
  </si>
  <si>
    <t>A) แจ้งผู้ตัดสิน</t>
  </si>
  <si>
    <t>การเปลี่ยนตัวผู้เล่นต้องแจ้งผู้ตัดสิน.</t>
  </si>
  <si>
    <t>หากผู้เล่นเสิร์ฟลูกไปยังพื้นที่ที่ผิดกติกาจะเกิดอะไร?</t>
  </si>
  <si>
    <t>การเสิร์ฟลูกไปยังพื้นที่ที่ผิดกติกาจะถือว่าเป็นฟาวล์.</t>
  </si>
  <si>
    <t>การที่ผู้เล่นใช้มือในการรับลูกตะกร้อจะถือว่าอะไร?</t>
  </si>
  <si>
    <t>การใช้มือในการรับลูกตะกร้อถือว่าเป็นฟาวล์.</t>
  </si>
  <si>
    <t>การที่ลูกตะกร้อไม่ข้ามตาข่ายหลังจากเสิร์ฟจะถือว่าอะไร?</t>
  </si>
  <si>
    <t>การเสิร์ฟที่ลูกไม่ข้ามตาข่ายถือว่าเป็นฟาวล์.</t>
  </si>
  <si>
    <t>หากฝ่ายตรงข้ามเสิร์ฟในขณะที่คุณยังไม่พร้อมจะทำอย่างไร?</t>
  </si>
  <si>
    <t>A) แจ้งผู้ตัดสิน; B) รอให้เสิร์ฟใหม่; C) เล่นต่อไป; D) แจ้งทีม</t>
  </si>
  <si>
    <t>หากฝ่ายตรงข้ามเสิร์ฟในขณะที่ยังไม่พร้อมจะต้องแจ้งผู้ตัดสิน.</t>
  </si>
  <si>
    <t>การทำฟาวล์ 2 ครั้งติดต่อกันจะทำให้เกิดอะไร?</t>
  </si>
  <si>
    <t>การทำฟาวล์สองครั้งติดต่อกันจะทำให้ฝ่ายตรงข้ามได้คะแนน.</t>
  </si>
  <si>
    <t>หากผู้เล่นทำฟาวล์ในระหว่างเกมจะเกิดอะไรขึ้น?</t>
  </si>
  <si>
    <t>การทำฟาวล์ในระหว่างเกมทำให้ฝ่ายตรงข้ามได้คะแนน.</t>
  </si>
  <si>
    <t>หากลูกตะกร้อกระเด้งออกนอกสนามหลังจากผู้เล่นตีลูกจะทำให้เกิดอะไร?</t>
  </si>
  <si>
    <t>การที่ลูกกระเด้งออกนอกสนามทำให้ฝ่ายตรงข้ามได้คะแนน.</t>
  </si>
  <si>
    <t>การที่ผู้เล่นไม่อยู่ในตำแหน่งที่ถูกต้องขณะเสิร์ฟจะทำให้เกิดอะไร?</t>
  </si>
  <si>
    <t>ผู้เล่นต้องอยู่ในตำแหน่งที่ถูกต้องเมื่อทำการเสิร์ฟ.</t>
  </si>
  <si>
    <t>การตีลูกตะกร้อด้วยข้างเท้าจะถือว่าเป็นอะไร?</t>
  </si>
  <si>
    <t>การตีลูกด้วยข้างเท้าถือว่าเป็นฟาวล์.</t>
  </si>
  <si>
    <t>หากผู้เล่นมีพฤติกรรมที่ไม่เหมาะสมระหว่างการแข่งขันจะทำให้เกิดอะไร?</t>
  </si>
  <si>
    <t>การแสดงพฤติกรรมที่ไม่เหมาะสมระหว่างการแข่งขันอาจทำให้ผู้เล่นถูกปรับ.</t>
  </si>
  <si>
    <t>การที่ผู้เล่นเปลี่ยนตำแหน่งภายในทีมในระหว่างเกมจะเกิดอะไร?</t>
  </si>
  <si>
    <t>การเปลี่ยนตำแหน่งผู้เล่นภายในทีมระหว่างเกมถือว่าเป็นฟาวล์.</t>
  </si>
  <si>
    <t>หากลูกตะกร้อไม่ผ่านตาข่ายในการเสิร์ฟจะถือว่าอะไร?</t>
  </si>
  <si>
    <t>การที่ลูกไม่ข้ามตาข่ายในการเสิร์ฟถือว่าเป็นฟาวล์.</t>
  </si>
  <si>
    <t>การทำฟาวล์หลังจากตีลูกจะทำให้เกิดอะไร?</t>
  </si>
  <si>
    <t>การทำฟาวล์หลังจากตีลูกจะทำให้ฝ่ายตรงข้ามได้คะแนน.</t>
  </si>
  <si>
    <t>หากผู้เล่นถูกตีลูกตะกร้อด้วยมือจะเกิดอะไร?</t>
  </si>
  <si>
    <t>การใช้มือในการตีลูกถือเป็นฟาวล์.</t>
  </si>
  <si>
    <t>การใช้เท้าในการเล่นลูกตะกร้อในขณะที่ลูกยังไม่ตกจะถือว่าเป็นอะไร?</t>
  </si>
  <si>
    <t>B) เสิร์ฟใหม่</t>
  </si>
  <si>
    <t>การใช้เท้าในขณะที่ลูกยังไม่ตกถือเป็นฟาวล์.</t>
  </si>
  <si>
    <t>หากทีมไม่ได้ติดต่อกับลูกตะกร้อในการเสิร์ฟจะทำให้เกิดอะไร?</t>
  </si>
  <si>
    <t>หากทีมไม่ได้ติดต่อกับลูกในการเสิร์ฟถือว่าเป็นฟาวล์.</t>
  </si>
  <si>
    <t>การทำฟาวล์ในขณะที่ลูกกำลังตกลงไปในสนามจะทำให้เกิดอะไร?</t>
  </si>
  <si>
    <t>การทำฟาวล์ในขณะที่ลูกตกลงไปจะทำให้ฝ่ายตรงข้ามได้คะแนน.</t>
  </si>
  <si>
    <t>การที่ผู้เล่นใช้เท้าในการรับลูกตะกร้อจะทำให้เกิดอะไร?</t>
  </si>
  <si>
    <t>การใช้เท้าในการรับลูกตะกร้อถือว่าเป็นการเล่นที่ถูกต้อง.</t>
  </si>
  <si>
    <t>หากผู้เล่นทำฟาวล์ในระหว่างการเสิร์ฟจะทำให้เกิดอะไร?</t>
  </si>
  <si>
    <t>การตีลูกตะกร้อให้ไปในทิศทางที่ผิดจะทำให้เกิดอะไร?</t>
  </si>
  <si>
    <t>การตีลูกไปในทิศทางที่ผิดถือว่าเป็นฟาวล์.</t>
  </si>
  <si>
    <t>หากลูกตะกร้อหลุดจากสนามจะทำให้เกิดอะไร?</t>
  </si>
  <si>
    <t>การที่ลูกหลุดจากสนามจะทำให้ฝ่ายตรงข้ามได้คะแนน.</t>
  </si>
  <si>
    <t>การที่ผู้เล่นลืมเปลี่ยนตัวตามกติกาจะทำให้เกิดอะไร?</t>
  </si>
  <si>
    <t>การทำฟาวล์ในระหว่างการเปลี่ยนตัวจะทำให้เกิดอะไร?</t>
  </si>
  <si>
    <t>การทำฟาวล์ระหว่างการเปลี่ยนตัวทำให้ฝ่ายตรงข้ามได้คะแนน.</t>
  </si>
  <si>
    <t>การเสิร์ฟผิดกติกาจะทำให้เกิดอะไร?</t>
  </si>
  <si>
    <t>การเสิร์ฟผิดกติกาถือว่าเป็นฟาวล์.</t>
  </si>
  <si>
    <t>การทำฟาวล์ในการรับลูกจะทำให้เกิดอะไร?</t>
  </si>
  <si>
    <t>หากลูกตะกร้อผ่านตาข่ายไม่ตรงตำแหน่งจะทำให้เกิดอะไร?</t>
  </si>
  <si>
    <t>การที่ลูกผ่านตาข่ายไม่ตรงตำแหน่งจะทำให้เกิดฟาวล์.</t>
  </si>
  <si>
    <t>หากผู้เล่นทำฟาวล์ในขณะเสิร์ฟจะทำให้เกิดอะไร?</t>
  </si>
  <si>
    <t>การทำฟาวล์ในขณะเสิร์ฟทำให้ฝ่ายตรงข้ามได้คะแนน.</t>
  </si>
  <si>
    <t>การทำฟาวล์ในขณะเล่นลูกตะกร้อจะทำให้เกิดอะไร?</t>
  </si>
  <si>
    <t>การทำฟาวล์ในขณะเล่นลูกตะกร้อจะทำให้ฝ่ายตรงข้ามได้คะแนน.</t>
  </si>
  <si>
    <t>การที่ผู้เล่นทำฟาวล์หลังจากรับลูกจะทำให้เกิดอะไร?</t>
  </si>
  <si>
    <t>การทำฟาวล์หลังจากรับลูกจะทำให้ฝ่ายตรงข้ามได้คะแนน.</t>
  </si>
  <si>
    <t>การทำฟาวล์ในขณะที่ตีลูกตะกร้อจะทำให้เกิดอะไร?</t>
  </si>
  <si>
    <t>การทำฟาวล์ในขณะตีลูกตะกร้อจะทำให้ฝ่ายตรงข้ามได้คะแนน.</t>
  </si>
  <si>
    <t>หากผู้เล่นเสิร์ฟลูกออกนอกสนามจะทำให้เกิดอะไร?</t>
  </si>
  <si>
    <t>การเสิร์ฟลูกออกนอกสนามถือเป็นฟาวล์.</t>
  </si>
  <si>
    <t>การเสิร์ฟลูกในขณะที่ผู้เล่นฝ่ายตรงข้ามยังไม่พร้อมจะทำให้เกิดอะไร?</t>
  </si>
  <si>
    <t>การเสิร์ฟในขณะที่ฝ่ายตรงข้ามยังไม่พร้อมถือว่าเป็นฟาวล์.</t>
  </si>
  <si>
    <t>หากลูกตะกร้อกระเด็นออกไปข้างสนามจะทำให้เกิดอะไร?</t>
  </si>
  <si>
    <t>ลูกที่กระเด็นออกไปข้างสนามทำให้ฝ่ายตรงข้ามได้คะแนน.</t>
  </si>
  <si>
    <t>การเปลี่ยนตำแหน่งผู้เล่นในระหว่างเกมจะทำให้เกิดอะไร?</t>
  </si>
  <si>
    <t>การเปลี่ยนตำแหน่งผู้เล่นในระหว่างเกมถือว่าเป็นฟาวล์.</t>
  </si>
  <si>
    <t>หากลูกตะกร้อข้ามตาข่ายไปในลักษณะที่ผิดกติกาจะทำให้เกิดอะไร?</t>
  </si>
  <si>
    <t>ลูกที่ข้ามตาข่ายผิดกติกาถือว่าเป็นฟาวล์.</t>
  </si>
  <si>
    <t>การที่ผู้เล่นใช้เท้าในการตีลูกจะทำให้เกิดอะไร?</t>
  </si>
  <si>
    <t>การใช้เท้าในการตีลูกถือว่าเป็นฟาวล์.</t>
  </si>
  <si>
    <t>การทำฟาวล์ระหว่างการเสิร์ฟจะทำให้เกิดอะไร?</t>
  </si>
  <si>
    <t>A) ฝ่ายตรงข้ามได้คะแนน; B) เสิร์ฟใหม่; C) ได้คะแนน; D) ไม่มีผล</t>
  </si>
  <si>
    <t>การทำฟาวล์ในการเสิร์ฟทำให้ฝ่ายตรงข้ามได้คะแนน.</t>
  </si>
  <si>
    <t>การที่ผู้เล่นไม่ได้ตีลูกให้ถูกต้องตามกติกาจะทำให้เกิดอะไร?</t>
  </si>
  <si>
    <t>การตีลูกไม่ถูกต้องตามกติกาจะทำให้เกิดฟาวล์.</t>
  </si>
  <si>
    <t>การทำฟาวล์โดยใช้แขนในการรับลูกจะทำให้เกิดอะไร?</t>
  </si>
  <si>
    <t>การใช้แขนในการรับลูกถือว่าเป็นฟาวล์.</t>
  </si>
  <si>
    <t>หากผู้เล่นทำฟาวล์ในการตีลูกหลังจากที่ลูกข้ามตาข่ายไปแล้วจะทำให้เกิดอะไร?</t>
  </si>
  <si>
    <t>การทำฟาวล์หลังจากที่ลูกข้ามตาข่ายไปแล้วทำให้ฝ่ายตรงข้ามได้คะแนน.</t>
  </si>
  <si>
    <t>การเสิร์ฟที่ผิดตำแหน่งจะทำให้เกิดอะไร?</t>
  </si>
  <si>
    <t>การเสิร์ฟผิดตำแหน่งถือเป็นฟาวล์.</t>
  </si>
  <si>
    <t>หากผู้เล่นพยายามที่จะตีลูกแต่ไม่สามารถทำได้จะทำให้เกิดอะไร?</t>
  </si>
  <si>
    <t>การที่ผู้เล่นพยายามตีลูกแต่ไม่สามารถทำได้จะทำให้เกิดฟาวล์.</t>
  </si>
  <si>
    <t>การตีลูกที่ยังไม่ตกลงในสนามจะทำให้เกิดอะไร?</t>
  </si>
  <si>
    <t>การตีลูกที่ยังไม่ตกจะถือเป็นฟาวล์.</t>
  </si>
  <si>
    <t>การที่ผู้เล่นใช้มือในการเสิร์ฟจะทำให้เกิดอะไร?</t>
  </si>
  <si>
    <t>การใช้มือในการเสิร์ฟถือว่าเป็นฟาวล์.</t>
  </si>
  <si>
    <t>การทำฟาวล์เมื่ออยู่ในตำแหน่งเสิร์ฟจะทำให้เกิดอะไร?</t>
  </si>
  <si>
    <t>การทำฟาวล์ในตำแหน่งเสิร์ฟจะทำให้ฝ่ายตรงข้ามได้คะแนน.</t>
  </si>
  <si>
    <t>การที่ผู้เล่นไม่ได้อยู่ในตำแหน่งที่ถูกต้องในการเสิร์ฟจะทำให้เกิดอะไร?</t>
  </si>
  <si>
    <t>ผู้เล่นต้องอยู่ในตำแหน่งที่ถูกต้องในการเสิร์ฟ.</t>
  </si>
  <si>
    <t>หากผู้เล่นทำฟาวล์ในขณะรับลูกจะทำให้เกิดอะไร?</t>
  </si>
  <si>
    <t>การทำฟาวล์ในการรับลูกทำให้ฝ่ายนั้นเสียคะแนน.</t>
  </si>
  <si>
    <t>การที่ลูกตะกร้อกระเด็นออกไปข้างสนามหลังจากถูกตีจะทำให้เกิดอะไร?</t>
  </si>
  <si>
    <t>ลูกที่กระเด็นออกจากสนามหลังจากถูกตีทำให้ฝ่ายตรงข้ามได้คะแนน.</t>
  </si>
  <si>
    <t>หากผู้เล่นเปลี่ยนตำแหน่งโดยไม่แจ้งผู้ตัดสินจะทำให้เกิดอะไร?</t>
  </si>
  <si>
    <t>การเปลี่ยนตำแหน่งผู้เล่นโดยไม่แจ้งผู้ตัดสินถือว่าเป็นฟาวล์.</t>
  </si>
  <si>
    <t>การเสิร์ฟลูกไปยังที่ที่ไม่ถูกต้องจะทำให้เกิดอะไร?</t>
  </si>
  <si>
    <t>การเสิร์ฟลูกไปยังที่ที่ไม่ถูกต้องถือว่าเป็นฟาวล์.</t>
  </si>
  <si>
    <t>หากลูกตะกร้อไม่ข้ามตาข่ายในการเสิร์ฟจะทำให้เกิดอะไร?</t>
  </si>
  <si>
    <t>การทำฟาวล์หลังจากเสิร์ฟลูกจะทำให้เกิดอะไร?</t>
  </si>
  <si>
    <t>การทำฟาวล์หลังจากเสิร์ฟลูกจะทำให้ฝ่ายตรงข้ามได้คะแนน.</t>
  </si>
  <si>
    <t>หากลูกตะกร้อหลุดจากสนามระหว่างการแข่งขันจะทำให้เกิดอะไร?</t>
  </si>
  <si>
    <t>การที่ลูกหลุดจากสนามระหว่างการแข่งขันทำให้ฝ่ายตรงข้ามได้คะแนน.</t>
  </si>
  <si>
    <t>การทำฟาวล์โดยไม่แจ้งผู้ตัดสินจะทำให้เกิดอะไร?</t>
  </si>
  <si>
    <t>การไม่แจ้งผู้ตัดสินเมื่อทำฟาวล์ทำให้ฝ่ายตรงข้ามได้คะแนน.</t>
  </si>
  <si>
    <t>การตีลูกตะกร้อในขณะที่ยังไม่พร้อมจะทำให้เกิดอะไร?</t>
  </si>
  <si>
    <t>การตีลูกตะกร้อในขณะที่ยังไม่พร้อมถือเป็นฟาวล์.</t>
  </si>
  <si>
    <t>หากผู้เล่นใช้ขาในการรับลูกตะกร้อจะทำให้เกิดอะไร?</t>
  </si>
  <si>
    <t>การใช้ขาในการรับลูกถือว่าเป็นการเล่นที่ถูกต้อง.</t>
  </si>
  <si>
    <t>การเสิร์ฟไม่ถึงตำแหน่งที่กำหนดจะทำให้เกิดอะไร?</t>
  </si>
  <si>
    <t>การเสิร์ฟไม่ถึงตำแหน่งที่กำหนดถือว่าเป็นฟาวล์.</t>
  </si>
  <si>
    <t>หากผู้เล่นทำฟาวล์ในการตีกลับลูกจะทำให้เกิดอะไร?</t>
  </si>
  <si>
    <t>การทำฟาวล์ในการตีกลับลูกทำให้ฝ่ายตรงข้ามได้คะแนน.</t>
  </si>
  <si>
    <t>การใช้เท้าในการเสิร์ฟจะทำให้เกิดอะไร?</t>
  </si>
  <si>
    <t>การใช้เท้าในการเสิร์ฟถือว่าเป็นฟาวล์.</t>
  </si>
  <si>
    <t>การที่ผู้เล่นตีลูกผิดตำแหน่งจะทำให้เกิดอะไร?</t>
  </si>
  <si>
    <t>การตีลูกผิดตำแหน่งถือว่าเป็นฟาวล์.</t>
  </si>
  <si>
    <t>หากผู้เล่นไม่อยู่ในตำแหน่งที่ถูกต้องเมื่อเสิร์ฟจะทำให้เกิดอะไร?</t>
  </si>
  <si>
    <t>การไม่อยู่ในตำแหน่งที่ถูกต้องถือเป็นฟาวล์.</t>
  </si>
  <si>
    <t>การเสิร์ฟที่ลูกไม่ได้ข้ามตาข่ายจะทำให้เกิดอะไร?</t>
  </si>
  <si>
    <t>การเสิร์ฟที่ลูกไม่ข้ามตาข่ายถือเป็นฟาวล์.</t>
  </si>
  <si>
    <t>หากผู้เล่นทำฟาวล์หลังจากรับลูกจะทำให้เกิดอะไร?</t>
  </si>
  <si>
    <t>การทำฟาวล์หลังจากรับลูกทำให้ฝ่ายตรงข้ามได้คะแนน.</t>
  </si>
  <si>
    <t>การตีลูกที่ยังไม่ข้ามตาข่ายจะทำให้เกิดอะไร?</t>
  </si>
  <si>
    <t>การตีลูกที่ยังไม่ข้ามตาข่ายถือเป็นฟาวล์.</t>
  </si>
  <si>
    <t>การทำฟาวล์โดยการตีลูกด้วยมือทั้งสองข้างจะทำให้เกิดอะไร?</t>
  </si>
  <si>
    <t>การตีลูกด้วยมือทั้งสองข้างถือเป็นฟาวล์.</t>
  </si>
  <si>
    <t>หากผู้เล่นเสิร์ฟลูกไม่ถึงตำแหน่งที่กำหนดจะทำให้เกิดอะไร?</t>
  </si>
  <si>
    <t>การเสิร์ฟไม่ถึงตำแหน่งที่กำหนดถือเป็นฟาวล์.</t>
  </si>
  <si>
    <t>หากผู้เล่นไม่ตีลูกตะกร้อให้ถูกต้องจะทำให้เกิดอะไร?</t>
  </si>
  <si>
    <t>การตีลูกไม่ถูกต้องตามกติกาถือเป็นฟาวล์.</t>
  </si>
  <si>
    <t>หากลูกตะกร้อออกนอกสนามหลังจากการตีจะทำให้เกิดอะไร?</t>
  </si>
  <si>
    <t>ลูกที่ออกนอกสนามหลังจากการตีจะทำให้ฝ่ายตรงข้ามได้คะแนน.</t>
  </si>
  <si>
    <t>การทำฟาวล์ในการรับลูกทำให้ฝ่ายตรงข้ามได้คะแนน.</t>
  </si>
  <si>
    <t>การที่ผู้เล่นไม่พร้อมเมื่อเสิร์ฟจะทำให้เกิดอะไร?</t>
  </si>
  <si>
    <t>ผู้เล่นต้องพร้อมเมื่อเสิร์ฟ.</t>
  </si>
  <si>
    <t>การเปลี่ยนตำแหน่งผู้เล่นโดยไม่แจ้งกรรมการจะทำให้เกิดอะไร?</t>
  </si>
  <si>
    <t>การเปลี่ยนตำแหน่งโดยไม่แจ้งกรรมการถือเป็นฟาวล์.</t>
  </si>
  <si>
    <t>หากผู้เล่นใช้แขนในการรับลูกตะกร้อจะทำให้เกิดอะไร?</t>
  </si>
  <si>
    <t>การใช้แขนในการรับลูกถือเป็นฟาวล์.</t>
  </si>
  <si>
    <t>การเสิร์ฟที่ผู้เล่นไม่ได้ใช้เท้าตามกติกาจะทำให้เกิดอะไร?</t>
  </si>
  <si>
    <t>การเสิร์ฟที่ไม่ได้ใช้เท้าตามกติกาถือเป็นฟาวล์.</t>
  </si>
  <si>
    <t>หากลูกตะกร้อไม่ได้ข้ามไปข้างสนามที่ถูกต้องจะทำให้เกิดอะไร?</t>
  </si>
  <si>
    <t>ลูกที่ไม่ข้ามไปข้างสนามที่ถูกต้องถือเป็นฟาวล์.</t>
  </si>
  <si>
    <t>การเสิร์ฟที่ไม่ถึงตำแหน่งที่กำหนดโดยกติกาจะทำให้เกิดอะไร?</t>
  </si>
  <si>
    <t>การเสิร์ฟที่ไม่ถึงตำแหน่งที่กำหนดถือเป็นฟาวล์.</t>
  </si>
  <si>
    <t>หากผู้เล่นใช้ขาในการตีลูกจะทำให้เกิดอะไร?</t>
  </si>
  <si>
    <t>การใช้ขาในการตีลูกถือว่าเป็นการเล่นที่ถูกต้อง.</t>
  </si>
  <si>
    <t>การที่ผู้เล่นตีลูกไปโดนตาข่ายจะทำให้เกิดอะไร?</t>
  </si>
  <si>
    <t>การตีลูกไปโดนตาข่ายถือเป็นฟาวล์.</t>
  </si>
  <si>
    <t>การเสิร์ฟที่ผิดตำแหน่งถือเป็นฟาวล์.</t>
  </si>
  <si>
    <t>การตีลูกด้วยเท้าในขณะเล่นจะทำให้เกิดอะไร?</t>
  </si>
  <si>
    <t>การตีลูกด้วยเท้าในขณะเล่นถือเป็นฟาวล์.</t>
  </si>
  <si>
    <t>การที่ผู้เล่นเสิร์ฟในขณะที่ฝ่ายตรงข้ามยังไม่พร้อมจะทำให้เกิดอะไร?</t>
  </si>
  <si>
    <t>การเสิร์ฟในขณะที่ฝ่ายตรงข้ามยังไม่พร้อมถือเป็นฟาวล์.</t>
  </si>
  <si>
    <t>In a Muay Thai competition, what equipment must boxers wear?</t>
  </si>
  <si>
    <t>A) Gloves, B) Shin guards, C) Boxing shorts, D) All of the above</t>
  </si>
  <si>
    <t>D) All of the above</t>
  </si>
  <si>
    <t>ในการแข่งขันมวยไทย นักมวยต้องใส่อุปกรณ์ใดบ้าง?</t>
  </si>
  <si>
    <t>A) ถุงมือ, B) สนับแข้ง, C) กางเกงมวย, D) ทุกข้อ</t>
  </si>
  <si>
    <t>D) ทุกข้อ</t>
  </si>
  <si>
    <t>นักมวยต้องใส่อุปกรณ์ครบชุดตามกติกา.</t>
  </si>
  <si>
    <t>What fighting styles are used in Muay Thai?</t>
  </si>
  <si>
    <t>A) fist, B) elbow, C) knee, D) all</t>
  </si>
  <si>
    <t>มวยไทยมีการใช้ท่าใดในการต่อสู้?</t>
  </si>
  <si>
    <t>A) หมัด, B) ศอก, C) เข่า, D) ทุกข้อ</t>
  </si>
  <si>
    <t>มวยไทยใช้หมัด ศอก เข่า และเท้าในการต่อสู้.</t>
  </si>
  <si>
    <t>In Muay Thai competitions, punches on which part of the body are prohibited?</t>
  </si>
  <si>
    <t>A) abdomen, B) back of neck, C) chest, D) face</t>
  </si>
  <si>
    <t>B) Back of the neck</t>
  </si>
  <si>
    <t>ในการแข่งขันมวยไทย การชกที่ส่วนใดของร่างกายห้าม?</t>
  </si>
  <si>
    <t>A) ท้อง, B) หลังคอ, C) หน้าอก D) ใบหน้า</t>
  </si>
  <si>
    <t>B) หลังคอ</t>
  </si>
  <si>
    <t>การชกที่หลังคอเป็นการกระทำที่ผิดกติกา.</t>
  </si>
  <si>
    <t>In Muay Thai, when does the referee stop the match?</t>
  </si>
  <si>
    <t>A) When there is a serious injury; B) When time is up; C) When there is a foul; D) All of the above.</t>
  </si>
  <si>
    <t>ในมวยไทย ผู้ตัดสินจะหยุดการแข่งขันเมื่อไร?</t>
  </si>
  <si>
    <t>A) เมื่อมีการบาดเจ็บที่รุนแรง; B) เมื่อหมดเวลา; C) เมื่อมีการกระทำที่ผิดกติกา; D) ทุกข้อ</t>
  </si>
  <si>
    <t>ผู้ตัดสินหยุดการแข่งขันในกรณีต่างๆ ตามกติกา.</t>
  </si>
  <si>
    <t>What is the scoring system for Muay Thai matches considered?</t>
  </si>
  <si>
    <t>A) the number of punches; B) the intensity of the punches; C) the control of the fight; D) all of the above.</t>
  </si>
  <si>
    <t>การนับคะแนนในการแข่งขันมวยไทยจะพิจารณาจากอะไร?</t>
  </si>
  <si>
    <t>A) จำนวนการชกถูก; B) ความรุนแรงของการชก; C) การควบคุมการต่อสู้; D) ทุกข้อ</t>
  </si>
  <si>
    <t>การนับคะแนนพิจารณาจากหลายปัจจัย.</t>
  </si>
  <si>
    <t>Which moves do Muay Thai boxers get points for?</t>
  </si>
  <si>
    <t>A) fist; B) elbow; C) knee; D) all</t>
  </si>
  <si>
    <t>นักมวยไทยจะได้รับคะแนนจากการใช้ท่าไหน?</t>
  </si>
  <si>
    <t>A) หมัด; B) ศอก; C) เข่า; D) ทุกข้อ</t>
  </si>
  <si>
    <t>นักมวยจะได้รับคะแนนจากท่าเหล่านี้.</t>
  </si>
  <si>
    <t>What precautions should you take when using elbows in Muay Thai?</t>
  </si>
  <si>
    <t>A) Must be used only during the opening phase of the match; B) Do not use elbow strikes when the opponent is unprepared; C) Do not use when the opponent is unconscious; D) Do not use during breaks.</t>
  </si>
  <si>
    <t>B) Do not throw elbow strikes when your opponent is not prepared.</t>
  </si>
  <si>
    <t>การใช้ศอกในมวยไทยต้องระวังอะไร?</t>
  </si>
  <si>
    <t>A) ต้องใช้เฉพาะในช่วงเปิดเกม; B) ห้ามชกศอกในกรณีที่คู่ต่อสู้ไม่ตั้งตัว; C) ห้ามใช้เมื่อคู่ต่อสู้หมดสติ; D) ห้ามใช้ในช่วงพัก</t>
  </si>
  <si>
    <t>B) ห้ามชกศอกในกรณีที่คู่ต่อสู้ไม่ตั้งตัว</t>
  </si>
  <si>
    <t>การใช้ศอกต้องทำอย่างระมัดระวังตามกติกา.</t>
  </si>
  <si>
    <t>Where should you kick in Muay Thai?</t>
  </si>
  <si>
    <t>A) abdomen; B) legs; C) head; D) chest</t>
  </si>
  <si>
    <t>B) Legs</t>
  </si>
  <si>
    <t>การเตะในมวยไทยต้องเตะที่ไหน?</t>
  </si>
  <si>
    <t>A) ท้อง; B) ขา; C) หัว; D) หน้าอก</t>
  </si>
  <si>
    <t>B) ขา</t>
  </si>
  <si>
    <t>การเตะที่ขาหรือส่วนล่างของร่างกายเป็นการกระทำที่ถูกต้อง.</t>
  </si>
  <si>
    <t>When an opponent falls down, what does the referee do?</t>
  </si>
  <si>
    <t>A) Give the game a 10-second countdown; B) Give the point to the standing team; C) Forfeit; D) Stop the game.</t>
  </si>
  <si>
    <t>A) Give 10 seconds to count.</t>
  </si>
  <si>
    <t>เมื่อคู่ต่อสู้ล้มลง ผู้ตัดสินจะทำอย่างไร?</t>
  </si>
  <si>
    <t>A) ให้เวลานับ 10 วินาที; B) ยกคะแนนให้ฝ่ายที่ยืนอยู่; C) ปรับแพ้; D) หยุดเกม</t>
  </si>
  <si>
    <t>A) ให้เวลานับ 10 วินาที</t>
  </si>
  <si>
    <t>ผู้ตัดสินให้เวลานับ 10 วินาทีเพื่อให้คู่ต่อสู้ฟื้นตัว.</t>
  </si>
  <si>
    <t>What positions can a boxer fight in?</t>
  </si>
  <si>
    <t>นักมวยสามารถชกในตำแหน่งใดได้บ้าง?</t>
  </si>
  <si>
    <t>นักมวยสามารถชกด้วยหมัด ศอก และเข่าได้.</t>
  </si>
  <si>
    <t>In Muay Thai, how should one defend oneself?</t>
  </si>
  <si>
    <t>A) Use your hands to grab your elbows; B) Use your feet to kick; C) Use your fists to punch; D) All of the above.</t>
  </si>
  <si>
    <t>ในมวยไทย การป้องกันตัวต้องทำอย่างไร?</t>
  </si>
  <si>
    <t>A) ใช้มือจับศอก; B) ใช้เท้าเตะ; C) ใช้หมัดชก; D) ทุกข้อ</t>
  </si>
  <si>
    <t>การป้องกันตัวทำได้หลายวิธีในมวยไทย.</t>
  </si>
  <si>
    <t>What is not allowed in a Muay Thai competition?</t>
  </si>
  <si>
    <t>A) Kicking the head with your feet; B) Throwing; C) Punching when the opponent is unconscious; D) All of the above.</t>
  </si>
  <si>
    <t>ในการแข่งขันมวยไทย ห้ามทำอะไร?</t>
  </si>
  <si>
    <t>A) ใช้เท้าเตะที่ศีรษะ; B) การทุ่ม; C) ชกเมื่อคู่ต่อสู้หมดสติ; D) ทุกข้อ</t>
  </si>
  <si>
    <t>ห้ามกระทำทั้งสามกรณีตามกติกา.</t>
  </si>
  <si>
    <t>When should a boxer keep his distance from his opponent?</t>
  </si>
  <si>
    <t>A) After the fight ends; B) Before the fight starts; C) During the break; D) All of the above.</t>
  </si>
  <si>
    <t>B) Before the fight starts</t>
  </si>
  <si>
    <t>นักมวยจะต้องรักษาระยะห่างจากคู่ต่อสู้เมื่อไร?</t>
  </si>
  <si>
    <t>A) หลังจากชกจบ; B) ก่อนที่จะเริ่มชก; C) ระหว่างพัก; D) ทุกข้อ</t>
  </si>
  <si>
    <t>B) ก่อนที่จะเริ่มชก</t>
  </si>
  <si>
    <t>การรักษาระยะห่างก่อนเริ่มการแข่งขันเป็นสิ่งสำคัญ.</t>
  </si>
  <si>
    <t>In a Muay Thai match, what should you do if there is an illegal weight drop?</t>
  </si>
  <si>
    <t>A) Disqualification; B) Deduction of points; C) Financial penalty; D) All of the above.</t>
  </si>
  <si>
    <t>A) Adjust the loss</t>
  </si>
  <si>
    <t>ในการแข่งขันมวยไทย หากมีการทิ้งน้ำหนักผิดกติกาจะทำอย่างไร?</t>
  </si>
  <si>
    <t>A) ปรับแพ้; B) ตัดคะแนน; C) ปรับเงิน; D) ทุกข้อ</t>
  </si>
  <si>
    <t>A) ปรับแพ้</t>
  </si>
  <si>
    <t>การทิ้งน้ำหนักผิดกติกาจะทำให้แพ้ทันที.</t>
  </si>
  <si>
    <t>Which body parts are prohibited in Muay Thai competitions?</t>
  </si>
  <si>
    <t>A) arm; B) leg; C) head; D) ankle</t>
  </si>
  <si>
    <t>C) Head</t>
  </si>
  <si>
    <t>การใช้อวัยวะไหนห้ามใช้ในการแข่งขันมวยไทย?</t>
  </si>
  <si>
    <t>A) แขน; B) ขา; C) หัว; D) ข้อเท้า</t>
  </si>
  <si>
    <t>C) หัว</t>
  </si>
  <si>
    <t>การใช้หัวในการชนเป็นการกระทำที่ผิดกติกา.</t>
  </si>
  <si>
    <t>During the competition, what should you do if a boxer is seriously injured?</t>
  </si>
  <si>
    <t>A) The game is stopped immediately; B) The boxers may continue the match; C) Seek medical attention; D) All of the above.</t>
  </si>
  <si>
    <t>A) Stop the game immediately.</t>
  </si>
  <si>
    <t>ในระหว่างการแข่งขัน ถ้านักมวยได้รับบาดเจ็บหนักจะทำอย่างไร?</t>
  </si>
  <si>
    <t>A) หยุดเกมทันที; B) นักมวยสามารถแข่งต่อได้; C) ให้แพทย์ดูแล; D) ทุกข้อ</t>
  </si>
  <si>
    <t>A) หยุดเกมทันที</t>
  </si>
  <si>
    <t>หากบาดเจ็บหนักเกมจะหยุด.</t>
  </si>
  <si>
    <t>When do boxers have to count in Muay Thai?</t>
  </si>
  <si>
    <t>A) When being punched; B) When being kicked; C) When an opponent falls; D) When an accident occurs.</t>
  </si>
  <si>
    <t>C) When the opponent falls</t>
  </si>
  <si>
    <t>นักมวยจะต้องนับเมื่อไหร่ในมวยไทย?</t>
  </si>
  <si>
    <t>A) เมื่อโดนชก; B) เมื่อโดนเตะ; C) เมื่อคู่ต่อสู้ล้ม; D) เมื่อเกิดอุบัติเหตุ</t>
  </si>
  <si>
    <t>C) เมื่อคู่ต่อสู้ล้ม</t>
  </si>
  <si>
    <t>การนับเกิดขึ้นเมื่อคู่ต่อสู้ล้มลง.</t>
  </si>
  <si>
    <t>What is the purpose of doing boxing poses in Muay Thai?</t>
  </si>
  <si>
    <t>A) to show respect; B) to gain power; C) to deceive an opponent; D) all of the above.</t>
  </si>
  <si>
    <t>A) To show respect</t>
  </si>
  <si>
    <t>การทำท่าร่ายมวยในมวยไทยทำเพื่ออะไร?</t>
  </si>
  <si>
    <t>A) เพื่อแสดงความเคารพ; B) เพื่อเพิ่มพลัง; C) เพื่อหลอกคู่ต่อสู้; D) ทุกข้อ</t>
  </si>
  <si>
    <t>A) เพื่อแสดงความเคารพ</t>
  </si>
  <si>
    <t>การร่ายมวยเป็นการแสดงความเคารพ.</t>
  </si>
  <si>
    <t>What do judges consider when scoring?</t>
  </si>
  <si>
    <t>A) Number of successful shots; B) Fight control; C) Fight to exhaustion; D) All of the above.</t>
  </si>
  <si>
    <t>ผู้ตัดสินจะพิจารณาอะไรในการให้คะแนน?</t>
  </si>
  <si>
    <t>A) จำนวนช็อตที่ทำสำเร็จ; B) การควบคุมการต่อสู้; C) การสู้จนหมดแรง; D) ทุกข้อ</t>
  </si>
  <si>
    <t>ผู้ตัดสินพิจารณาหลายปัจจัยในการให้คะแนน.</t>
  </si>
  <si>
    <t>In Muay Thai competitions, what types of moves are prohibited?</t>
  </si>
  <si>
    <t>A) Double-grip position; B) Neck hug; C) Back slam; D) All of the above.</t>
  </si>
  <si>
    <t>ในการแข่งขันมวยไทย การห้ามใช้ท่ารูปแบบใด?</t>
  </si>
  <si>
    <t>A) ท่าที่มีการจับยกคู่; B) การกอดคอ; C) การทุบหลัง; D) ทุกข้อ</t>
  </si>
  <si>
    <t>ห้ามใช้ท่าที่ทำให้เกิดอันตรายต่อคู่ต่อสู้.</t>
  </si>
  <si>
    <t>In Muay Thai, where should the punches be used?</t>
  </si>
  <si>
    <t>A) forehead; B) chin; C) chest; D) eyes</t>
  </si>
  <si>
    <t>B) Chin</t>
  </si>
  <si>
    <t>ในมวยไทย การใช้หมัดต้องชกที่ไหน?</t>
  </si>
  <si>
    <t>A) หน้าผาก; B) คาง; C) หน้าอก; D) ตา</t>
  </si>
  <si>
    <t>B) คาง</t>
  </si>
  <si>
    <t>การชกที่คางจะได้รับคะแนนเต็ม.</t>
  </si>
  <si>
    <t>What happens if a boxer is unable to continue competing?</t>
  </si>
  <si>
    <t>A) The boxer loses; B) The boxer wins; C) The match is replayed; D) The match is canceled.</t>
  </si>
  <si>
    <t>A) The boxer lost.</t>
  </si>
  <si>
    <t>ในกรณีที่นักมวยไม่สามารถแข่งขันต่อได้จะเกิดอะไรขึ้น?</t>
  </si>
  <si>
    <t>A) นักมวยแพ้; B) นักมวยชนะ; C) แข่งขันใหม่; D) การแข่งขันถูกยกเลิก</t>
  </si>
  <si>
    <t>A) นักมวยแพ้</t>
  </si>
  <si>
    <t>ถ้านักมวยไม่สามารถแข่งขันได้จะเป็นฝ่ายแพ้.</t>
  </si>
  <si>
    <t>Is there a physical examination required in a Muay Thai competition?</t>
  </si>
  <si>
    <t>A) Not required; B) Must be checked before the competition; C) Must be checked after the competition; D) Must be checked every day.</t>
  </si>
  <si>
    <t>B) Must be checked before the competition.</t>
  </si>
  <si>
    <t>ในการแข่งขันมวยไทย จะต้องมีการตรวจร่างกายหรือไม่?</t>
  </si>
  <si>
    <t>A) ไม่จำเป็น; B) ต้องตรวจก่อนการแข่งขัน; C) ต้องตรวจหลังการแข่งขัน; D) ต้องตรวจทุกวัน</t>
  </si>
  <si>
    <t>B) ต้องตรวจก่อนการแข่งขัน</t>
  </si>
  <si>
    <t>การตรวจร่างกายเป็นส่วนหนึ่งของกติกา.</t>
  </si>
  <si>
    <t>What criteria must be followed when applying the scoring rules?</t>
  </si>
  <si>
    <t>A) speed of fighting; B) accuracy of punching; C) number of punches landed; D) all of the above.</t>
  </si>
  <si>
    <t>การใช้กฎการนับคะแนนจะต้องเป็นไปตามหลักเกณฑ์ใด?</t>
  </si>
  <si>
    <t>A) ความรวดเร็วในการต่อสู้; B) ความแม่นยำในการชก; C) จำนวนการชกที่ลงเป้าหมาย; D) ทุกข้อ</t>
  </si>
  <si>
    <t>การนับคะแนนจะพิจารณาทุกปัจจัย.</t>
  </si>
  <si>
    <t>If a boxer is kicked in any part of the body, is it considered a violation?</t>
  </si>
  <si>
    <t>A) arm; B) leg; C) head; D) abdomen</t>
  </si>
  <si>
    <t>ถ้านักมวยถูกเตะในส่วนไหนของร่างกายถือว่าผิดกติกา?</t>
  </si>
  <si>
    <t>A) แขน; B) ขา; C) หัว; D) ท้อง</t>
  </si>
  <si>
    <t>การเตะที่หัวเป็นการกระทำผิดกติกา.</t>
  </si>
  <si>
    <t>In what cases should boxers keep their distance?</t>
  </si>
  <si>
    <t>A) Before the fight starts; B) After the fight ends; C) When the opponent falls; D) All of the above.</t>
  </si>
  <si>
    <t>A) Before the competition starts</t>
  </si>
  <si>
    <t>นักมวยต้องรักษาระยะห่างในกรณีไหน?</t>
  </si>
  <si>
    <t>A) ก่อนการแข่งขันเริ่ม; B) หลังจากชกจบ; C) เมื่อคู่ต่อสู้ล้ม; D) ทุกข้อ</t>
  </si>
  <si>
    <t>A) ก่อนการแข่งขันเริ่ม</t>
  </si>
  <si>
    <t>การรักษาระยะห่างเป็นสิ่งสำคัญ.</t>
  </si>
  <si>
    <t>In Muay Thai, what does assault during a fight mean?</t>
  </si>
  <si>
    <t>A) unfair attack; B) boxing stance; C) head punch; D) wrong stance</t>
  </si>
  <si>
    <t>A) The attack was unfair.</t>
  </si>
  <si>
    <t>ในมวยไทย การประทุษร้ายระหว่างการต่อสู้หมายถึงอะไร?</t>
  </si>
  <si>
    <t>A) การโจมตีไม่ยุติธรรม; B) การทำท่าร่ายมวย; C) การชกที่หัว; D) การทำท่าผิด</t>
  </si>
  <si>
    <t>A) การโจมตีไม่ยุติธรรม</t>
  </si>
  <si>
    <t>การประทุษร้ายคือการทำผิดกติกา.</t>
  </si>
  <si>
    <t>In Muay Thai, which moves are prohibited in competition?</t>
  </si>
  <si>
    <t>A) straight punch; B) tight punch; C) elbow strike; D) all of the above</t>
  </si>
  <si>
    <t>ในมวยไทย ท่าไหนที่ห้ามใช้ในการแข่งขัน?</t>
  </si>
  <si>
    <t>A) หมัดตรง; B) หมัดเกร็ง; C) ศอกฟาด; D) ทุกข้อ</t>
  </si>
  <si>
    <t>การใช้ท่าเหล่านี้จะถูกห้ามตามกติกา.</t>
  </si>
  <si>
    <t>In Muay Thai, do changes in punching stance earn points?</t>
  </si>
  <si>
    <t>A) got full marks; B) got partial marks; C) got no marks; D) got marks in some cases.</t>
  </si>
  <si>
    <t>B) Got some points.</t>
  </si>
  <si>
    <t>ในการแข่งขันมวยไทย การเปลี่ยนท่าทางการชกจะได้รับคะแนนไหม?</t>
  </si>
  <si>
    <t>A) ได้คะแนนเต็ม; B) ได้คะแนนบางส่วน; C) ไม่มีคะแนน; D) ได้คะแนนในบางกรณี</t>
  </si>
  <si>
    <t>B) ได้คะแนนบางส่วน</t>
  </si>
  <si>
    <t>การเปลี่ยนท่าทางการชกจะมีผลต่อคะแนน.</t>
  </si>
  <si>
    <t>In Muay Thai competitions, what happens if you break the rules?</t>
  </si>
  <si>
    <t>A) Adjust the score; B) Stop the match; C) Disqualify; D) All of the above.</t>
  </si>
  <si>
    <t>ในการแข่งขันมวยไทย การละเมิดกติกาจะทำให้เกิดอะไร?</t>
  </si>
  <si>
    <t>A) ปรับคะแนน; B) หยุดการแข่งขัน; C) ปรับแพ้; D) ทุกข้อ</t>
  </si>
  <si>
    <t>การละเมิดกติกาจะนำมาซึ่งการลงโทษต่างๆ.</t>
  </si>
  <si>
    <t>In a Muay Thai match, what techniques can boxers use?</t>
  </si>
  <si>
    <t>ในการแข่งขันมวยไทย นักมวยสามารถใช้เทคนิคใดได้บ้าง?</t>
  </si>
  <si>
    <t>มวยไทยใช้ท่าเหล่านี้ในการต่อสู้.</t>
  </si>
  <si>
    <t>What equipment can Muay Thai boxers wear during competitions?</t>
  </si>
  <si>
    <t>A) Gloves; B) Wrist guards; C) Boxing suits; D) All of the above.</t>
  </si>
  <si>
    <t>นักมวยไทยสามารถสวมใส่อุปกรณ์ใดในระหว่างการแข่งขัน?</t>
  </si>
  <si>
    <t>A) ถุงมือ; B) สนับข้อมือ; C) ชุดมวย; D) ทุกข้อ</t>
  </si>
  <si>
    <t>นักมวยต้องสวมใส่อุปกรณ์ครบชุดตามกติกา.</t>
  </si>
  <si>
    <t>If a boxer is prohibited from fighting with a certain stance or style, how will this action be considered?</t>
  </si>
  <si>
    <t>A) Disqualified; B) Gained extra points; C) Did not affect the match; D) Lost points.</t>
  </si>
  <si>
    <t>A) Disqualified</t>
  </si>
  <si>
    <t>หากนักมวยถูกห้ามไม่ให้ต่อสู้ด้วยท่าหรือท่าทางใดๆ การกระทำนี้จะถูกพิจารณาอย่างไร?</t>
  </si>
  <si>
    <t>A) ถูกปรับแพ้; B) ได้คะแนนเพิ่ม; C) ไม่มีผลต่อการแข่งขัน; D) ถูกตัดคะแนน</t>
  </si>
  <si>
    <t>A) ถูกปรับแพ้</t>
  </si>
  <si>
    <t>การกระทำที่ผิดกติกาจะทำให้แพ้ทันที.</t>
  </si>
  <si>
    <t>How do judges score if a boxer strikes a vital point?</t>
  </si>
  <si>
    <t>A) High rating; B) No rating; C) Low rating; D) Partial rating</t>
  </si>
  <si>
    <t>A) Give a high score</t>
  </si>
  <si>
    <t>ผู้ตัดสินจะให้คะแนนอย่างไรในกรณีที่นักมวยทำการโจมตีที่จุดสำคัญ?</t>
  </si>
  <si>
    <t>A) ให้คะแนนสูง; B) ไม่มีคะแนน; C) ให้คะแนนต่ำ; D) ให้คะแนนบางส่วน</t>
  </si>
  <si>
    <t>A) ให้คะแนนสูง</t>
  </si>
  <si>
    <t>การโจมตีที่จุดสำคัญจะได้รับคะแนนสูง.</t>
  </si>
  <si>
    <t>Which part of the body can a Muay Thai boxer hit his opponent?</t>
  </si>
  <si>
    <t>A) head; B) chest; C) legs; D) all</t>
  </si>
  <si>
    <t>นักมวยไทยสามารถตีคู่ต่อสู้ในส่วนใดของร่างกาย?</t>
  </si>
  <si>
    <t>A) หัว; B) หน้าอก; C) ขา; D) ทุกข้อ</t>
  </si>
  <si>
    <t>นักมวยสามารถตีทุกส่วนของร่างกายตามกติกา.</t>
  </si>
  <si>
    <t>If a boxer wants to stop the match, what should he do?</t>
  </si>
  <si>
    <t>A) Notify the referee; B) Stop the fight directly; C) Shout out; D) No restrictions.</t>
  </si>
  <si>
    <t>A) Inform the referee.</t>
  </si>
  <si>
    <t>หากนักมวยต้องการขอยุติการแข่งขันจะต้องทำอย่างไร?</t>
  </si>
  <si>
    <t>A) แจ้งผู้ตัดสิน; B) หยุดการต่อสู้โดยตรง; C) ตะโกนออกมา; D) ไม่มีข้อกำหนด</t>
  </si>
  <si>
    <t>การขอยุติการแข่งขันต้องแจ้งผู้ตัดสิน.</t>
  </si>
  <si>
    <t>In Muay Thai competitions, where are the punches considered illegal?</t>
  </si>
  <si>
    <t>A) abdomen; B) face; C) back of neck; D) arms</t>
  </si>
  <si>
    <t>C) Back of the neck</t>
  </si>
  <si>
    <t>ในการแข่งขันมวยไทย การชกที่ไหนที่ถือเป็นการกระทำที่ผิดกติกา?</t>
  </si>
  <si>
    <t>A) ท้อง; B) ใบหน้า; C) หลังคอ; D) แขน</t>
  </si>
  <si>
    <t>C) หลังคอ</t>
  </si>
  <si>
    <t>การชกที่หลังคอถือเป็นการกระทำที่ผิดกติกา.</t>
  </si>
  <si>
    <t>When can the referee stop the match?</t>
  </si>
  <si>
    <t>A) When there is a serious injury; B) When a foul is committed; C) When time is up; D) All of the above.</t>
  </si>
  <si>
    <t>เมื่อใดที่ผู้ตัดสินสามารถหยุดการแข่งขัน?</t>
  </si>
  <si>
    <t>A) เมื่อมีการบาดเจ็บที่รุนแรง; B) เมื่อเกิดการกระทำที่ผิดกติกา; C) เมื่อหมดเวลา; D) ทุกข้อ</t>
  </si>
  <si>
    <t>ผู้ตัดสินหยุดเกมเมื่อมีเหตุการณ์เหล่านี้เกิดขึ้น.</t>
  </si>
  <si>
    <t>In a Muay Thai match, when do points get deducted?</t>
  </si>
  <si>
    <t>A) A boxer kicks low; B) A boxer punches the back of the neck; C) A boxer attacks when his opponent is not prepared; D) All of the above.</t>
  </si>
  <si>
    <t>ในการแข่งขันมวยไทย คะแนนจะถูกตัดเมื่อเกิดอะไรขึ้น?</t>
  </si>
  <si>
    <t>A) นักมวยเตะต่ำ; B) นักมวยชกที่หลังคอ; C) นักมวยโจมตีเมื่อคู่ต่อสู้ไม่ตั้งตัว; D) ทุกข้อ</t>
  </si>
  <si>
    <t>การกระทำเหล่านี้ถือเป็นการละเมิดกติกา.</t>
  </si>
  <si>
    <t>How should one be careful when using elbows in Muay Thai?</t>
  </si>
  <si>
    <t>A) Do not use during the opening phase of the game; B) Do not use during the breaks; C) Do not punch when the opponent is not ready; D) Do not use if the opponent is unconscious.</t>
  </si>
  <si>
    <t>C) Do not punch when your opponent is not ready.</t>
  </si>
  <si>
    <t>การใช้ท่าศอกในมวยไทยจะต้องระมัดระวังอย่างไร?</t>
  </si>
  <si>
    <t>A) ห้ามใช้ในช่วงเปิดเกม; B) ห้ามใช้ในช่วงพัก; C) ห้ามชกเมื่อคู่ต่อสู้ไม่พร้อม; D) ห้ามใช้ในกรณีที่คู่ต่อสู้หมดสติ</t>
  </si>
  <si>
    <t>C) ห้ามชกเมื่อคู่ต่อสู้ไม่พร้อม</t>
  </si>
  <si>
    <t>การใช้ศอกต้องทำอย่างระมัดระวัง.</t>
  </si>
  <si>
    <t>In what positions can a boxer attack?</t>
  </si>
  <si>
    <t>A) Use fists only; B) Use elbows only; C) Use fists, elbows, knees, and feet; D) Use fists and feet only.</t>
  </si>
  <si>
    <t>C) Use fists, elbows, knees, and feet.</t>
  </si>
  <si>
    <t>นักมวยสามารถทำการโจมตีในตำแหน่งใดบ้าง?</t>
  </si>
  <si>
    <t>A) ใช้หมัดเท่านั้น; B) ใช้ศอกเท่านั้น; C) ใช้หมัด, ศอก, เข่า, และเท้า; D) ใช้หมัดและเท้าเท่านั้น</t>
  </si>
  <si>
    <t>C) ใช้หมัด ศอก เข่า และเท้า</t>
  </si>
  <si>
    <t xml:space="preserve"> นักมวยสามารถใช้ท่าเหล่านี้ในการโจมตี.</t>
  </si>
  <si>
    <t>What equipment is prohibited in Muay Thai competitions?</t>
  </si>
  <si>
    <t>A) shin guards; B) hand guards; C) hand tape; D) boxing shoes</t>
  </si>
  <si>
    <t>D) Boxing shoes</t>
  </si>
  <si>
    <t>การห้ามใช้อุปกรณ์ใดในการแข่งขันมวยไทย?</t>
  </si>
  <si>
    <t>A) สนับแข้ง; B) สนับมือ; C) เทปพันมือ; D) รองเท้ามวย</t>
  </si>
  <si>
    <t>D) รองเท้ามวย</t>
  </si>
  <si>
    <t>ห้ามนักมวยใช้รองเท้าในการแข่งขัน.</t>
  </si>
  <si>
    <t>In a Muay Thai match, if a boxer is attacked by an incorrect move, how will he be treated?</t>
  </si>
  <si>
    <t>A) Points are deducted; B) Disqualified; C) Points are gained; D) No effect.</t>
  </si>
  <si>
    <t>A) Points were deducted.</t>
  </si>
  <si>
    <t>ในการแข่งขันมวยไทย ถ้านักมวยถูกกระทำโดยท่าที่ไม่ถูกต้อง จะได้รับการปฏิบัติอย่างไร?</t>
  </si>
  <si>
    <t>A) ถูกตัดคะแนน; B) ถูกปรับแพ้; C) ได้คะแนนเพิ่ม; D) ไม่มีผล</t>
  </si>
  <si>
    <t>A) ถูกตัดคะแนน</t>
  </si>
  <si>
    <t>การกระทำผิดกติกาจะทำให้ถูกตัดคะแนน.</t>
  </si>
  <si>
    <t>In Muay Thai, which attack will receive the highest score?</t>
  </si>
  <si>
    <t>A) a punch to the stomach; B) a straight elbow; C) a kick to the leg; D) a punch to the chin.</t>
  </si>
  <si>
    <t>D) Punch to the chin</t>
  </si>
  <si>
    <t>ในการชกมวยไทย การโจมตีใดจะได้รับคะแนนสูงที่สุด?</t>
  </si>
  <si>
    <t>A) การชกที่ท้อง; B) การใช้ศอกตรง; C) การเตะที่ขา; D) การชกที่คาง</t>
  </si>
  <si>
    <t>D) การชกที่คาง</t>
  </si>
  <si>
    <t>การชกที่คางจะได้รับคะแนนสูง.</t>
  </si>
  <si>
    <t>If a boxer is unable to get back on his feet after being knocked down, what should the referee do?</t>
  </si>
  <si>
    <t>A) Count 10 seconds; B) Disqualify immediately; C) Stop the match; D) Order the match to be restarted.</t>
  </si>
  <si>
    <t>B) Immediately adjust the loss.</t>
  </si>
  <si>
    <t>หากนักมวยไม่สามารถกลับมายืนได้หลังจากล้มลง ผู้ตัดสินจะทำอย่างไร?</t>
  </si>
  <si>
    <t>A) นับ 10 วินาที; B) ปรับแพ้ทันที; C) หยุดการแข่งขัน; D) สั่งเริ่มการแข่งขันใหม่</t>
  </si>
  <si>
    <t>B) ปรับแพ้ทันที</t>
  </si>
  <si>
    <t>หากนักมวยไม่สามารถฟื้นตัวจะเป็นฝ่ายแพ้.</t>
  </si>
  <si>
    <t>Can throws be used in Muay Thai competitions?</t>
  </si>
  <si>
    <t>A) Yes; B) No; C) Depends on the situation; D) Yes if the opponent is ready.</t>
  </si>
  <si>
    <t>B) No.</t>
  </si>
  <si>
    <t>ในการแข่งขันมวยไทย สามารถใช้การทุ่มได้หรือไม่?</t>
  </si>
  <si>
    <t>A) ได้; B) ไม่ได้; C) ขึ้นอยู่กับสถานการณ์; D) ได้ในกรณีที่คู่ต่อสู้พร้อม</t>
  </si>
  <si>
    <t>การทุ่มเป็นการกระทำที่ผิดกติกาในมวยไทย.</t>
  </si>
  <si>
    <t>How should knees be used in Muay Thai boxing?</t>
  </si>
  <si>
    <t>A) a side blow; B) a kick; C) an attack from the front; D) a punch to the back.</t>
  </si>
  <si>
    <t>C) Frontal attack</t>
  </si>
  <si>
    <t>การใช้เข่าในการชกมวยไทยจะต้องใช้ในลักษณะใด?</t>
  </si>
  <si>
    <t>A) การกระแทกจากด้านข้าง; B) การเตะ; C) การโจมตีจากด้านหน้า; D) การชกที่ด้านหลัง</t>
  </si>
  <si>
    <t>C) การโจมตีจากด้านหน้า</t>
  </si>
  <si>
    <t>การใช้เข่าจะต้องทำจากด้านหน้า.</t>
  </si>
  <si>
    <t>If a boxer grabs his opponent during a fight, what should the referee do?</t>
  </si>
  <si>
    <t>A) Deduct points; B) Disqualify; C) Score based on catching ability; D) Let the opponent come back and prepare again.</t>
  </si>
  <si>
    <t>A) Deduct points</t>
  </si>
  <si>
    <t>หากนักมวยใช้มือจับคู่ต่อสู้ในระหว่างการต่อสู้ ผู้ตัดสินจะทำอย่างไร?</t>
  </si>
  <si>
    <t>A) ตัดคะแนน; B) ปรับแพ้; C) ให้คะแนนตามความสามารถในการจับ; D) ให้คู่ต่อสู้กลับมาเตรียมตัวใหม่</t>
  </si>
  <si>
    <t>A) ตัดคะแนน</t>
  </si>
  <si>
    <t>การจับคู่ต่อสู้ในลักษณะที่ไม่ถูกต้องจะทำให้ถูกตัดคะแนน.</t>
  </si>
  <si>
    <t>In the event of a foul or serious injury, what should a boxer do?</t>
  </si>
  <si>
    <t>A) Notify the referee; B) Stop the match; C) Restart the match; D) Return to the match.</t>
  </si>
  <si>
    <t>ในกรณีที่มีการกระทำที่ผิดกติกาหรือการบาดเจ็บรุนแรง นักมวยจะต้องทำอย่างไร?</t>
  </si>
  <si>
    <t>A) แจ้งผู้ตัดสิน; B) หยุดการแข่งขัน; C) เริ่มการแข่งขันใหม่; D) กลับไปสู่การแข่งขัน</t>
  </si>
  <si>
    <t>การแจ้งผู้ตัดสินเป็นสิ่งสำคัญ.</t>
  </si>
  <si>
    <t>When a judge decides to award points, what should be considered?</t>
  </si>
  <si>
    <t>A) offensive ability; B) aggressiveness in the game; C) defense; D) all of the above.</t>
  </si>
  <si>
    <t>เมื่อผู้ตัดสินตัดสินใจให้คะแนนจะต้องพิจารณาจากอะไร?</t>
  </si>
  <si>
    <t>A) ความสามารถในการโจมตี; B) ความดุดันในเกม; C) การป้องกันตัว; D) ทุกข้อ</t>
  </si>
  <si>
    <t>ผู้ตัดสินพิจารณาหลายปัจจัยในการตัดสินคะแนน.</t>
  </si>
  <si>
    <t>When a Muay Thai match ends, what does the referee do?</t>
  </si>
  <si>
    <t>A) announce the result of the match; B) order the match to be restarted; C) decide the score and announce the result; D) immediately disqualify the match.</t>
  </si>
  <si>
    <t>C) Decide the scores and announce the results.</t>
  </si>
  <si>
    <t>เมื่อการแข่งขันมวยไทยสิ้นสุดลง ผู้ตัดสินจะทำอย่างไร?</t>
  </si>
  <si>
    <t>A) ประกาศผลการแข่งขัน; B) สั่งให้เริ่มการแข่งขันใหม่; C) ตัดสินคะแนนและประกาศผล; D) ปรับแพ้ทันที</t>
  </si>
  <si>
    <t>C) ตัดสินคะแนนและประกาศผล</t>
  </si>
  <si>
    <t>การตัดสินคะแนนเป็นส่วนสำคัญในผลการแข่งขัน.</t>
  </si>
  <si>
    <t>A) punching the opponent after he is down; B) punching after time is up; C) punching the face with your feet; D) all of the above.</t>
  </si>
  <si>
    <t>A) ชกหลังคู่ต่อสู้ล้ม; B) ชกหลังจากหมดเวลา; C) ใช้เท้าชกหน้า; D) ทุกข้อ</t>
  </si>
  <si>
    <t>การกระทำเหล่านี้เป็นการผิดกติกา.</t>
  </si>
  <si>
    <t>If a boxer makes an illegal attack, what is the penalty?</t>
  </si>
  <si>
    <t>A) Points are deducted; B) The match is immediately stopped; C) The match is disqualified; D) All of the above.</t>
  </si>
  <si>
    <t>หากนักมวยทำการโจมตีที่ผิดกติกาจะได้รับโทษอย่างไร?</t>
  </si>
  <si>
    <t>A) ถูกตัดคะแนน; B) หยุดการแข่งขันทันที; C) ถูกปรับแพ้; D) ทุกข้อ</t>
  </si>
  <si>
    <t>การกระทำที่ผิดกติกาจะถูกลงโทษ.</t>
  </si>
  <si>
    <t>In Muay Thai competitions, what are the rankings based on?</t>
  </si>
  <si>
    <t>A) Attacking ability; B) Speed ​​of movement; C) Accuracy of attack; D) All of the above.</t>
  </si>
  <si>
    <t>ในการแข่งขันมวยไทย การจัดอันดับจะพิจารณาจากอะไร?</t>
  </si>
  <si>
    <t>A) ความสามารถในการโจมตี; B) ความรวดเร็วในการเคลื่อนไหว; C) ความแม่นยำในการโจมตี; D) ทุกข้อ</t>
  </si>
  <si>
    <t>การจัดอันดับพิจารณาจากหลายปัจจัย.</t>
  </si>
  <si>
    <t>If a boxer makes an illegal attack during a break, will he be penalized?</t>
  </si>
  <si>
    <t>A) Disqualified; B) Deducted points; C) No effect on the match; D) Penalized after the match.</t>
  </si>
  <si>
    <t>B) Points were deducted.</t>
  </si>
  <si>
    <t>ถ้านักมวยทำการโจมตีที่ผิดกติกาในช่วงพักจะถูกลงโทษหรือไม่?</t>
  </si>
  <si>
    <t>A) ถูกปรับแพ้; B) ถูกตัดคะแนน; C) ไม่มีผลต่อการแข่งขัน; D) ถูกลงโทษหลังการแข่งขัน</t>
  </si>
  <si>
    <t>B) ถูกตัดคะแนน</t>
  </si>
  <si>
    <t>Which stances in Muay Thai will result in punishment?</t>
  </si>
  <si>
    <t>A) a punch to the back of the neck; B) a knee to the stomach; C) a punch to the stomach; D) a leg kick.</t>
  </si>
  <si>
    <t>A) A punch to the back of the neck.</t>
  </si>
  <si>
    <t>การใช้ท่าไหนในมวยไทยจะทำให้ถูกลงโทษ?</t>
  </si>
  <si>
    <t>A) การชกที่หลังคอ; B) การใช้เข่าที่ท้อง; C) การชกที่ท้อง; D) การเตะขา</t>
  </si>
  <si>
    <t>A) การชกที่หลังคอ</t>
  </si>
  <si>
    <t>การชกที่หลังคอถือเป็นการกระทำผิดกติกา.</t>
  </si>
  <si>
    <t>In a Muay Thai competition, what method is used for judging?</t>
  </si>
  <si>
    <t>A) Scoring by attack; B) Scoring by time; C) Scoring by defense; D) Scoring by time.</t>
  </si>
  <si>
    <t>A) Scoring by attack</t>
  </si>
  <si>
    <t>ในการแข่งขันมวยไทยจะต้องใช้วิธีใดในการตัดสิน?</t>
  </si>
  <si>
    <t>A) การให้คะแนนตามการโจมตี; B) การใช้เวลา; C) การให้คะแนนจากการป้องกันตัว; D) การใช้เวลานับคะแนน</t>
  </si>
  <si>
    <t>A) การให้คะแนนตามการโจมตี</t>
  </si>
  <si>
    <t>วิธีการตัดสินคะแนนมักขึ้นอยู่กับการโจมตีที่แม่นยำ.</t>
  </si>
  <si>
    <t>What should I do if a boxer is seriously injured during a match?</t>
  </si>
  <si>
    <t>A) Stop the match; B) Disqualify immediately; C) Send the boxer for treatment; D) All of the above.</t>
  </si>
  <si>
    <t>หากนักมวยได้รับการบาดเจ็บรุนแรงในระหว่างการแข่งขันจะทำอย่างไร?</t>
  </si>
  <si>
    <t>A) หยุดการแข่งขัน; B) ปรับแพ้ทันที; C) ส่งนักมวยไปทำการรักษา; D) ทุกข้อ</t>
  </si>
  <si>
    <t>กรณีที่มีการบาดเจ็บรุนแรงจะต้องพิจารณาหลายปัจจัย.</t>
  </si>
  <si>
    <t>What are the consequences for boxers who do not follow the rules?</t>
  </si>
  <si>
    <t>A) Points were deducted; B) Disqualified; C) Low score; D) All of the above.</t>
  </si>
  <si>
    <t>นักมวยที่ไม่ได้ปฏิบัติตามกติกาจะได้รับผลกระทบอย่างไร?</t>
  </si>
  <si>
    <t>A) ถูกตัดคะแนน; B) ถูกปรับแพ้; C) ถูกให้คะแนนต่ำ; D) ทุกข้อ</t>
  </si>
  <si>
    <t>การละเมิดกติกาจะทำให้ได้รับผลกระทบหลายด้าน.</t>
  </si>
  <si>
    <t>Which part of the punch is considered incorrect in a Muay Thai match?</t>
  </si>
  <si>
    <t>A) abdomen; B) legs; C) back of neck; D) arms</t>
  </si>
  <si>
    <t>การชกในส่วนใดถือว่าไม่ถูกต้องในการแข่งขันมวยไทย?</t>
  </si>
  <si>
    <t>A) หน้าท้อง; B) ขา; C) หลังคอ; D) แขน</t>
  </si>
  <si>
    <t>การชกที่หลังคอเป็นการกระทำผิดกติกา.</t>
  </si>
  <si>
    <t>In a Muay Thai match, how can a boxer attack his opponent?</t>
  </si>
  <si>
    <t>A) Use your hands; B) Use your legs; C) Use your knees and elbows; D) All of the above.</t>
  </si>
  <si>
    <t>ในการแข่งขันมวยไทย นักมวยสามารถโจมตีคู่ต่อสู้ได้อย่างไรบ้าง?</t>
  </si>
  <si>
    <t>A) ใช้มือ; B) ใช้ขา; C) ใช้เข่าและศอก; D) ทุกข้อ</t>
  </si>
  <si>
    <t>นักมวยสามารถโจมตีด้วยมือ ขา เข่า และศอก.</t>
  </si>
  <si>
    <t>What actions are considered violations of Muay Thai rules?</t>
  </si>
  <si>
    <t>A) punching after the signal to stop; B) using an elbow strike; C) throwing; D) all of the above.</t>
  </si>
  <si>
    <t>การกระทำที่ถือเป็นการละเมิดกติกามวยไทยคืออะไร?</t>
  </si>
  <si>
    <t>A) ชกหลังจากสัญญาณหยุด; B) ใช้ศอกฟาด; C) การทุ่ม; D) ทุกข้อ</t>
  </si>
  <si>
    <t>A) Wrist guards; B) Foot guards; C) Helmets; D) Boxing shoes</t>
  </si>
  <si>
    <t>ในการแข่งขันมวยไทย ห้ามใช้อุปกรณ์ใดบ้าง?</t>
  </si>
  <si>
    <t>A) สนับข้อมือ; B) สนับเท้า; C) หมวกกันน็อก; D) รองเท้ามวย</t>
  </si>
  <si>
    <t>In what situations can a boxer throw his opponent?</t>
  </si>
  <si>
    <t>A) When the opponent is not prepared; B) When the opponent is weak; C) When there is no prohibition from the referee; D) A throw cannot be made.</t>
  </si>
  <si>
    <t>D) Cannot throw</t>
  </si>
  <si>
    <t>นักมวยสามารถทุ่มคู่ต่อสู้ได้ในสถานการณ์ไหน?</t>
  </si>
  <si>
    <t>A) เมื่อคู่ต่อสู้ไม่ตั้งตัว; B) เมื่อคู่ต่อสู้เริ่มอ่อนแอ; C) เมื่อไม่มีการห้ามจากผู้ตัดสิน; D) ไม่สามารถทุ่มได้</t>
  </si>
  <si>
    <t>D) ไม่สามารถทุ่มได้</t>
  </si>
  <si>
    <t>การทุ่มถือเป็นการผิดกติกา.</t>
  </si>
  <si>
    <t>What techniques are used in Muay Thai matches that could lead to a deduction of points?</t>
  </si>
  <si>
    <t>A) Using a knee in an inappropriate position; B) Attacking the back of the neck; C) Using a foot to the face; D) All of the above.</t>
  </si>
  <si>
    <t>การใช้เทคนิคใดในการแข่งขันมวยไทยที่อาจนำไปสู่การตัดคะแนน?</t>
  </si>
  <si>
    <t>A) การใช้เข่าในตำแหน่งที่ไม่เหมาะสม; B) การโจมตีที่หลังคอ; C) การใช้เท้าชกที่หน้า; D) ทุกข้อ</t>
  </si>
  <si>
    <t>การกระทำเหล่านี้อาจนำไปสู่การตัดคะแนน.</t>
  </si>
  <si>
    <t>Where do boxers lose points when they attack?</t>
  </si>
  <si>
    <t>A) on the back of the neck; B) on the abdomen; C) on the legs; D) on the arms</t>
  </si>
  <si>
    <t>A) Back of the neck</t>
  </si>
  <si>
    <t>นักมวยจะถูกตัดคะแนนเมื่อทำการโจมตีที่ใด?</t>
  </si>
  <si>
    <t>A) บริเวณหลังคอ; B) ที่ท้อง; C) ที่ขา; D) ที่แขน</t>
  </si>
  <si>
    <t>A) บริเวณหลังคอ</t>
  </si>
  <si>
    <t>การโจมตีที่หลังคอถือเป็นการกระทำผิดกติกา.</t>
  </si>
  <si>
    <t>In a Muay Thai match, what do judges consider for scoring?</t>
  </si>
  <si>
    <t>A) Attack speed; B) Attack accuracy; C) Belly attack; D) All of the above.</t>
  </si>
  <si>
    <t>ในการแข่งขันมวยไทย ผู้ตัดสินจะพิจารณาคะแนนจากอะไร?</t>
  </si>
  <si>
    <t>A) ความเร็วในการโจมตี; B) ความแม่นยำในการโจมตี; C) การโจมตีที่ท้อง; D) ทุกข้อ</t>
  </si>
  <si>
    <t>การพิจารณาคะแนนจะดูจากหลายปัจจัย.</t>
  </si>
  <si>
    <t>If a boxer uses an illegal move, what punishment will he receive?</t>
  </si>
  <si>
    <t>A) Points are deducted; B) Immediate disqualification; C) Match is cancelled; D) All of the above.</t>
  </si>
  <si>
    <t>หากนักมวยใช้ท่าผิดกติกา จะได้รับการลงโทษอย่างไร?</t>
  </si>
  <si>
    <t>A) ถูกตัดคะแนน; B) ปรับแพ้ทันที; C) ยกเลิกการแข่งขัน; D) ทุกข้อ</t>
  </si>
  <si>
    <t>การกระทำผิดกติกาจะได้รับโทษหลายอย่าง.</t>
  </si>
  <si>
    <t>What techniques can boxers use to defend themselves?</t>
  </si>
  <si>
    <t>A) Evasion; B) Blocking; C) Elbowing and blocking; D) All of the above.</t>
  </si>
  <si>
    <t>นักมวยสามารถใช้เทคนิคใดในการป้องกันตัวได้?</t>
  </si>
  <si>
    <t>A) การหลบหลีก; B) การปิดป้อง; C) การหลบและป้องกันด้วยศอก; D) ทุกข้อ</t>
  </si>
  <si>
    <t>นักมวยสามารถใช้ท่าเหล่านี้ในการป้องกันตัว.</t>
  </si>
  <si>
    <t>If a boxer is hit in the wrong part of the body, what punishment will he receive?</t>
  </si>
  <si>
    <t>A) Points are deducted; B) The match is suspended; C) The match is immediately disqualified; D) No penalty.</t>
  </si>
  <si>
    <t>หากนักมวยถูกตีที่ส่วนที่ไม่ถูกต้องจะได้รับการลงโทษอย่างไร?</t>
  </si>
  <si>
    <t>A) ถูกตัดคะแนน; B) หยุดการแข่งขัน; C) ถูกปรับแพ้ทันที; D) ไม่มีการลงโทษ</t>
  </si>
  <si>
    <t>การตีในส่วนที่ไม่ถูกต้องจะทำให้ถูกตัดคะแนน.</t>
  </si>
  <si>
    <t>Are elbow strikes in Muay Thai highly rated?</t>
  </si>
  <si>
    <t>A) got a high score; B) got a normal score; C) didn't get a score; D) got a low score.</t>
  </si>
  <si>
    <t>A) got a high score</t>
  </si>
  <si>
    <t>การโจมตีที่ใช้ศอกในมวยไทยจะได้รับคะแนนสูงหรือไม่?</t>
  </si>
  <si>
    <t>A) ได้คะแนนสูง; B) ได้คะแนนปกติ; C) ไม่ได้รับคะแนน; D) ได้คะแนนต่ำ</t>
  </si>
  <si>
    <t>A) ได้คะแนนสูง</t>
  </si>
  <si>
    <t>การใช้ศอกในการโจมตีจะได้รับคะแนนสูง.</t>
  </si>
  <si>
    <t>What are the actions considered inappropriate in a Muay Thai competition?</t>
  </si>
  <si>
    <t>A) attacking an unsuspecting opponent; B) matching the opponent; C) using a straight punch; D) all of the above.</t>
  </si>
  <si>
    <t>การกระทำที่ถือว่าไม่เหมาะสมในการแข่งขันมวยไทยคืออะไร?</t>
  </si>
  <si>
    <t>A) การโจมตีคู่ต่อสู้ที่ไม่ตั้งตัว; B) การจับคู่ต่อสู้; C) การใช้หมัดตรง; D) ทุกข้อ</t>
  </si>
  <si>
    <t>การกระทำเหล่านี้ถือเป็นการไม่เหมาะสม.</t>
  </si>
  <si>
    <t>When can a boxer give up a fight?</t>
  </si>
  <si>
    <t>A) When exhausted; B) When injured; C) When given a signal by the referee; D) All of the above.</t>
  </si>
  <si>
    <t>เมื่อใดที่นักมวยสามารถยอมแพ้ในการแข่งขัน?</t>
  </si>
  <si>
    <t>A) เมื่อหมดแรง; B) เมื่อบาดเจ็บ; C) เมื่อได้รับสัญญาณจากผู้ตัดสิน; D) ทุกข้อ</t>
  </si>
  <si>
    <t>นักมวยสามารถยอมแพ้ในกรณีเหล่านี้.</t>
  </si>
  <si>
    <t>Do head attacks earn points?</t>
  </si>
  <si>
    <t>A) got a high score; B) got a normal score; C) got no score; D) got a low score.</t>
  </si>
  <si>
    <t>การโจมตีที่ศีรษะจะได้รับคะแนนหรือไม่?</t>
  </si>
  <si>
    <t>A) ได้คะแนนสูง; B) ได้คะแนนปกติ; C) ไม่มีคะแนน; D) ได้คะแนนต่ำ</t>
  </si>
  <si>
    <t>การโจมตีที่ศีรษะจะได้รับคะแนนสูง.</t>
  </si>
  <si>
    <t>In a Muay Thai match, if a boxer is seriously injured, what will the referee do?</t>
  </si>
  <si>
    <t>A) Stop the match; B) Disqualify immediately; C) Resume and continue; D) Score based on ability.</t>
  </si>
  <si>
    <t>A) Stop the competition.</t>
  </si>
  <si>
    <t>ในการแข่งขันมวยไทย หากนักมวยมีอาการบาดเจ็บรุนแรง ผู้ตัดสินจะทำอะไร?</t>
  </si>
  <si>
    <t>A) หยุดการแข่งขัน; B) ปรับแพ้ทันที; C) ให้รักษาแล้วกลับมาต่อ; D) ให้คะแนนตามความสามารถ</t>
  </si>
  <si>
    <t>ผู้ตัดสินจะหยุดการแข่งขันหากนักมวยบาดเจ็บรุนแรง.</t>
  </si>
  <si>
    <t>Where can punches be used in Muay Thai?</t>
  </si>
  <si>
    <t>การใช้หมัดในมวยไทยสามารถทำได้ที่ไหน?</t>
  </si>
  <si>
    <t>การใช้หมัดสามารถทำได้ทุกส่วนของร่างกาย.</t>
  </si>
  <si>
    <t>Attacks to any part of the body will result in a disqualification.</t>
  </si>
  <si>
    <t>A) back of the neck; B) abdomen; C) chest; D) legs</t>
  </si>
  <si>
    <t>การโจมตีที่ส่วนใดของร่างกายจะทำให้ถูกปรับแพ้?</t>
  </si>
  <si>
    <t>A) หลังคอ; B) ท้อง; C) หน้าอก; D) ขา</t>
  </si>
  <si>
    <t>A) หลังคอ</t>
  </si>
  <si>
    <t>การโจมตีที่หลังคอถือเป็นการผิดกติกา.</t>
  </si>
  <si>
    <t>How do fouls affect match scores?</t>
  </si>
  <si>
    <t>A) Decrease score; B) Increase score; C) No effect; D) Change score to negative.</t>
  </si>
  <si>
    <t>A) Decrease score</t>
  </si>
  <si>
    <t>การกระทำที่ผิดกติกาจะมีผลต่อคะแนนการแข่งขันอย่างไร?</t>
  </si>
  <si>
    <t>A) ลดคะแนน; B) เพิ่มคะแนน; C) ไม่มีผล; D) เปลี่ยนคะแนนเป็นลบ</t>
  </si>
  <si>
    <t>A) ลดคะแนน</t>
  </si>
  <si>
    <t>การกระทำผิดกติกาจะทำให้คะแนนลดลง.</t>
  </si>
  <si>
    <t>Is it permissible to use your feet in Muay Thai?</t>
  </si>
  <si>
    <t>A) Possible if the opponent is prepared; B) Possible if the feet are used at the appropriate angle; C) Possible if it is not dangerous; D) Possible</t>
  </si>
  <si>
    <t>D) Can be done</t>
  </si>
  <si>
    <t>การใช้เท้าชกในมวยไทยเป็นสิ่งที่สามารถทำได้หรือไม่?</t>
  </si>
  <si>
    <t>A) ได้ในกรณีที่คู่ต่อสู้ตั้งตัว; B) ได้ในกรณีที่ใช้เท้าในท่ามุมเหมาะสม; C) ได้ในกรณีที่ไม่เป็นอันตราย; D) สามารถทำได้</t>
  </si>
  <si>
    <t>D) สามารถทำได้</t>
  </si>
  <si>
    <t>การใช้เท้าชกถือเป็นเทคนิคที่สามารถใช้ได้.</t>
  </si>
  <si>
    <t>In a Muay Thai match, if a boxer falls off the ring, is it considered a foul?</t>
  </si>
  <si>
    <t>A) It is considered a foul; B) It is considered an injury; C) It is of no consequence; D) It is considered game over.</t>
  </si>
  <si>
    <t>A) It is considered a foul.</t>
  </si>
  <si>
    <t>ในการแข่งขันมวยไทย หากนักมวยตกลงจากเวทีจะถือว่าเป็นการทำผิดกติกาหรือไม่?</t>
  </si>
  <si>
    <t>A) ถือว่าเป็นการผิดกติกา; B) ถือว่าเป็นการบาดเจ็บ; C) ไม่มีผล; D) ถือว่าเป็นการจบเกม</t>
  </si>
  <si>
    <t>A) ถือว่าเป็นการผิดกติกา</t>
  </si>
  <si>
    <t>การตกลงจากเวทีถือเป็นการผิดกติกา.</t>
  </si>
  <si>
    <t>What actions can a boxer take during a fight?</t>
  </si>
  <si>
    <t>A) Use fists; B) Use knees; C) Use elbows; D) All of the above.</t>
  </si>
  <si>
    <t>การกระทำใดที่นักมวยสามารถทำได้ในระหว่างการต่อสู้?</t>
  </si>
  <si>
    <t>A) ใช้ท่าหมัด; B) ใช้ท่าเข่า; C) ใช้ท่าศอก; D) ทุกข้อ</t>
  </si>
  <si>
    <t>นักมวยสามารถใช้ท่าเหล่านี้ในการต่อสู้.</t>
  </si>
  <si>
    <t>What are the consequences if a boxer uses illegal equipment during a match?</t>
  </si>
  <si>
    <t>A) Immediately disqualified; B) Points deducted; C) Match canceled; D) No result.</t>
  </si>
  <si>
    <t>หากนักมวยใช้อุปกรณ์ที่ผิดกติกาในการแข่งขัน จะมีผลอย่างไร?</t>
  </si>
  <si>
    <t>A) ถูกปรับแพ้ทันที; B) ถูกตัดคะแนน; C) ถูกยกเลิกการแข่งขัน; D) ไม่มีผล</t>
  </si>
  <si>
    <t>การใช้อุปกรณ์ผิดกติกาจะทำให้ถูกตัดคะแนน.</t>
  </si>
  <si>
    <t>Is elbow strikes in Muay Thai illegal?</t>
  </si>
  <si>
    <t>A) Yes, it is illegal; B) No, it is allowed; C) Yes, but in some cases it is allowed; D) No, the elbow strike is allowed.</t>
  </si>
  <si>
    <t>A) Yes, it is an illegal act.</t>
  </si>
  <si>
    <t>การใช้ศอกฟาดในการแข่งขันมวยไทยเป็นการกระทำที่ผิดกติกาหรือไม่?</t>
  </si>
  <si>
    <t>A) ใช่, เป็นการกระทำที่ผิดกติกา; B) ไม่ใช่, เป็นการกระทำที่อนุญาต; C) ใช่, แต่บางกรณีอนุญาต; D) ไม่ใช่, การใช้ศอกฟาดถูกต้อง</t>
  </si>
  <si>
    <t>A) ใช่ เป็นการกระทำที่ผิดกติกา</t>
  </si>
  <si>
    <t xml:space="preserve"> การใช้ศอกฟาดถือเป็นการกระทำที่ผิดกติกา.</t>
  </si>
  <si>
    <t>In the event that the opponent evades an attack, what should the boxer do?</t>
  </si>
  <si>
    <t>A) Stop attacking; B) Follow up and continue attacking; C) Change stance; D) Pause the game.</t>
  </si>
  <si>
    <t>B) Follow up and continue attacking.</t>
  </si>
  <si>
    <t>ในกรณีที่คู่ต่อสู้หลบหลีกการโจมตี นักมวยต้องทำอย่างไร?</t>
  </si>
  <si>
    <t>A) หยุดการโจมตี; B) ติดตามและโจมตีต่อ; C) เปลี่ยนท่าทาง; D) หยุดเกม</t>
  </si>
  <si>
    <t>B) ติดตามและโจมตีต่อ</t>
  </si>
  <si>
    <t>นักมวยต้องติดตามการโจมตีต่อไป.</t>
  </si>
  <si>
    <t>What is the scoring system for Muay Thai competitions?</t>
  </si>
  <si>
    <t>A) speed; B) accuracy; C) number of successful attacks; D) all of the above.</t>
  </si>
  <si>
    <t>การตัดสินคะแนนในการแข่งขันมวยไทยจะพิจารณาจากอะไร?</t>
  </si>
  <si>
    <t>A) ความรวดเร็ว; B) ความแม่นยำ; C) จำนวนการโจมตีที่สำเร็จ; D) ทุกข้อ</t>
  </si>
  <si>
    <t>การตัดสินคะแนนพิจารณาหลายปัจจัย.</t>
  </si>
  <si>
    <t>How does using knee strikes in Muay Thai affect the score?</t>
  </si>
  <si>
    <t>A) got a high score; B) got a normal score; C) got a low score; D) didn't get a score.</t>
  </si>
  <si>
    <t>การใช้เข่าโจมตีในมวยไทยจะมีผลต่อคะแนนอย่างไร?</t>
  </si>
  <si>
    <t>A) ได้คะแนนสูง; B) ได้คะแนนปกติ; C) ได้คะแนนต่ำ; D) ไม่ได้รับคะแนน</t>
  </si>
  <si>
    <t>การใช้เข่าโจมตีจะได้รับคะแนนสูง.</t>
  </si>
  <si>
    <t>In a Muay Thai match, if a boxer is injured, what care will he receive?</t>
  </si>
  <si>
    <t>A) referee; B) trainer; C) doctor; D) boxer himself</t>
  </si>
  <si>
    <t>C) Doctor</t>
  </si>
  <si>
    <t>ในการแข่งขันมวยไทย หากนักมวยได้รับบาดเจ็บจะได้รับการดูแลจากอะไร?</t>
  </si>
  <si>
    <t>A) ผู้ตัดสิน; B) ผู้ฝึกสอน; C) ผู้แพทย์; D) นักมวยเอง</t>
  </si>
  <si>
    <t>C) ผู้แพทย์</t>
  </si>
  <si>
    <t>ผู้แพทย์จะทำการดูแลนักมวยที่ได้รับบาดเจ็บ.</t>
  </si>
  <si>
    <t>Will elbow strikes in a match earn points?</t>
  </si>
  <si>
    <t>การใช้ศอกโจมตีในการแข่งขันจะได้รับคะแนนหรือไม่?</t>
  </si>
  <si>
    <t>การใช้ศอกโจมตีจะได้รับคะแนนสูง.</t>
  </si>
  <si>
    <t>How does foul play affect the fight?</t>
  </si>
  <si>
    <t>A) cause deduction of points; B) cause disqualification; C) cause points to be canceled; D) all of the above.</t>
  </si>
  <si>
    <t>การทำผิดกติกาจะมีผลต่อการต่อสู้ได้อย่างไร?</t>
  </si>
  <si>
    <t>A) ทำให้ถูกตัดคะแนน; B) ทำให้ถูกปรับแพ้; C) ทำให้คะแนนถูกยกเลิก; D) ทุกข้อ</t>
  </si>
  <si>
    <t>การทำผิดกติกาสามารถส่งผลให้ถูกตัดคะแนนหรือปรับแพ้.</t>
  </si>
  <si>
    <t>What are the actions that cannot be performed in a Muay Thai match?</t>
  </si>
  <si>
    <t>A) a leg kick; B) an attack to the stomach; C) a blow to the back of the neck; D) an elbow strike.</t>
  </si>
  <si>
    <t>C) A hit to the back of the neck.</t>
  </si>
  <si>
    <t>การกระทำที่ไม่สามารถทำได้ในการแข่งขันมวยไทยคืออะไร?</t>
  </si>
  <si>
    <t>A) การเตะขา; B) การโจมตีที่ท้อง; C) การตีที่หลังคอ; D) การใช้ศอก</t>
  </si>
  <si>
    <t>C) การตีที่หลังคอ</t>
  </si>
  <si>
    <t>การตีที่หลังคอถือเป็นการผิดกติกา.</t>
  </si>
  <si>
    <t>In a Muay Thai match, what moves can a boxer use to attack his opponent?</t>
  </si>
  <si>
    <t>A) Using feet; B) Using fists; C) Using elbows; D) All of the above.</t>
  </si>
  <si>
    <t>ในการแข่งขันมวยไทย นักมวยสามารถใช้ท่าไหนในการโจมตีคู่ต่อสู้ได้?</t>
  </si>
  <si>
    <t>A) การใช้เท้า; B) การใช้หมัด; C) การใช้ศอก; D) ทุกข้อ</t>
  </si>
  <si>
    <t>นักมวยสามารถใช้เท้า หมัด และศอกในการโจมตี.</t>
  </si>
  <si>
    <t>Will a punch to the back of the neck result in a disqualification?</t>
  </si>
  <si>
    <t>A) Immediately disqualified; B) Points awarded; C) No effect; D) Points deducted.</t>
  </si>
  <si>
    <t>A) Immediately disqualified.</t>
  </si>
  <si>
    <t>การชกที่หลังคอจะถูกปรับแพ้หรือไม่?</t>
  </si>
  <si>
    <t>A) ถูกปรับแพ้ทันที; B) ได้คะแนน; C) ไม่มีผล; D) ตัดคะแนน</t>
  </si>
  <si>
    <t>A) ถูกปรับแพ้ทันที</t>
  </si>
  <si>
    <t>การชกที่หลังคอถือเป็นการผิดกติกา.</t>
  </si>
  <si>
    <t>In a Muay Thai match, where can a boxer hit his opponent?</t>
  </si>
  <si>
    <t>A) frontal area; B) legs; C) abdomen; D) all</t>
  </si>
  <si>
    <t>ในการแข่งขันมวยไทย นักมวยสามารถตีคู่ต่อสู้ที่ไหนได้บ้าง?</t>
  </si>
  <si>
    <t>A) บริเวณหน้า; B) ขา; C) ท้อง; D) ทุกข้อ</t>
  </si>
  <si>
    <t>นักมวยสามารถตีได้ทุกส่วนของร่างกายที่ไม่ผิดกติกา.</t>
  </si>
  <si>
    <t>Is an attack to the abdomen considered a foul?</t>
  </si>
  <si>
    <t>A) Not illegal; B) Illegal; C) Depends on the situation; D) No effect.</t>
  </si>
  <si>
    <t>A) It is not against the rules.</t>
  </si>
  <si>
    <t>การโจมตีที่บริเวณท้องจะถือว่าเป็นการผิดกติกาหรือไม่?</t>
  </si>
  <si>
    <t>A) ไม่ผิดกติกา; B) ผิดกติกา; C) ขึ้นอยู่กับสถานการณ์; D) ไม่มีผล</t>
  </si>
  <si>
    <t>A) ไม่ผิดกติกา</t>
  </si>
  <si>
    <t>การโจมตีที่ท้องไม่ผิดกติกา.</t>
  </si>
  <si>
    <t>A) When an opponent is injured; B) When a rule is violated; C) When a fight is illegal; D) All of the above.</t>
  </si>
  <si>
    <t>A) เมื่อคู่ต่อสู้ได้รับบาดเจ็บ; B) เมื่อมีการละเมิดกติกา; C) เมื่อมีการชกผิดกติกา; D) ทุกข้อ</t>
  </si>
  <si>
    <t>ผู้ตัดสินสามารถหยุดการแข่งขันได้ในหลายกรณี.</t>
  </si>
  <si>
    <t>Is it permissible to use straight punches in Muay Thai?</t>
  </si>
  <si>
    <t>A) Yes; B) Yes if it is an effective attack; C) No; D) It depends on the situation.</t>
  </si>
  <si>
    <t>A) Yes.</t>
  </si>
  <si>
    <t>การใช้หมัดตรงในมวยไทยสามารถทำได้หรือไม่?</t>
  </si>
  <si>
    <t>A) ได้; B) ได้ในกรณีที่เป็นการโจมตีที่มีประสิทธิภาพ; C) ไม่ได้; D) ขึ้นอยู่กับสถานการณ์</t>
  </si>
  <si>
    <t>การใช้หมัดตรงสามารถทำได้.</t>
  </si>
  <si>
    <t>What fighting techniques cannot be used in Muay Thai?</t>
  </si>
  <si>
    <t>A) Throwing the opponent; B) Spinning attack; C) Using knee strikes; D) All of the above.</t>
  </si>
  <si>
    <t>A) Throwing an opponent</t>
  </si>
  <si>
    <t>การใช้เทคนิคใดในการต่อสู้ที่ไม่สามารถทำได้ในมวยไทย?</t>
  </si>
  <si>
    <t>A) การทุ่มคู่ต่อสู้; B) การหมุนตัวโจมตี; C) การใช้เข่าโจมตี; D) ทุกข้อ</t>
  </si>
  <si>
    <t>A) การทุ่มคู่ต่อสู้</t>
  </si>
  <si>
    <t>When can a boxer surrender in a Muay Thai match?</t>
  </si>
  <si>
    <t>A) When the injury is severe; B) When the competition cannot be endured; C) When the opponent has the advantage; D) All of the above.</t>
  </si>
  <si>
    <t>เมื่อใดที่นักมวยสามารถยอมแพ้ในการแข่งขันมวยไทย?</t>
  </si>
  <si>
    <t>A) เมื่อรู้สึกบาดเจ็บมาก; B) เมื่อไม่สามารถทนต่อการแข่งขันได้; C) เมื่อคู่ต่อสู้มีความได้เปรียบ; D) ทุกข้อ</t>
  </si>
  <si>
    <t>Will elbow techniques in Muay Thai be scored?</t>
  </si>
  <si>
    <t>A) got a high score; B) got a low score; C) got a normal score; D) got no score.</t>
  </si>
  <si>
    <t>การใช้เทคนิคศอกในมวยไทยจะได้รับคะแนนหรือไม่?</t>
  </si>
  <si>
    <t>A) ได้คะแนนสูง; B) ได้คะแนนต่ำ; C) ได้คะแนนปกติ; D) ไม่มีคะแนน</t>
  </si>
  <si>
    <t>Will a hit to the back of the neck be deducted?</t>
  </si>
  <si>
    <t>A) Yes, an attack to the back of the neck is considered a foul; B) No, it is considered a normal attack; C) Scores a point; D) No effect.</t>
  </si>
  <si>
    <t>การโจมตีที่หลังคอจะได้รับการตัดคะแนนหรือไม่?</t>
  </si>
  <si>
    <t>A) ได้, การโจมตีที่หลังคอถือเป็นการผิดกติกา; B) ไม่ได้, ถือว่าเป็นการโจมตีปกติ; C) ได้คะแนน; D) ไม่มีผล</t>
  </si>
  <si>
    <t xml:space="preserve"> การโจมตีที่หลังคอถือเป็นการผิดกติกา.</t>
  </si>
  <si>
    <t>Will using spin in an attack earn points?</t>
  </si>
  <si>
    <t>B) got a normal score.</t>
  </si>
  <si>
    <t>การใช้การหมุนตัวในการโจมตีจะได้รับคะแนนหรือไม่?</t>
  </si>
  <si>
    <t>B) ได้คะแนนปกติ</t>
  </si>
  <si>
    <t>การหมุนตัวในการโจมตีอาจได้คะแนนปกติขึ้นอยู่กับผลลัพธ์.</t>
  </si>
  <si>
    <t>Which part of the body can a boxer use kicks on?</t>
  </si>
  <si>
    <t>A) Legs; B) Abdomen; C) Face; D) All</t>
  </si>
  <si>
    <t>นักมวยสามารถใช้การเตะที่ส่วนใดของร่างกาย?</t>
  </si>
  <si>
    <t>A) ขา; B) ท้อง; C) หน้า; D) ทุกข้อ</t>
  </si>
  <si>
    <t>การเตะสามารถทำได้ทุกส่วนที่ไม่ผิดกติกา.</t>
  </si>
  <si>
    <t>How can an incorrect attack affect the outcome of a match?</t>
  </si>
  <si>
    <t>A) Forfeit; B) Points deducted; C) Game stopped; D) All of the above.</t>
  </si>
  <si>
    <t>การโจมตีที่ไม่ถูกต้องสามารถทำให้ผลการแข่งขันเป็นอย่างไร?</t>
  </si>
  <si>
    <t>A) ถูกปรับแพ้; B) ถูกตัดคะแนน; C) เกมหยุด; D) ทุกข้อ</t>
  </si>
  <si>
    <t>การโจมตีที่ไม่ถูกต้องสามารถทำให้ผลการแข่งขันเปลี่ยนแปลงได้.</t>
  </si>
  <si>
    <t>In a Muay Thai match, what stances can boxers use to defend themselves?</t>
  </si>
  <si>
    <t>A) Dodging; B) Blocking; C) Standing; D) All of the above</t>
  </si>
  <si>
    <t>ในการแข่งขันมวยไทย นักมวยสามารถใช้ท่าไหนในการป้องกันตัวได้?</t>
  </si>
  <si>
    <t>A) การหลบ; B) การบล็อก; C) การยืนหยัด; D) ทุกข้อ</t>
  </si>
  <si>
    <t>นักมวยสามารถใช้การหลบ บล็อก และยืนหยัดในการป้องกันตัว.</t>
  </si>
  <si>
    <t>What are the consequences of illegal actions in Muay Thai?</t>
  </si>
  <si>
    <t>การกระทำที่ผิดกติกาในมวยไทยจะมีผลอย่างไร?</t>
  </si>
  <si>
    <t>การกระทำที่ผิดกติกาจะทำให้ได้รับผลกระทบหลายด้าน.</t>
  </si>
  <si>
    <t>In a Muay Thai match, what do judges base their scores on?</t>
  </si>
  <si>
    <t>A) number of successful attacks; B) speed of attacks; C) severity of attacks; D) all of the above.</t>
  </si>
  <si>
    <t>ในการแข่งขันมวยไทย ผู้ตัดสินจะตัดสินคะแนนจากอะไร?</t>
  </si>
  <si>
    <t>A) จำนวนการโจมตีที่สำเร็จ; B) ความรวดเร็วของการโจมตี; C) ความรุนแรงของการโจมตี; D) ทุกข้อ</t>
  </si>
  <si>
    <t>ผู้ตัดสินจะตัดสินจากหลายปัจจัยที่เกี่ยวข้อง.</t>
  </si>
  <si>
    <t>When can a boxer use elbow strikes in a match?</t>
  </si>
  <si>
    <t>A) When an attack is made at close range; B) When the opponent is caught off guard; C) When the referee allows it; D) In ​​all cases.</t>
  </si>
  <si>
    <t>A) When there is a close-range attack</t>
  </si>
  <si>
    <t>เมื่อใดที่นักมวยสามารถใช้การตีศอกในการแข่งขัน?</t>
  </si>
  <si>
    <t>A) เมื่อมีการโจมตีในระยะใกล้; B) เมื่อคู่ต่อสู้ไม่ตั้งตัว; C) เมื่อผู้ตัดสินอนุญาต; D) ในทุกกรณี</t>
  </si>
  <si>
    <t>A) เมื่อมีการโจมตีในระยะใกล้</t>
  </si>
  <si>
    <t>การตีศอกสามารถใช้เมื่อคู่ต่อสู้เข้าใกล้.</t>
  </si>
  <si>
    <t>Will an attack on the arm count as a point?</t>
  </si>
  <si>
    <t>A) will be counted as normal score; B) will not be counted; C) will be counted as high score; D) depends on the situation.</t>
  </si>
  <si>
    <t>A) will be counted as normal score.</t>
  </si>
  <si>
    <t>การโจมตีที่แขนจะถูกนับเป็นคะแนนหรือไม่?</t>
  </si>
  <si>
    <t>A) จะถูกนับเป็นคะแนนปกติ; B) จะไม่ถูกนับ; C) จะถูกนับเป็นคะแนนสูง; D) ขึ้นอยู่กับสถานการณ์</t>
  </si>
  <si>
    <t>A) จะถูกนับเป็นคะแนนปกติ</t>
  </si>
  <si>
    <t>การโจมตีที่แขนสามารถนับเป็นคะแนนได้.</t>
  </si>
  <si>
    <t>What are the consequences of breaking the rules?</t>
  </si>
  <si>
    <t>A) Points will be deducted; B) Immediately disqualified; C) No effect; D) All of the above.</t>
  </si>
  <si>
    <t>การทำผิดกติกาจะทำให้เกิดผลกระทบอย่างไร?</t>
  </si>
  <si>
    <t>A) ถูกตัดคะแนน; B) ถูกปรับแพ้ทันที; C) ไม่มีผล; D) ทุกข้อ</t>
  </si>
  <si>
    <t>การทำผิดกติกาจะทำให้ถูกตัดคะแนนหรือปรับแพ้.</t>
  </si>
  <si>
    <t>In a Muay Thai match, what attacking techniques can boxers use?</t>
  </si>
  <si>
    <t>A) Using fists; B) Using elbows; C) Using knees; D) All of the above.</t>
  </si>
  <si>
    <t>ในการแข่งขันมวยไทย นักมวยสามารถใช้เทคนิคใดในการโจมตีได้?</t>
  </si>
  <si>
    <t>A) การใช้หมัด; B) การใช้ศอก; C) การใช้เข่า; D) ทุกข้อ</t>
  </si>
  <si>
    <t>นักมวยสามารถใช้หมัด ศอก และเข่าในการโจมตี.</t>
  </si>
  <si>
    <t>What are the effects of using kicks in Muay Thai competitions?</t>
  </si>
  <si>
    <t>A) causes a point; B) causes a point to be lost; C) causes the referee to stop the game; D) has no effect.</t>
  </si>
  <si>
    <t>A) Make points</t>
  </si>
  <si>
    <t>การใช้ท่าเตะในการแข่งขันมวยไทยจะทำให้เกิดผลอย่างไร?</t>
  </si>
  <si>
    <t>A) ทำให้ได้คะแนน; B) ทำให้เสียคะแนน; C) ทำให้ผู้ตัดสินหยุดเกม; D) ไม่มีผล</t>
  </si>
  <si>
    <t>A) ทำให้ได้คะแนน</t>
  </si>
  <si>
    <t>การใช้ท่าเตะในการแข่งขันมวยไทยจะทำให้ได้คะแนน.</t>
  </si>
  <si>
    <t>If a boxer uses illegal techniques, will there be a penalty?</t>
  </si>
  <si>
    <t>A) Yes, there will be a deduction of points or a forfeit; B) No, there will be no penalty; C) Yes, but it depends on the severity; D) No effect.</t>
  </si>
  <si>
    <t>หากนักมวยใช้ท่าเทคนิคผิดกติกา จะมีการลงโทษหรือไม่?</t>
  </si>
  <si>
    <t>A) ใช่, จะถูกตัดคะแนนหรือปรับแพ้; B) ไม่, ไม่มีการลงโทษ; C) ใช่, แต่ขึ้นอยู่กับความรุนแรง; D) ไม่มีผล</t>
  </si>
  <si>
    <t xml:space="preserve"> จะถูกตัดคะแนนหรือปรับแพ้.</t>
  </si>
  <si>
    <t>What if a boxer gives up during a match?</t>
  </si>
  <si>
    <t>A) The match will be stopped; B) The boxer will be disqualified immediately; C) The referee will decide the disqualification; D) All of the above.</t>
  </si>
  <si>
    <t>หากนักมวยยอมแพ้ในระหว่างการแข่งขัน จะทำอย่างไร?</t>
  </si>
  <si>
    <t>A) การแข่งขันจะถูกหยุด; B) นักมวยจะถูกปรับแพ้ทันที; C) ผู้ตัดสินจะตัดสินผลแพ้; D) ทุกข้อ</t>
  </si>
  <si>
    <t>การยอมแพ้จะทำให้การแข่งขันหยุดและนักมวยถูกปรับแพ้.</t>
  </si>
  <si>
    <t>Is it possible to attack the abdomen?</t>
  </si>
  <si>
    <t>A) Yes, avoid an illegal attack; B) No, must attack the head only; C) Yes, in the absence of injury; D) Yes, it is an allowed attack.</t>
  </si>
  <si>
    <t>D) Yes</t>
  </si>
  <si>
    <t>การโจมตีที่บริเวณท้องสามารถทำได้หรือไม่?</t>
  </si>
  <si>
    <t>A) ได้, หลีกเลี่ยงการโจมตีที่ผิดกติกา; B) ไม่ได้, ต้องโจมตีที่ศีรษะเท่านั้น; C) ได้, ในกรณีที่ไม่บาดเจ็บ; D) ได้, เป็นการโจมตีที่อนุญาต</t>
  </si>
  <si>
    <t>D) ได้</t>
  </si>
  <si>
    <t xml:space="preserve"> เป็นการโจมตีที่อนุญาต.</t>
  </si>
  <si>
    <t>In a Muay Thai match, when does the referee stop the match?</t>
  </si>
  <si>
    <t>A) When there is a violation of the rules; B) When there is a serious injury; C) When an illegal technique is used; D) All of the above.</t>
  </si>
  <si>
    <t>ในการแข่งขันมวยไทย ผู้ตัดสินจะหยุดการแข่งขันเมื่อใด?</t>
  </si>
  <si>
    <t>A) เมื่อมีการละเมิดกติกา; B) เมื่อมีการบาดเจ็บที่รุนแรง; C) เมื่อมีการใช้เทคนิคผิดกติกา; D) ทุกข้อ</t>
  </si>
  <si>
    <t>In a Muay Thai match, if a boxer uses an illegal attack, what punishment will he receive?</t>
  </si>
  <si>
    <t>A) Points deducted; B) Disqualified; C) Warning; D) All of the above.</t>
  </si>
  <si>
    <t>ในการแข่งขันมวยไทย หากนักมวยใช้การโจมตีที่ผิดกติกา จะได้รับการลงโทษอย่างไร?</t>
  </si>
  <si>
    <t>A) ถูกตัดคะแนน; B) ถูกปรับแพ้; C) ถูกเตือน; D) ทุกข้อ</t>
  </si>
  <si>
    <t>การใช้การโจมตีผิดกติกาสามารถทำให้ถูกตัดคะแนนหรือปรับแพ้.</t>
  </si>
  <si>
    <t>In Muay Thai, where can a boxer use his knees to attack his opponent?</t>
  </si>
  <si>
    <t>A) leg area; B) abdominal area; C) front area; D) all</t>
  </si>
  <si>
    <t>ในการแข่งขันมวยไทย นักมวยสามารถใช้เข่าโจมตีคู่ต่อสู้ที่ไหนได้บ้าง?</t>
  </si>
  <si>
    <t>A) บริเวณขา; B) บริเวณท้อง; C) บริเวณหน้า; D) ทุกข้อ</t>
  </si>
  <si>
    <t>การใช้เข่าสามารถทำได้ในหลายส่วนของร่างกาย.</t>
  </si>
  <si>
    <t>Will using rotation in an attack in Muay Thai be deducted points?</t>
  </si>
  <si>
    <t>A) No score; B) Normal score; C) High score; D) Depends on the situation.</t>
  </si>
  <si>
    <t>การใช้การหมุนตัวในการโจมตีในมวยไทยจะได้รับการตัดคะแนนหรือไม่?</t>
  </si>
  <si>
    <t>A) ไม่ได้รับคะแนน; B) ได้คะแนนปกติ; C) ได้คะแนนสูง; D) ขึ้นอยู่กับสถานการณ์</t>
  </si>
  <si>
    <t>การหมุนตัวในการโจมตีได้รับคะแนนปกติ.</t>
  </si>
  <si>
    <t>Are abdominal strikes allowed in Muay Thai?</t>
  </si>
  <si>
    <t>A) Yes, as long as it is not against the rules; B) No; C) Yes, but will receive a low score; D) It depends on the referee.</t>
  </si>
  <si>
    <t>A) You can do it as long as it doesn't break the rules.</t>
  </si>
  <si>
    <t>การโจมตีที่ท้องในมวยไทยสามารถทำได้หรือไม่?</t>
  </si>
  <si>
    <t>A) ทำได้, ตราบใดที่ไม่ผิดกติกา; B) ทำไม่ได้; C) ทำได้, แต่จะได้รับคะแนนต่ำ; D) ขึ้นอยู่กับผู้ตัดสิน</t>
  </si>
  <si>
    <t>A) ทำได้ตราบใดที่ไม่ผิดกติกา</t>
  </si>
  <si>
    <t>ตราบใดที่ไม่ผิดกติกา</t>
  </si>
  <si>
    <t>How does using match-fixing techniques in Muay Thai work?</t>
  </si>
  <si>
    <t>A) causes a score; B) has no effect; C) causes a deduction of points; D) is disqualified.</t>
  </si>
  <si>
    <t>C) Causes deduction of points</t>
  </si>
  <si>
    <t>การใช้เทคนิคการจับคู่ต่อสู้ในมวยไทยจะทำให้เกิดผลอย่างไร?</t>
  </si>
  <si>
    <t>A) ทำให้ได้คะแนน; B) ไม่มีผล; C) ทำให้ถูกตัดคะแนน; D) ถูกปรับแพ้</t>
  </si>
  <si>
    <t>C) ทำให้ถูกตัดคะแนน</t>
  </si>
  <si>
    <t xml:space="preserve"> การจับคู่ต่อสู้โดยไม่ถูกต้องจะถูกตัดคะแนน.</t>
  </si>
  <si>
    <t>In a Muay Thai match, where can a boxer attack his opponent?</t>
  </si>
  <si>
    <t>A) Forehead; B) Abdomen; C) Legs; D) All</t>
  </si>
  <si>
    <t>ในการแข่งขันมวยไทย นักมวยสามารถโจมตีได้ที่บริเวณไหนของคู่ต่อสู้?</t>
  </si>
  <si>
    <t>A) หน้าผาก; B) ท้อง; C) ขา; D) ทุกข้อ</t>
  </si>
  <si>
    <t xml:space="preserve"> การโจมตีสามารถทำได้ในหลายส่วนของร่างกายที่ไม่ผิดกติกา.</t>
  </si>
  <si>
    <t>In Muay Thai, do kicks to the legs earn points?</t>
  </si>
  <si>
    <t>A) received a normal score; B) received no score; C) received a high score; D) received a low score.</t>
  </si>
  <si>
    <t>A) Got a normal score.</t>
  </si>
  <si>
    <t>ในการแข่งขันมวยไทย การเตะที่ขาได้รับคะแนนหรือไม่?</t>
  </si>
  <si>
    <t>A) ได้คะแนนปกติ; B) ไม่ได้รับคะแนน; C) ได้คะแนนสูง; D) ได้คะแนนต่ำ</t>
  </si>
  <si>
    <t>A) ได้คะแนนปกติ</t>
  </si>
  <si>
    <t xml:space="preserve"> การเตะที่ขาได้รับคะแนนตามปกติ.</t>
  </si>
  <si>
    <t>Do punches to the face in Muay Thai earn points?</t>
  </si>
  <si>
    <t>การต่อยที่บริเวณหน้าในมวยไทยจะได้รับคะแนนหรือไม่?</t>
  </si>
  <si>
    <t xml:space="preserve"> การต่อยที่หน้าได้รับคะแนนสูง.</t>
  </si>
  <si>
    <t>When a foul is committed in a Muay Thai match, what can the referee do?</t>
  </si>
  <si>
    <t>A) Deduct points; B) Warn the boxer; C) Disqualify; D) All of the above.</t>
  </si>
  <si>
    <t>เมื่อมีการทำผิดกติกาในการแข่งขันมวยไทย ผู้ตัดสินสามารถทำอะไรได้บ้าง?</t>
  </si>
  <si>
    <t>A) ตัดคะแนน; B) เตือนนักมวย; C) ปรับแพ้; D) ทุกข้อ</t>
  </si>
  <si>
    <t xml:space="preserve"> ผู้ตัดสินสามารถตัดคะแนน เตือน หรือปรับแพ้ได้.</t>
  </si>
  <si>
    <t>How many points does a leg attack cost?</t>
  </si>
  <si>
    <t>การโจมตีที่ขาจะทำให้เกิดคะแนนเท่าไร?</t>
  </si>
  <si>
    <t xml:space="preserve"> การโจมตีที่ขาได้รับคะแนนตามปกติ.</t>
  </si>
  <si>
    <t>If a boxer is injured and unable to fight, what should the referee do?</t>
  </si>
  <si>
    <t>A) cancel the match; B) forfeit; C) give a break; D) stop the match.</t>
  </si>
  <si>
    <t>B) Adjust the loss</t>
  </si>
  <si>
    <t>หากนักมวยได้รับบาดเจ็บและไม่สามารถต่อสู้ได้ ผู้ตัดสินจะทำอย่างไร?</t>
  </si>
  <si>
    <t>A) ยกเลิกการแข่งขัน; B) ปรับแพ้; C) ให้เวลาพัก; D) หยุดการแข่งขัน</t>
  </si>
  <si>
    <t>B) ปรับแพ้</t>
  </si>
  <si>
    <t xml:space="preserve"> หากนักมวยไม่สามารถต่อสู้ได้เนื่องจากบาดเจ็บ ผู้ตัดสินจะปรับแพ้.</t>
  </si>
  <si>
    <t>If a boxer makes an illegal attack, such as hitting the back of the neck, will he be penalized?</t>
  </si>
  <si>
    <t>A) will be punished immediately; B) will be warned; C) will receive a low score; D) will not be punished.</t>
  </si>
  <si>
    <t>A) will be punished immediately.</t>
  </si>
  <si>
    <t>หากนักมวยทำการโจมตีผิดกติกาเช่นการตีที่หลังคอจะได้รับการลงโทษหรือไม่?</t>
  </si>
  <si>
    <t>A) จะได้รับการลงโทษทันที; B) จะได้รับคำเตือน; C) จะได้รับคะแนนต่ำ; D) ไม่ได้รับการลงโทษ</t>
  </si>
  <si>
    <t>A) จะได้รับการลงโทษทันที</t>
  </si>
  <si>
    <t xml:space="preserve"> การตีที่หลังคอถือเป็นการผิดกติกา.</t>
  </si>
  <si>
    <t>Will using a jumping kick in Muay Thai earn points?</t>
  </si>
  <si>
    <t>A) got a high score; B) got a low score; C) got a normal score; D) didn't get a score.</t>
  </si>
  <si>
    <t>การใช้การกระโดดเตะในมวยไทยจะได้รับคะแนนหรือไม่?</t>
  </si>
  <si>
    <t>A) ได้คะแนนสูง; B) ได้คะแนนต่ำ; C) ได้คะแนนปกติ; D) ไม่ได้รับคะแนน</t>
  </si>
  <si>
    <t xml:space="preserve"> การกระโดดเตะถือเป็นเทคนิคที่ให้คะแนนสูง.</t>
  </si>
  <si>
    <t>If a boxer loses in a match, what will the consequences be?</t>
  </si>
  <si>
    <t>A) The match will be stopped immediately; B) The boxer will be disqualified; C) The match will be over; D) All of the above.</t>
  </si>
  <si>
    <t>หากนักมวยยอมแพ้ในการแข่งขัน มันจะส่งผลอย่างไร?</t>
  </si>
  <si>
    <t>A) การแข่งขันจะหยุดทันที; B) นักมวยจะถูกปรับแพ้; C) ผลการแข่งขันจะยุติ; D) ทุกข้อ</t>
  </si>
  <si>
    <t xml:space="preserve"> การยอมแพ้จะทำให้การแข่งขันหยุดและนักมวยถูกปรับแพ้.</t>
  </si>
  <si>
    <t>In Muay Thai, how many points are awarded for a head hit?</t>
  </si>
  <si>
    <t>ในการแข่งขันมวยไทย การตีที่ศีรษะจะได้รับคะแนนเท่าไร?</t>
  </si>
  <si>
    <t xml:space="preserve"> การตีที่ศีรษะถือเป็นการโจมตีที่มีคะแนนสูง.</t>
  </si>
  <si>
    <t>Is it permissible to attack the back in Muay Thai?</t>
  </si>
  <si>
    <t>A) Yes, but not too much; B) No; C) Yes, but points will be deducted; D) It depends on the situation.</t>
  </si>
  <si>
    <t>B) Can't do it.</t>
  </si>
  <si>
    <t>การโจมตีที่หลังในมวยไทยสามารถทำได้หรือไม่?</t>
  </si>
  <si>
    <t>A) ได้, แต่ต้องไม่แรงเกินไป; B) ทำไม่ได้; C) ได้, แต่จะถูกตัดคะแนน; D) ขึ้นอยู่กับสถานการณ์</t>
  </si>
  <si>
    <t xml:space="preserve"> การโจมตีที่หลังถือเป็นการผิดกติกา.</t>
  </si>
  <si>
    <t>In Muay Thai, do chest strikes earn points?</t>
  </si>
  <si>
    <t>A) got a high score; B) got a normal score; C) didn't get a score; D) it depends on the situation.</t>
  </si>
  <si>
    <t>ในมวยไทย การโจมตีที่หน้าอกจะได้รับคะแนนหรือไม่?</t>
  </si>
  <si>
    <t>A) ได้คะแนนสูง; B) ได้คะแนนปกติ; C) ไม่ได้รับคะแนน; D) ขึ้นอยู่กับสถานการณ์</t>
  </si>
  <si>
    <t xml:space="preserve"> การโจมตีที่หน้าอกได้รับคะแนนตามปกติ.</t>
  </si>
  <si>
    <t>What happens if a boxer receives a warning from the referee?</t>
  </si>
  <si>
    <t>A) Scored; B) No result; C) Points deducted; D) Disqualified</t>
  </si>
  <si>
    <t>C) Points were deducted.</t>
  </si>
  <si>
    <t>หากนักมวยได้รับการเตือนจากผู้ตัดสินจะเกิดอะไรขึ้น?</t>
  </si>
  <si>
    <t>A) ได้คะแนน; B) ไม่มีผล; C) ถูกตัดคะแนน; D) ถูกปรับแพ้</t>
  </si>
  <si>
    <t>C) ถูกตัดคะแนน</t>
  </si>
  <si>
    <t xml:space="preserve"> การเตือนอาจส่งผลให้ถูกตัดคะแนน.</t>
  </si>
  <si>
    <t>Is it illegal to use your toes in Muay Thai attacks?</t>
  </si>
  <si>
    <t>A) It is a foul; B) It is not a foul; C) It depends on the situation; D) It is allowed but must be authorized by the referee.</t>
  </si>
  <si>
    <t>การใช้นิ้วเท้าในการโจมตีในมวยไทยถือเป็นการผิดกติกาหรือไม่?</t>
  </si>
  <si>
    <t>A) ถือเป็นการผิดกติกา; B) ไม่ถือเป็นการผิดกติกา; C) ขึ้นอยู่กับสถานการณ์; D) ทำได้แต่ต้องได้รับอนุญาตจากผู้ตัดสิน</t>
  </si>
  <si>
    <t>A) ถือเป็นการผิดกติกา</t>
  </si>
  <si>
    <t xml:space="preserve"> การใช้นิ้วเท้าในการโจมตีถือเป็นการผิดกติกา.</t>
  </si>
  <si>
    <t>In Muay Thai, do strikes to the legs earn points?</t>
  </si>
  <si>
    <t>ในการแข่งขันมวยไทย การโจมตีที่บริเวณขาจะได้รับคะแนนหรือไม่?</t>
  </si>
  <si>
    <t xml:space="preserve"> การโจมตีที่บริเวณขาจะได้รับคะแนนตามปกติ.</t>
  </si>
  <si>
    <t>In a Muay Thai match, if a boxer is injured and unable to fight, what should the referee do?</t>
  </si>
  <si>
    <t>A) Rest and return to the competition; B) Disqualify immediately; C) Postpone the competition; D) Do nothing.</t>
  </si>
  <si>
    <t>ในการแข่งขันมวยไทย หากนักมวยได้รับบาดเจ็บจนไม่สามารถต่อสู้ได้ ผู้ตัดสินจะทำอย่างไร?</t>
  </si>
  <si>
    <t>A) ให้พักและค่อยกลับมาแข่งขัน; B) ปรับแพ้ทันที; C) เลื่อนการแข่งขัน; D) ไม่ทำอะไร</t>
  </si>
  <si>
    <t xml:space="preserve"> หากนักมวยไม่สามารถแข่งขันได้เนื่องจากบาดเจ็บจะถูกปรับแพ้.</t>
  </si>
  <si>
    <t>How many points does a high kick in Muay Thai earn?</t>
  </si>
  <si>
    <t>การใช้การเตะสูงในมวยไทยจะได้รับคะแนนเท่าไร?</t>
  </si>
  <si>
    <t xml:space="preserve"> การเตะสูงถือเป็นการโจมตีที่ได้รับคะแนนสูง.</t>
  </si>
  <si>
    <t>What are the effects of using jumping kicks in Muay Thai competitions?</t>
  </si>
  <si>
    <t>A) get a high score; B) cause deduction of points; C) have no effect; D) depends on accuracy.</t>
  </si>
  <si>
    <t>การใช้การกระโดดเตะในการแข่งขันมวยไทยจะมีผลอย่างไร?</t>
  </si>
  <si>
    <t>A) ได้คะแนนสูง; B) ทำให้ถูกตัดคะแนน; C) ไม่มีผล; D) ขึ้นอยู่กับความแม่นยำ</t>
  </si>
  <si>
    <t xml:space="preserve"> การกระโดดเตะถือเป็นเทคนิคที่ได้รับคะแนนสูง.</t>
  </si>
  <si>
    <t>In Muay Thai competitions, which parts of the body can a boxer use to strike?</t>
  </si>
  <si>
    <t>A) face; B) abdomen; C) legs; D) all</t>
  </si>
  <si>
    <t>ในการแข่งขันมวยไทย นักมวยสามารถใช้การตีที่ส่วนไหนของร่างกายได้?</t>
  </si>
  <si>
    <t>A) หน้า; B) ท้อง; C) ขา; D) ทุกข้อ</t>
  </si>
  <si>
    <t xml:space="preserve"> นักมวยสามารถตีได้ทุกส่วนของร่างกายที่ไม่ผิดกติกา.</t>
  </si>
  <si>
    <t>Do knee strikes in Muay Thai earn points?</t>
  </si>
  <si>
    <t>การใช้เข่าโจมตีในมวยไทยจะได้รับคะแนนหรือไม่?</t>
  </si>
  <si>
    <t xml:space="preserve"> การใช้เข่าโจมตีถือเป็นการโจมตีที่ให้คะแนนสูง.</t>
  </si>
  <si>
    <t>In a Muay Thai match, if a boxer makes a serious offensive attack, what punishment will he receive?</t>
  </si>
  <si>
    <t>A) was warned; B) was deducted points; C) was disqualified; D) was suspended from the match.</t>
  </si>
  <si>
    <t>C) was disqualified</t>
  </si>
  <si>
    <t>ในการแข่งขันมวยไทย หากนักมวยทำการโจมตีผิดกติกาอย่างรุนแรง จะได้รับการลงโทษอย่างไร?</t>
  </si>
  <si>
    <t>A) ถูกเตือน; B) ถูกตัดคะแนน; C) ถูกปรับแพ้; D) ถูกพักการแข่งขัน</t>
  </si>
  <si>
    <t>C) ถูกปรับแพ้</t>
  </si>
  <si>
    <t xml:space="preserve"> การโจมตีผิดกติกาที่รุนแรงอาจทำให้ถูกปรับแพ้.</t>
  </si>
  <si>
    <t>In a Muay Thai match, can a boxer attack an opponent who uses defense?</t>
  </si>
  <si>
    <t>A) Yes, as long as it is not against the rules; B) No; C) Yes, but points will be deducted; D) It depends on the referee.</t>
  </si>
  <si>
    <t>A) Yes, as long as it doesn't break the rules.</t>
  </si>
  <si>
    <t>ในการแข่งขันมวยไทย นักมวยสามารถโจมตีคู่ต่อสู้ที่ใช้การป้องกันได้หรือไม่?</t>
  </si>
  <si>
    <t>A) ได้, ตราบใดที่ไม่ผิดกติกา; B) ทำไม่ได้; C) ได้, แต่จะถูกตัดคะแนน; D) ขึ้นอยู่กับผู้ตัดสิน</t>
  </si>
  <si>
    <t>A) ได้ ตราบใดที่ไม่ผิดกติกา</t>
  </si>
  <si>
    <t xml:space="preserve"> การโจมตีเมื่อคู่ต่อสู้ใช้การป้องกันถือว่าไม่ผิดกติกา.</t>
  </si>
  <si>
    <t>Is a strike to the eye in Muay Thai punishable?</t>
  </si>
  <si>
    <t>A) will be penalized immediately; B) will not be penalized; C) depends on the referee; D) can be done but will be deducted points.</t>
  </si>
  <si>
    <t>การตีที่ขอบตาในมวยไทยจะได้รับการลงโทษหรือไม่?</t>
  </si>
  <si>
    <t>A) จะได้รับการลงโทษทันที; B) ไม่ได้รับการลงโทษ; C) ขึ้นอยู่กับผู้ตัดสิน; D) ทำได้แต่จะถูกตัดคะแนน</t>
  </si>
  <si>
    <t xml:space="preserve"> การตีที่ขอบตาถือเป็นการผิดกติกา.</t>
  </si>
  <si>
    <t>In a Muay Thai match, what happens if a boxer receives a second warning?</t>
  </si>
  <si>
    <t>A) Points are deducted; B) Points are added; C) The match is stopped; D) No effect.</t>
  </si>
  <si>
    <t>ในการแข่งขันมวยไทย หากนักมวยได้รับการเตือนครั้งที่สอง จะเกิดอะไรขึ้น?</t>
  </si>
  <si>
    <t>A) ถูกตัดคะแนน; B) ได้คะแนนเพิ่ม; C) หยุดการแข่งขัน; D) ไม่มีผล</t>
  </si>
  <si>
    <t xml:space="preserve"> การเตือนครั้งที่สองจะนำไปสู่การตัดคะแนน.</t>
  </si>
  <si>
    <t>Do kicks to the stomach get points in Muay Thai?</t>
  </si>
  <si>
    <t>การเตะที่ท้องในมวยไทยจะได้รับคะแนนหรือไม่?</t>
  </si>
  <si>
    <t xml:space="preserve"> การเตะที่ท้องได้รับคะแนนตามปกติ.</t>
  </si>
  <si>
    <t>In Muay Thai, can boxers use their opponents to attack?</t>
  </si>
  <si>
    <t>A) Yes, but must be done carefully; B) Yes, but must be authorized by the referee; C) No; D) It depends on the situation.</t>
  </si>
  <si>
    <t>C) Can't do it.</t>
  </si>
  <si>
    <t>ในการแข่งขันมวยไทย นักมวยสามารถจับคู่ต่อสู้เพื่อโจมตีหรือไม่?</t>
  </si>
  <si>
    <t>A) ได้, แต่ต้องทำอย่างระมัดระวัง; B) ได้, แต่ต้องได้รับอนุญาตจากผู้ตัดสิน; C) ทำไม่ได้; D) ขึ้นอยู่กับสถานการณ์</t>
  </si>
  <si>
    <t>C) ทำไม่ได้</t>
  </si>
  <si>
    <t xml:space="preserve"> การจับคู่ต่อสู้เพื่อโจมตีถือเป็นการผิดกติกา.</t>
  </si>
  <si>
    <t>In a Muay Thai competition, what happens if a boxer is unable to compete due to an injury?</t>
  </si>
  <si>
    <t>A) The match will be stopped; B) The boxer will be disqualified; C) The match will be postponed; D) No effect.</t>
  </si>
  <si>
    <t>B) The boxer will be disqualified.</t>
  </si>
  <si>
    <t>ในการแข่งขันมวยไทย หากนักมวยไม่สามารถแข่งขันได้เนื่องจากอาการบาดเจ็บจะเกิดอะไรขึ้น?</t>
  </si>
  <si>
    <t>A) การแข่งขันจะหยุด; B) นักมวยจะถูกปรับแพ้; C) การแข่งขันจะเลื่อน; D) ไม่มีผล</t>
  </si>
  <si>
    <t>B) นักมวยจะถูกปรับแพ้</t>
  </si>
  <si>
    <t xml:space="preserve"> หากนักมวยไม่สามารถแข่งขันได้จะถูกปรับแพ้.</t>
  </si>
  <si>
    <t>In Muay Thai competitions, can boxers kick the ankles?</t>
  </si>
  <si>
    <t>A) Yes, as long as it doesn't cause injury; B) No; C) Yes, but with the referee's permission; D) It depends on the situation.</t>
  </si>
  <si>
    <t>ในการแข่งขันมวยไทย นักมวยสามารถเตะที่บริเวณข้อเท้าได้หรือไม่?</t>
  </si>
  <si>
    <t>A) ได้, ตราบใดที่ไม่ทำให้เกิดบาดเจ็บ; B) ไม่ได้; C) ได้, แต่ต้องได้รับอนุญาตจากผู้ตัดสิน; D) ขึ้นอยู่กับสถานการณ์</t>
  </si>
  <si>
    <t xml:space="preserve"> การเตะที่ข้อเท้าเป็นการผิดกติกา.</t>
  </si>
  <si>
    <t>Will using knees or elbows in Muay Thai attacks result in a deduction?</t>
  </si>
  <si>
    <t>A) got a high score; B) got a normal score; C) didn't get a score; D) got a deduction.</t>
  </si>
  <si>
    <t>การใช้เข่าหรือศอกในการโจมตีในมวยไทยจะได้รับการตัดคะแนนหรือไม่?</t>
  </si>
  <si>
    <t>A) ได้คะแนนสูง; B) ได้คะแนนปกติ; C) ไม่ได้รับคะแนน; D) ถูกตัดคะแนน</t>
  </si>
  <si>
    <t xml:space="preserve"> การใช้เข่าหรือศอกในการโจมตีถือเป็นการโจมตีที่มีคะแนนสูง.</t>
  </si>
  <si>
    <t>In a Muay Thai match, what happens if a boxer refuses to stand up after being counted out to 8?</t>
  </si>
  <si>
    <t>A) The boxer will be disqualified; B) The match will be stopped immediately; C) The referee will give another chance; D) The match will continue.</t>
  </si>
  <si>
    <t>A) The boxer will be disqualified.</t>
  </si>
  <si>
    <t>ในการแข่งขันมวยไทย หากนักมวยไม่ยอมยืนขึ้นหลังจากถูกนับ 8 จะเกิดอะไรขึ้น?</t>
  </si>
  <si>
    <t>A) นักมวยจะถูกปรับแพ้; B) การแข่งขันจะยุติทันที; C) ผู้ตัดสินจะให้โอกาสอีกครั้ง; D) การแข่งขันจะดำเนินต่อไป</t>
  </si>
  <si>
    <t>A) นักมวยจะถูกปรับแพ้</t>
  </si>
  <si>
    <t xml:space="preserve"> หากนักมวยไม่สามารถยืนขึ้นหลังจากถูกนับ 8 จะถูกปรับแพ้.</t>
  </si>
  <si>
    <t>Is it considered illegal to use undefended strikes in Muay Thai?</t>
  </si>
  <si>
    <t>A) It is considered a foul; B) It is not considered a foul; C) It depends on the circumstances; D) It is considered an acceptable attack.</t>
  </si>
  <si>
    <t>การใช้การโจมตีที่ไม่สามารถป้องกันได้ในมวยไทยจะถือว่าเป็นการผิดกติกาหรือไม่?</t>
  </si>
  <si>
    <t>A) ถือว่าเป็นการผิดกติกา; B) ไม่ถือว่าเป็นการผิดกติกา; C) ขึ้นอยู่กับสถานการณ์; D) ถือว่าเป็นการโจมตีที่ยอมรับได้</t>
  </si>
  <si>
    <t xml:space="preserve"> การโจมตีที่ไม่สามารถป้องกันได้ถือเป็นการผิดกติกา.</t>
  </si>
  <si>
    <t>If there is a simultaneous leg grab during a Muay Thai fight, what should the referee do?</t>
  </si>
  <si>
    <t>A) End the scramble; B) Score both teams; C) Stop the match immediately; D) Depending on the situation.</t>
  </si>
  <si>
    <t>A) Let the leg snatching end.</t>
  </si>
  <si>
    <t>หากมีการแย่งขาพร้อมกันระหว่างการต่อสู้ในมวยไทย ผู้ตัดสินจะทำอย่างไร?</t>
  </si>
  <si>
    <t>A) ให้การแย่งขาสิ้นสุด; B) ให้คะแนนทั้งสองฝ่าย; C) หยุดการแข่งขันทันที; D) ขึ้นอยู่กับสถานการณ์</t>
  </si>
  <si>
    <t>A) ให้การแย่งขาสิ้นสุด</t>
  </si>
  <si>
    <t xml:space="preserve"> ผู้ตัดสินจะหยุดการแย่งขาและให้การแข่งขันดำเนินต่อไป.</t>
  </si>
  <si>
    <t>Do shoulder strikes in Muay Thai earn points?</t>
  </si>
  <si>
    <t>การโจมตีที่ไหล่ในมวยไทยจะได้รับคะแนนหรือไม่?</t>
  </si>
  <si>
    <t xml:space="preserve"> การโจมตีที่ไหล่ได้รับคะแนนตามปกติ.</t>
  </si>
  <si>
    <t>In a Muay Thai match, when can a boxer stop the fight?</t>
  </si>
  <si>
    <t>A) When there is a serious injury; B) When the referee orders a stoppage; C) When exhausted; D) All of the above.</t>
  </si>
  <si>
    <t>ในการแข่งขันมวยไทย นักมวยสามารถหยุดการแข่งขันได้เมื่อใด?</t>
  </si>
  <si>
    <t>A) เมื่อมีบาดเจ็บรุนแรง; B) เมื่อผู้ตัดสินสั่งให้หยุด; C) เมื่อหมดแรง; D) ทุกข้อ</t>
  </si>
  <si>
    <t xml:space="preserve"> นักมวยสามารถหยุดการแข่งขันได้ตามสถานการณ์ที่ระบุ.</t>
  </si>
  <si>
    <t>Is using back attacks in Muay Thai punishable?</t>
  </si>
  <si>
    <t>A) will receive an immediate penalty; B) will not receive a penalty; C) depends on the referee; D) will receive a low score.</t>
  </si>
  <si>
    <t>การใช้การโจมตีที่หลังในมวยไทยจะได้รับการลงโทษหรือไม่?</t>
  </si>
  <si>
    <t>A) จะได้รับการลงโทษทันที; B) ไม่ได้รับการลงโทษ; C) ขึ้นอยู่กับผู้ตัดสิน; D) จะได้รับคะแนนต่ำ</t>
  </si>
  <si>
    <t>In Muay Thai, is a strike to the ribs considered a violation?</t>
  </si>
  <si>
    <t>A) It is a foul; B) It is not a foul; C) It depends on the situation; D) It is an acceptable attack.</t>
  </si>
  <si>
    <t>B) It is not considered a violation of the rules.</t>
  </si>
  <si>
    <t>ในการแข่งขันมวยไทย การโจมตีที่กระดูกซี่โครงจะถือเป็นการผิดกติกาหรือไม่?</t>
  </si>
  <si>
    <t>A) ถือเป็นการผิดกติกา; B) ไม่ถือเป็นการผิดกติกา; C) ขึ้นอยู่กับสถานการณ์; D) ถือว่าเป็นการโจมตีที่ยอมรับได้</t>
  </si>
  <si>
    <t>B) ไม่ถือเป็นการผิดกติกา</t>
  </si>
  <si>
    <t xml:space="preserve"> การโจมตีที่กระดูกซี่โครงสามารถทำได้หากไม่ผิดกติกา.</t>
  </si>
  <si>
    <t>In a Muay Thai match, if a boxer receives a deduction for a foul, what effect will this have on their overall score?</t>
  </si>
  <si>
    <t>A) The total score will decrease; B) The total score will increase; C) The total score will remain unchanged; D) The deduction of points will not affect the total score.</t>
  </si>
  <si>
    <t>A) Total score will decrease.</t>
  </si>
  <si>
    <t>ในการแข่งขันมวยไทย หากนักมวยได้รับการตัดคะแนนจากการทำผิดกติกา จะส่งผลอย่างไรต่อคะแนนรวม?</t>
  </si>
  <si>
    <t>A) คะแนนรวมจะลดลง; B) คะแนนรวมจะเพิ่มขึ้น; C) คะแนนรวมจะไม่เปลี่ยนแปลง; D) การตัดคะแนนไม่ส่งผลต่อคะแนนรวม</t>
  </si>
  <si>
    <t>A) คะแนนรวมจะลดลง</t>
  </si>
  <si>
    <t xml:space="preserve"> การตัดคะแนนจากการทำผิดกติกาจะทำให้คะแนนรวมลดลง.</t>
  </si>
  <si>
    <t>Will a wrist strike in a Muay Thai match result in a deduction?</t>
  </si>
  <si>
    <t>A) will receive immediate deduction of points; B) will receive normal points; C) will not receive a penalty; D) depends on the situation.</t>
  </si>
  <si>
    <t>A) will receive immediate deduction of points.</t>
  </si>
  <si>
    <t>การตีที่ข้อมือในการแข่งขันมวยไทยจะได้รับการตัดคะแนนหรือไม่?</t>
  </si>
  <si>
    <t>A) จะได้รับการตัดคะแนนทันที; B) จะได้รับคะแนนปกติ; C) ไม่ได้รับการลงโทษ; D) ขึ้นอยู่กับสถานการณ์</t>
  </si>
  <si>
    <t>A) จะได้รับการตัดคะแนนทันที</t>
  </si>
  <si>
    <t xml:space="preserve"> การตีที่ข้อมือถือเป็นการผิดกติกา.</t>
  </si>
  <si>
    <t>In Muay Thai competitions, can boxers wear shoes?</t>
  </si>
  <si>
    <t>A) May be worn, as long as it does not exceed the rules; B) May not be worn; C) It is up to the referee; D) May be worn if permitted.</t>
  </si>
  <si>
    <t>B) Cannot be worn</t>
  </si>
  <si>
    <t>ในการแข่งขันมวยไทย นักมวยสามารถสวมรองเท้าได้หรือไม่?</t>
  </si>
  <si>
    <t>A) สามารถสวมได้, ตราบใดที่ไม่เกินกติกา; B) ไม่สามารถสวมได้; C) ขึ้นอยู่กับผู้ตัดสิน; D) สวมได้หากได้รับอนุญาต</t>
  </si>
  <si>
    <t>B) ไม่สามารถสวมได้</t>
  </si>
  <si>
    <t xml:space="preserve"> การสวมรองเท้าในการแข่งขันมวยไทยถือเป็นการผิดกติกา.</t>
  </si>
  <si>
    <t>Is it illegal to use leg strikes in Muay Thai?</t>
  </si>
  <si>
    <t>A) It is not a foul; B) It is a foul; C) It depends on the situation; D) It is an acceptable attack.</t>
  </si>
  <si>
    <t>A) It is not considered a violation of the rules.</t>
  </si>
  <si>
    <t>การใช้การโจมตีที่ขาในมวยไทยถือเป็นการผิดกติกาหรือไม่?</t>
  </si>
  <si>
    <t>A) ไม่ถือเป็นการผิดกติกา; B) ถือเป็นการผิดกติกา; C) ขึ้นอยู่กับสถานการณ์; D) ถือว่าเป็นการโจมตีที่ยอมรับได้</t>
  </si>
  <si>
    <t>A) ไม่ถือเป็นการผิดกติกา</t>
  </si>
  <si>
    <t xml:space="preserve"> การโจมตีที่ขาไม่ถือเป็นการผิดกติกา.</t>
  </si>
  <si>
    <t>In Muay Thai, can a boxer use kicks to the opponent's head?</t>
  </si>
  <si>
    <t>A) Yes, as long as it doesn't cause injury; B) No; C) Yes, but points will be deducted; D) It's up to the referee.</t>
  </si>
  <si>
    <t>A) Yes, as long as it doesn't cause injury.</t>
  </si>
  <si>
    <t>ในการแข่งขันมวยไทย นักมวยสามารถใช้การเตะที่ศีรษะของคู่ต่อสู้ได้หรือไม่?</t>
  </si>
  <si>
    <t>A) ได้, ตราบใดที่ไม่ทำให้เกิดบาดเจ็บ; B) ไม่ได้; C) ได้, แต่จะถูกตัดคะแนน; D) ขึ้นอยู่กับผู้ตัดสิน</t>
  </si>
  <si>
    <t>A) ได้ ตราบใดที่ไม่ทำให้เกิดบาดเจ็บ</t>
  </si>
  <si>
    <t xml:space="preserve"> การเตะที่ศีรษะสามารถทำได้หากไม่ทำให้เกิดบาดเจ็บ.</t>
  </si>
  <si>
    <t>If a boxer is injured by an illegal attack, what punishments will there be?</t>
  </si>
  <si>
    <t>A) The offender will lose; B) There will be no penalty; C) The offender will be warned; D) The match will be stopped.</t>
  </si>
  <si>
    <t>A) The offender will be disqualified.</t>
  </si>
  <si>
    <t>หากนักมวยได้รับการบาดเจ็บจากการโจมตีผิดกติกา จะมีการลงโทษอะไรบ้าง?</t>
  </si>
  <si>
    <t>A) ผู้ทำผิดจะถูกปรับแพ้; B) ไม่มีการลงโทษ; C) ผู้ทำผิดจะถูกเตือน; D) การแข่งขันจะยุติ</t>
  </si>
  <si>
    <t>A) ผู้ทำผิดจะถูกปรับแพ้</t>
  </si>
  <si>
    <t xml:space="preserve"> การโจมตีผิดกติกาที่ทำให้เกิดบาดเจ็บจะทำให้ผู้ทำผิดถูกปรับแพ้.</t>
  </si>
  <si>
    <t>In a Muay Thai match, how many times can a boxer attack with his elbow?</t>
  </si>
  <si>
    <t>A) Unlimited; B) 2 times; C) 3 times; D) 1 time</t>
  </si>
  <si>
    <t>A) Unlimited amount</t>
  </si>
  <si>
    <t>ในการแข่งขันมวยไทย หากนักมวยใช้ศอกโจมตีได้กี่ครั้ง?</t>
  </si>
  <si>
    <t>A) ได้ไม่จำกัดจำนวน; B) ได้ 2 ครั้ง; C) ได้ 3 ครั้ง; D) ได้ 1 ครั้ง</t>
  </si>
  <si>
    <t>A) ได้ไม่จำกัดจำนวน</t>
  </si>
  <si>
    <t xml:space="preserve"> การใช้ศอกโจมตีในมวยไทยไม่จำกัดจำนวน.</t>
  </si>
  <si>
    <t>Is it illegal to kick an opponent's knee in Muay Thai?</t>
  </si>
  <si>
    <t>การเตะที่หัวเข่าของคู่ต่อสู้ในมวยไทยถือเป็นการผิดกติกาหรือไม่?</t>
  </si>
  <si>
    <t xml:space="preserve"> การเตะที่หัวเข่าไม่ถือเป็นการผิดกติกาในมวยไทย.</t>
  </si>
  <si>
    <t>In Muay Thai competition, is it permissible to perform a spinning attack?</t>
  </si>
  <si>
    <t>A) Yes, as long as it is not against the rules; B) No; C) Yes, but points will be deducted; D) It depends on the situation.</t>
  </si>
  <si>
    <t>ในการแข่งขันมวยไทย การโจมตีด้วยการหมุนตัวทำได้หรือไม่?</t>
  </si>
  <si>
    <t>A) ทำได้, ตราบใดที่ไม่ผิดกติกา; B) ทำไม่ได้; C) ทำได้แต่จะถูกตัดคะแนน; D) ขึ้นอยู่กับสถานการณ์</t>
  </si>
  <si>
    <t xml:space="preserve"> การหมุนตัวเพื่อโจมตีเป็นวิธีการที่สามารถทำได้.</t>
  </si>
  <si>
    <t>In a Muay Thai match, if a boxer is grabbed by his opponent and cannot break free, what happens?</t>
  </si>
  <si>
    <t>A) The referee shall stop the match; B) The referee shall score the holding side; C) The match shall be stopped immediately; D) No further action shall be taken.</t>
  </si>
  <si>
    <t>B) The referee will score the holding side.</t>
  </si>
  <si>
    <t>ในการแข่งขันมวยไทย หากนักมวยโดนคู่ต่อสู้ยึดตัวแล้วไม่สามารถหลุดออกได้ จะเกิดอะไรขึ้น?</t>
  </si>
  <si>
    <t>A) ผู้ตัดสินจะยุติการแข่งขัน; B) ผู้ตัดสินจะให้คะแนนฝ่ายที่ยึดตัว; C) การแข่งขันจะหยุดทันที; D) ไม่มีการดำเนินการใดๆ</t>
  </si>
  <si>
    <t>B) ผู้ตัดสินจะให้คะแนนฝ่ายที่ยึดตัว</t>
  </si>
  <si>
    <t xml:space="preserve"> การยึดตัวจะทำให้ฝ่ายที่ทำได้คะแนน.</t>
  </si>
  <si>
    <t>In Muay Thai competition, is using a kick to the wrist punishable?</t>
  </si>
  <si>
    <t>A) will be punished immediately; B) will not be punished; C) depends on the situation; D) will receive additional points.</t>
  </si>
  <si>
    <t>ในการแข่งขันมวยไทย การใช้การเตะที่ข้อมือจะได้รับการลงโทษหรือไม่?</t>
  </si>
  <si>
    <t>A) จะได้รับการลงโทษทันที; B) ไม่ได้รับการลงโทษ; C) ขึ้นอยู่กับสถานการณ์; D) จะได้รับคะแนนเพิ่ม</t>
  </si>
  <si>
    <t xml:space="preserve"> การใช้การเตะที่ข้อมือถือเป็นการผิดกติกา.</t>
  </si>
  <si>
    <t>Is using a back of the head attack in Muay Thai punishable?</t>
  </si>
  <si>
    <t>การใช้การโจมตีที่หลังศีรษะในมวยไทยจะได้รับการลงโทษหรือไม่?</t>
  </si>
  <si>
    <t xml:space="preserve"> การโจมตีที่หลังศีรษะถือเป็นการผิดกติกา.</t>
  </si>
  <si>
    <t>In a Muay Thai match, can a boxer force his opponent out of the ring?</t>
  </si>
  <si>
    <t>A) Yes, if the referee allows it; B) No; C) Yes, but points will be deducted; D) It depends on the situation.</t>
  </si>
  <si>
    <t>ในการแข่งขันมวยไทย นักมวยสามารถบังคับให้คู่ต่อสู้ตกจากเวทีได้หรือไม่?</t>
  </si>
  <si>
    <t>A) ได้, ถ้าผู้ตัดสินอนุญาต; B) ไม่ได้; C) ได้, แต่จะถูกตัดคะแนน; D) ขึ้นอยู่กับสถานการณ์</t>
  </si>
  <si>
    <t xml:space="preserve"> การบังคับให้คู่ต่อสู้ตกจากเวทีถือเป็นการผิดกติกา.</t>
  </si>
  <si>
    <t>In a Muay Thai match, what happens if a boxer starts attacking after the referee stops the fight?</t>
  </si>
  <si>
    <t>A) The referee will score the attacker; B) The referee will give a warning; C) The boxer will be deducted points; D) The match will be stopped immediately.</t>
  </si>
  <si>
    <t>C) The boxer will be deducted points.</t>
  </si>
  <si>
    <t>ในการแข่งขันมวยไทย หากนักมวยเริ่มโจมตีหลังจากผู้ตัดสินสั่งหยุด จะเกิดอะไรขึ้น?</t>
  </si>
  <si>
    <t>A) ผู้ตัดสินจะให้คะแนนฝ่ายที่โจมตี; B) ผู้ตัดสินจะให้คำเตือน; C) นักมวยจะถูกตัดคะแนน; D) การแข่งขันจะหยุดทันที</t>
  </si>
  <si>
    <t>C) นักมวยจะถูกตัดคะแนน</t>
  </si>
  <si>
    <t xml:space="preserve"> การโจมตีหลังจากการสั่งหยุดจะนำไปสู่การตัดคะแนน.</t>
  </si>
  <si>
    <t>In Muay Thai, is a neck strike considered a violation?</t>
  </si>
  <si>
    <t>ในการแข่งขันมวยไทย การโจมตีที่คอถือเป็นการผิดกติกาหรือไม่?</t>
  </si>
  <si>
    <t xml:space="preserve"> การโจมตีที่คอถือเป็นการผิดกติกา.</t>
  </si>
  <si>
    <t>In Muay Thai, where can boxers use elbow strikes?</t>
  </si>
  <si>
    <t>A) at the head; B) at the shoulder; C) at the head; D) all of the above</t>
  </si>
  <si>
    <t>ในการแข่งขันมวยไทย นักมวยสามารถใช้ศอกโจมตีได้ที่ไหนบ้าง?</t>
  </si>
  <si>
    <t>A) ที่หัว; B) ที่ไหล่; C) ที่ศีรษะ; D) ทุกข้อ</t>
  </si>
  <si>
    <t xml:space="preserve"> ศอกสามารถใช้โจมตีได้ทุกส่วนที่ไม่ผิดกติกา.</t>
  </si>
  <si>
    <t>In Muay Thai, can a boxer use kicks inside or outside the opponent's legs?</t>
  </si>
  <si>
    <t>A) Yes, as long as it is not against the rules; B) No; C) It depends on the referee; D) Yes, but points will be deducted.</t>
  </si>
  <si>
    <t>ในการแข่งขันมวยไทย นักมวยสามารถใช้การเตะด้านในหรือด้านนอกขาของคู่ต่อสู้ได้หรือไม่?</t>
  </si>
  <si>
    <t>A) ได้, ตราบใดที่ไม่ผิดกติกา; B) ไม่ได้; C) ขึ้นอยู่กับผู้ตัดสิน; D) สามารถทำได้แต่จะถูกตัดคะแนน</t>
  </si>
  <si>
    <t xml:space="preserve"> การเตะด้านในหรือด้านนอกขาถือเป็นการโจมตีที่ยอมรับได้.</t>
  </si>
  <si>
    <t>In a Muay Thai match, if a boxer is injured by a kick to the leg, what punishments will there be?</t>
  </si>
  <si>
    <t>A) The referee will stop the match; B) The offender will lose; C) The offender will be warned; D) There will be no penalty.</t>
  </si>
  <si>
    <t>B) The offender will be disqualified.</t>
  </si>
  <si>
    <t>ในการแข่งขันมวยไทย หากนักมวยได้รับการบาดเจ็บจากการถูกเตะที่ขา จะมีการลงโทษอะไรบ้าง?</t>
  </si>
  <si>
    <t>A) ผู้ตัดสินจะหยุดการแข่งขัน; B) ผู้ทำผิดจะถูกปรับแพ้; C) ผู้ทำผิดจะถูกเตือน; D) ไม่มีการลงโทษ</t>
  </si>
  <si>
    <t>B) ผู้ทำผิดจะถูกปรับแพ้</t>
  </si>
  <si>
    <t xml:space="preserve"> การโจมตีที่ทำให้เกิดบาดเจ็บจะทำให้ผู้ทำผิดถูกปรับแพ้.</t>
  </si>
  <si>
    <t>In Muay Thai competitions, can boxers take breaks during the fight?</t>
  </si>
  <si>
    <t>A) Yes, as long as the referee allows it; B) No; C) It depends on the situation; D) Yes, but only for a specific time.</t>
  </si>
  <si>
    <t>ในการแข่งขันมวยไทย นักมวยสามารถหยุดพักระหว่างการต่อสู้ได้หรือไม่?</t>
  </si>
  <si>
    <t>A) ได้, ตราบใดที่ผู้ตัดสินอนุญาต; B) ไม่ได้; C) ขึ้นอยู่กับสถานการณ์; D) ได้, แต่ต้องเป็นช่วงเวลาเฉพาะ</t>
  </si>
  <si>
    <t xml:space="preserve"> การหยุดพักระหว่างการต่อสู้ไม่ได้รับอนุญาต.</t>
  </si>
  <si>
    <t>In Muay Thai competition, are kicks to the lower body punishable?</t>
  </si>
  <si>
    <t>A) will receive an immediate penalty; B) will receive additional points; C) depends on the referee; D) will not receive a penalty.</t>
  </si>
  <si>
    <t>ในการแข่งขันมวยไทย การเตะที่ส่วนล่างของร่างกายจะได้รับการลงโทษหรือไม่?</t>
  </si>
  <si>
    <t>A) จะได้รับการลงโทษทันที; B) จะได้รับคะแนนเพิ่ม; C) ขึ้นอยู่กับผู้ตัดสิน; D) ไม่ได้รับการลงโทษ</t>
  </si>
  <si>
    <t xml:space="preserve"> การเตะที่ส่วนล่างของร่างกายถือเป็นการผิดกติกา.</t>
  </si>
  <si>
    <t>In Muay Thai competitions, can boxers wear protective equipment?</t>
  </si>
  <si>
    <t>A) Can be worn, if permitted by the referee; B) Cannot be worn; C) Can be worn, but will be deducted points; D) Depends on the situation.</t>
  </si>
  <si>
    <t>A) Can be worn if permitted by the referee.</t>
  </si>
  <si>
    <t>ในการแข่งขันมวยไทย นักมวยสามารถสวมใส่อุปกรณ์ป้องกันต่างๆ ได้หรือไม่?</t>
  </si>
  <si>
    <t>A) สามารถสวมได้, หากได้รับอนุญาตจากผู้ตัดสิน; B) ไม่สามารถสวมได้; C) สามารถสวมได้, แต่จะถูกตัดคะแนน; D) ขึ้นอยู่กับสถานการณ์</t>
  </si>
  <si>
    <t>A) สามารถสวมได้ หากได้รับอนุญาตจากผู้ตัดสิน</t>
  </si>
  <si>
    <t xml:space="preserve"> อุปกรณ์ป้องกันสามารถสวมได้ตามกฎ.</t>
  </si>
  <si>
    <t>In Muay Thai, are forehead strikes deducted points?</t>
  </si>
  <si>
    <t>A) will receive immediate deduction of points; B) will not receive deduction of points; C) depends on the situation; D) will receive additional points.</t>
  </si>
  <si>
    <t>B) No deduction of points</t>
  </si>
  <si>
    <t>ในการแข่งขันมวยไทย การโจมตีที่บริเวณหน้าผากจะได้รับการตัดคะแนนหรือไม่?</t>
  </si>
  <si>
    <t>A) จะได้รับการตัดคะแนนทันที; B) ไม่ได้รับการตัดคะแนน; C) ขึ้นอยู่กับสถานการณ์; D) จะได้รับคะแนนเพิ่ม</t>
  </si>
  <si>
    <t>B) ไม่ได้รับการตัดคะแนน</t>
  </si>
  <si>
    <t xml:space="preserve"> การโจมตีที่หน้าผากไม่ถือเป็นการผิดกติกา.</t>
  </si>
  <si>
    <t>In Muay Thai competitions, can a boxer use kicks to the opponent's thighs?</t>
  </si>
  <si>
    <t>A) Yes, as long as it doesn't cause injury; B) No; C) Yes, but points will be deducted; D) It depends on the situation.</t>
  </si>
  <si>
    <t>ในการแข่งขันมวยไทย นักมวยสามารถใช้การเตะที่ต้นขาของคู่ต่อสู้ได้หรือไม่?</t>
  </si>
  <si>
    <t>A) ได้, ตราบใดที่ไม่ทำให้เกิดบาดเจ็บ; B) ไม่ได้; C) ได้, แต่จะถูกตัดคะแนน; D) ขึ้นอยู่กับสถานการณ์</t>
  </si>
  <si>
    <t>A) ได้ตราบใดที่ไม่ทำให้เกิดบาดเจ็บ</t>
  </si>
  <si>
    <t xml:space="preserve"> การเตะที่ต้นขาสามารถทำได้หากไม่ทำให้เกิดบาดเจ็บ.</t>
  </si>
  <si>
    <t>In a Muay Thai match, if a boxer uses a technique that is not within the rules, will he be penalized?</t>
  </si>
  <si>
    <t>A) will receive an immediate penalty; B) will receive a warning; C) depends on the referee; D) will receive additional points.</t>
  </si>
  <si>
    <t>ในการแข่งขันมวยไทย หากนักมวยใช้เทคนิคที่ไม่ได้อยู่ในกฎ จะได้รับการลงโทษหรือไม่?</t>
  </si>
  <si>
    <t>A) จะได้รับการลงโทษทันที; B) จะได้รับการเตือน; C) ขึ้นอยู่กับผู้ตัดสิน; D) จะได้รับคะแนนเพิ่ม</t>
  </si>
  <si>
    <t xml:space="preserve"> การใช้เทคนิคที่ไม่ได้อยู่ในกฎถือเป็นการผิดกติกา.</t>
  </si>
  <si>
    <t>In Muay Thai competitions, can boxers use kicks to the back?</t>
  </si>
  <si>
    <t>A) Can be done, if it doesn't cause injury; B) Can't be done; C) Can be done, but points will be deducted; D) It depends on the situation.</t>
  </si>
  <si>
    <t>A) It can be done if it does not cause injury.</t>
  </si>
  <si>
    <t>ในการแข่งขันมวยไทย นักมวยสามารถใช้การเตะที่หลังได้หรือไม่?</t>
  </si>
  <si>
    <t>A) สามารถทำได้, หากไม่ทำให้เกิดบาดเจ็บ; B) ไม่สามารถทำได้; C) สามารถทำได้ แต่จะถูกตัดคะแนน; D) ขึ้นอยู่กับสถานการณ์</t>
  </si>
  <si>
    <t>A) สามารถทำได้ หากไม่ทำให้เกิดบาดเจ็บ</t>
  </si>
  <si>
    <t xml:space="preserve"> การเตะที่หลังสามารถทำได้หากไม่ทำให้เกิดอันตราย.</t>
  </si>
  <si>
    <t>In a Muay Thai match, if a boxer injures an opponent while he is down, what punishments will be incurred?</t>
  </si>
  <si>
    <t>A) The offender will lose; B) There will be no penalty; C) The offender will be warned; D) The match will be stopped immediately.</t>
  </si>
  <si>
    <t>ในการแข่งขันมวยไทย หากนักมวยทำร้ายคู่ต่อสู้ในขณะที่คู่ต่อสู้กำลังล้ม จะมีการลงโทษอะไรบ้าง?</t>
  </si>
  <si>
    <t>A) ผู้ทำผิดจะถูกปรับแพ้; B) ไม่มีการลงโทษ; C) ผู้ทำผิดจะถูกเตือน; D) การแข่งขันจะหยุดทันที</t>
  </si>
  <si>
    <t xml:space="preserve"> การทำร้ายคู่ต่อสู้ในขณะที่กำลังล้มถือเป็นการผิดกติกา.</t>
  </si>
  <si>
    <t>In Muay Thai, is an attack on the opponent's torso in an unusual position punishable?</t>
  </si>
  <si>
    <t>A) will receive an immediate penalty; B) will not receive a penalty; C) depends on the referee; D) will receive additional points.</t>
  </si>
  <si>
    <t>ในการแข่งขันมวยไทย การโจมตีที่ลำตัวของคู่ต่อสู้ในท่าที่ไม่ปกติจะได้รับการลงโทษหรือไม่?</t>
  </si>
  <si>
    <t>A) จะได้รับการลงโทษทันที; B) ไม่ได้รับการลงโทษ; C) ขึ้นอยู่กับผู้ตัดสิน; D) จะได้รับคะแนนเพิ่ม</t>
  </si>
  <si>
    <t xml:space="preserve"> การโจมตีในท่าที่ไม่ปกติจะถือว่าเป็นการผิดกติกา.</t>
  </si>
  <si>
    <t>In Muay Thai, can a boxer use suplex techniques to attack his opponent?</t>
  </si>
  <si>
    <t>A) Yes, as long as it doesn't cause injury; B) No; C) It depends on the situation; D) Yes, but points will be deducted.</t>
  </si>
  <si>
    <t>ในการแข่งขันมวยไทย นักมวยสามารถใช้เทคนิคการล้มตัว (suplex) เพื่อโจมตีคู่ต่อสู้ได้หรือไม่?</t>
  </si>
  <si>
    <t>A) ได้, ตราบใดที่ไม่ทำให้เกิดบาดเจ็บ; B) ไม่ได้; C) ขึ้นอยู่กับสถานการณ์; D) ได้, แต่จะถูกตัดคะแนน</t>
  </si>
  <si>
    <t xml:space="preserve"> การใช้เทคนิคการล้มตัว (suplex) ถือเป็นการผิดกติกา.</t>
  </si>
  <si>
    <t>In a Muay Thai match, if a boxer hits his opponent in the head, will he be punished?</t>
  </si>
  <si>
    <t>ในการแข่งขันมวยไทย หากนักมวยทุบคู่ต่อสู้ในลักษณะตีหัว จะได้รับการลงโทษหรือไม่?</t>
  </si>
  <si>
    <t xml:space="preserve"> การทุบหัวถือเป็นการผิดกติกา.</t>
  </si>
  <si>
    <t>During a Muay Thai match, can a boxer poke his opponent in the eye with his finger?</t>
  </si>
  <si>
    <t>A) No, it is a foul; B) Yes, but points will be deducted; C) It depends on the situation; D) Yes, as long as it does not cause injury.</t>
  </si>
  <si>
    <t>A) No, it is considered a violation of the rules.</t>
  </si>
  <si>
    <t>ในระหว่างการแข่งขันมวยไทย นักมวยสามารถใช้นิ้วมือจิ้มคู่ต่อสู้ที่ตาได้หรือไม่?</t>
  </si>
  <si>
    <t>A) ไม่ได้, ถือเป็นการผิดกติกา; B) ได้, แต่จะถูกตัดคะแนน; C) ขึ้นอยู่กับสถานการณ์; D) ได้, ตราบใดที่ไม่ทำให้เกิดบาดเจ็บ</t>
  </si>
  <si>
    <t>A) ไม่ได้ ถือเป็นการผิดกติกา</t>
  </si>
  <si>
    <t xml:space="preserve"> การจิ้มตาถือเป็นการโจมตีที่ไม่เหมาะสม.</t>
  </si>
  <si>
    <t>In a Muay Thai match, if a boxer is injured by an illegal attack from his opponent, will the match be immediately stopped?</t>
  </si>
  <si>
    <t>A) Yes, the match will be stopped immediately; B) No, the match will continue; C) Yes, but an evaluation will be required first; D) No, the referee will give a warning first.</t>
  </si>
  <si>
    <t>A) Yes, the competition will stop immediately.</t>
  </si>
  <si>
    <t>ในการแข่งขันมวยไทย หากนักมวยโดนคู่ต่อสู้ใช้การโจมตีที่ผิดกติกาทำให้บาดเจ็บ การแข่งขันจะหยุดทันทีหรือไม่?</t>
  </si>
  <si>
    <t>A) ใช่, การแข่งขันจะหยุดทันที; B) ไม่, การแข่งขันจะดำเนินต่อไป; C) ใช่, แต่ต้องมีการประเมินผลก่อน; D) ไม่, ผู้ตัดสินจะให้การเตือนก่อน</t>
  </si>
  <si>
    <t>A) ใช่ การแข่งขันจะหยุดทันที</t>
  </si>
  <si>
    <t xml:space="preserve"> หากเกิดบาดเจ็บจากการโจมตีที่ผิดกติกา.</t>
  </si>
  <si>
    <t>In Muay Thai, can a boxer grab his opponent's legs and then attack?</t>
  </si>
  <si>
    <t>A) Yes, as long as it doesn't cause injury; B) No; C) It depends on the referee; D) It can be done, but points will be deducted.</t>
  </si>
  <si>
    <t>ในการแข่งขันมวยไทย นักมวยสามารถใช้มือจับขาของคู่ต่อสู้แล้วโจมตีได้หรือไม่?</t>
  </si>
  <si>
    <t>A) ได้, ตราบใดที่ไม่ทำให้เกิดบาดเจ็บ; B) ไม่ได้; C) ขึ้นอยู่กับผู้ตัดสิน; D) สามารถทำได้, แต่จะถูกตัดคะแนน</t>
  </si>
  <si>
    <t xml:space="preserve"> การจับขาของคู่ต่อสู้ถือเป็นการผิดกติกา.</t>
  </si>
  <si>
    <t>In Muay Thai competitions, can boxers request a water break?</t>
  </si>
  <si>
    <t>A) Yes, as long as the referee allows it; B) No, there is no break during the match; C) Yes, but points will be deducted; D) It depends on the situation.</t>
  </si>
  <si>
    <t>ในการแข่งขันมวยไทย นักมวยสามารถขอเวลาหยุดเพื่อดื่มน้ำได้หรือไม่?</t>
  </si>
  <si>
    <t>A) ได้, ตราบใดที่ได้รับอนุญาตจากผู้ตัดสิน; B) ไม่ได้, ไม่มีการหยุดพักระหว่างการแข่งขัน; C) ได้, แต่จะถูกตัดคะแนน; D) ขึ้นอยู่กับสถานการณ์</t>
  </si>
  <si>
    <t xml:space="preserve"> ไม่มีการหยุดพักระหว่างการแข่งขัน.</t>
  </si>
  <si>
    <t>In a Muay Thai match, if a boxer stands and cannot accept further attacks, will there be a penalty?</t>
  </si>
  <si>
    <t>A) The match will be stopped immediately; B) No penalty will be given; C) Points will be deducted; D) It depends on the situation.</t>
  </si>
  <si>
    <t>A) The competition will stop immediately.</t>
  </si>
  <si>
    <t>ในการแข่งขันมวยไทย หากนักมวยยืนหยัดอยู่ไม่สามารถยอมรับการโจมตีต่อไปได้ จะมีการลงโทษหรือไม่?</t>
  </si>
  <si>
    <t>A) การแข่งขันจะหยุดทันที; B) ไม่มีการลงโทษ; C) จะถูกตัดคะแนน; D) ขึ้นอยู่กับสถานการณ์</t>
  </si>
  <si>
    <t>A) การแข่งขันจะหยุดทันที</t>
  </si>
  <si>
    <t xml:space="preserve"> หากนักมวยไม่สามารถยอมรับการโจมตีต่อไปได้ การแข่งขันจะหยุด.</t>
  </si>
  <si>
    <t>In a Muay Thai match, can a boxer attack his opponent while his opponent is raising his hands to defend?</t>
  </si>
  <si>
    <t>A) Yes, as long as it doesn't cause injury; B) No, must wait for the opponent to finish preparing; C) Depends on the situation; D) Yes, but will be deducted points.</t>
  </si>
  <si>
    <t>B) No, you have to wait for your opponent to finish preparing.</t>
  </si>
  <si>
    <t>ในการแข่งขันมวยไทย นักมวยสามารถโจมตีคู่ต่อสู้ในระหว่างที่คู่ต่อสู้ยกมือเพื่อป้องกันได้หรือไม่?</t>
  </si>
  <si>
    <t>A) ได้, ตราบใดที่ไม่ทำให้เกิดบาดเจ็บ; B) ไม่ได้, ต้องรอให้คู่ต่อสู้เตรียมตัวเสร็จ; C) ขึ้นอยู่กับสถานการณ์; D) สามารถทำได้, แต่จะถูกตัดคะแนน</t>
  </si>
  <si>
    <t>B) ไม่ได้ ต้องรอให้คู่ต่อสู้เตรียมตัวเสร็จ</t>
  </si>
  <si>
    <t xml:space="preserve"> การโจมตีในขณะที่คู่ต่อสู้ยังไม่ได้เตรียมตัวถือเป็นการผิดกติกา.</t>
  </si>
  <si>
    <t>In Muay Thai competitions, can boxers use accessories that are not approved by the referee?</t>
  </si>
  <si>
    <t>A) No, it is a foul; B) Yes, as long as it does not cause injury; C) It depends on the situation; D) Yes, but points will be deducted.</t>
  </si>
  <si>
    <t>ในการแข่งขันมวยไทย นักมวยสามารถใช้อุปกรณ์เสริมที่ไม่ได้รับอนุญาตจากผู้ตัดสินได้หรือไม่?</t>
  </si>
  <si>
    <t>A) ไม่ได้, ถือเป็นการผิดกติกา; B) ได้, ตราบใดที่ไม่ทำให้เกิดบาดเจ็บ; C) ขึ้นอยู่กับสถานการณ์; D) ได้, แต่จะถูกตัดคะแนน</t>
  </si>
  <si>
    <t xml:space="preserve"> การใช้อุปกรณ์เสริมที่ไม่ได้รับอนุญาตถือเป็นการผิดกติกา.</t>
  </si>
  <si>
    <t>In Muay Thai competitions, if a boxer is unable to respond to an attack for a certain period of time, what punishments are incurred?</t>
  </si>
  <si>
    <t>A) The match will be stopped immediately; B) No penalty will be given; C) Points will be deducted; D) A warning will be given.</t>
  </si>
  <si>
    <t>ในการแข่งขันมวยไทย หากนักมวยไม่สามารถตอบสนองต่อการโจมตีได้ในระยะเวลาหนึ่ง จะมีการลงโทษอะไรบ้าง?</t>
  </si>
  <si>
    <t>A) การแข่งขันจะหยุดทันที; B) ไม่มีการลงโทษ; C) จะถูกตัดคะแนน; D) จะได้รับการเตือน</t>
  </si>
  <si>
    <t xml:space="preserve"> หากนักมวยไม่สามารถตอบสนองต่อการโจมตีได้ การแข่งขันจะหยุด.</t>
  </si>
  <si>
    <t>In Muay Thai competitions, are unconventional foot and hand attacks punishable?</t>
  </si>
  <si>
    <t>A) will be punished immediately; B) will receive additional points; C) depends on the situation; D) will not be punished.</t>
  </si>
  <si>
    <t>ในการแข่งขันมวยไทย การโจมตีด้วยเท้าและมือในท่าที่ไม่ปกติจะได้รับการลงโทษหรือไม่?</t>
  </si>
  <si>
    <t>A) จะได้รับการลงโทษทันที; B) จะได้รับคะแนนเพิ่ม; C) ขึ้นอยู่กับสถานการณ์; D) ไม่ได้รับการลงโทษ</t>
  </si>
  <si>
    <t xml:space="preserve"> การโจมตีในท่าที่ไม่ปกติถือเป็นการผิดกติกา.</t>
  </si>
  <si>
    <t>In Muay Thai competitions, if a boxer is left standing and unable to attack, what punishments will he receive?</t>
  </si>
  <si>
    <t>A) The offender will be disqualified; B) The match will be stopped immediately; C) The offender will be warned; D) No penalty.</t>
  </si>
  <si>
    <t>ในการแข่งขันมวยไทย หากนักมวยโดนยืนหยัดโดยไม่สามารถโจมตีได้ จะมีการลงโทษอะไรบ้าง?</t>
  </si>
  <si>
    <t>A) ผู้ทำผิดจะถูกปรับแพ้; B) การแข่งขันจะหยุดทันที; C) ผู้ทำผิดจะถูกเตือน; D) ไม่มีการลงโทษ</t>
  </si>
  <si>
    <t xml:space="preserve"> การยืนหยัดไม่สามารถโจมตีได้ถือเป็นการผิดกติกา.</t>
  </si>
  <si>
    <t>In Muay Thai, is an attack on the arm considered a violation?</t>
  </si>
  <si>
    <t>ในการแข่งขันมวยไทย การโจมตีที่แขนถือเป็นการผิดกติกาหรือไม่?</t>
  </si>
  <si>
    <t xml:space="preserve"> การโจมตีที่แขนถือเป็นการผิดกติกา.</t>
  </si>
  <si>
    <t>In Muay Thai, can a boxer use an attack that grabs the opponent's legs?</t>
  </si>
  <si>
    <t>ในการแข่งขันมวยไทย นักมวยสามารถใช้การโจมตีที่โหนขาของคู่ต่อสู้ได้หรือไม่?</t>
  </si>
  <si>
    <t xml:space="preserve"> การโจมตีที่โหนขาถือเป็นการผิดกติกา.</t>
  </si>
  <si>
    <t>In Muay Thai competitions, are fighting with weapons punishable?</t>
  </si>
  <si>
    <t>ในการแข่งขันมวยไทย การสู้ด้วยอาวุธจะได้รับการลงโทษหรือไม่?</t>
  </si>
  <si>
    <t xml:space="preserve"> การใช้ของมีคมหรืออาวุธถือเป็นการผิดกติกา.</t>
  </si>
  <si>
    <t>In a Muay Thai match, if a boxer starts pulling or holding onto his opponent, does the match continue?</t>
  </si>
  <si>
    <t>A) No, there will be a stoppage of play; B) Yes, but points will be deducted; C) It depends on the referee; D) Yes, there will be no penalty.</t>
  </si>
  <si>
    <t>A) There will be no interruption of the competition.</t>
  </si>
  <si>
    <t>ในการแข่งขันมวยไทย หากนักมวยเริ่มดึงตัวหรือยึดตัวคู่ต่อสู้ไว้ การแข่งขันจะดำเนินต่อไปหรือไม่?</t>
  </si>
  <si>
    <t>A) ไม่, จะมีการหยุดการแข่งขัน; B) ใช่, แต่จะถูกตัดคะแนน; C) ขึ้นอยู่กับผู้ตัดสิน; D) ใช่, ไม่มีการลงโทษ</t>
  </si>
  <si>
    <t>A) ไม่จะมีการหยุดการแข่งขัน</t>
  </si>
  <si>
    <t xml:space="preserve"> การดึงตัวหรือยึดตัวคู่ต่อสู้ถือเป็นการผิดกติกา.</t>
  </si>
  <si>
    <t>In Muay Thai, is kicking with the foot higher than the opponent's head punishable?</t>
  </si>
  <si>
    <t>ในการแข่งขันมวยไทย การเตะด้วยเท้าที่สูงกว่าหัวของคู่ต่อสู้จะได้รับการลงโทษหรือไม่?</t>
  </si>
  <si>
    <t xml:space="preserve"> การเตะที่สูงกว่าหัวถือเป็นการผิดกติกา.</t>
  </si>
  <si>
    <t>Question-R</t>
  </si>
  <si>
    <t>A) นวม, B) สนับแข้ง, C) กางเกงมวย, D) ทุกข้อ</t>
  </si>
  <si>
    <t>มวยไทยใช้อวัยวะส่วนใดในการต่อสู้?</t>
  </si>
  <si>
    <t>ในการแข่งขันมวยไทย ห้ามชกที่ส่วนใดของร่างกาย?</t>
  </si>
  <si>
    <t>อวัยวะส่วนใดห้ามใช้ในการแข่งขันมวยไทย?</t>
  </si>
  <si>
    <t>การนับ 1 ถึง 10 ในมวยไทยจะต้องนับเมื่อไหร่?</t>
  </si>
  <si>
    <t>นักมวยไทยสามารถชกคู่ต่อสู้ในส่วนใดของร่างกาย?</t>
  </si>
  <si>
    <t>นักมวยสามารถใช้ท่าเหล่านี้ในการโจมตี.</t>
  </si>
  <si>
    <t>ห้ามใช้อุปกรณ์ใดในการแข่งขันมวยไทย?</t>
  </si>
  <si>
    <t>ในการแข่งขันมวยไทย ถ้านักมวยใช้ท่าที่ไม่ถูกต้อง จะได้รับการปฏิบัติอย่างไร?</t>
  </si>
  <si>
    <t>หากนักมวยต่อยที่ส่วนที่ถูกห้ามจะได้รับการลงโทษอย่างไร?</t>
  </si>
  <si>
    <t>การใช้หมัดในมวยไทยสามารถใช้ได้กับส่วนไหนในร่างกาย?</t>
  </si>
  <si>
    <t>การใช้เท้าเตะในมวยไทยเป็นสิ่งที่สามารถทำได้หรือไม่?</t>
  </si>
  <si>
    <t>การใช้ศอกฟาดถือเป็นการกระทำที่ผิดกติกา.</t>
  </si>
  <si>
    <t>จะถูกตัดคะแนนหรือปรับแพ้.</t>
  </si>
  <si>
    <t>เป็นการโจมตีที่อนุญาต.</t>
  </si>
  <si>
    <t>การจับคู่ต่อสู้โดยไม่ถูกต้องจะถูกตัดคะแนน.</t>
  </si>
  <si>
    <t>การโจมตีสามารถทำได้ในหลายส่วนของร่างกายที่ไม่ผิดกติกา.</t>
  </si>
  <si>
    <t>การเตะที่ขาได้รับคะแนนตามปกติ.</t>
  </si>
  <si>
    <t>การต่อยที่หน้าได้รับคะแนนสูง.</t>
  </si>
  <si>
    <t>ผู้ตัดสินสามารถตัดคะแนน เตือน หรือปรับแพ้ได้.</t>
  </si>
  <si>
    <t>การโจมตีที่ขาได้รับคะแนนตามปกติ.</t>
  </si>
  <si>
    <t>หากนักมวยไม่สามารถต่อสู้ได้เนื่องจากบาดเจ็บ ผู้ตัดสินจะปรับแพ้.</t>
  </si>
  <si>
    <t>การกระโดดเตะถือเป็นเทคนิคที่ให้คะแนนสูง.</t>
  </si>
  <si>
    <t>การตีที่ศีรษะถือเป็นการโจมตีที่มีคะแนนสูง.</t>
  </si>
  <si>
    <t>การโจมตีที่หลังถือเป็นการผิดกติกา.</t>
  </si>
  <si>
    <t>การโจมตีที่หน้าอกได้รับคะแนนตามปกติ.</t>
  </si>
  <si>
    <t>การเตือนอาจส่งผลให้ถูกตัดคะแนน.</t>
  </si>
  <si>
    <t>การใช้นิ้วเท้าในการโจมตีถือเป็นการผิดกติกา.</t>
  </si>
  <si>
    <t>การโจมตีที่บริเวณขาจะได้รับคะแนนตามปกติ.</t>
  </si>
  <si>
    <t>หากนักมวยไม่สามารถแข่งขันได้เนื่องจากบาดเจ็บจะถูกปรับแพ้.</t>
  </si>
  <si>
    <t>การเตะสูงถือเป็นการโจมตีที่ได้รับคะแนนสูง.</t>
  </si>
  <si>
    <t>การกระโดดเตะถือเป็นเทคนิคที่ได้รับคะแนนสูง.</t>
  </si>
  <si>
    <t>การใช้เข่าโจมตีถือเป็นการโจมตีที่ให้คะแนนสูง.</t>
  </si>
  <si>
    <t>การโจมตีผิดกติกาที่รุนแรงอาจทำให้ถูกปรับแพ้.</t>
  </si>
  <si>
    <t>การโจมตีเมื่อคู่ต่อสู้ใช้การป้องกันถือว่าไม่ผิดกติกา.</t>
  </si>
  <si>
    <t>การตีที่ขอบตาถือเป็นการผิดกติกา.</t>
  </si>
  <si>
    <t>การเตือนครั้งที่สองจะนำไปสู่การตัดคะแนน.</t>
  </si>
  <si>
    <t>การเตะที่ท้องได้รับคะแนนตามปกติ.</t>
  </si>
  <si>
    <t>การจับคู่ต่อสู้เพื่อโจมตีถือเป็นการผิดกติกา.</t>
  </si>
  <si>
    <t>หากนักมวยไม่สามารถแข่งขันได้จะถูกปรับแพ้.</t>
  </si>
  <si>
    <t>การเตะที่ข้อเท้าเป็นการผิดกติกา.</t>
  </si>
  <si>
    <t>การใช้เข่าหรือศอกในการโจมตีถือเป็นการโจมตีที่มีคะแนนสูง.</t>
  </si>
  <si>
    <t>หากนักมวยไม่สามารถยืนขึ้นหลังจากถูกนับ 8 จะถูกปรับแพ้.</t>
  </si>
  <si>
    <t>การโจมตีที่ไม่สามารถป้องกันได้ถือเป็นการผิดกติกา.</t>
  </si>
  <si>
    <t>ผู้ตัดสินจะหยุดการแย่งขาและให้การแข่งขันดำเนินต่อไป.</t>
  </si>
  <si>
    <t>การโจมตีที่ไหล่ได้รับคะแนนตามปกติ.</t>
  </si>
  <si>
    <t>นักมวยสามารถหยุดการแข่งขันได้ตามสถานการณ์ที่ระบุ.</t>
  </si>
  <si>
    <t>การโจมตีที่กระดูกซี่โครงสามารถทำได้หากไม่ผิดกติกา.</t>
  </si>
  <si>
    <t>การตัดคะแนนจากการทำผิดกติกาจะทำให้คะแนนรวมลดลง.</t>
  </si>
  <si>
    <t>การตีที่ข้อมือถือเป็นการผิดกติกา.</t>
  </si>
  <si>
    <t>การสวมรองเท้าในการแข่งขันมวยไทยถือเป็นการผิดกติกา.</t>
  </si>
  <si>
    <t>การโจมตีที่ขาไม่ถือเป็นการผิดกติกา.</t>
  </si>
  <si>
    <t>การเตะที่ศีรษะสามารถทำได้หากไม่ทำให้เกิดบาดเจ็บ.</t>
  </si>
  <si>
    <t>การโจมตีผิดกติกาที่ทำให้เกิดบาดเจ็บจะทำให้ผู้ทำผิดถูกปรับแพ้.</t>
  </si>
  <si>
    <t>การใช้ศอกโจมตีในมวยไทยไม่จำกัดจำนวน.</t>
  </si>
  <si>
    <t>การเตะที่หัวเข่าไม่ถือเป็นการผิดกติกาในมวยไทย.</t>
  </si>
  <si>
    <t>การหมุนตัวเพื่อโจมตีเป็นวิธีการที่สามารถทำได้.</t>
  </si>
  <si>
    <t>การยึดตัวจะทำให้ฝ่ายที่ทำได้คะแนน.</t>
  </si>
  <si>
    <t>การใช้การเตะที่ข้อมือถือเป็นการผิดกติกา.</t>
  </si>
  <si>
    <t>การโจมตีที่หลังศีรษะถือเป็นการผิดกติกา.</t>
  </si>
  <si>
    <t>การบังคับให้คู่ต่อสู้ตกจากเวทีถือเป็นการผิดกติกา.</t>
  </si>
  <si>
    <t>การโจมตีหลังจากการสั่งหยุดจะนำไปสู่การตัดคะแนน.</t>
  </si>
  <si>
    <t>การโจมตีที่คอถือเป็นการผิดกติกา.</t>
  </si>
  <si>
    <t>ศอกสามารถใช้โจมตีได้ทุกส่วนที่ไม่ผิดกติกา.</t>
  </si>
  <si>
    <t>การเตะด้านในหรือด้านนอกขาถือเป็นการโจมตีที่ยอมรับได้.</t>
  </si>
  <si>
    <t>การโจมตีที่ทำให้เกิดบาดเจ็บจะทำให้ผู้ทำผิดถูกปรับแพ้.</t>
  </si>
  <si>
    <t>การหยุดพักระหว่างการต่อสู้ไม่ได้รับอนุญาต.</t>
  </si>
  <si>
    <t>การเตะที่ส่วนล่างของร่างกายถือเป็นการผิดกติกา.</t>
  </si>
  <si>
    <t>อุปกรณ์ป้องกันสามารถสวมได้ตามกฎ.</t>
  </si>
  <si>
    <t>การโจมตีที่หน้าผากไม่ถือเป็นการผิดกติกา.</t>
  </si>
  <si>
    <t>การเตะที่ต้นขาสามารถทำได้หากไม่ทำให้เกิดบาดเจ็บ.</t>
  </si>
  <si>
    <t>การใช้เทคนิคที่ไม่ได้อยู่ในกฎถือเป็นการผิดกติกา.</t>
  </si>
  <si>
    <t>การเตะที่หลังสามารถทำได้หากไม่ทำให้เกิดอันตราย.</t>
  </si>
  <si>
    <t>การทำร้ายคู่ต่อสู้ในขณะที่กำลังล้มถือเป็นการผิดกติกา.</t>
  </si>
  <si>
    <t>การโจมตีในท่าที่ไม่ปกติจะถือว่าเป็นการผิดกติกา.</t>
  </si>
  <si>
    <t>การใช้เทคนิคการล้มตัว (suplex) ถือเป็นการผิดกติกา.</t>
  </si>
  <si>
    <t>การทุบหัวถือเป็นการผิดกติกา.</t>
  </si>
  <si>
    <t>การจิ้มตาถือเป็นการโจมตีที่ไม่เหมาะสม.</t>
  </si>
  <si>
    <t>หากเกิดบาดเจ็บจากการโจมตีที่ผิดกติกา.</t>
  </si>
  <si>
    <t>การจับขาของคู่ต่อสู้ถือเป็นการผิดกติกา.</t>
  </si>
  <si>
    <t>ไม่มีการหยุดพักระหว่างการแข่งขัน.</t>
  </si>
  <si>
    <t>หากนักมวยไม่สามารถยอมรับการโจมตีต่อไปได้ การแข่งขันจะหยุด.</t>
  </si>
  <si>
    <t>การโจมตีในขณะที่คู่ต่อสู้ยังไม่ได้เตรียมตัวถือเป็นการผิดกติกา.</t>
  </si>
  <si>
    <t>การใช้อุปกรณ์เสริมที่ไม่ได้รับอนุญาตถือเป็นการผิดกติกา.</t>
  </si>
  <si>
    <t>หากนักมวยไม่สามารถตอบสนองต่อการโจมตีได้ การแข่งขันจะหยุด.</t>
  </si>
  <si>
    <t>การโจมตีในท่าที่ไม่ปกติถือเป็นการผิดกติกา.</t>
  </si>
  <si>
    <t>การยืนหยัดไม่สามารถโจมตีได้ถือเป็นการผิดกติกา.</t>
  </si>
  <si>
    <t>การโจมตีที่แขนถือเป็นการผิดกติกา.</t>
  </si>
  <si>
    <t>การโจมตีที่โหนขาถือเป็นการผิดกติกา.</t>
  </si>
  <si>
    <t>การใช้ของมีคมหรืออาวุธถือเป็นการผิดกติกา.</t>
  </si>
  <si>
    <t>การดึงตัวหรือยึดตัวคู่ต่อสู้ถือเป็นการผิดกติกา.</t>
  </si>
  <si>
    <t>การเตะที่สูงกว่าหัวถือเป็นการผิดกติกา.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</si>
</sst>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4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horizontal="right" readingOrder="0" shrinkToFit="0" vertical="bottom" wrapText="0"/>
    </xf>
    <xf borderId="0" fillId="3" fontId="3" numFmtId="0" xfId="0" applyAlignment="1" applyFont="1">
      <alignment readingOrder="0" shrinkToFit="0" vertical="bottom" wrapText="0"/>
    </xf>
    <xf borderId="0" fillId="3" fontId="3" numFmtId="0" xfId="0" applyAlignment="1" applyFont="1">
      <alignment shrinkToFit="0" vertical="bottom" wrapText="0"/>
    </xf>
    <xf borderId="0" fillId="4" fontId="3" numFmtId="0" xfId="0" applyAlignment="1" applyFill="1" applyFont="1">
      <alignment horizontal="right" readingOrder="0" shrinkToFit="0" vertical="bottom" wrapText="0"/>
    </xf>
    <xf borderId="0" fillId="4" fontId="3" numFmtId="0" xfId="0" applyAlignment="1" applyFont="1">
      <alignment readingOrder="0" shrinkToFit="0" vertical="bottom" wrapText="0"/>
    </xf>
    <xf borderId="0" fillId="4" fontId="3" numFmtId="0" xfId="0" applyAlignment="1" applyFont="1">
      <alignment shrinkToFit="0" vertical="bottom" wrapText="0"/>
    </xf>
    <xf borderId="0" fillId="4" fontId="3" numFmtId="0" xfId="0" applyAlignment="1" applyFont="1">
      <alignment horizontal="left" readingOrder="0" shrinkToFit="0" vertical="bottom" wrapText="0"/>
    </xf>
    <xf borderId="0" fillId="3" fontId="3" numFmtId="0" xfId="0" applyAlignment="1" applyFont="1">
      <alignment horizontal="left" readingOrder="0" shrinkToFit="0" vertical="bottom" wrapText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9">
    <tableStyle count="4" pivot="0" name="Kaeng Ru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Kaeng Ru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on w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on wu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on len wow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on len wow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sepak takraw-style">
      <tableStyleElement dxfId="5" type="headerRow"/>
      <tableStyleElement dxfId="6" type="firstRowStripe"/>
      <tableStyleElement dxfId="7" type="secondRowStripe"/>
    </tableStyle>
    <tableStyle count="4" pivot="0" name="Thai Box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ai Boxing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01" displayName="Table4" name="Table4" id="1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Kaeng Ruer-style" showColumnStripes="0" showFirstColumn="1" showLastColumn="1" showRowStripes="1"/>
</table>
</file>

<file path=xl/tables/table2.xml><?xml version="1.0" encoding="utf-8"?>
<table xmlns="http://schemas.openxmlformats.org/spreadsheetml/2006/main" ref="G1:K201" displayName="Table3" name="Table3" id="2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Kaeng Ruer-style 2" showColumnStripes="0" showFirstColumn="1" showLastColumn="1" showRowStripes="1"/>
</table>
</file>

<file path=xl/tables/table3.xml><?xml version="1.0" encoding="utf-8"?>
<table xmlns="http://schemas.openxmlformats.org/spreadsheetml/2006/main" ref="A1:E201" displayName="Table6" name="Table6" id="3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chon wua-style" showColumnStripes="0" showFirstColumn="1" showLastColumn="1" showRowStripes="1"/>
</table>
</file>

<file path=xl/tables/table4.xml><?xml version="1.0" encoding="utf-8"?>
<table xmlns="http://schemas.openxmlformats.org/spreadsheetml/2006/main" ref="G1:K201" displayName="Table5" name="Table5" id="4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chon wua-style 2" showColumnStripes="0" showFirstColumn="1" showLastColumn="1" showRowStripes="1"/>
</table>
</file>

<file path=xl/tables/table5.xml><?xml version="1.0" encoding="utf-8"?>
<table xmlns="http://schemas.openxmlformats.org/spreadsheetml/2006/main" ref="A1:E201" displayName="Table2" name="Table2" id="5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chon len wow-style" showColumnStripes="0" showFirstColumn="1" showLastColumn="1" showRowStripes="1"/>
</table>
</file>

<file path=xl/tables/table6.xml><?xml version="1.0" encoding="utf-8"?>
<table xmlns="http://schemas.openxmlformats.org/spreadsheetml/2006/main" ref="G1:K201" displayName="Table1" name="Table1" id="6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chon len wow-style 2" showColumnStripes="0" showFirstColumn="1" showLastColumn="1" showRowStripes="1"/>
</table>
</file>

<file path=xl/tables/table7.xml><?xml version="1.0" encoding="utf-8"?>
<table xmlns="http://schemas.openxmlformats.org/spreadsheetml/2006/main" ref="A1:E201" displayName="Table_1" name="Table_1" id="7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sepak takraw-style" showColumnStripes="0" showFirstColumn="1" showLastColumn="1" showRowStripes="1"/>
</table>
</file>

<file path=xl/tables/table8.xml><?xml version="1.0" encoding="utf-8"?>
<table xmlns="http://schemas.openxmlformats.org/spreadsheetml/2006/main" ref="A1:E201" displayName="Table7" name="Table7" id="8">
  <tableColumns count="5">
    <tableColumn name="Question No." id="1"/>
    <tableColumn name="Question" id="2"/>
    <tableColumn name="Options" id="3"/>
    <tableColumn name="Answer" id="4"/>
    <tableColumn name="Description" id="5"/>
  </tableColumns>
  <tableStyleInfo name="Thai Boxing-style" showColumnStripes="0" showFirstColumn="1" showLastColumn="1" showRowStripes="1"/>
</table>
</file>

<file path=xl/tables/table9.xml><?xml version="1.0" encoding="utf-8"?>
<table xmlns="http://schemas.openxmlformats.org/spreadsheetml/2006/main" ref="G1:K201" displayName="Table8" name="Table8" id="9">
  <tableColumns count="5">
    <tableColumn name="Question No." id="1"/>
    <tableColumn name="คำถาม" id="2"/>
    <tableColumn name="ตัวเลือก" id="3"/>
    <tableColumn name="คำตอบ" id="4"/>
    <tableColumn name="คำอธิบาย" id="5"/>
  </tableColumns>
  <tableStyleInfo name="Thai Boxing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8.xml"/><Relationship Id="rId5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80.71"/>
    <col customWidth="1" min="3" max="3" width="80.86"/>
    <col customWidth="1" min="4" max="4" width="43.14"/>
    <col customWidth="1" min="5" max="5" width="59.0"/>
    <col customWidth="1" min="6" max="6" width="8.71"/>
    <col customWidth="1" min="7" max="7" width="18.0"/>
    <col customWidth="1" min="8" max="8" width="26.57"/>
    <col customWidth="1" min="9" max="9" width="30.86"/>
    <col customWidth="1" min="10" max="10" width="18.43"/>
    <col customWidth="1" min="11" max="11" width="33.57"/>
    <col customWidth="1" min="12" max="14" width="43.0"/>
    <col customWidth="1" min="15" max="15" width="41.43"/>
    <col customWidth="1" min="16" max="16" width="43.0"/>
    <col customWidth="1" min="17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4">
        <v>1.0</v>
      </c>
      <c r="B2" s="5" t="str">
        <f>IFERROR(__xludf.DUMMYFUNCTION("GOOGLETRANSLATE(H2, ""th"", ""en"")"),"Before starting a boat race, what should you check in your boat?")</f>
        <v>Before starting a boat race, what should you check in your boat?</v>
      </c>
      <c r="C2" s="5" t="str">
        <f>IFERROR(__xludf.DUMMYFUNCTION("GOOGLETRANSLATE(I2, ""th"", ""en"")"),"A) the balance of the boat; B) the length of the oars; C) the color of the boat; D) the number of spectators.")</f>
        <v>A) the balance of the boat; B) the length of the oars; C) the color of the boat; D) the number of spectators.</v>
      </c>
      <c r="D2" s="5" t="str">
        <f>IFERROR(__xludf.DUMMYFUNCTION("GOOGLETRANSLATE(J2, ""th"", ""en"")"),"A) Ship balance")</f>
        <v>A) Ship balance</v>
      </c>
      <c r="E2" s="5" t="str">
        <f>IFERROR(__xludf.DUMMYFUNCTION("GOOGLETRANSLATE(K2, ""th"", ""en"")"),"Checking the balance helps prevent accidents during the race.")</f>
        <v>Checking the balance helps prevent accidents during the race.</v>
      </c>
      <c r="G2" s="6">
        <v>1.0</v>
      </c>
      <c r="H2" s="7" t="s">
        <v>10</v>
      </c>
      <c r="I2" s="7" t="s">
        <v>11</v>
      </c>
      <c r="J2" s="7" t="s">
        <v>12</v>
      </c>
      <c r="K2" s="7" t="s">
        <v>13</v>
      </c>
    </row>
    <row r="3" ht="14.25" customHeight="1">
      <c r="A3" s="4">
        <v>2.0</v>
      </c>
      <c r="B3" s="5" t="str">
        <f>IFERROR(__xludf.DUMMYFUNCTION("GOOGLETRANSLATE(H3, ""th"", ""en"")"),"You notice that your teammate forgot to paddle during preparation. What do you do?")</f>
        <v>You notice that your teammate forgot to paddle during preparation. What do you do?</v>
      </c>
      <c r="C3" s="5" t="str">
        <f>IFERROR(__xludf.DUMMYFUNCTION("GOOGLETRANSLATE(I3, ""th"", ""en"")"),"A) Tell him to take the paddle immediately; B) Start the race without him; C) Notify the coach; D) Share the paddle.")</f>
        <v>A) Tell him to take the paddle immediately; B) Start the race without him; C) Notify the coach; D) Share the paddle.</v>
      </c>
      <c r="D3" s="5" t="str">
        <f>IFERROR(__xludf.DUMMYFUNCTION("GOOGLETRANSLATE(J3, ""th"", ""en"")"),"A) Tell him to take the pie immediately.")</f>
        <v>A) Tell him to take the pie immediately.</v>
      </c>
      <c r="E3" s="5" t="str">
        <f>IFERROR(__xludf.DUMMYFUNCTION("GOOGLETRANSLATE(K3, ""th"", ""en"")"),"Everyone must have their own paddle according to the rules of the competition.")</f>
        <v>Everyone must have their own paddle according to the rules of the competition.</v>
      </c>
      <c r="G3" s="6">
        <v>2.0</v>
      </c>
      <c r="H3" s="7" t="s">
        <v>14</v>
      </c>
      <c r="I3" s="7" t="s">
        <v>15</v>
      </c>
      <c r="J3" s="7" t="s">
        <v>16</v>
      </c>
      <c r="K3" s="7" t="s">
        <v>17</v>
      </c>
    </row>
    <row r="4" ht="14.25" customHeight="1">
      <c r="A4" s="4">
        <v>3.0</v>
      </c>
      <c r="B4" s="5" t="str">
        <f>IFERROR(__xludf.DUMMYFUNCTION("GOOGLETRANSLATE(H4, ""th"", ""en"")"),"The race started without any signal, what do you do?")</f>
        <v>The race started without any signal, what do you do?</v>
      </c>
      <c r="C4" s="5" t="str">
        <f>IFERROR(__xludf.DUMMYFUNCTION("GOOGLETRANSLATE(I4, ""th"", ""en"")"),"A) Notify the referee; B) Continue the match; C) Stop immediately; D) Complain after the match.")</f>
        <v>A) Notify the referee; B) Continue the match; C) Stop immediately; D) Complain after the match.</v>
      </c>
      <c r="D4" s="5" t="str">
        <f>IFERROR(__xludf.DUMMYFUNCTION("GOOGLETRANSLATE(J4, ""th"", ""en"")"),"A) Inform the committee.")</f>
        <v>A) Inform the committee.</v>
      </c>
      <c r="E4" s="5" t="str">
        <f>IFERROR(__xludf.DUMMYFUNCTION("GOOGLETRANSLATE(K4, ""th"", ""en"")"),"The initial signal is an important part of the rules.")</f>
        <v>The initial signal is an important part of the rules.</v>
      </c>
      <c r="G4" s="6">
        <v>3.0</v>
      </c>
      <c r="H4" s="7" t="s">
        <v>18</v>
      </c>
      <c r="I4" s="7" t="s">
        <v>19</v>
      </c>
      <c r="J4" s="7" t="s">
        <v>20</v>
      </c>
      <c r="K4" s="7" t="s">
        <v>21</v>
      </c>
    </row>
    <row r="5" ht="14.25" customHeight="1">
      <c r="A5" s="4">
        <v>4.0</v>
      </c>
      <c r="B5" s="5" t="str">
        <f>IFERROR(__xludf.DUMMYFUNCTION("GOOGLETRANSLATE(H5, ""th"", ""en"")"),"During a match, you see another team going off course, what do you do?")</f>
        <v>During a match, you see another team going off course, what do you do?</v>
      </c>
      <c r="C5" s="5" t="str">
        <f>IFERROR(__xludf.DUMMYFUNCTION("GOOGLETRANSLATE(I5, ""th"", ""en"")"),"A) Continue racing; B) Notify the referee; C) Change your course; D) Stop the boat.")</f>
        <v>A) Continue racing; B) Notify the referee; C) Change your course; D) Stop the boat.</v>
      </c>
      <c r="D5" s="5" t="str">
        <f>IFERROR(__xludf.DUMMYFUNCTION("GOOGLETRANSLATE(J5, ""th"", ""en"")"),"B) Inform the committee.")</f>
        <v>B) Inform the committee.</v>
      </c>
      <c r="E5" s="5" t="str">
        <f>IFERROR(__xludf.DUMMYFUNCTION("GOOGLETRANSLATE(K5, ""th"", ""en"")"),"Reporting wrongdoing helps maintain justice.")</f>
        <v>Reporting wrongdoing helps maintain justice.</v>
      </c>
      <c r="G5" s="6">
        <v>4.0</v>
      </c>
      <c r="H5" s="7" t="s">
        <v>22</v>
      </c>
      <c r="I5" s="7" t="s">
        <v>23</v>
      </c>
      <c r="J5" s="7" t="s">
        <v>24</v>
      </c>
      <c r="K5" s="7" t="s">
        <v>25</v>
      </c>
    </row>
    <row r="6" ht="14.25" customHeight="1">
      <c r="A6" s="4">
        <v>5.0</v>
      </c>
      <c r="B6" s="5" t="str">
        <f>IFERROR(__xludf.DUMMYFUNCTION("GOOGLETRANSLATE(H6, ""th"", ""en"")"),"You notice water entering your boat during a race, what should you do?")</f>
        <v>You notice water entering your boat during a race, what should you do?</v>
      </c>
      <c r="C6" s="5" t="str">
        <f>IFERROR(__xludf.DUMMYFUNCTION("GOOGLETRANSLATE(I6, ""th"", ""en"")"),"A) Use a water scoop; B) Notify the coach; C) Stop the race; D) Continue the race without doing anything.")</f>
        <v>A) Use a water scoop; B) Notify the coach; C) Stop the race; D) Continue the race without doing anything.</v>
      </c>
      <c r="D6" s="5" t="str">
        <f>IFERROR(__xludf.DUMMYFUNCTION("GOOGLETRANSLATE(J6, ""th"", ""en"")"),"A) Use a tool to scoop out water.")</f>
        <v>A) Use a tool to scoop out water.</v>
      </c>
      <c r="E6" s="5" t="str">
        <f>IFERROR(__xludf.DUMMYFUNCTION("GOOGLETRANSLATE(K6, ""th"", ""en"")"),"Scooping out the water prevents the boat from sinking and allows the race to continue.")</f>
        <v>Scooping out the water prevents the boat from sinking and allows the race to continue.</v>
      </c>
      <c r="G6" s="6">
        <v>5.0</v>
      </c>
      <c r="H6" s="7" t="s">
        <v>26</v>
      </c>
      <c r="I6" s="7" t="s">
        <v>27</v>
      </c>
      <c r="J6" s="7" t="s">
        <v>28</v>
      </c>
      <c r="K6" s="7" t="s">
        <v>29</v>
      </c>
    </row>
    <row r="7" ht="14.25" customHeight="1">
      <c r="A7" s="4">
        <v>6.0</v>
      </c>
      <c r="B7" s="5" t="str">
        <f>IFERROR(__xludf.DUMMYFUNCTION("GOOGLETRANSLATE(H7, ""th"", ""en"")"),"Your teammate starts paddling off-beat, what do you do?")</f>
        <v>Your teammate starts paddling off-beat, what do you do?</v>
      </c>
      <c r="C7" s="5" t="str">
        <f>IFERROR(__xludf.DUMMYFUNCTION("GOOGLETRANSLATE(I7, ""th"", ""en"")"),"A) told to row in time; B) ignored; C) loudly reprimanded; D) stopped the race.")</f>
        <v>A) told to row in time; B) ignored; C) loudly reprimanded; D) stopped the race.</v>
      </c>
      <c r="D7" s="5" t="str">
        <f>IFERROR(__xludf.DUMMYFUNCTION("GOOGLETRANSLATE(J7, ""th"", ""en"")"),"A) Tell them to paddle in time.")</f>
        <v>A) Tell them to paddle in time.</v>
      </c>
      <c r="E7" s="5" t="str">
        <f>IFERROR(__xludf.DUMMYFUNCTION("GOOGLETRANSLATE(K7, ""th"", ""en"")"),"Maintaining a steady pace is a fundamental rule for team success.")</f>
        <v>Maintaining a steady pace is a fundamental rule for team success.</v>
      </c>
      <c r="G7" s="6">
        <v>6.0</v>
      </c>
      <c r="H7" s="7" t="s">
        <v>30</v>
      </c>
      <c r="I7" s="7" t="s">
        <v>31</v>
      </c>
      <c r="J7" s="7" t="s">
        <v>32</v>
      </c>
      <c r="K7" s="7" t="s">
        <v>33</v>
      </c>
    </row>
    <row r="8" ht="14.25" customHeight="1">
      <c r="A8" s="4">
        <v>7.0</v>
      </c>
      <c r="B8" s="5" t="str">
        <f>IFERROR(__xludf.DUMMYFUNCTION("GOOGLETRANSLATE(H8, ""th"", ""en"")"),"Your ship hits your opponent's ship, what should you do?")</f>
        <v>Your ship hits your opponent's ship, what should you do?</v>
      </c>
      <c r="C8" s="5" t="str">
        <f>IFERROR(__xludf.DUMMYFUNCTION("GOOGLETRANSLATE(I8, ""th"", ""en"")"),"A) inform the referee; B) continue the race; C) row further; D) stop the boat.")</f>
        <v>A) inform the referee; B) continue the race; C) row further; D) stop the boat.</v>
      </c>
      <c r="D8" s="5" t="str">
        <f>IFERROR(__xludf.DUMMYFUNCTION("GOOGLETRANSLATE(J8, ""th"", ""en"")"),"A) Inform the committee.")</f>
        <v>A) Inform the committee.</v>
      </c>
      <c r="E8" s="5" t="str">
        <f>IFERROR(__xludf.DUMMYFUNCTION("GOOGLETRANSLATE(K8, ""th"", ""en"")"),"Touching an opponent's boat may be against the rules and must be reported.")</f>
        <v>Touching an opponent's boat may be against the rules and must be reported.</v>
      </c>
      <c r="G8" s="6">
        <v>7.0</v>
      </c>
      <c r="H8" s="7" t="s">
        <v>34</v>
      </c>
      <c r="I8" s="7" t="s">
        <v>35</v>
      </c>
      <c r="J8" s="7" t="s">
        <v>20</v>
      </c>
      <c r="K8" s="7" t="s">
        <v>36</v>
      </c>
    </row>
    <row r="9" ht="14.25" customHeight="1">
      <c r="A9" s="4">
        <v>8.0</v>
      </c>
      <c r="B9" s="5" t="str">
        <f>IFERROR(__xludf.DUMMYFUNCTION("GOOGLETRANSLATE(H9, ""th"", ""en"")"),"You notice that a teammate is not wearing protective equipment. What should you do?")</f>
        <v>You notice that a teammate is not wearing protective equipment. What should you do?</v>
      </c>
      <c r="C9" s="5" t="str">
        <f>IFERROR(__xludf.DUMMYFUNCTION("GOOGLETRANSLATE(I9, ""th"", ""en"")"),"A) Tell him to put it on immediately; B) Do nothing; C) Ask the referee to check; D) Continue the race.")</f>
        <v>A) Tell him to put it on immediately; B) Do nothing; C) Ask the referee to check; D) Continue the race.</v>
      </c>
      <c r="D9" s="5" t="str">
        <f>IFERROR(__xludf.DUMMYFUNCTION("GOOGLETRANSLATE(J9, ""th"", ""en"")"),"A) Tell him to put it on immediately.")</f>
        <v>A) Tell him to put it on immediately.</v>
      </c>
      <c r="E9" s="5" t="str">
        <f>IFERROR(__xludf.DUMMYFUNCTION("GOOGLETRANSLATE(K9, ""th"", ""en"")"),"Wearing protective equipment is mandatory for safety.")</f>
        <v>Wearing protective equipment is mandatory for safety.</v>
      </c>
      <c r="G9" s="6">
        <v>8.0</v>
      </c>
      <c r="H9" s="7" t="s">
        <v>37</v>
      </c>
      <c r="I9" s="7" t="s">
        <v>38</v>
      </c>
      <c r="J9" s="7" t="s">
        <v>39</v>
      </c>
      <c r="K9" s="7" t="s">
        <v>40</v>
      </c>
    </row>
    <row r="10" ht="14.25" customHeight="1">
      <c r="A10" s="4">
        <v>9.0</v>
      </c>
      <c r="B10" s="5" t="str">
        <f>IFERROR(__xludf.DUMMYFUNCTION("GOOGLETRANSLATE(H10, ""th"", ""en"")"),"During the race, a strong wind causes the boat to lose direction. What will you do?")</f>
        <v>During the race, a strong wind causes the boat to lose direction. What will you do?</v>
      </c>
      <c r="C10" s="5" t="str">
        <f>IFERROR(__xludf.DUMMYFUNCTION("GOOGLETRANSLATE(I10, ""th"", ""en"")"),"A) Correct the course of the boat immediately; B) Stop the race; C) Inform the referee; D) Wait for the wind to die down.")</f>
        <v>A) Correct the course of the boat immediately; B) Stop the race; C) Inform the referee; D) Wait for the wind to die down.</v>
      </c>
      <c r="D10" s="5" t="str">
        <f>IFERROR(__xludf.DUMMYFUNCTION("GOOGLETRANSLATE(J10, ""th"", ""en"")"),"A) Immediately adjust the ship's direction.")</f>
        <v>A) Immediately adjust the ship's direction.</v>
      </c>
      <c r="E10" s="5" t="str">
        <f>IFERROR(__xludf.DUMMYFUNCTION("GOOGLETRANSLATE(K10, ""th"", ""en"")"),"Maintaining the ship's direction is important for safety and timekeeping.")</f>
        <v>Maintaining the ship's direction is important for safety and timekeeping.</v>
      </c>
      <c r="G10" s="6">
        <v>9.0</v>
      </c>
      <c r="H10" s="7" t="s">
        <v>41</v>
      </c>
      <c r="I10" s="7" t="s">
        <v>42</v>
      </c>
      <c r="J10" s="7" t="s">
        <v>43</v>
      </c>
      <c r="K10" s="7" t="s">
        <v>44</v>
      </c>
    </row>
    <row r="11" ht="14.25" customHeight="1">
      <c r="A11" s="4">
        <v>10.0</v>
      </c>
      <c r="B11" s="5" t="str">
        <f>IFERROR(__xludf.DUMMYFUNCTION("GOOGLETRANSLATE(H11, ""th"", ""en"")"),"The referee signals a stop, what do you do?")</f>
        <v>The referee signals a stop, what do you do?</v>
      </c>
      <c r="C11" s="5" t="str">
        <f>IFERROR(__xludf.DUMMYFUNCTION("GOOGLETRANSLATE(I11, ""th"", ""en"")"),"A) Stop paddling immediately; B) Continue racing; C) Notify the coach; D) Complain after the race.")</f>
        <v>A) Stop paddling immediately; B) Continue racing; C) Notify the coach; D) Complain after the race.</v>
      </c>
      <c r="D11" s="5" t="str">
        <f>IFERROR(__xludf.DUMMYFUNCTION("GOOGLETRANSLATE(J11, ""th"", ""en"")"),"A) Stop paddling immediately.")</f>
        <v>A) Stop paddling immediately.</v>
      </c>
      <c r="E11" s="5" t="str">
        <f>IFERROR(__xludf.DUMMYFUNCTION("GOOGLETRANSLATE(K11, ""th"", ""en"")"),"Following the referee's signals is a basic rule.")</f>
        <v>Following the referee's signals is a basic rule.</v>
      </c>
      <c r="G11" s="6">
        <v>10.0</v>
      </c>
      <c r="H11" s="7" t="s">
        <v>45</v>
      </c>
      <c r="I11" s="7" t="s">
        <v>46</v>
      </c>
      <c r="J11" s="7" t="s">
        <v>47</v>
      </c>
      <c r="K11" s="7" t="s">
        <v>48</v>
      </c>
    </row>
    <row r="12" ht="14.25" customHeight="1">
      <c r="A12" s="4">
        <v>11.0</v>
      </c>
      <c r="B12" s="5" t="str">
        <f>IFERROR(__xludf.DUMMYFUNCTION("GOOGLETRANSLATE(H12, ""th"", ""en"")"),"You find that your paddle is having problems during the race, what should you do?")</f>
        <v>You find that your paddle is having problems during the race, what should you do?</v>
      </c>
      <c r="C12" s="5" t="str">
        <f>IFERROR(__xludf.DUMMYFUNCTION("GOOGLETRANSLATE(I12, ""th"", ""en"")"),"A) Use a spare paddle; B) Notify the coach; C) Continue the race without using a paddle; D) Stop the race.")</f>
        <v>A) Use a spare paddle; B) Notify the coach; C) Continue the race without using a paddle; D) Stop the race.</v>
      </c>
      <c r="D12" s="5" t="str">
        <f>IFERROR(__xludf.DUMMYFUNCTION("GOOGLETRANSLATE(J12, ""th"", ""en"")"),"A) Use a spare paddle.")</f>
        <v>A) Use a spare paddle.</v>
      </c>
      <c r="E12" s="5" t="str">
        <f>IFERROR(__xludf.DUMMYFUNCTION("GOOGLETRANSLATE(K12, ""th"", ""en"")"),"The use of a spare paddle is part of the rules to allow the race to continue.")</f>
        <v>The use of a spare paddle is part of the rules to allow the race to continue.</v>
      </c>
      <c r="G12" s="6">
        <v>11.0</v>
      </c>
      <c r="H12" s="7" t="s">
        <v>49</v>
      </c>
      <c r="I12" s="7" t="s">
        <v>50</v>
      </c>
      <c r="J12" s="7" t="s">
        <v>51</v>
      </c>
      <c r="K12" s="7" t="s">
        <v>52</v>
      </c>
    </row>
    <row r="13" ht="14.25" customHeight="1">
      <c r="A13" s="4">
        <v>12.0</v>
      </c>
      <c r="B13" s="5" t="str">
        <f>IFERROR(__xludf.DUMMYFUNCTION("GOOGLETRANSLATE(H13, ""th"", ""en"")"),"During practice, you notice that the boat is unbalanced. What should you do?")</f>
        <v>During practice, you notice that the boat is unbalanced. What should you do?</v>
      </c>
      <c r="C13" s="5" t="str">
        <f>IFERROR(__xludf.DUMMYFUNCTION("GOOGLETRANSLATE(I13, ""th"", ""en"")"),"A) Inform the team to adjust the position; B) Continue the game; C) Inform the coach; D) Ignore.")</f>
        <v>A) Inform the team to adjust the position; B) Continue the game; C) Inform the coach; D) Ignore.</v>
      </c>
      <c r="D13" s="5" t="str">
        <f>IFERROR(__xludf.DUMMYFUNCTION("GOOGLETRANSLATE(J13, ""th"", ""en"")"),"A) Inform the team to adjust the position.")</f>
        <v>A) Inform the team to adjust the position.</v>
      </c>
      <c r="E13" s="5" t="str">
        <f>IFERROR(__xludf.DUMMYFUNCTION("GOOGLETRANSLATE(K13, ""th"", ""en"")"),"Balancing helps prevent problems during real racing.")</f>
        <v>Balancing helps prevent problems during real racing.</v>
      </c>
      <c r="G13" s="6">
        <v>12.0</v>
      </c>
      <c r="H13" s="7" t="s">
        <v>53</v>
      </c>
      <c r="I13" s="7" t="s">
        <v>54</v>
      </c>
      <c r="J13" s="7" t="s">
        <v>55</v>
      </c>
      <c r="K13" s="7" t="s">
        <v>56</v>
      </c>
    </row>
    <row r="14" ht="14.25" customHeight="1">
      <c r="A14" s="4">
        <v>13.0</v>
      </c>
      <c r="B14" s="5" t="str">
        <f>IFERROR(__xludf.DUMMYFUNCTION("GOOGLETRANSLATE(H14, ""th"", ""en"")"),"During the competition, what should you avoid doing?")</f>
        <v>During the competition, what should you avoid doing?</v>
      </c>
      <c r="C14" s="5" t="str">
        <f>IFERROR(__xludf.DUMMYFUNCTION("GOOGLETRANSLATE(I14, ""th"", ""en"")"),"A) Push your opponent's boat; B) Maintain direction; C) Use the paddle properly; D) Sing a cheer song.")</f>
        <v>A) Push your opponent's boat; B) Maintain direction; C) Use the paddle properly; D) Sing a cheer song.</v>
      </c>
      <c r="D14" s="5" t="str">
        <f>IFERROR(__xludf.DUMMYFUNCTION("GOOGLETRANSLATE(J14, ""th"", ""en"")"),"A) Pushing out the competitor's boat")</f>
        <v>A) Pushing out the competitor's boat</v>
      </c>
      <c r="E14" s="5" t="str">
        <f>IFERROR(__xludf.DUMMYFUNCTION("GOOGLETRANSLATE(K14, ""th"", ""en"")"),"Pushing your opponent's boat is a violation of the rules.")</f>
        <v>Pushing your opponent's boat is a violation of the rules.</v>
      </c>
      <c r="G14" s="6">
        <v>13.0</v>
      </c>
      <c r="H14" s="7" t="s">
        <v>57</v>
      </c>
      <c r="I14" s="7" t="s">
        <v>58</v>
      </c>
      <c r="J14" s="7" t="s">
        <v>59</v>
      </c>
      <c r="K14" s="7" t="s">
        <v>60</v>
      </c>
    </row>
    <row r="15" ht="14.25" customHeight="1">
      <c r="A15" s="4">
        <v>14.0</v>
      </c>
      <c r="B15" s="5" t="str">
        <f>IFERROR(__xludf.DUMMYFUNCTION("GOOGLETRANSLATE(H15, ""th"", ""en"")"),"When the opposing team starts using loud, provocative noises, what should you do?")</f>
        <v>When the opposing team starts using loud, provocative noises, what should you do?</v>
      </c>
      <c r="C15" s="5" t="str">
        <f>IFERROR(__xludf.DUMMYFUNCTION("GOOGLETRANSLATE(I15, ""th"", ""en"")"),"A) Ignore and maintain concentration; B) Respond immediately; C) Inform the referee; D) Stop the match.")</f>
        <v>A) Ignore and maintain concentration; B) Respond immediately; C) Inform the referee; D) Stop the match.</v>
      </c>
      <c r="D15" s="5" t="str">
        <f>IFERROR(__xludf.DUMMYFUNCTION("GOOGLETRANSLATE(J15, ""th"", ""en"")"),"A) Ignore and maintain concentration.")</f>
        <v>A) Ignore and maintain concentration.</v>
      </c>
      <c r="E15" s="5" t="str">
        <f>IFERROR(__xludf.DUMMYFUNCTION("GOOGLETRANSLATE(K15, ""th"", ""en"")"),"Ignoring helps prevent distractions and maintains the rules.")</f>
        <v>Ignoring helps prevent distractions and maintains the rules.</v>
      </c>
      <c r="G15" s="6">
        <v>14.0</v>
      </c>
      <c r="H15" s="7" t="s">
        <v>61</v>
      </c>
      <c r="I15" s="7" t="s">
        <v>62</v>
      </c>
      <c r="J15" s="7" t="s">
        <v>63</v>
      </c>
      <c r="K15" s="7" t="s">
        <v>64</v>
      </c>
    </row>
    <row r="16" ht="14.25" customHeight="1">
      <c r="A16" s="4">
        <v>15.0</v>
      </c>
      <c r="B16" s="5" t="str">
        <f>IFERROR(__xludf.DUMMYFUNCTION("GOOGLETRANSLATE(H16, ""th"", ""en"")"),"You notice that there are obstacles on the race track. What should you do?")</f>
        <v>You notice that there are obstacles on the race track. What should you do?</v>
      </c>
      <c r="C16" s="5" t="str">
        <f>IFERROR(__xludf.DUMMYFUNCTION("GOOGLETRANSLATE(I16, ""th"", ""en"")"),"A) inform the referee; B) continue the race by dodging; C) stop the race; D) change course yourself.")</f>
        <v>A) inform the referee; B) continue the race by dodging; C) stop the race; D) change course yourself.</v>
      </c>
      <c r="D16" s="5" t="str">
        <f>IFERROR(__xludf.DUMMYFUNCTION("GOOGLETRANSLATE(J16, ""th"", ""en"")"),"A) Inform the committee.")</f>
        <v>A) Inform the committee.</v>
      </c>
      <c r="E16" s="5" t="str">
        <f>IFERROR(__xludf.DUMMYFUNCTION("GOOGLETRANSLATE(K16, ""th"", ""en"")"),"Notifying the board helps solve problems and prevent accidents.")</f>
        <v>Notifying the board helps solve problems and prevent accidents.</v>
      </c>
      <c r="G16" s="6">
        <v>15.0</v>
      </c>
      <c r="H16" s="7" t="s">
        <v>65</v>
      </c>
      <c r="I16" s="7" t="s">
        <v>66</v>
      </c>
      <c r="J16" s="7" t="s">
        <v>20</v>
      </c>
      <c r="K16" s="7" t="s">
        <v>67</v>
      </c>
    </row>
    <row r="17" ht="14.25" customHeight="1">
      <c r="A17" s="4">
        <v>16.0</v>
      </c>
      <c r="B17" s="5" t="str">
        <f>IFERROR(__xludf.DUMMYFUNCTION("GOOGLETRANSLATE(H17, ""th"", ""en"")"),"You notice that your teammate forgot to adjust his equipment before the match. What should you do?")</f>
        <v>You notice that your teammate forgot to adjust his equipment before the match. What should you do?</v>
      </c>
      <c r="C17" s="5" t="str">
        <f>IFERROR(__xludf.DUMMYFUNCTION("GOOGLETRANSLATE(I17, ""th"", ""en"")"),"A) Notify the coach immediately; B) Ignore; C) Notify the coach; D) Start the game immediately.")</f>
        <v>A) Notify the coach immediately; B) Ignore; C) Notify the coach; D) Start the game immediately.</v>
      </c>
      <c r="D17" s="5" t="str">
        <f>IFERROR(__xludf.DUMMYFUNCTION("GOOGLETRANSLATE(J17, ""th"", ""en"")"),"A) Notify for immediate adjustment.")</f>
        <v>A) Notify for immediate adjustment.</v>
      </c>
      <c r="E17" s="5" t="str">
        <f>IFERROR(__xludf.DUMMYFUNCTION("GOOGLETRANSLATE(K17, ""th"", ""en"")"),"Pre-race equipment inspection is a basic rule.")</f>
        <v>Pre-race equipment inspection is a basic rule.</v>
      </c>
      <c r="G17" s="6">
        <v>16.0</v>
      </c>
      <c r="H17" s="7" t="s">
        <v>68</v>
      </c>
      <c r="I17" s="7" t="s">
        <v>69</v>
      </c>
      <c r="J17" s="7" t="s">
        <v>70</v>
      </c>
      <c r="K17" s="7" t="s">
        <v>71</v>
      </c>
    </row>
    <row r="18" ht="14.25" customHeight="1">
      <c r="A18" s="4">
        <v>17.0</v>
      </c>
      <c r="B18" s="5" t="str">
        <f>IFERROR(__xludf.DUMMYFUNCTION("GOOGLETRANSLATE(H18, ""th"", ""en"")"),"You notice that the boat is starting to leak during practice. What should you do?")</f>
        <v>You notice that the boat is starting to leak during practice. What should you do?</v>
      </c>
      <c r="C18" s="5" t="str">
        <f>IFERROR(__xludf.DUMMYFUNCTION("GOOGLETRANSLATE(I18, ""th"", ""en"")"),"A) Inform the team and make repairs; B) Continue the race; C) Inform the coach; D) Ignore.")</f>
        <v>A) Inform the team and make repairs; B) Continue the race; C) Inform the coach; D) Ignore.</v>
      </c>
      <c r="D18" s="5" t="str">
        <f>IFERROR(__xludf.DUMMYFUNCTION("GOOGLETRANSLATE(J18, ""th"", ""en"")"),"A) Notify the team and repair.")</f>
        <v>A) Notify the team and repair.</v>
      </c>
      <c r="E18" s="5" t="str">
        <f>IFERROR(__xludf.DUMMYFUNCTION("GOOGLETRANSLATE(K18, ""th"", ""en"")"),"Prompt repairs help prevent damage and delays.")</f>
        <v>Prompt repairs help prevent damage and delays.</v>
      </c>
      <c r="G18" s="6">
        <v>17.0</v>
      </c>
      <c r="H18" s="7" t="s">
        <v>72</v>
      </c>
      <c r="I18" s="7" t="s">
        <v>73</v>
      </c>
      <c r="J18" s="7" t="s">
        <v>74</v>
      </c>
      <c r="K18" s="7" t="s">
        <v>75</v>
      </c>
    </row>
    <row r="19" ht="14.25" customHeight="1">
      <c r="A19" s="4">
        <v>18.0</v>
      </c>
      <c r="B19" s="5" t="str">
        <f>IFERROR(__xludf.DUMMYFUNCTION("GOOGLETRANSLATE(H19, ""th"", ""en"")"),"The referee has warned you that you are off course. What should you do?")</f>
        <v>The referee has warned you that you are off course. What should you do?</v>
      </c>
      <c r="C19" s="5" t="str">
        <f>IFERROR(__xludf.DUMMYFUNCTION("GOOGLETRANSLATE(I19, ""th"", ""en"")"),"A) Return to the track immediately; B) Ignore; C) Inform the referee of the reason; D) Stop the race.")</f>
        <v>A) Return to the track immediately; B) Ignore; C) Inform the referee of the reason; D) Stop the race.</v>
      </c>
      <c r="D19" s="5" t="str">
        <f>IFERROR(__xludf.DUMMYFUNCTION("GOOGLETRANSLATE(J19, ""th"", ""en"")"),"A) Immediately return to the path.")</f>
        <v>A) Immediately return to the path.</v>
      </c>
      <c r="E19" s="5" t="str">
        <f>IFERROR(__xludf.DUMMYFUNCTION("GOOGLETRANSLATE(K19, ""th"", ""en"")"),"Maintaining the path is a rule that must be followed.")</f>
        <v>Maintaining the path is a rule that must be followed.</v>
      </c>
      <c r="G19" s="6">
        <v>18.0</v>
      </c>
      <c r="H19" s="7" t="s">
        <v>76</v>
      </c>
      <c r="I19" s="7" t="s">
        <v>77</v>
      </c>
      <c r="J19" s="7" t="s">
        <v>78</v>
      </c>
      <c r="K19" s="7" t="s">
        <v>79</v>
      </c>
    </row>
    <row r="20" ht="14.25" customHeight="1">
      <c r="A20" s="4">
        <v>19.0</v>
      </c>
      <c r="B20" s="5" t="str">
        <f>IFERROR(__xludf.DUMMYFUNCTION("GOOGLETRANSLATE(H20, ""th"", ""en"")"),"You notice that a rival boat is trying to push you. What should you do?")</f>
        <v>You notice that a rival boat is trying to push you. What should you do?</v>
      </c>
      <c r="C20" s="5" t="str">
        <f>IFERROR(__xludf.DUMMYFUNCTION("GOOGLETRANSLATE(I20, ""th"", ""en"")"),"A) Notify the referee; B) Continue the race by dodging; C) Stop the race; D) Push back.")</f>
        <v>A) Notify the referee; B) Continue the race by dodging; C) Stop the race; D) Push back.</v>
      </c>
      <c r="D20" s="5" t="str">
        <f>IFERROR(__xludf.DUMMYFUNCTION("GOOGLETRANSLATE(J20, ""th"", ""en"")"),"A) Inform the committee.")</f>
        <v>A) Inform the committee.</v>
      </c>
      <c r="E20" s="5" t="str">
        <f>IFERROR(__xludf.DUMMYFUNCTION("GOOGLETRANSLATE(K20, ""th"", ""en"")"),"Informing the board of directors helps to resolve the issue appropriately.")</f>
        <v>Informing the board of directors helps to resolve the issue appropriately.</v>
      </c>
      <c r="G20" s="6">
        <v>19.0</v>
      </c>
      <c r="H20" s="7" t="s">
        <v>80</v>
      </c>
      <c r="I20" s="7" t="s">
        <v>81</v>
      </c>
      <c r="J20" s="7" t="s">
        <v>20</v>
      </c>
      <c r="K20" s="7" t="s">
        <v>82</v>
      </c>
    </row>
    <row r="21" ht="14.25" customHeight="1">
      <c r="A21" s="4">
        <v>20.0</v>
      </c>
      <c r="B21" s="5" t="str">
        <f>IFERROR(__xludf.DUMMYFUNCTION("GOOGLETRANSLATE(H21, ""th"", ""en"")"),"You notice your team is starting to feel tired towards the end. What should you do?")</f>
        <v>You notice your team is starting to feel tired towards the end. What should you do?</v>
      </c>
      <c r="C21" s="5" t="str">
        <f>IFERROR(__xludf.DUMMYFUNCTION("GOOGLETRANSLATE(I21, ""th"", ""en"")"),"A) encourage to maintain the rhythm; B) slow down; C) request a break; D) inform the referee.")</f>
        <v>A) encourage to maintain the rhythm; B) slow down; C) request a break; D) inform the referee.</v>
      </c>
      <c r="D21" s="5" t="str">
        <f>IFERROR(__xludf.DUMMYFUNCTION("GOOGLETRANSLATE(J21, ""th"", ""en"")"),"A) Encourages rhythm maintenance.")</f>
        <v>A) Encourages rhythm maintenance.</v>
      </c>
      <c r="E21" s="5" t="str">
        <f>IFERROR(__xludf.DUMMYFUNCTION("GOOGLETRANSLATE(K21, ""th"", ""en"")"),"Motivation helps the team follow the rules and maintain morale.")</f>
        <v>Motivation helps the team follow the rules and maintain morale.</v>
      </c>
      <c r="G21" s="6">
        <v>20.0</v>
      </c>
      <c r="H21" s="7" t="s">
        <v>83</v>
      </c>
      <c r="I21" s="7" t="s">
        <v>84</v>
      </c>
      <c r="J21" s="7" t="s">
        <v>85</v>
      </c>
      <c r="K21" s="7" t="s">
        <v>86</v>
      </c>
    </row>
    <row r="22" ht="14.25" customHeight="1">
      <c r="A22" s="4">
        <v>21.0</v>
      </c>
      <c r="B22" s="5" t="str">
        <f>IFERROR(__xludf.DUMMYFUNCTION("GOOGLETRANSLATE(H22, ""th"", ""en"")"),"You notice that the opposing team is breaking the rules regarding paddle strokes. What should you do?")</f>
        <v>You notice that the opposing team is breaking the rules regarding paddle strokes. What should you do?</v>
      </c>
      <c r="C22" s="5" t="str">
        <f>IFERROR(__xludf.DUMMYFUNCTION("GOOGLETRANSLATE(I22, ""th"", ""en"")"),"A) Inform the referee; B) Continue the match; C) Complain after the match; D) Ignore.")</f>
        <v>A) Inform the referee; B) Continue the match; C) Complain after the match; D) Ignore.</v>
      </c>
      <c r="D22" s="5" t="str">
        <f>IFERROR(__xludf.DUMMYFUNCTION("GOOGLETRANSLATE(J22, ""th"", ""en"")"),"A) Inform the committee.")</f>
        <v>A) Inform the committee.</v>
      </c>
      <c r="E22" s="5" t="str">
        <f>IFERROR(__xludf.DUMMYFUNCTION("GOOGLETRANSLATE(K22, ""th"", ""en"")"),"Informing the referee helps to make the competition fair.")</f>
        <v>Informing the referee helps to make the competition fair.</v>
      </c>
      <c r="G22" s="6">
        <v>21.0</v>
      </c>
      <c r="H22" s="7" t="s">
        <v>87</v>
      </c>
      <c r="I22" s="7" t="s">
        <v>88</v>
      </c>
      <c r="J22" s="7" t="s">
        <v>20</v>
      </c>
      <c r="K22" s="7" t="s">
        <v>89</v>
      </c>
    </row>
    <row r="23" ht="14.25" customHeight="1">
      <c r="A23" s="4">
        <v>22.0</v>
      </c>
      <c r="B23" s="5" t="str">
        <f>IFERROR(__xludf.DUMMYFUNCTION("GOOGLETRANSLATE(H23, ""th"", ""en"")"),"A rival ship is pushing its way into your path. What should you do?")</f>
        <v>A rival ship is pushing its way into your path. What should you do?</v>
      </c>
      <c r="C23" s="5" t="str">
        <f>IFERROR(__xludf.DUMMYFUNCTION("GOOGLETRANSLATE(I23, ""th"", ""en"")"),"A) evade; B) notify the referee; C) stop the match; D) continue the match.")</f>
        <v>A) evade; B) notify the referee; C) stop the match; D) continue the match.</v>
      </c>
      <c r="D23" s="5" t="str">
        <f>IFERROR(__xludf.DUMMYFUNCTION("GOOGLETRANSLATE(J23, ""th"", ""en"")"),"A) Evade")</f>
        <v>A) Evade</v>
      </c>
      <c r="E23" s="5" t="str">
        <f>IFERROR(__xludf.DUMMYFUNCTION("GOOGLETRANSLATE(K23, ""th"", ""en"")"),"Evasion helps prevent accidents.")</f>
        <v>Evasion helps prevent accidents.</v>
      </c>
      <c r="G23" s="6">
        <v>22.0</v>
      </c>
      <c r="H23" s="7" t="s">
        <v>90</v>
      </c>
      <c r="I23" s="7" t="s">
        <v>91</v>
      </c>
      <c r="J23" s="7" t="s">
        <v>92</v>
      </c>
      <c r="K23" s="7" t="s">
        <v>93</v>
      </c>
    </row>
    <row r="24" ht="14.25" customHeight="1">
      <c r="A24" s="4">
        <v>23.0</v>
      </c>
      <c r="B24" s="5" t="str">
        <f>IFERROR(__xludf.DUMMYFUNCTION("GOOGLETRANSLATE(H24, ""th"", ""en"")"),"You notice that your trainer is giving you the wrong signals. What should you do?")</f>
        <v>You notice that your trainer is giving you the wrong signals. What should you do?</v>
      </c>
      <c r="C24" s="5" t="str">
        <f>IFERROR(__xludf.DUMMYFUNCTION("GOOGLETRANSLATE(I24, ""th"", ""en"")"),"A) Follow the main rules; B) Inform the coach; C) Continue the match; D) Stop the match.")</f>
        <v>A) Follow the main rules; B) Inform the coach; C) Continue the match; D) Stop the match.</v>
      </c>
      <c r="D24" s="5" t="str">
        <f>IFERROR(__xludf.DUMMYFUNCTION("GOOGLETRANSLATE(J24, ""th"", ""en"")"),"A) Follow the main rules.")</f>
        <v>A) Follow the main rules.</v>
      </c>
      <c r="E24" s="5" t="str">
        <f>IFERROR(__xludf.DUMMYFUNCTION("GOOGLETRANSLATE(K24, ""th"", ""en"")"),"Compliance with the rules is of utmost importance.")</f>
        <v>Compliance with the rules is of utmost importance.</v>
      </c>
      <c r="G24" s="6">
        <v>23.0</v>
      </c>
      <c r="H24" s="7" t="s">
        <v>94</v>
      </c>
      <c r="I24" s="7" t="s">
        <v>95</v>
      </c>
      <c r="J24" s="7" t="s">
        <v>96</v>
      </c>
      <c r="K24" s="7" t="s">
        <v>97</v>
      </c>
    </row>
    <row r="25" ht="14.25" customHeight="1">
      <c r="A25" s="4">
        <v>24.0</v>
      </c>
      <c r="B25" s="5" t="str">
        <f>IFERROR(__xludf.DUMMYFUNCTION("GOOGLETRANSLATE(H25, ""th"", ""en"")"),"During training, what should you avoid doing?")</f>
        <v>During training, what should you avoid doing?</v>
      </c>
      <c r="C25" s="5" t="str">
        <f>IFERROR(__xludf.DUMMYFUNCTION("GOOGLETRANSLATE(I25, ""th"", ""en"")"),"A) Paddle too hard; B) Maintain a proper pace; C) Check equipment; D) Report an error.")</f>
        <v>A) Paddle too hard; B) Maintain a proper pace; C) Check equipment; D) Report an error.</v>
      </c>
      <c r="D25" s="5" t="str">
        <f>IFERROR(__xludf.DUMMYFUNCTION("GOOGLETRANSLATE(J25, ""th"", ""en"")"),"A) Paddle too hard.")</f>
        <v>A) Paddle too hard.</v>
      </c>
      <c r="E25" s="5" t="str">
        <f>IFERROR(__xludf.DUMMYFUNCTION("GOOGLETRANSLATE(K25, ""th"", ""en"")"),"Paddling too hard can cause accidents and loss of rhythm.")</f>
        <v>Paddling too hard can cause accidents and loss of rhythm.</v>
      </c>
      <c r="G25" s="6">
        <v>24.0</v>
      </c>
      <c r="H25" s="7" t="s">
        <v>98</v>
      </c>
      <c r="I25" s="7" t="s">
        <v>99</v>
      </c>
      <c r="J25" s="7" t="s">
        <v>100</v>
      </c>
      <c r="K25" s="7" t="s">
        <v>101</v>
      </c>
    </row>
    <row r="26" ht="14.25" customHeight="1">
      <c r="A26" s="4">
        <v>25.0</v>
      </c>
      <c r="B26" s="5" t="str">
        <f>IFERROR(__xludf.DUMMYFUNCTION("GOOGLETRANSLATE(H26, ""th"", ""en"")"),"What should you do when attending a competition planning meeting?")</f>
        <v>What should you do when attending a competition planning meeting?</v>
      </c>
      <c r="C26" s="5" t="str">
        <f>IFERROR(__xludf.DUMMYFUNCTION("GOOGLETRANSLATE(I26, ""th"", ""en"")"),"A) Listen carefully and offer feedback; B) Ignore; C) Participate only halfway; D) Tell the team you won't be coming.")</f>
        <v>A) Listen carefully and offer feedback; B) Ignore; C) Participate only halfway; D) Tell the team you won't be coming.</v>
      </c>
      <c r="D26" s="5" t="str">
        <f>IFERROR(__xludf.DUMMYFUNCTION("GOOGLETRANSLATE(J26, ""th"", ""en"")"),"A) Listen carefully and offer your opinions.")</f>
        <v>A) Listen carefully and offer your opinions.</v>
      </c>
      <c r="E26" s="5" t="str">
        <f>IFERROR(__xludf.DUMMYFUNCTION("GOOGLETRANSLATE(K26, ""th"", ""en"")"),"Good planning helps teams follow the rules and succeed.")</f>
        <v>Good planning helps teams follow the rules and succeed.</v>
      </c>
      <c r="G26" s="6">
        <v>25.0</v>
      </c>
      <c r="H26" s="7" t="s">
        <v>102</v>
      </c>
      <c r="I26" s="7" t="s">
        <v>103</v>
      </c>
      <c r="J26" s="7" t="s">
        <v>104</v>
      </c>
      <c r="K26" s="7" t="s">
        <v>105</v>
      </c>
    </row>
    <row r="27" ht="14.25" customHeight="1">
      <c r="A27" s="4">
        <v>26.0</v>
      </c>
      <c r="B27" s="5" t="str">
        <f>IFERROR(__xludf.DUMMYFUNCTION("GOOGLETRANSLATE(H27, ""th"", ""en"")"),"What should you do if the weather changes during the race?")</f>
        <v>What should you do if the weather changes during the race?</v>
      </c>
      <c r="C27" s="5" t="str">
        <f>IFERROR(__xludf.DUMMYFUNCTION("GOOGLETRANSLATE(I27, ""th"", ""en"")"),"A) Adjust preparation; B) Notify the coach; C) Stop the match immediately; D) Wait for better weather conditions.")</f>
        <v>A) Adjust preparation; B) Notify the coach; C) Stop the match immediately; D) Wait for better weather conditions.</v>
      </c>
      <c r="D27" s="5" t="str">
        <f>IFERROR(__xludf.DUMMYFUNCTION("GOOGLETRANSLATE(J27, ""th"", ""en"")"),"A) Adjust preparation")</f>
        <v>A) Adjust preparation</v>
      </c>
      <c r="E27" s="5" t="str">
        <f>IFERROR(__xludf.DUMMYFUNCTION("GOOGLETRANSLATE(K27, ""th"", ""en"")"),"Proper preparation for the weather conditions reduces the risk of the race.")</f>
        <v>Proper preparation for the weather conditions reduces the risk of the race.</v>
      </c>
      <c r="G27" s="6">
        <v>26.0</v>
      </c>
      <c r="H27" s="7" t="s">
        <v>106</v>
      </c>
      <c r="I27" s="7" t="s">
        <v>107</v>
      </c>
      <c r="J27" s="7" t="s">
        <v>108</v>
      </c>
      <c r="K27" s="7" t="s">
        <v>109</v>
      </c>
    </row>
    <row r="28" ht="14.25" customHeight="1">
      <c r="A28" s="4">
        <v>27.0</v>
      </c>
      <c r="B28" s="5" t="str">
        <f>IFERROR(__xludf.DUMMYFUNCTION("GOOGLETRANSLATE(H28, ""th"", ""en"")"),"When your ship starts to slow down, what do you do?")</f>
        <v>When your ship starts to slow down, what do you do?</v>
      </c>
      <c r="C28" s="5" t="str">
        <f>IFERROR(__xludf.DUMMYFUNCTION("GOOGLETRANSLATE(I28, ""th"", ""en"")"),"A) Try to increase your speed; B) Inform the coach; C) Maintain your paddling rhythm; D) Decrease your speed.")</f>
        <v>A) Try to increase your speed; B) Inform the coach; C) Maintain your paddling rhythm; D) Decrease your speed.</v>
      </c>
      <c r="D28" s="5" t="str">
        <f>IFERROR(__xludf.DUMMYFUNCTION("GOOGLETRANSLATE(J28, ""th"", ""en"")"),"A) Try to increase speed.")</f>
        <v>A) Try to increase speed.</v>
      </c>
      <c r="E28" s="5" t="str">
        <f>IFERROR(__xludf.DUMMYFUNCTION("GOOGLETRANSLATE(K28, ""th"", ""en"")"),"Trying to increase speed increases the chances of a comeback.")</f>
        <v>Trying to increase speed increases the chances of a comeback.</v>
      </c>
      <c r="G28" s="6">
        <v>27.0</v>
      </c>
      <c r="H28" s="7" t="s">
        <v>110</v>
      </c>
      <c r="I28" s="7" t="s">
        <v>111</v>
      </c>
      <c r="J28" s="7" t="s">
        <v>112</v>
      </c>
      <c r="K28" s="7" t="s">
        <v>113</v>
      </c>
    </row>
    <row r="29" ht="14.25" customHeight="1">
      <c r="A29" s="4">
        <v>28.0</v>
      </c>
      <c r="B29" s="5" t="str">
        <f>IFERROR(__xludf.DUMMYFUNCTION("GOOGLETRANSLATE(H29, ""th"", ""en"")"),"What should you do if you see that your team is not rowing in time?")</f>
        <v>What should you do if you see that your team is not rowing in time?</v>
      </c>
      <c r="C29" s="5" t="str">
        <f>IFERROR(__xludf.DUMMYFUNCTION("GOOGLETRANSLATE(I29, ""th"", ""en"")"),"A) Tell the team to paddle in time; B) Stop the race; C) Complain to the team; D) Do nothing.")</f>
        <v>A) Tell the team to paddle in time; B) Stop the race; C) Complain to the team; D) Do nothing.</v>
      </c>
      <c r="D29" s="5" t="str">
        <f>IFERROR(__xludf.DUMMYFUNCTION("GOOGLETRANSLATE(J29, ""th"", ""en"")"),"A) Tell them to paddle in time.")</f>
        <v>A) Tell them to paddle in time.</v>
      </c>
      <c r="E29" s="5" t="str">
        <f>IFERROR(__xludf.DUMMYFUNCTION("GOOGLETRANSLATE(K29, ""th"", ""en"")"),"Maintaining a paddling rhythm is an important part of the rules of the competition.")</f>
        <v>Maintaining a paddling rhythm is an important part of the rules of the competition.</v>
      </c>
      <c r="G29" s="6">
        <v>28.0</v>
      </c>
      <c r="H29" s="7" t="s">
        <v>114</v>
      </c>
      <c r="I29" s="7" t="s">
        <v>115</v>
      </c>
      <c r="J29" s="7" t="s">
        <v>32</v>
      </c>
      <c r="K29" s="7" t="s">
        <v>116</v>
      </c>
    </row>
    <row r="30" ht="14.25" customHeight="1">
      <c r="A30" s="4">
        <v>29.0</v>
      </c>
      <c r="B30" s="5" t="str">
        <f>IFERROR(__xludf.DUMMYFUNCTION("GOOGLETRANSLATE(H30, ""th"", ""en"")"),"During the competition, you want to prevent fatigue. How do you do that?")</f>
        <v>During the competition, you want to prevent fatigue. How do you do that?</v>
      </c>
      <c r="C30" s="5" t="str">
        <f>IFERROR(__xludf.DUMMYFUNCTION("GOOGLETRANSLATE(I30, ""th"", ""en"")"),"A) Distribute energy and try to maintain a rhythm; B) Paddle faster; C) Take an immediate break; D) Slow down.")</f>
        <v>A) Distribute energy and try to maintain a rhythm; B) Paddle faster; C) Take an immediate break; D) Slow down.</v>
      </c>
      <c r="D30" s="5" t="str">
        <f>IFERROR(__xludf.DUMMYFUNCTION("GOOGLETRANSLATE(J30, ""th"", ""en"")"),"A) Distribute energy and try to maintain the rhythm.")</f>
        <v>A) Distribute energy and try to maintain the rhythm.</v>
      </c>
      <c r="E30" s="5" t="str">
        <f>IFERROR(__xludf.DUMMYFUNCTION("GOOGLETRANSLATE(K30, ""th"", ""en"")"),"Maintaining a rhythm makes the team stronger in the long run.")</f>
        <v>Maintaining a rhythm makes the team stronger in the long run.</v>
      </c>
      <c r="G30" s="6">
        <v>29.0</v>
      </c>
      <c r="H30" s="7" t="s">
        <v>117</v>
      </c>
      <c r="I30" s="7" t="s">
        <v>118</v>
      </c>
      <c r="J30" s="7" t="s">
        <v>119</v>
      </c>
      <c r="K30" s="7" t="s">
        <v>120</v>
      </c>
    </row>
    <row r="31" ht="14.25" customHeight="1">
      <c r="A31" s="4">
        <v>30.0</v>
      </c>
      <c r="B31" s="5" t="str">
        <f>IFERROR(__xludf.DUMMYFUNCTION("GOOGLETRANSLATE(H31, ""th"", ""en"")"),"If your boat breaks during a race, what should you do?")</f>
        <v>If your boat breaks during a race, what should you do?</v>
      </c>
      <c r="C31" s="5" t="str">
        <f>IFERROR(__xludf.DUMMYFUNCTION("GOOGLETRANSLATE(I31, ""th"", ""en"")"),"A) Notify the referee and leave the race; B) Attempt to repair it yourself; C) Continue racing without paying attention; D) Wait for help.")</f>
        <v>A) Notify the referee and leave the race; B) Attempt to repair it yourself; C) Continue racing without paying attention; D) Wait for help.</v>
      </c>
      <c r="D31" s="5" t="str">
        <f>IFERROR(__xludf.DUMMYFUNCTION("GOOGLETRANSLATE(J31, ""th"", ""en"")"),"A) Inform the referee and leave the competition.")</f>
        <v>A) Inform the referee and leave the competition.</v>
      </c>
      <c r="E31" s="5" t="str">
        <f>IFERROR(__xludf.DUMMYFUNCTION("GOOGLETRANSLATE(K31, ""th"", ""en"")"),"Notifying the board allows for rule-based corrections and maintains security.")</f>
        <v>Notifying the board allows for rule-based corrections and maintains security.</v>
      </c>
      <c r="G31" s="6">
        <v>30.0</v>
      </c>
      <c r="H31" s="7" t="s">
        <v>121</v>
      </c>
      <c r="I31" s="7" t="s">
        <v>122</v>
      </c>
      <c r="J31" s="7" t="s">
        <v>123</v>
      </c>
      <c r="K31" s="7" t="s">
        <v>124</v>
      </c>
    </row>
    <row r="32" ht="14.25" customHeight="1">
      <c r="A32" s="4">
        <v>31.0</v>
      </c>
      <c r="B32" s="5" t="str">
        <f>IFERROR(__xludf.DUMMYFUNCTION("GOOGLETRANSLATE(H32, ""th"", ""en"")"),"What should you do when the opposing team makes a mistake in their paddling?")</f>
        <v>What should you do when the opposing team makes a mistake in their paddling?</v>
      </c>
      <c r="C32" s="5" t="str">
        <f>IFERROR(__xludf.DUMMYFUNCTION("GOOGLETRANSLATE(I32, ""th"", ""en"")"),"A) inform the referee; B) ignore; C) speed up; D) stop the game.")</f>
        <v>A) inform the referee; B) ignore; C) speed up; D) stop the game.</v>
      </c>
      <c r="D32" s="5" t="str">
        <f>IFERROR(__xludf.DUMMYFUNCTION("GOOGLETRANSLATE(J32, ""th"", ""en"")"),"A) Inform the committee.")</f>
        <v>A) Inform the committee.</v>
      </c>
      <c r="E32" s="5" t="str">
        <f>IFERROR(__xludf.DUMMYFUNCTION("GOOGLETRANSLATE(K32, ""th"", ""en"")"),"Informing the referee helps maintain fairness in the competition.")</f>
        <v>Informing the referee helps maintain fairness in the competition.</v>
      </c>
      <c r="G32" s="6">
        <v>31.0</v>
      </c>
      <c r="H32" s="7" t="s">
        <v>125</v>
      </c>
      <c r="I32" s="7" t="s">
        <v>126</v>
      </c>
      <c r="J32" s="7" t="s">
        <v>20</v>
      </c>
      <c r="K32" s="7" t="s">
        <v>127</v>
      </c>
    </row>
    <row r="33" ht="14.25" customHeight="1">
      <c r="A33" s="4">
        <v>32.0</v>
      </c>
      <c r="B33" s="5" t="str">
        <f>IFERROR(__xludf.DUMMYFUNCTION("GOOGLETRANSLATE(H33, ""th"", ""en"")"),"If you see water entering your boat, what should you do?")</f>
        <v>If you see water entering your boat, what should you do?</v>
      </c>
      <c r="C33" s="5" t="str">
        <f>IFERROR(__xludf.DUMMYFUNCTION("GOOGLETRANSLATE(I33, ""th"", ""en"")"),"A) Use a bucket to scoop out the water immediately; B) Notify the coach; C) Continue the race; D) Stop the boat.")</f>
        <v>A) Use a bucket to scoop out the water immediately; B) Notify the coach; C) Continue the race; D) Stop the boat.</v>
      </c>
      <c r="D33" s="5" t="str">
        <f>IFERROR(__xludf.DUMMYFUNCTION("GOOGLETRANSLATE(J33, ""th"", ""en"")"),"A) Use a bucket to scoop out the water immediately.")</f>
        <v>A) Use a bucket to scoop out the water immediately.</v>
      </c>
      <c r="E33" s="5" t="str">
        <f>IFERROR(__xludf.DUMMYFUNCTION("GOOGLETRANSLATE(K33, ""th"", ""en"")"),"Scooping out the water prevents sinking and allows the boat to continue racing.")</f>
        <v>Scooping out the water prevents sinking and allows the boat to continue racing.</v>
      </c>
      <c r="G33" s="6">
        <v>32.0</v>
      </c>
      <c r="H33" s="7" t="s">
        <v>128</v>
      </c>
      <c r="I33" s="7" t="s">
        <v>129</v>
      </c>
      <c r="J33" s="7" t="s">
        <v>130</v>
      </c>
      <c r="K33" s="7" t="s">
        <v>131</v>
      </c>
    </row>
    <row r="34" ht="14.25" customHeight="1">
      <c r="A34" s="4">
        <v>33.0</v>
      </c>
      <c r="B34" s="5" t="str">
        <f>IFERROR(__xludf.DUMMYFUNCTION("GOOGLETRANSLATE(H34, ""th"", ""en"")"),"During the race, you notice something is blocking your way. What should you do?")</f>
        <v>During the race, you notice something is blocking your way. What should you do?</v>
      </c>
      <c r="C34" s="5" t="str">
        <f>IFERROR(__xludf.DUMMYFUNCTION("GOOGLETRANSLATE(I34, ""th"", ""en"")"),"A) Notify the referee for correction; B) Attempt to evade; C) Stop the boat immediately; D) Continue racing.")</f>
        <v>A) Notify the referee for correction; B) Attempt to evade; C) Stop the boat immediately; D) Continue racing.</v>
      </c>
      <c r="D34" s="5" t="str">
        <f>IFERROR(__xludf.DUMMYFUNCTION("GOOGLETRANSLATE(J34, ""th"", ""en"")"),"A) Inform the board of directors to request correction.")</f>
        <v>A) Inform the board of directors to request correction.</v>
      </c>
      <c r="E34" s="5" t="str">
        <f>IFERROR(__xludf.DUMMYFUNCTION("GOOGLETRANSLATE(K34, ""th"", ""en"")"),"Informing the board is a necessary rule to deal with that problem.")</f>
        <v>Informing the board is a necessary rule to deal with that problem.</v>
      </c>
      <c r="G34" s="6">
        <v>33.0</v>
      </c>
      <c r="H34" s="7" t="s">
        <v>132</v>
      </c>
      <c r="I34" s="7" t="s">
        <v>133</v>
      </c>
      <c r="J34" s="7" t="s">
        <v>134</v>
      </c>
      <c r="K34" s="7" t="s">
        <v>135</v>
      </c>
    </row>
    <row r="35" ht="14.25" customHeight="1">
      <c r="A35" s="4">
        <v>34.0</v>
      </c>
      <c r="B35" s="5" t="str">
        <f>IFERROR(__xludf.DUMMYFUNCTION("GOOGLETRANSLATE(H35, ""th"", ""en"")"),"What should you do if you see that the track starts to go wrong during the race?")</f>
        <v>What should you do if you see that the track starts to go wrong during the race?</v>
      </c>
      <c r="C35" s="5" t="str">
        <f>IFERROR(__xludf.DUMMYFUNCTION("GOOGLETRANSLATE(I35, ""th"", ""en"")"),"A) Correct the boat's direction; B) Continue racing without doing anything; C) Inform the referee; D) Stop the boat.")</f>
        <v>A) Correct the boat's direction; B) Continue racing without doing anything; C) Inform the referee; D) Stop the boat.</v>
      </c>
      <c r="D35" s="5" t="str">
        <f>IFERROR(__xludf.DUMMYFUNCTION("GOOGLETRANSLATE(J35, ""th"", ""en"")"),"A) Adjust the ship's direction correctly.")</f>
        <v>A) Adjust the ship's direction correctly.</v>
      </c>
      <c r="E35" s="5" t="str">
        <f>IFERROR(__xludf.DUMMYFUNCTION("GOOGLETRANSLATE(K35, ""th"", ""en"")"),"Direction adjustment helps the boat to go in the right direction and on time.")</f>
        <v>Direction adjustment helps the boat to go in the right direction and on time.</v>
      </c>
      <c r="G35" s="6">
        <v>34.0</v>
      </c>
      <c r="H35" s="7" t="s">
        <v>136</v>
      </c>
      <c r="I35" s="7" t="s">
        <v>137</v>
      </c>
      <c r="J35" s="7" t="s">
        <v>138</v>
      </c>
      <c r="K35" s="7" t="s">
        <v>139</v>
      </c>
    </row>
    <row r="36" ht="14.25" customHeight="1">
      <c r="A36" s="4">
        <v>35.0</v>
      </c>
      <c r="B36" s="5" t="str">
        <f>IFERROR(__xludf.DUMMYFUNCTION("GOOGLETRANSLATE(H36, ""th"", ""en"")"),"During the training, we noticed that the boat was starting to slow down more than usual. What do you do?")</f>
        <v>During the training, we noticed that the boat was starting to slow down more than usual. What do you do?</v>
      </c>
      <c r="C36" s="5" t="str">
        <f>IFERROR(__xludf.DUMMYFUNCTION("GOOGLETRANSLATE(I36, ""th"", ""en"")"),"A) Tell the team to speed up; B) adjust their paddling technique; C) stop the practice; D) return to the original pace.")</f>
        <v>A) Tell the team to speed up; B) adjust their paddling technique; C) stop the practice; D) return to the original pace.</v>
      </c>
      <c r="D36" s="5" t="str">
        <f>IFERROR(__xludf.DUMMYFUNCTION("GOOGLETRANSLATE(J36, ""th"", ""en"")"),"B) Adjust your paddling technique.")</f>
        <v>B) Adjust your paddling technique.</v>
      </c>
      <c r="E36" s="5" t="str">
        <f>IFERROR(__xludf.DUMMYFUNCTION("GOOGLETRANSLATE(K36, ""th"", ""en"")"),"Technical adjustments help the boat go faster.")</f>
        <v>Technical adjustments help the boat go faster.</v>
      </c>
      <c r="G36" s="6">
        <v>35.0</v>
      </c>
      <c r="H36" s="7" t="s">
        <v>140</v>
      </c>
      <c r="I36" s="7" t="s">
        <v>141</v>
      </c>
      <c r="J36" s="7" t="s">
        <v>142</v>
      </c>
      <c r="K36" s="7" t="s">
        <v>143</v>
      </c>
    </row>
    <row r="37" ht="14.25" customHeight="1">
      <c r="A37" s="4">
        <v>36.0</v>
      </c>
      <c r="B37" s="5" t="str">
        <f>IFERROR(__xludf.DUMMYFUNCTION("GOOGLETRANSLATE(H37, ""th"", ""en"")"),"During the race, you see the opposing team rowing in the wrong direction, what will you do?")</f>
        <v>During the race, you see the opposing team rowing in the wrong direction, what will you do?</v>
      </c>
      <c r="C37" s="5" t="str">
        <f>IFERROR(__xludf.DUMMYFUNCTION("GOOGLETRANSLATE(I37, ""th"", ""en"")"),"A) Inform the referee; B) Continue playing; C) Complain to the team; D) Maintain your direction.")</f>
        <v>A) Inform the referee; B) Continue playing; C) Complain to the team; D) Maintain your direction.</v>
      </c>
      <c r="D37" s="5" t="str">
        <f>IFERROR(__xludf.DUMMYFUNCTION("GOOGLETRANSLATE(J37, ""th"", ""en"")"),"A) Inform the committee.")</f>
        <v>A) Inform the committee.</v>
      </c>
      <c r="E37" s="5" t="str">
        <f>IFERROR(__xludf.DUMMYFUNCTION("GOOGLETRANSLATE(K37, ""th"", ""en"")"),"Informing the referee helps maintain fairness in the competition.")</f>
        <v>Informing the referee helps maintain fairness in the competition.</v>
      </c>
      <c r="G37" s="6">
        <v>36.0</v>
      </c>
      <c r="H37" s="7" t="s">
        <v>144</v>
      </c>
      <c r="I37" s="7" t="s">
        <v>145</v>
      </c>
      <c r="J37" s="7" t="s">
        <v>20</v>
      </c>
      <c r="K37" s="7" t="s">
        <v>127</v>
      </c>
    </row>
    <row r="38" ht="14.25" customHeight="1">
      <c r="A38" s="4">
        <v>37.0</v>
      </c>
      <c r="B38" s="5" t="str">
        <f>IFERROR(__xludf.DUMMYFUNCTION("GOOGLETRANSLATE(H38, ""th"", ""en"")"),"What do you do when you encounter a delay in a competition?")</f>
        <v>What do you do when you encounter a delay in a competition?</v>
      </c>
      <c r="C38" s="5" t="str">
        <f>IFERROR(__xludf.DUMMYFUNCTION("GOOGLETRANSLATE(I38, ""th"", ""en"")"),"A) Keep calm and wait; B) Complain to the referee; C) Stop the practice; D) Speed ​​up.")</f>
        <v>A) Keep calm and wait; B) Complain to the referee; C) Stop the practice; D) Speed ​​up.</v>
      </c>
      <c r="D38" s="5" t="str">
        <f>IFERROR(__xludf.DUMMYFUNCTION("GOOGLETRANSLATE(J38, ""th"", ""en"")"),"A) Keep calm and wait.")</f>
        <v>A) Keep calm and wait.</v>
      </c>
      <c r="E38" s="5" t="str">
        <f>IFERROR(__xludf.DUMMYFUNCTION("GOOGLETRANSLATE(K38, ""th"", ""en"")"),"Keeping calm will prepare you for the real competition.")</f>
        <v>Keeping calm will prepare you for the real competition.</v>
      </c>
      <c r="G38" s="6">
        <v>37.0</v>
      </c>
      <c r="H38" s="7" t="s">
        <v>146</v>
      </c>
      <c r="I38" s="7" t="s">
        <v>147</v>
      </c>
      <c r="J38" s="7" t="s">
        <v>148</v>
      </c>
      <c r="K38" s="7" t="s">
        <v>149</v>
      </c>
    </row>
    <row r="39" ht="14.25" customHeight="1">
      <c r="A39" s="4">
        <v>38.0</v>
      </c>
      <c r="B39" s="5" t="str">
        <f>IFERROR(__xludf.DUMMYFUNCTION("GOOGLETRANSLATE(H39, ""th"", ""en"")"),"You see a teammate not wearing a life jacket during practice, what do you do?")</f>
        <v>You see a teammate not wearing a life jacket during practice, what do you do?</v>
      </c>
      <c r="C39" s="5" t="str">
        <f>IFERROR(__xludf.DUMMYFUNCTION("GOOGLETRANSLATE(I39, ""th"", ""en"")"),"A) Tell him to wear it immediately; B) Do nothing; C) Notify the trainer; D) Stop training.")</f>
        <v>A) Tell him to wear it immediately; B) Do nothing; C) Notify the trainer; D) Stop training.</v>
      </c>
      <c r="D39" s="5" t="str">
        <f>IFERROR(__xludf.DUMMYFUNCTION("GOOGLETRANSLATE(J39, ""th"", ""en"")"),"A) Tell him to put it on immediately.")</f>
        <v>A) Tell him to put it on immediately.</v>
      </c>
      <c r="E39" s="5" t="str">
        <f>IFERROR(__xludf.DUMMYFUNCTION("GOOGLETRANSLATE(K39, ""th"", ""en"")"),"Wearing a life jacket is a safety rule that must be followed.")</f>
        <v>Wearing a life jacket is a safety rule that must be followed.</v>
      </c>
      <c r="G39" s="6">
        <v>38.0</v>
      </c>
      <c r="H39" s="7" t="s">
        <v>150</v>
      </c>
      <c r="I39" s="7" t="s">
        <v>151</v>
      </c>
      <c r="J39" s="7" t="s">
        <v>152</v>
      </c>
      <c r="K39" s="7" t="s">
        <v>153</v>
      </c>
    </row>
    <row r="40" ht="14.25" customHeight="1">
      <c r="A40" s="4">
        <v>39.0</v>
      </c>
      <c r="B40" s="5" t="str">
        <f>IFERROR(__xludf.DUMMYFUNCTION("GOOGLETRANSLATE(H40, ""th"", ""en"")"),"During training, you see an object blocking your path. What do you do?")</f>
        <v>During training, you see an object blocking your path. What do you do?</v>
      </c>
      <c r="C40" s="5" t="str">
        <f>IFERROR(__xludf.DUMMYFUNCTION("GOOGLETRANSLATE(I40, ""th"", ""en"")"),"A) Inform the trainer and wait for instructions; B) Avoid and continue the race; C) Complain to the trainer; D) Stop training.")</f>
        <v>A) Inform the trainer and wait for instructions; B) Avoid and continue the race; C) Complain to the trainer; D) Stop training.</v>
      </c>
      <c r="D40" s="5" t="str">
        <f>IFERROR(__xludf.DUMMYFUNCTION("GOOGLETRANSLATE(J40, ""th"", ""en"")"),"A) Inform the trainer and wait for instructions.")</f>
        <v>A) Inform the trainer and wait for instructions.</v>
      </c>
      <c r="E40" s="5" t="str">
        <f>IFERROR(__xludf.DUMMYFUNCTION("GOOGLETRANSLATE(K40, ""th"", ""en"")"),"Informing the coach helps the training go smoothly.")</f>
        <v>Informing the coach helps the training go smoothly.</v>
      </c>
      <c r="G40" s="6">
        <v>39.0</v>
      </c>
      <c r="H40" s="7" t="s">
        <v>154</v>
      </c>
      <c r="I40" s="7" t="s">
        <v>155</v>
      </c>
      <c r="J40" s="7" t="s">
        <v>156</v>
      </c>
      <c r="K40" s="7" t="s">
        <v>157</v>
      </c>
    </row>
    <row r="41" ht="14.25" customHeight="1">
      <c r="A41" s="4">
        <v>40.0</v>
      </c>
      <c r="B41" s="5" t="str">
        <f>IFERROR(__xludf.DUMMYFUNCTION("GOOGLETRANSLATE(H41, ""th"", ""en"")"),"When you start a new competition, what should you do?")</f>
        <v>When you start a new competition, what should you do?</v>
      </c>
      <c r="C41" s="5" t="str">
        <f>IFERROR(__xludf.DUMMYFUNCTION("GOOGLETRANSLATE(I41, ""th"", ""en"")"),"A) Check the boat and all equipment; B) Start the race quickly without checking; C) Rest before starting; D) Inform the team that they are ready.")</f>
        <v>A) Check the boat and all equipment; B) Start the race quickly without checking; C) Rest before starting; D) Inform the team that they are ready.</v>
      </c>
      <c r="D41" s="5" t="str">
        <f>IFERROR(__xludf.DUMMYFUNCTION("GOOGLETRANSLATE(J41, ""th"", ""en"")"),"A) Check the boat's setting and all equipment.")</f>
        <v>A) Check the boat's setting and all equipment.</v>
      </c>
      <c r="E41" s="5" t="str">
        <f>IFERROR(__xludf.DUMMYFUNCTION("GOOGLETRANSLATE(K41, ""th"", ""en"")"),"Checking the equipment and boat is important before starting the race.")</f>
        <v>Checking the equipment and boat is important before starting the race.</v>
      </c>
      <c r="G41" s="6">
        <v>40.0</v>
      </c>
      <c r="H41" s="7" t="s">
        <v>158</v>
      </c>
      <c r="I41" s="7" t="s">
        <v>159</v>
      </c>
      <c r="J41" s="7" t="s">
        <v>160</v>
      </c>
      <c r="K41" s="7" t="s">
        <v>161</v>
      </c>
    </row>
    <row r="42" ht="14.25" customHeight="1">
      <c r="A42" s="4">
        <v>41.0</v>
      </c>
      <c r="B42" s="5" t="str">
        <f>IFERROR(__xludf.DUMMYFUNCTION("GOOGLETRANSLATE(H42, ""th"", ""en"")"),"What should you do if your trainer gives you wrong advice?")</f>
        <v>What should you do if your trainer gives you wrong advice?</v>
      </c>
      <c r="C42" s="5" t="str">
        <f>IFERROR(__xludf.DUMMYFUNCTION("GOOGLETRANSLATE(I42, ""th"", ""en"")"),"A) Notify the coach and ask for new instructions; B) Follow the original instructions; C) Do not follow the instructions; D) Stop the competition.")</f>
        <v>A) Notify the coach and ask for new instructions; B) Follow the original instructions; C) Do not follow the instructions; D) Stop the competition.</v>
      </c>
      <c r="D42" s="5" t="str">
        <f>IFERROR(__xludf.DUMMYFUNCTION("GOOGLETRANSLATE(J42, ""th"", ""en"")"),"A) Inform the trainer and ask for new instructions.")</f>
        <v>A) Inform the trainer and ask for new instructions.</v>
      </c>
      <c r="E42" s="5" t="str">
        <f>IFERROR(__xludf.DUMMYFUNCTION("GOOGLETRANSLATE(K42, ""th"", ""en"")"),"Seeking proper advice can boost your confidence.")</f>
        <v>Seeking proper advice can boost your confidence.</v>
      </c>
      <c r="G42" s="6">
        <v>41.0</v>
      </c>
      <c r="H42" s="7" t="s">
        <v>162</v>
      </c>
      <c r="I42" s="7" t="s">
        <v>163</v>
      </c>
      <c r="J42" s="7" t="s">
        <v>164</v>
      </c>
      <c r="K42" s="7" t="s">
        <v>165</v>
      </c>
    </row>
    <row r="43" ht="14.25" customHeight="1">
      <c r="A43" s="4">
        <v>42.0</v>
      </c>
      <c r="B43" s="5" t="str">
        <f>IFERROR(__xludf.DUMMYFUNCTION("GOOGLETRANSLATE(H43, ""th"", ""en"")"),"When there is a change of players in the team, what should you do?")</f>
        <v>When there is a change of players in the team, what should you do?</v>
      </c>
      <c r="C43" s="5" t="str">
        <f>IFERROR(__xludf.DUMMYFUNCTION("GOOGLETRANSLATE(I43, ""th"", ""en"")"),"A) Notify the referee of the change; B) Make a change without notifying the referee; C) Substitute a player immediately; D) Stop the match.")</f>
        <v>A) Notify the referee of the change; B) Make a change without notifying the referee; C) Substitute a player immediately; D) Stop the match.</v>
      </c>
      <c r="D43" s="5" t="str">
        <f>IFERROR(__xludf.DUMMYFUNCTION("GOOGLETRANSLATE(J43, ""th"", ""en"")"),"A) Notify the board of any changes.")</f>
        <v>A) Notify the board of any changes.</v>
      </c>
      <c r="E43" s="5" t="str">
        <f>IFERROR(__xludf.DUMMYFUNCTION("GOOGLETRANSLATE(K43, ""th"", ""en"")"),"Informing the referee helps maintain fairness in the competition.")</f>
        <v>Informing the referee helps maintain fairness in the competition.</v>
      </c>
      <c r="G43" s="6">
        <v>42.0</v>
      </c>
      <c r="H43" s="7" t="s">
        <v>166</v>
      </c>
      <c r="I43" s="7" t="s">
        <v>167</v>
      </c>
      <c r="J43" s="7" t="s">
        <v>168</v>
      </c>
      <c r="K43" s="7" t="s">
        <v>169</v>
      </c>
    </row>
    <row r="44" ht="14.25" customHeight="1">
      <c r="A44" s="4">
        <v>43.0</v>
      </c>
      <c r="B44" s="5" t="str">
        <f>IFERROR(__xludf.DUMMYFUNCTION("GOOGLETRANSLATE(H44, ""th"", ""en"")"),"When you see an opposing team breaking the rules, what should you do?")</f>
        <v>When you see an opposing team breaking the rules, what should you do?</v>
      </c>
      <c r="C44" s="5" t="str">
        <f>IFERROR(__xludf.DUMMYFUNCTION("GOOGLETRANSLATE(I44, ""th"", ""en"")"),"A) Notify the referee; B) Continue playing without doing anything; C) Complain to your team; D) Stop the game.")</f>
        <v>A) Notify the referee; B) Continue playing without doing anything; C) Complain to your team; D) Stop the game.</v>
      </c>
      <c r="D44" s="5" t="str">
        <f>IFERROR(__xludf.DUMMYFUNCTION("GOOGLETRANSLATE(J44, ""th"", ""en"")"),"A) Inform the committee.")</f>
        <v>A) Inform the committee.</v>
      </c>
      <c r="E44" s="5" t="str">
        <f>IFERROR(__xludf.DUMMYFUNCTION("GOOGLETRANSLATE(K44, ""th"", ""en"")"),"Informing the referee helps to make the competition fair.")</f>
        <v>Informing the referee helps to make the competition fair.</v>
      </c>
      <c r="G44" s="6">
        <v>43.0</v>
      </c>
      <c r="H44" s="7" t="s">
        <v>170</v>
      </c>
      <c r="I44" s="7" t="s">
        <v>171</v>
      </c>
      <c r="J44" s="7" t="s">
        <v>20</v>
      </c>
      <c r="K44" s="7" t="s">
        <v>172</v>
      </c>
    </row>
    <row r="45" ht="14.25" customHeight="1">
      <c r="A45" s="4">
        <v>44.0</v>
      </c>
      <c r="B45" s="5" t="str">
        <f>IFERROR(__xludf.DUMMYFUNCTION("GOOGLETRANSLATE(H45, ""th"", ""en"")"),"During the race, if your boat starts having problems, what will you do?")</f>
        <v>During the race, if your boat starts having problems, what will you do?</v>
      </c>
      <c r="C45" s="5" t="str">
        <f>IFERROR(__xludf.DUMMYFUNCTION("GOOGLETRANSLATE(I45, ""th"", ""en"")"),"A) Notify the referee and ask for help; B) Attempt to repair it yourself; C) Stop the match immediately; D) Continue the match.")</f>
        <v>A) Notify the referee and ask for help; B) Attempt to repair it yourself; C) Stop the match immediately; D) Continue the match.</v>
      </c>
      <c r="D45" s="5" t="str">
        <f>IFERROR(__xludf.DUMMYFUNCTION("GOOGLETRANSLATE(J45, ""th"", ""en"")"),"A) Inform the committee and ask for help.")</f>
        <v>A) Inform the committee and ask for help.</v>
      </c>
      <c r="E45" s="5" t="str">
        <f>IFERROR(__xludf.DUMMYFUNCTION("GOOGLETRANSLATE(K45, ""th"", ""en"")"),"Informing the board of directors helps ensure proper management.")</f>
        <v>Informing the board of directors helps ensure proper management.</v>
      </c>
      <c r="G45" s="6">
        <v>44.0</v>
      </c>
      <c r="H45" s="7" t="s">
        <v>173</v>
      </c>
      <c r="I45" s="7" t="s">
        <v>174</v>
      </c>
      <c r="J45" s="7" t="s">
        <v>175</v>
      </c>
      <c r="K45" s="7" t="s">
        <v>176</v>
      </c>
    </row>
    <row r="46" ht="14.25" customHeight="1">
      <c r="A46" s="4">
        <v>45.0</v>
      </c>
      <c r="B46" s="5" t="str">
        <f>IFERROR(__xludf.DUMMYFUNCTION("GOOGLETRANSLATE(H46, ""th"", ""en"")"),"During training, what should you do if unsafe water conditions occur?")</f>
        <v>During training, what should you do if unsafe water conditions occur?</v>
      </c>
      <c r="C46" s="5" t="str">
        <f>IFERROR(__xludf.DUMMYFUNCTION("GOOGLETRANSLATE(I46, ""th"", ""en"")"),"A) Stop training and report water conditions; B) Continue training; C) Notify the trainer; D) Avoid training.")</f>
        <v>A) Stop training and report water conditions; B) Continue training; C) Notify the trainer; D) Avoid training.</v>
      </c>
      <c r="D46" s="5" t="str">
        <f>IFERROR(__xludf.DUMMYFUNCTION("GOOGLETRANSLATE(J46, ""th"", ""en"")"),"A) Stop practicing and report water conditions.")</f>
        <v>A) Stop practicing and report water conditions.</v>
      </c>
      <c r="E46" s="5" t="str">
        <f>IFERROR(__xludf.DUMMYFUNCTION("GOOGLETRANSLATE(K46, ""th"", ""en"")"),"Stopping practice helps prevent danger from unsafe water conditions.")</f>
        <v>Stopping practice helps prevent danger from unsafe water conditions.</v>
      </c>
      <c r="G46" s="6">
        <v>45.0</v>
      </c>
      <c r="H46" s="7" t="s">
        <v>177</v>
      </c>
      <c r="I46" s="7" t="s">
        <v>178</v>
      </c>
      <c r="J46" s="7" t="s">
        <v>179</v>
      </c>
      <c r="K46" s="7" t="s">
        <v>180</v>
      </c>
    </row>
    <row r="47" ht="14.25" customHeight="1">
      <c r="A47" s="4">
        <v>46.0</v>
      </c>
      <c r="B47" s="5" t="str">
        <f>IFERROR(__xludf.DUMMYFUNCTION("GOOGLETRANSLATE(H47, ""th"", ""en"")"),"What should you do if you can't find a clear path during the race?")</f>
        <v>What should you do if you can't find a clear path during the race?</v>
      </c>
      <c r="C47" s="5" t="str">
        <f>IFERROR(__xludf.DUMMYFUNCTION("GOOGLETRANSLATE(I47, ""th"", ""en"")"),"A) notify the referee for instructions; B) continue racing without paying attention; C) stop and wait for instructions; D) deviate from the course.")</f>
        <v>A) notify the referee for instructions; B) continue racing without paying attention; C) stop and wait for instructions; D) deviate from the course.</v>
      </c>
      <c r="D47" s="5" t="str">
        <f>IFERROR(__xludf.DUMMYFUNCTION("GOOGLETRANSLATE(J47, ""th"", ""en"")"),"A) Inform the committee for advice.")</f>
        <v>A) Inform the committee for advice.</v>
      </c>
      <c r="E47" s="5" t="str">
        <f>IFERROR(__xludf.DUMMYFUNCTION("GOOGLETRANSLATE(K47, ""th"", ""en"")"),"Informing the referee helps the competition to be in line with the rules.")</f>
        <v>Informing the referee helps the competition to be in line with the rules.</v>
      </c>
      <c r="G47" s="6">
        <v>46.0</v>
      </c>
      <c r="H47" s="7" t="s">
        <v>181</v>
      </c>
      <c r="I47" s="7" t="s">
        <v>182</v>
      </c>
      <c r="J47" s="7" t="s">
        <v>183</v>
      </c>
      <c r="K47" s="7" t="s">
        <v>184</v>
      </c>
    </row>
    <row r="48" ht="14.25" customHeight="1">
      <c r="A48" s="4">
        <v>47.0</v>
      </c>
      <c r="B48" s="5" t="str">
        <f>IFERROR(__xludf.DUMMYFUNCTION("GOOGLETRANSLATE(H48, ""th"", ""en"")"),"During the race, you see an object floating in the water. What do you do?")</f>
        <v>During the race, you see an object floating in the water. What do you do?</v>
      </c>
      <c r="C48" s="5" t="str">
        <f>IFERROR(__xludf.DUMMYFUNCTION("GOOGLETRANSLATE(I48, ""th"", ""en"")"),"A) inform the referee and avoid; B) try to avoid it yourself; C) continue the match; D) stop the match.")</f>
        <v>A) inform the referee and avoid; B) try to avoid it yourself; C) continue the match; D) stop the match.</v>
      </c>
      <c r="D48" s="5" t="str">
        <f>IFERROR(__xludf.DUMMYFUNCTION("GOOGLETRANSLATE(J48, ""th"", ""en"")"),"A) Inform the committee and avoid")</f>
        <v>A) Inform the committee and avoid</v>
      </c>
      <c r="E48" s="5" t="str">
        <f>IFERROR(__xludf.DUMMYFUNCTION("GOOGLETRANSLATE(K48, ""th"", ""en"")"),"Informing the referee helps to make the correct decision.")</f>
        <v>Informing the referee helps to make the correct decision.</v>
      </c>
      <c r="G48" s="6">
        <v>47.0</v>
      </c>
      <c r="H48" s="7" t="s">
        <v>185</v>
      </c>
      <c r="I48" s="7" t="s">
        <v>186</v>
      </c>
      <c r="J48" s="7" t="s">
        <v>187</v>
      </c>
      <c r="K48" s="7" t="s">
        <v>188</v>
      </c>
    </row>
    <row r="49" ht="14.25" customHeight="1">
      <c r="A49" s="4">
        <v>48.0</v>
      </c>
      <c r="B49" s="5" t="str">
        <f>IFERROR(__xludf.DUMMYFUNCTION("GOOGLETRANSLATE(H49, ""th"", ""en"")"),"During the race, what should you do if the route is in trouble?")</f>
        <v>During the race, what should you do if the route is in trouble?</v>
      </c>
      <c r="C49" s="5" t="str">
        <f>IFERROR(__xludf.DUMMYFUNCTION("GOOGLETRANSLATE(I49, ""th"", ""en"")"),"A) Notify the referee and ask for advice; B) Continue the race without doing anything; C) Stop the race immediately; D) Redirect the race.")</f>
        <v>A) Notify the referee and ask for advice; B) Continue the race without doing anything; C) Stop the race immediately; D) Redirect the race.</v>
      </c>
      <c r="D49" s="5" t="str">
        <f>IFERROR(__xludf.DUMMYFUNCTION("GOOGLETRANSLATE(J49, ""th"", ""en"")"),"A) Inform the committee and ask for advice.")</f>
        <v>A) Inform the committee and ask for advice.</v>
      </c>
      <c r="E49" s="5" t="str">
        <f>IFERROR(__xludf.DUMMYFUNCTION("GOOGLETRANSLATE(K49, ""th"", ""en"")"),"Informing the board of directors allows for better management.")</f>
        <v>Informing the board of directors allows for better management.</v>
      </c>
      <c r="G49" s="6">
        <v>48.0</v>
      </c>
      <c r="H49" s="7" t="s">
        <v>189</v>
      </c>
      <c r="I49" s="7" t="s">
        <v>190</v>
      </c>
      <c r="J49" s="7" t="s">
        <v>191</v>
      </c>
      <c r="K49" s="7" t="s">
        <v>192</v>
      </c>
    </row>
    <row r="50" ht="14.25" customHeight="1">
      <c r="A50" s="4">
        <v>49.0</v>
      </c>
      <c r="B50" s="5" t="str">
        <f>IFERROR(__xludf.DUMMYFUNCTION("GOOGLETRANSLATE(H50, ""th"", ""en"")"),"When your boat starts to drift off course, what should you do?")</f>
        <v>When your boat starts to drift off course, what should you do?</v>
      </c>
      <c r="C50" s="5" t="str">
        <f>IFERROR(__xludf.DUMMYFUNCTION("GOOGLETRANSLATE(I50, ""th"", ""en"")"),"A) Correct the course of the boat; B) Complain to the team; C) Inform the referee; D) Stop the race.")</f>
        <v>A) Correct the course of the boat; B) Complain to the team; C) Inform the referee; D) Stop the race.</v>
      </c>
      <c r="D50" s="5" t="str">
        <f>IFERROR(__xludf.DUMMYFUNCTION("GOOGLETRANSLATE(J50, ""th"", ""en"")"),"A) Adjust the ship's direction to be straight.")</f>
        <v>A) Adjust the ship's direction to be straight.</v>
      </c>
      <c r="E50" s="5" t="str">
        <f>IFERROR(__xludf.DUMMYFUNCTION("GOOGLETRANSLATE(K50, ""th"", ""en"")"),"Adjusting the ship's direction helps the ship return to the correct course.")</f>
        <v>Adjusting the ship's direction helps the ship return to the correct course.</v>
      </c>
      <c r="G50" s="6">
        <v>49.0</v>
      </c>
      <c r="H50" s="7" t="s">
        <v>193</v>
      </c>
      <c r="I50" s="7" t="s">
        <v>194</v>
      </c>
      <c r="J50" s="7" t="s">
        <v>195</v>
      </c>
      <c r="K50" s="7" t="s">
        <v>196</v>
      </c>
    </row>
    <row r="51" ht="14.25" customHeight="1">
      <c r="A51" s="4">
        <v>50.0</v>
      </c>
      <c r="B51" s="5" t="str">
        <f>IFERROR(__xludf.DUMMYFUNCTION("GOOGLETRANSLATE(H51, ""th"", ""en"")"),"What should you do if you want to request a change in the rules?")</f>
        <v>What should you do if you want to request a change in the rules?</v>
      </c>
      <c r="C51" s="5" t="str">
        <f>IFERROR(__xludf.DUMMYFUNCTION("GOOGLETRANSLATE(I51, ""th"", ""en"")"),"A) Inform the referee; B) Proceed with the original rules; C) Stop the match; D) Ask the coach for help.")</f>
        <v>A) Inform the referee; B) Proceed with the original rules; C) Stop the match; D) Ask the coach for help.</v>
      </c>
      <c r="D51" s="5" t="str">
        <f>IFERROR(__xludf.DUMMYFUNCTION("GOOGLETRANSLATE(J51, ""th"", ""en"")"),"A) Inform the committee.")</f>
        <v>A) Inform the committee.</v>
      </c>
      <c r="E51" s="5" t="str">
        <f>IFERROR(__xludf.DUMMYFUNCTION("GOOGLETRANSLATE(K51, ""th"", ""en"")"),"Notifying the referee allows for the rules to be implemented.")</f>
        <v>Notifying the referee allows for the rules to be implemented.</v>
      </c>
      <c r="G51" s="6">
        <v>50.0</v>
      </c>
      <c r="H51" s="7" t="s">
        <v>197</v>
      </c>
      <c r="I51" s="7" t="s">
        <v>198</v>
      </c>
      <c r="J51" s="7" t="s">
        <v>199</v>
      </c>
      <c r="K51" s="7" t="s">
        <v>200</v>
      </c>
    </row>
    <row r="52" ht="14.25" customHeight="1">
      <c r="A52" s="4">
        <v>51.0</v>
      </c>
      <c r="B52" s="5" t="str">
        <f>IFERROR(__xludf.DUMMYFUNCTION("GOOGLETRANSLATE(H52, ""th"", ""en"")"),"What should you do if your boat collides with another boat during a race?")</f>
        <v>What should you do if your boat collides with another boat during a race?</v>
      </c>
      <c r="C52" s="5" t="str">
        <f>IFERROR(__xludf.DUMMYFUNCTION("GOOGLETRANSLATE(I52, ""th"", ""en"")"),"A) Notify the referee; B) Attempt to repair the boat; C) Continue racing; D) Stop the race immediately.")</f>
        <v>A) Notify the referee; B) Attempt to repair the boat; C) Continue racing; D) Stop the race immediately.</v>
      </c>
      <c r="D52" s="5" t="str">
        <f>IFERROR(__xludf.DUMMYFUNCTION("GOOGLETRANSLATE(J52, ""th"", ""en"")"),"A) Inform the committee.")</f>
        <v>A) Inform the committee.</v>
      </c>
      <c r="E52" s="5" t="str">
        <f>IFERROR(__xludf.DUMMYFUNCTION("GOOGLETRANSLATE(K52, ""th"", ""en"")"),"Informing the referee helps ensure fair decisions.")</f>
        <v>Informing the referee helps ensure fair decisions.</v>
      </c>
      <c r="G52" s="6">
        <v>51.0</v>
      </c>
      <c r="H52" s="7" t="s">
        <v>201</v>
      </c>
      <c r="I52" s="7" t="s">
        <v>202</v>
      </c>
      <c r="J52" s="7" t="s">
        <v>20</v>
      </c>
      <c r="K52" s="7" t="s">
        <v>203</v>
      </c>
    </row>
    <row r="53" ht="14.25" customHeight="1">
      <c r="A53" s="4">
        <v>52.0</v>
      </c>
      <c r="B53" s="5" t="str">
        <f>IFERROR(__xludf.DUMMYFUNCTION("GOOGLETRANSLATE(H53, ""th"", ""en"")"),"During the race, you see the opposing team rowing the wrong way. What will you do?")</f>
        <v>During the race, you see the opposing team rowing the wrong way. What will you do?</v>
      </c>
      <c r="C53" s="5" t="str">
        <f>IFERROR(__xludf.DUMMYFUNCTION("GOOGLETRANSLATE(I53, ""th"", ""en"")"),"A) inform the referee; B) continue playing; C) help the opposing team; D) stop the game.")</f>
        <v>A) inform the referee; B) continue playing; C) help the opposing team; D) stop the game.</v>
      </c>
      <c r="D53" s="5" t="str">
        <f>IFERROR(__xludf.DUMMYFUNCTION("GOOGLETRANSLATE(J53, ""th"", ""en"")"),"A) Inform the committee.")</f>
        <v>A) Inform the committee.</v>
      </c>
      <c r="E53" s="5" t="str">
        <f>IFERROR(__xludf.DUMMYFUNCTION("GOOGLETRANSLATE(K53, ""th"", ""en"")"),"Informing the referee helps to make the competition fair.")</f>
        <v>Informing the referee helps to make the competition fair.</v>
      </c>
      <c r="G53" s="6">
        <v>52.0</v>
      </c>
      <c r="H53" s="7" t="s">
        <v>204</v>
      </c>
      <c r="I53" s="7" t="s">
        <v>205</v>
      </c>
      <c r="J53" s="7" t="s">
        <v>20</v>
      </c>
      <c r="K53" s="7" t="s">
        <v>172</v>
      </c>
    </row>
    <row r="54" ht="14.25" customHeight="1">
      <c r="A54" s="4">
        <v>53.0</v>
      </c>
      <c r="B54" s="5" t="str">
        <f>IFERROR(__xludf.DUMMYFUNCTION("GOOGLETRANSLATE(H54, ""th"", ""en"")"),"What should you do if there is a change of route during the race?")</f>
        <v>What should you do if there is a change of route during the race?</v>
      </c>
      <c r="C54" s="5" t="str">
        <f>IFERROR(__xludf.DUMMYFUNCTION("GOOGLETRANSLATE(I54, ""th"", ""en"")"),"A) Correct the boat's direction immediately; B) Stop and ask the referee; C) Continue to row; D) Speed ​​up.")</f>
        <v>A) Correct the boat's direction immediately; B) Stop and ask the referee; C) Continue to row; D) Speed ​​up.</v>
      </c>
      <c r="D54" s="5" t="str">
        <f>IFERROR(__xludf.DUMMYFUNCTION("GOOGLETRANSLATE(J54, ""th"", ""en"")"),"A) Immediately adjust the ship's direction.")</f>
        <v>A) Immediately adjust the ship's direction.</v>
      </c>
      <c r="E54" s="5" t="str">
        <f>IFERROR(__xludf.DUMMYFUNCTION("GOOGLETRANSLATE(K54, ""th"", ""en"")"),"Orientation helps you stay on the right track.")</f>
        <v>Orientation helps you stay on the right track.</v>
      </c>
      <c r="G54" s="6">
        <v>53.0</v>
      </c>
      <c r="H54" s="7" t="s">
        <v>206</v>
      </c>
      <c r="I54" s="7" t="s">
        <v>207</v>
      </c>
      <c r="J54" s="7" t="s">
        <v>43</v>
      </c>
      <c r="K54" s="7" t="s">
        <v>208</v>
      </c>
    </row>
    <row r="55" ht="14.25" customHeight="1">
      <c r="A55" s="4">
        <v>54.0</v>
      </c>
      <c r="B55" s="5" t="str">
        <f>IFERROR(__xludf.DUMMYFUNCTION("GOOGLETRANSLATE(H55, ""th"", ""en"")"),"During the race, we saw that the route had changed. What would you do?")</f>
        <v>During the race, we saw that the route had changed. What would you do?</v>
      </c>
      <c r="C55" s="5" t="str">
        <f>IFERROR(__xludf.DUMMYFUNCTION("GOOGLETRANSLATE(I55, ""th"", ""en"")"),"A) Notify the referee; B) Continue the match; C) Stop the match; D) Do nothing.")</f>
        <v>A) Notify the referee; B) Continue the match; C) Stop the match; D) Do nothing.</v>
      </c>
      <c r="D55" s="5" t="str">
        <f>IFERROR(__xludf.DUMMYFUNCTION("GOOGLETRANSLATE(J55, ""th"", ""en"")"),"A) Inform the committee.")</f>
        <v>A) Inform the committee.</v>
      </c>
      <c r="E55" s="5" t="str">
        <f>IFERROR(__xludf.DUMMYFUNCTION("GOOGLETRANSLATE(K55, ""th"", ""en"")"),"Informing the board allows the situation to be handled appropriately.")</f>
        <v>Informing the board allows the situation to be handled appropriately.</v>
      </c>
      <c r="G55" s="6">
        <v>54.0</v>
      </c>
      <c r="H55" s="7" t="s">
        <v>209</v>
      </c>
      <c r="I55" s="7" t="s">
        <v>210</v>
      </c>
      <c r="J55" s="7" t="s">
        <v>20</v>
      </c>
      <c r="K55" s="7" t="s">
        <v>211</v>
      </c>
    </row>
    <row r="56" ht="14.25" customHeight="1">
      <c r="A56" s="4">
        <v>55.0</v>
      </c>
      <c r="B56" s="5" t="str">
        <f>IFERROR(__xludf.DUMMYFUNCTION("GOOGLETRANSLATE(H56, ""th"", ""en"")"),"If your team encounters a problem with their equipment, what will you do?")</f>
        <v>If your team encounters a problem with their equipment, what will you do?</v>
      </c>
      <c r="C56" s="5" t="str">
        <f>IFERROR(__xludf.DUMMYFUNCTION("GOOGLETRANSLATE(I56, ""th"", ""en"")"),"A) Notify the referee and ask for help; B) Attempt to repair it yourself; C) Stop the match; D) Continue the match.")</f>
        <v>A) Notify the referee and ask for help; B) Attempt to repair it yourself; C) Stop the match; D) Continue the match.</v>
      </c>
      <c r="D56" s="5" t="str">
        <f>IFERROR(__xludf.DUMMYFUNCTION("GOOGLETRANSLATE(J56, ""th"", ""en"")"),"A) Inform the committee and ask for help.")</f>
        <v>A) Inform the committee and ask for help.</v>
      </c>
      <c r="E56" s="5" t="str">
        <f>IFERROR(__xludf.DUMMYFUNCTION("GOOGLETRANSLATE(K56, ""th"", ""en"")"),"Informing the board allows for proper resolution of the issue.")</f>
        <v>Informing the board allows for proper resolution of the issue.</v>
      </c>
      <c r="G56" s="6">
        <v>55.0</v>
      </c>
      <c r="H56" s="7" t="s">
        <v>212</v>
      </c>
      <c r="I56" s="7" t="s">
        <v>213</v>
      </c>
      <c r="J56" s="7" t="s">
        <v>175</v>
      </c>
      <c r="K56" s="7" t="s">
        <v>214</v>
      </c>
    </row>
    <row r="57" ht="14.25" customHeight="1">
      <c r="A57" s="4">
        <v>56.0</v>
      </c>
      <c r="B57" s="5" t="str">
        <f>IFERROR(__xludf.DUMMYFUNCTION("GOOGLETRANSLATE(H57, ""th"", ""en"")"),"What should you do when you see a violation of the rules on your team?")</f>
        <v>What should you do when you see a violation of the rules on your team?</v>
      </c>
      <c r="C57" s="5" t="str">
        <f>IFERROR(__xludf.DUMMYFUNCTION("GOOGLETRANSLATE(I57, ""th"", ""en"")"),"A) Notify the coach; B) Stop the practice; C) Make corrections immediately; D) Follow the original rules.")</f>
        <v>A) Notify the coach; B) Stop the practice; C) Make corrections immediately; D) Follow the original rules.</v>
      </c>
      <c r="D57" s="5" t="str">
        <f>IFERROR(__xludf.DUMMYFUNCTION("GOOGLETRANSLATE(J57, ""th"", ""en"")"),"A) Inform the trainer.")</f>
        <v>A) Inform the trainer.</v>
      </c>
      <c r="E57" s="5" t="str">
        <f>IFERROR(__xludf.DUMMYFUNCTION("GOOGLETRANSLATE(K57, ""th"", ""en"")"),"Notifying the trainer allows for corrective action to be taken against the rules.")</f>
        <v>Notifying the trainer allows for corrective action to be taken against the rules.</v>
      </c>
      <c r="G57" s="6">
        <v>56.0</v>
      </c>
      <c r="H57" s="7" t="s">
        <v>215</v>
      </c>
      <c r="I57" s="7" t="s">
        <v>216</v>
      </c>
      <c r="J57" s="7" t="s">
        <v>217</v>
      </c>
      <c r="K57" s="7" t="s">
        <v>218</v>
      </c>
    </row>
    <row r="58" ht="14.25" customHeight="1">
      <c r="A58" s="4">
        <v>57.0</v>
      </c>
      <c r="B58" s="5" t="str">
        <f>IFERROR(__xludf.DUMMYFUNCTION("GOOGLETRANSLATE(H58, ""th"", ""en"")"),"What should you do if you find yourself feeling fatigued during a competition?")</f>
        <v>What should you do if you find yourself feeling fatigued during a competition?</v>
      </c>
      <c r="C58" s="5" t="str">
        <f>IFERROR(__xludf.DUMMYFUNCTION("GOOGLETRANSLATE(I58, ""th"", ""en"")"),"A) Excuse yourself from the race; B) Continue paddling; C) Notify the coach; D) Stop the race.")</f>
        <v>A) Excuse yourself from the race; B) Continue paddling; C) Notify the coach; D) Stop the race.</v>
      </c>
      <c r="D58" s="5" t="str">
        <f>IFERROR(__xludf.DUMMYFUNCTION("GOOGLETRANSLATE(J58, ""th"", ""en"")"),"C) Inform the trainer.")</f>
        <v>C) Inform the trainer.</v>
      </c>
      <c r="E58" s="5" t="str">
        <f>IFERROR(__xludf.DUMMYFUNCTION("GOOGLETRANSLATE(K58, ""th"", ""en"")"),"Informing the coach allows for appropriate decisions to be made in that situation.")</f>
        <v>Informing the coach allows for appropriate decisions to be made in that situation.</v>
      </c>
      <c r="G58" s="6">
        <v>57.0</v>
      </c>
      <c r="H58" s="7" t="s">
        <v>219</v>
      </c>
      <c r="I58" s="7" t="s">
        <v>220</v>
      </c>
      <c r="J58" s="7" t="s">
        <v>221</v>
      </c>
      <c r="K58" s="7" t="s">
        <v>222</v>
      </c>
    </row>
    <row r="59" ht="14.25" customHeight="1">
      <c r="A59" s="4">
        <v>58.0</v>
      </c>
      <c r="B59" s="5" t="str">
        <f>IFERROR(__xludf.DUMMYFUNCTION("GOOGLETRANSLATE(H59, ""th"", ""en"")"),"What should you do if your boat tilts excessively during a race?")</f>
        <v>What should you do if your boat tilts excessively during a race?</v>
      </c>
      <c r="C59" s="5" t="str">
        <f>IFERROR(__xludf.DUMMYFUNCTION("GOOGLETRANSLATE(I59, ""th"", ""en"")"),"A) Adjust direction and try to maintain balance; B) Notify the referee; C) Stop the race; D) Try to paddle harder.")</f>
        <v>A) Adjust direction and try to maintain balance; B) Notify the referee; C) Stop the race; D) Try to paddle harder.</v>
      </c>
      <c r="D59" s="5" t="str">
        <f>IFERROR(__xludf.DUMMYFUNCTION("GOOGLETRANSLATE(J59, ""th"", ""en"")"),"A) Adjust direction and try to maintain balance.")</f>
        <v>A) Adjust direction and try to maintain balance.</v>
      </c>
      <c r="E59" s="5" t="str">
        <f>IFERROR(__xludf.DUMMYFUNCTION("GOOGLETRANSLATE(K59, ""th"", ""en"")"),"Maintaining the boat's balance helps the race to be in line with the rules.")</f>
        <v>Maintaining the boat's balance helps the race to be in line with the rules.</v>
      </c>
      <c r="G59" s="6">
        <v>58.0</v>
      </c>
      <c r="H59" s="7" t="s">
        <v>223</v>
      </c>
      <c r="I59" s="7" t="s">
        <v>224</v>
      </c>
      <c r="J59" s="7" t="s">
        <v>225</v>
      </c>
      <c r="K59" s="7" t="s">
        <v>226</v>
      </c>
    </row>
    <row r="60" ht="14.25" customHeight="1">
      <c r="A60" s="4">
        <v>59.0</v>
      </c>
      <c r="B60" s="5" t="str">
        <f>IFERROR(__xludf.DUMMYFUNCTION("GOOGLETRANSLATE(H60, ""th"", ""en"")"),"During the race, you see that the route has safety issues. What do you do?")</f>
        <v>During the race, you see that the route has safety issues. What do you do?</v>
      </c>
      <c r="C60" s="5" t="str">
        <f>IFERROR(__xludf.DUMMYFUNCTION("GOOGLETRANSLATE(I60, ""th"", ""en"")"),"A) Notify the referee and stop the game; B) Continue the game; C) Notify the team to be careful; D) Stop practice.")</f>
        <v>A) Notify the referee and stop the game; B) Continue the game; C) Notify the team to be careful; D) Stop practice.</v>
      </c>
      <c r="D60" s="5" t="str">
        <f>IFERROR(__xludf.DUMMYFUNCTION("GOOGLETRANSLATE(J60, ""th"", ""en"")"),"A) Inform the referee and stop the match.")</f>
        <v>A) Inform the referee and stop the match.</v>
      </c>
      <c r="E60" s="5" t="str">
        <f>IFERROR(__xludf.DUMMYFUNCTION("GOOGLETRANSLATE(K60, ""th"", ""en"")"),"Informing the referee helps to make the correct decision.")</f>
        <v>Informing the referee helps to make the correct decision.</v>
      </c>
      <c r="G60" s="6">
        <v>59.0</v>
      </c>
      <c r="H60" s="7" t="s">
        <v>227</v>
      </c>
      <c r="I60" s="7" t="s">
        <v>228</v>
      </c>
      <c r="J60" s="7" t="s">
        <v>229</v>
      </c>
      <c r="K60" s="7" t="s">
        <v>188</v>
      </c>
    </row>
    <row r="61" ht="14.25" customHeight="1">
      <c r="A61" s="4">
        <v>60.0</v>
      </c>
      <c r="B61" s="5" t="str">
        <f>IFERROR(__xludf.DUMMYFUNCTION("GOOGLETRANSLATE(H61, ""th"", ""en"")"),"When the referee's decision is announced during the match, what should you do?")</f>
        <v>When the referee's decision is announced during the match, what should you do?</v>
      </c>
      <c r="C61" s="5" t="str">
        <f>IFERROR(__xludf.DUMMYFUNCTION("GOOGLETRANSLATE(I61, ""th"", ""en"")"),"A) Follow the judge's decision; B) Complain to the judge; C) Ask for reasons; D) Ignore the decision.")</f>
        <v>A) Follow the judge's decision; B) Complain to the judge; C) Ask for reasons; D) Ignore the decision.</v>
      </c>
      <c r="D61" s="5" t="str">
        <f>IFERROR(__xludf.DUMMYFUNCTION("GOOGLETRANSLATE(J61, ""th"", ""en"")"),"A) Comply with the judges' decisions.")</f>
        <v>A) Comply with the judges' decisions.</v>
      </c>
      <c r="E61" s="5" t="str">
        <f>IFERROR(__xludf.DUMMYFUNCTION("GOOGLETRANSLATE(K61, ""th"", ""en"")"),"Compliance with the decisions helps the competition to be in accordance with the rules.")</f>
        <v>Compliance with the decisions helps the competition to be in accordance with the rules.</v>
      </c>
      <c r="G61" s="6">
        <v>60.0</v>
      </c>
      <c r="H61" s="7" t="s">
        <v>230</v>
      </c>
      <c r="I61" s="7" t="s">
        <v>231</v>
      </c>
      <c r="J61" s="7" t="s">
        <v>232</v>
      </c>
      <c r="K61" s="7" t="s">
        <v>233</v>
      </c>
    </row>
    <row r="62" ht="14.25" customHeight="1">
      <c r="A62" s="4">
        <v>61.0</v>
      </c>
      <c r="B62" s="5" t="str">
        <f>IFERROR(__xludf.DUMMYFUNCTION("GOOGLETRANSLATE(H62, ""th"", ""en"")"),"During the competition, you find out that the rules have been changed. What will you do?")</f>
        <v>During the competition, you find out that the rules have been changed. What will you do?</v>
      </c>
      <c r="C62" s="5" t="str">
        <f>IFERROR(__xludf.DUMMYFUNCTION("GOOGLETRANSLATE(I62, ""th"", ""en"")"),"A) Immediately adapt to the new rules; B) Ignore the change; C) Be suspicious and ask the referee; D) Stop the match.")</f>
        <v>A) Immediately adapt to the new rules; B) Ignore the change; C) Be suspicious and ask the referee; D) Stop the match.</v>
      </c>
      <c r="D62" s="5" t="str">
        <f>IFERROR(__xludf.DUMMYFUNCTION("GOOGLETRANSLATE(J62, ""th"", ""en"")"),"A) Adapt to the new rules immediately.")</f>
        <v>A) Adapt to the new rules immediately.</v>
      </c>
      <c r="E62" s="5" t="str">
        <f>IFERROR(__xludf.DUMMYFUNCTION("GOOGLETRANSLATE(K62, ""th"", ""en"")"),"Adapting to the new rules helps the competition go well.")</f>
        <v>Adapting to the new rules helps the competition go well.</v>
      </c>
      <c r="G62" s="6">
        <v>61.0</v>
      </c>
      <c r="H62" s="7" t="s">
        <v>234</v>
      </c>
      <c r="I62" s="7" t="s">
        <v>235</v>
      </c>
      <c r="J62" s="7" t="s">
        <v>236</v>
      </c>
      <c r="K62" s="7" t="s">
        <v>237</v>
      </c>
    </row>
    <row r="63" ht="14.25" customHeight="1">
      <c r="A63" s="4">
        <v>62.0</v>
      </c>
      <c r="B63" s="5" t="str">
        <f>IFERROR(__xludf.DUMMYFUNCTION("GOOGLETRANSLATE(H63, ""th"", ""en"")"),"If your boat has a problem in the middle of a race, what will you do?")</f>
        <v>If your boat has a problem in the middle of a race, what will you do?</v>
      </c>
      <c r="C63" s="5" t="str">
        <f>IFERROR(__xludf.DUMMYFUNCTION("GOOGLETRANSLATE(I63, ""th"", ""en"")"),"A) Notify the referee and ask for help; B) Try to fix it yourself; C) Stop the match immediately; D) Continue playing.")</f>
        <v>A) Notify the referee and ask for help; B) Try to fix it yourself; C) Stop the match immediately; D) Continue playing.</v>
      </c>
      <c r="D63" s="5" t="str">
        <f>IFERROR(__xludf.DUMMYFUNCTION("GOOGLETRANSLATE(J63, ""th"", ""en"")"),"A) Inform the committee and ask for assistance.")</f>
        <v>A) Inform the committee and ask for assistance.</v>
      </c>
      <c r="E63" s="5" t="str">
        <f>IFERROR(__xludf.DUMMYFUNCTION("GOOGLETRANSLATE(K63, ""th"", ""en"")"),"Informing the board of directors is the correct action.")</f>
        <v>Informing the board of directors is the correct action.</v>
      </c>
      <c r="G63" s="6">
        <v>62.0</v>
      </c>
      <c r="H63" s="7" t="s">
        <v>238</v>
      </c>
      <c r="I63" s="7" t="s">
        <v>239</v>
      </c>
      <c r="J63" s="7" t="s">
        <v>240</v>
      </c>
      <c r="K63" s="7" t="s">
        <v>241</v>
      </c>
    </row>
    <row r="64" ht="14.25" customHeight="1">
      <c r="A64" s="4">
        <v>63.0</v>
      </c>
      <c r="B64" s="5" t="str">
        <f>IFERROR(__xludf.DUMMYFUNCTION("GOOGLETRANSLATE(H64, ""th"", ""en"")"),"If your team breaks the rules in practice, what will you do?")</f>
        <v>If your team breaks the rules in practice, what will you do?</v>
      </c>
      <c r="C64" s="5" t="str">
        <f>IFERROR(__xludf.DUMMYFUNCTION("GOOGLETRANSLATE(I64, ""th"", ""en"")"),"A) Inform the coach; B) Follow the original rules; C) Ignore; D) Stop practicing.")</f>
        <v>A) Inform the coach; B) Follow the original rules; C) Ignore; D) Stop practicing.</v>
      </c>
      <c r="D64" s="5" t="str">
        <f>IFERROR(__xludf.DUMMYFUNCTION("GOOGLETRANSLATE(J64, ""th"", ""en"")"),"A) Inform the trainer.")</f>
        <v>A) Inform the trainer.</v>
      </c>
      <c r="E64" s="5" t="str">
        <f>IFERROR(__xludf.DUMMYFUNCTION("GOOGLETRANSLATE(K64, ""th"", ""en"")"),"Informing the coach allows for training improvements.")</f>
        <v>Informing the coach allows for training improvements.</v>
      </c>
      <c r="G64" s="6">
        <v>63.0</v>
      </c>
      <c r="H64" s="7" t="s">
        <v>242</v>
      </c>
      <c r="I64" s="7" t="s">
        <v>243</v>
      </c>
      <c r="J64" s="7" t="s">
        <v>217</v>
      </c>
      <c r="K64" s="7" t="s">
        <v>244</v>
      </c>
    </row>
    <row r="65" ht="14.25" customHeight="1">
      <c r="A65" s="4">
        <v>64.0</v>
      </c>
      <c r="B65" s="5" t="str">
        <f>IFERROR(__xludf.DUMMYFUNCTION("GOOGLETRANSLATE(H65, ""th"", ""en"")"),"During the race, you see an object blocking your way. What do you do?")</f>
        <v>During the race, you see an object blocking your way. What do you do?</v>
      </c>
      <c r="C65" s="5" t="str">
        <f>IFERROR(__xludf.DUMMYFUNCTION("GOOGLETRANSLATE(I65, ""th"", ""en"")"),"A) inform the referee; B) avoid the game on your own; C) stop the game; D) continue the game.")</f>
        <v>A) inform the referee; B) avoid the game on your own; C) stop the game; D) continue the game.</v>
      </c>
      <c r="D65" s="5" t="str">
        <f>IFERROR(__xludf.DUMMYFUNCTION("GOOGLETRANSLATE(J65, ""th"", ""en"")"),"A) Inform the committee.")</f>
        <v>A) Inform the committee.</v>
      </c>
      <c r="E65" s="5" t="str">
        <f>IFERROR(__xludf.DUMMYFUNCTION("GOOGLETRANSLATE(K65, ""th"", ""en"")"),"Informing the board allows the situation to be managed well.")</f>
        <v>Informing the board allows the situation to be managed well.</v>
      </c>
      <c r="G65" s="6">
        <v>64.0</v>
      </c>
      <c r="H65" s="7" t="s">
        <v>245</v>
      </c>
      <c r="I65" s="7" t="s">
        <v>246</v>
      </c>
      <c r="J65" s="7" t="s">
        <v>20</v>
      </c>
      <c r="K65" s="7" t="s">
        <v>247</v>
      </c>
    </row>
    <row r="66" ht="14.25" customHeight="1">
      <c r="A66" s="4">
        <v>65.0</v>
      </c>
      <c r="B66" s="5" t="str">
        <f>IFERROR(__xludf.DUMMYFUNCTION("GOOGLETRANSLATE(H66, ""th"", ""en"")"),"What should you do if the opposing team violates the rules?")</f>
        <v>What should you do if the opposing team violates the rules?</v>
      </c>
      <c r="C66" s="5" t="str">
        <f>IFERROR(__xludf.DUMMYFUNCTION("GOOGLETRANSLATE(I66, ""th"", ""en"")"),"A) Inform the board; B) Avoid the conversation; C) Try to find a solution; D) Do nothing.")</f>
        <v>A) Inform the board; B) Avoid the conversation; C) Try to find a solution; D) Do nothing.</v>
      </c>
      <c r="D66" s="5" t="str">
        <f>IFERROR(__xludf.DUMMYFUNCTION("GOOGLETRANSLATE(J66, ""th"", ""en"")"),"A) Inform the committee.")</f>
        <v>A) Inform the committee.</v>
      </c>
      <c r="E66" s="5" t="str">
        <f>IFERROR(__xludf.DUMMYFUNCTION("GOOGLETRANSLATE(K66, ""th"", ""en"")"),"Informing the referee helps the competition to be in accordance with the rules.")</f>
        <v>Informing the referee helps the competition to be in accordance with the rules.</v>
      </c>
      <c r="G66" s="6">
        <v>65.0</v>
      </c>
      <c r="H66" s="7" t="s">
        <v>248</v>
      </c>
      <c r="I66" s="7" t="s">
        <v>249</v>
      </c>
      <c r="J66" s="7" t="s">
        <v>20</v>
      </c>
      <c r="K66" s="7" t="s">
        <v>250</v>
      </c>
    </row>
    <row r="67" ht="14.25" customHeight="1">
      <c r="A67" s="4">
        <v>66.0</v>
      </c>
      <c r="B67" s="5" t="str">
        <f>IFERROR(__xludf.DUMMYFUNCTION("GOOGLETRANSLATE(H67, ""th"", ""en"")"),"If the race route is unclear, what should you do?")</f>
        <v>If the race route is unclear, what should you do?</v>
      </c>
      <c r="C67" s="5" t="str">
        <f>IFERROR(__xludf.DUMMYFUNCTION("GOOGLETRANSLATE(I67, ""th"", ""en"")"),"A) Inform the referee to point out the correct route; B) Continue the race without doing anything; C) Stop the race; D) Try to choose the route yourself.")</f>
        <v>A) Inform the referee to point out the correct route; B) Continue the race without doing anything; C) Stop the race; D) Try to choose the route yourself.</v>
      </c>
      <c r="D67" s="5" t="str">
        <f>IFERROR(__xludf.DUMMYFUNCTION("GOOGLETRANSLATE(J67, ""th"", ""en"")"),"A) Inform the committee to guide them on the correct path.")</f>
        <v>A) Inform the committee to guide them on the correct path.</v>
      </c>
      <c r="E67" s="5" t="str">
        <f>IFERROR(__xludf.DUMMYFUNCTION("GOOGLETRANSLATE(K67, ""th"", ""en"")"),"Informing the referee helps the competition to run fairly.")</f>
        <v>Informing the referee helps the competition to run fairly.</v>
      </c>
      <c r="G67" s="6">
        <v>66.0</v>
      </c>
      <c r="H67" s="7" t="s">
        <v>251</v>
      </c>
      <c r="I67" s="7" t="s">
        <v>252</v>
      </c>
      <c r="J67" s="7" t="s">
        <v>253</v>
      </c>
      <c r="K67" s="7" t="s">
        <v>254</v>
      </c>
    </row>
    <row r="68" ht="14.25" customHeight="1">
      <c r="A68" s="4">
        <v>67.0</v>
      </c>
      <c r="B68" s="5" t="str">
        <f>IFERROR(__xludf.DUMMYFUNCTION("GOOGLETRANSLATE(H68, ""th"", ""en"")"),"What should you do when you see your team committing fouls in practice?")</f>
        <v>What should you do when you see your team committing fouls in practice?</v>
      </c>
      <c r="C68" s="5" t="str">
        <f>IFERROR(__xludf.DUMMYFUNCTION("GOOGLETRANSLATE(I68, ""th"", ""en"")"),"A) Inform the coach; B) Do nothing; C) Ignore it; D) Complain to the team.")</f>
        <v>A) Inform the coach; B) Do nothing; C) Ignore it; D) Complain to the team.</v>
      </c>
      <c r="D68" s="5" t="str">
        <f>IFERROR(__xludf.DUMMYFUNCTION("GOOGLETRANSLATE(J68, ""th"", ""en"")"),"A) Inform the trainer.")</f>
        <v>A) Inform the trainer.</v>
      </c>
      <c r="E68" s="5" t="str">
        <f>IFERROR(__xludf.DUMMYFUNCTION("GOOGLETRANSLATE(K68, ""th"", ""en"")"),"Informing the coach helps keep training in line with the rules.")</f>
        <v>Informing the coach helps keep training in line with the rules.</v>
      </c>
      <c r="G68" s="6">
        <v>67.0</v>
      </c>
      <c r="H68" s="7" t="s">
        <v>255</v>
      </c>
      <c r="I68" s="7" t="s">
        <v>256</v>
      </c>
      <c r="J68" s="7" t="s">
        <v>217</v>
      </c>
      <c r="K68" s="7" t="s">
        <v>257</v>
      </c>
    </row>
    <row r="69" ht="14.25" customHeight="1">
      <c r="A69" s="4">
        <v>68.0</v>
      </c>
      <c r="B69" s="5" t="str">
        <f>IFERROR(__xludf.DUMMYFUNCTION("GOOGLETRANSLATE(H69, ""th"", ""en"")"),"During the race, what should you do if you see an obstacle in the water?")</f>
        <v>During the race, what should you do if you see an obstacle in the water?</v>
      </c>
      <c r="C69" s="5" t="str">
        <f>IFERROR(__xludf.DUMMYFUNCTION("GOOGLETRANSLATE(I69, ""th"", ""en"")"),"A) inform the referee of the decision; B) avoid it yourself; C) do nothing; D) stop the match.")</f>
        <v>A) inform the referee of the decision; B) avoid it yourself; C) do nothing; D) stop the match.</v>
      </c>
      <c r="D69" s="5" t="str">
        <f>IFERROR(__xludf.DUMMYFUNCTION("GOOGLETRANSLATE(J69, ""th"", ""en"")"),"A) Inform the board of directors for decision.")</f>
        <v>A) Inform the board of directors for decision.</v>
      </c>
      <c r="E69" s="5" t="str">
        <f>IFERROR(__xludf.DUMMYFUNCTION("GOOGLETRANSLATE(K69, ""th"", ""en"")"),"Informing the board helped the situation to be resolved.")</f>
        <v>Informing the board helped the situation to be resolved.</v>
      </c>
      <c r="G69" s="6">
        <v>68.0</v>
      </c>
      <c r="H69" s="7" t="s">
        <v>258</v>
      </c>
      <c r="I69" s="7" t="s">
        <v>259</v>
      </c>
      <c r="J69" s="7" t="s">
        <v>260</v>
      </c>
      <c r="K69" s="7" t="s">
        <v>261</v>
      </c>
    </row>
    <row r="70" ht="14.25" customHeight="1">
      <c r="A70" s="4">
        <v>69.0</v>
      </c>
      <c r="B70" s="5" t="str">
        <f>IFERROR(__xludf.DUMMYFUNCTION("GOOGLETRANSLATE(H70, ""th"", ""en"")"),"If you encounter a problem with your boat while practicing, what should you do?")</f>
        <v>If you encounter a problem with your boat while practicing, what should you do?</v>
      </c>
      <c r="C70" s="5" t="str">
        <f>IFERROR(__xludf.DUMMYFUNCTION("GOOGLETRANSLATE(I70, ""th"", ""en"")"),"A) Notify the trainer and stop training; B) Repair it yourself; C) Wait for the problem to go away on its own; D) Abandon ship.")</f>
        <v>A) Notify the trainer and stop training; B) Repair it yourself; C) Wait for the problem to go away on its own; D) Abandon ship.</v>
      </c>
      <c r="D70" s="5" t="str">
        <f>IFERROR(__xludf.DUMMYFUNCTION("GOOGLETRANSLATE(J70, ""th"", ""en"")"),"A) Inform the trainer and stop practicing.")</f>
        <v>A) Inform the trainer and stop practicing.</v>
      </c>
      <c r="E70" s="5" t="str">
        <f>IFERROR(__xludf.DUMMYFUNCTION("GOOGLETRANSLATE(K70, ""th"", ""en"")"),"Informing the coach allows the training to continue safely.")</f>
        <v>Informing the coach allows the training to continue safely.</v>
      </c>
      <c r="G70" s="6">
        <v>69.0</v>
      </c>
      <c r="H70" s="7" t="s">
        <v>262</v>
      </c>
      <c r="I70" s="7" t="s">
        <v>263</v>
      </c>
      <c r="J70" s="7" t="s">
        <v>264</v>
      </c>
      <c r="K70" s="7" t="s">
        <v>265</v>
      </c>
    </row>
    <row r="71" ht="14.25" customHeight="1">
      <c r="A71" s="4">
        <v>70.0</v>
      </c>
      <c r="B71" s="5" t="str">
        <f>IFERROR(__xludf.DUMMYFUNCTION("GOOGLETRANSLATE(H71, ""th"", ""en"")"),"During the race, you see a problem with the race route. What do you do?")</f>
        <v>During the race, you see a problem with the race route. What do you do?</v>
      </c>
      <c r="C71" s="5" t="str">
        <f>IFERROR(__xludf.DUMMYFUNCTION("GOOGLETRANSLATE(I71, ""th"", ""en"")"),"A) Inform the referee and ask for correction; B) Continue the match; C) Stop the match; D) Complain to the referee.")</f>
        <v>A) Inform the referee and ask for correction; B) Continue the match; C) Stop the match; D) Complain to the referee.</v>
      </c>
      <c r="D71" s="5" t="str">
        <f>IFERROR(__xludf.DUMMYFUNCTION("GOOGLETRANSLATE(J71, ""th"", ""en"")"),"A) Inform the committee and ask for corrections.")</f>
        <v>A) Inform the committee and ask for corrections.</v>
      </c>
      <c r="E71" s="5" t="str">
        <f>IFERROR(__xludf.DUMMYFUNCTION("GOOGLETRANSLATE(K71, ""th"", ""en"")"),"Informing the referee helps to make the competition fair.")</f>
        <v>Informing the referee helps to make the competition fair.</v>
      </c>
      <c r="G71" s="6">
        <v>70.0</v>
      </c>
      <c r="H71" s="7" t="s">
        <v>266</v>
      </c>
      <c r="I71" s="7" t="s">
        <v>267</v>
      </c>
      <c r="J71" s="7" t="s">
        <v>268</v>
      </c>
      <c r="K71" s="7" t="s">
        <v>269</v>
      </c>
    </row>
    <row r="72" ht="14.25" customHeight="1">
      <c r="A72" s="4">
        <v>71.0</v>
      </c>
      <c r="B72" s="5" t="str">
        <f>IFERROR(__xludf.DUMMYFUNCTION("GOOGLETRANSLATE(H72, ""th"", ""en"")"),"What should you do if your team needs to make a player change during the match?")</f>
        <v>What should you do if your team needs to make a player change during the match?</v>
      </c>
      <c r="C72" s="5" t="str">
        <f>IFERROR(__xludf.DUMMYFUNCTION("GOOGLETRANSLATE(I72, ""th"", ""en"")"),"A) inform the referee; B) change without informing the referee; C) stop the match; D) do nothing.")</f>
        <v>A) inform the referee; B) change without informing the referee; C) stop the match; D) do nothing.</v>
      </c>
      <c r="D72" s="5" t="str">
        <f>IFERROR(__xludf.DUMMYFUNCTION("GOOGLETRANSLATE(J72, ""th"", ""en"")"),"A) Inform the committee.")</f>
        <v>A) Inform the committee.</v>
      </c>
      <c r="E72" s="5" t="str">
        <f>IFERROR(__xludf.DUMMYFUNCTION("GOOGLETRANSLATE(K72, ""th"", ""en"")"),"Informing the referee helps to make changes to players in accordance with the rules.")</f>
        <v>Informing the referee helps to make changes to players in accordance with the rules.</v>
      </c>
      <c r="G72" s="6">
        <v>71.0</v>
      </c>
      <c r="H72" s="7" t="s">
        <v>270</v>
      </c>
      <c r="I72" s="7" t="s">
        <v>271</v>
      </c>
      <c r="J72" s="7" t="s">
        <v>20</v>
      </c>
      <c r="K72" s="7" t="s">
        <v>272</v>
      </c>
    </row>
    <row r="73" ht="14.25" customHeight="1">
      <c r="A73" s="4">
        <v>72.0</v>
      </c>
      <c r="B73" s="5" t="str">
        <f>IFERROR(__xludf.DUMMYFUNCTION("GOOGLETRANSLATE(H73, ""th"", ""en"")"),"When the path starts to go wrong, what do you do?")</f>
        <v>When the path starts to go wrong, what do you do?</v>
      </c>
      <c r="C73" s="5" t="str">
        <f>IFERROR(__xludf.DUMMYFUNCTION("GOOGLETRANSLATE(I73, ""th"", ""en"")"),"A) Inform the referee and follow his instructions; B) Do nothing; C) Try to adjust the course yourself; D) Stop the race.")</f>
        <v>A) Inform the referee and follow his instructions; B) Do nothing; C) Try to adjust the course yourself; D) Stop the race.</v>
      </c>
      <c r="D73" s="5" t="str">
        <f>IFERROR(__xludf.DUMMYFUNCTION("GOOGLETRANSLATE(J73, ""th"", ""en"")"),"A) Inform the committee and follow their instructions.")</f>
        <v>A) Inform the committee and follow their instructions.</v>
      </c>
      <c r="E73" s="5" t="str">
        <f>IFERROR(__xludf.DUMMYFUNCTION("GOOGLETRANSLATE(K73, ""th"", ""en"")"),"Informing the referee helps ensure fair decisions.")</f>
        <v>Informing the referee helps ensure fair decisions.</v>
      </c>
      <c r="G73" s="6">
        <v>72.0</v>
      </c>
      <c r="H73" s="7" t="s">
        <v>273</v>
      </c>
      <c r="I73" s="7" t="s">
        <v>274</v>
      </c>
      <c r="J73" s="7" t="s">
        <v>275</v>
      </c>
      <c r="K73" s="7" t="s">
        <v>203</v>
      </c>
    </row>
    <row r="74" ht="14.25" customHeight="1">
      <c r="A74" s="4">
        <v>73.0</v>
      </c>
      <c r="B74" s="5" t="str">
        <f>IFERROR(__xludf.DUMMYFUNCTION("GOOGLETRANSLATE(H74, ""th"", ""en"")"),"During the race, you see that the race route is blocked. What do you do?")</f>
        <v>During the race, you see that the race route is blocked. What do you do?</v>
      </c>
      <c r="C74" s="5" t="str">
        <f>IFERROR(__xludf.DUMMYFUNCTION("GOOGLETRANSLATE(I74, ""th"", ""en"")"),"A) Inform the referee to find a solution; B) Avoid it yourself; C) Continue playing as normal; D) Stop the game.")</f>
        <v>A) Inform the referee to find a solution; B) Avoid it yourself; C) Continue playing as normal; D) Stop the game.</v>
      </c>
      <c r="D74" s="5" t="str">
        <f>IFERROR(__xludf.DUMMYFUNCTION("GOOGLETRANSLATE(J74, ""th"", ""en"")"),"A) Inform the committee to find a solution.")</f>
        <v>A) Inform the committee to find a solution.</v>
      </c>
      <c r="E74" s="5" t="str">
        <f>IFERROR(__xludf.DUMMYFUNCTION("GOOGLETRANSLATE(K74, ""th"", ""en"")"),"Informing the referee helps the competition to be held in accordance with the rules.")</f>
        <v>Informing the referee helps the competition to be held in accordance with the rules.</v>
      </c>
      <c r="G74" s="6">
        <v>73.0</v>
      </c>
      <c r="H74" s="7" t="s">
        <v>276</v>
      </c>
      <c r="I74" s="7" t="s">
        <v>277</v>
      </c>
      <c r="J74" s="7" t="s">
        <v>278</v>
      </c>
      <c r="K74" s="7" t="s">
        <v>279</v>
      </c>
    </row>
    <row r="75" ht="14.25" customHeight="1">
      <c r="A75" s="4">
        <v>74.0</v>
      </c>
      <c r="B75" s="5" t="str">
        <f>IFERROR(__xludf.DUMMYFUNCTION("GOOGLETRANSLATE(H75, ""th"", ""en"")"),"If your boat is damaged, what will you do?")</f>
        <v>If your boat is damaged, what will you do?</v>
      </c>
      <c r="C75" s="5" t="str">
        <f>IFERROR(__xludf.DUMMYFUNCTION("GOOGLETRANSLATE(I75, ""th"", ""en"")"),"A) Notify the referee and ask for help; B) Repair it yourself; C) Stop the match; D) Do nothing.")</f>
        <v>A) Notify the referee and ask for help; B) Repair it yourself; C) Stop the match; D) Do nothing.</v>
      </c>
      <c r="D75" s="5" t="str">
        <f>IFERROR(__xludf.DUMMYFUNCTION("GOOGLETRANSLATE(J75, ""th"", ""en"")"),"A) Inform the committee and ask for assistance.")</f>
        <v>A) Inform the committee and ask for assistance.</v>
      </c>
      <c r="E75" s="5" t="str">
        <f>IFERROR(__xludf.DUMMYFUNCTION("GOOGLETRANSLATE(K75, ""th"", ""en"")"),"Informing the referee allows for the situation to be resolved.")</f>
        <v>Informing the referee allows for the situation to be resolved.</v>
      </c>
      <c r="G75" s="6">
        <v>74.0</v>
      </c>
      <c r="H75" s="7" t="s">
        <v>280</v>
      </c>
      <c r="I75" s="7" t="s">
        <v>281</v>
      </c>
      <c r="J75" s="7" t="s">
        <v>240</v>
      </c>
      <c r="K75" s="7" t="s">
        <v>282</v>
      </c>
    </row>
    <row r="76" ht="14.25" customHeight="1">
      <c r="A76" s="4">
        <v>75.0</v>
      </c>
      <c r="B76" s="5" t="str">
        <f>IFERROR(__xludf.DUMMYFUNCTION("GOOGLETRANSLATE(H76, ""th"", ""en"")"),"During a match, what should you do if you see a player breaking the rules?")</f>
        <v>During a match, what should you do if you see a player breaking the rules?</v>
      </c>
      <c r="C76" s="5" t="str">
        <f>IFERROR(__xludf.DUMMYFUNCTION("GOOGLETRANSLATE(I76, ""th"", ""en"")"),"A) Notify the referee immediately; B) Avoid mentioning it; C) Tell the player to stop; D) Continue playing.")</f>
        <v>A) Notify the referee immediately; B) Avoid mentioning it; C) Tell the player to stop; D) Continue playing.</v>
      </c>
      <c r="D76" s="5" t="str">
        <f>IFERROR(__xludf.DUMMYFUNCTION("GOOGLETRANSLATE(J76, ""th"", ""en"")"),"A) Notify the committee immediately.")</f>
        <v>A) Notify the committee immediately.</v>
      </c>
      <c r="E76" s="5" t="str">
        <f>IFERROR(__xludf.DUMMYFUNCTION("GOOGLETRANSLATE(K76, ""th"", ""en"")"),"Informing the referee helps the competition to be in accordance with the rules.")</f>
        <v>Informing the referee helps the competition to be in accordance with the rules.</v>
      </c>
      <c r="G76" s="6">
        <v>75.0</v>
      </c>
      <c r="H76" s="7" t="s">
        <v>283</v>
      </c>
      <c r="I76" s="7" t="s">
        <v>284</v>
      </c>
      <c r="J76" s="7" t="s">
        <v>285</v>
      </c>
      <c r="K76" s="7" t="s">
        <v>250</v>
      </c>
    </row>
    <row r="77" ht="14.25" customHeight="1">
      <c r="A77" s="4">
        <v>76.0</v>
      </c>
      <c r="B77" s="5" t="str">
        <f>IFERROR(__xludf.DUMMYFUNCTION("GOOGLETRANSLATE(H77, ""th"", ""en"")"),"When you find out that a referee has acted unfairly, what should you do?")</f>
        <v>When you find out that a referee has acted unfairly, what should you do?</v>
      </c>
      <c r="C77" s="5" t="str">
        <f>IFERROR(__xludf.DUMMYFUNCTION("GOOGLETRANSLATE(I77, ""th"", ""en"")"),"A) inform the senior referee; B) do nothing; C) reject the decision; D) stop the match.")</f>
        <v>A) inform the senior referee; B) do nothing; C) reject the decision; D) stop the match.</v>
      </c>
      <c r="D77" s="5" t="str">
        <f>IFERROR(__xludf.DUMMYFUNCTION("GOOGLETRANSLATE(J77, ""th"", ""en"")"),"A) Inform the senior committee.")</f>
        <v>A) Inform the senior committee.</v>
      </c>
      <c r="E77" s="5" t="str">
        <f>IFERROR(__xludf.DUMMYFUNCTION("GOOGLETRANSLATE(K77, ""th"", ""en"")"),"Informing the senior committee allows for fair review and decision-making.")</f>
        <v>Informing the senior committee allows for fair review and decision-making.</v>
      </c>
      <c r="G77" s="6">
        <v>76.0</v>
      </c>
      <c r="H77" s="7" t="s">
        <v>286</v>
      </c>
      <c r="I77" s="7" t="s">
        <v>287</v>
      </c>
      <c r="J77" s="7" t="s">
        <v>288</v>
      </c>
      <c r="K77" s="7" t="s">
        <v>289</v>
      </c>
    </row>
    <row r="78" ht="14.25" customHeight="1">
      <c r="A78" s="4">
        <v>77.0</v>
      </c>
      <c r="B78" s="5" t="str">
        <f>IFERROR(__xludf.DUMMYFUNCTION("GOOGLETRANSLATE(H78, ""th"", ""en"")"),"During the race, what should you do if your boat starts having technical problems?")</f>
        <v>During the race, what should you do if your boat starts having technical problems?</v>
      </c>
      <c r="C78" s="5" t="str">
        <f>IFERROR(__xludf.DUMMYFUNCTION("GOOGLETRANSLATE(I78, ""th"", ""en"")"),"A) Inform the referee and ask for help; B) Try to fix it yourself; C) Stop the match; D) Continue the match.")</f>
        <v>A) Inform the referee and ask for help; B) Try to fix it yourself; C) Stop the match; D) Continue the match.</v>
      </c>
      <c r="D78" s="5" t="str">
        <f>IFERROR(__xludf.DUMMYFUNCTION("GOOGLETRANSLATE(J78, ""th"", ""en"")"),"A) Inform the committee and ask for help.")</f>
        <v>A) Inform the committee and ask for help.</v>
      </c>
      <c r="E78" s="5" t="str">
        <f>IFERROR(__xludf.DUMMYFUNCTION("GOOGLETRANSLATE(K78, ""th"", ""en"")"),"Informing the board of directors allows the problem to be properly resolved.")</f>
        <v>Informing the board of directors allows the problem to be properly resolved.</v>
      </c>
      <c r="G78" s="6">
        <v>77.0</v>
      </c>
      <c r="H78" s="7" t="s">
        <v>290</v>
      </c>
      <c r="I78" s="7" t="s">
        <v>291</v>
      </c>
      <c r="J78" s="7" t="s">
        <v>175</v>
      </c>
      <c r="K78" s="7" t="s">
        <v>292</v>
      </c>
    </row>
    <row r="79" ht="14.25" customHeight="1">
      <c r="A79" s="4">
        <v>78.0</v>
      </c>
      <c r="B79" s="5" t="str">
        <f>IFERROR(__xludf.DUMMYFUNCTION("GOOGLETRANSLATE(H79, ""th"", ""en"")"),"What should you do if you find you missed the pre-race boat inspection?")</f>
        <v>What should you do if you find you missed the pre-race boat inspection?</v>
      </c>
      <c r="C79" s="5" t="str">
        <f>IFERROR(__xludf.DUMMYFUNCTION("GOOGLETRANSLATE(I79, ""th"", ""en"")"),"A) Notify the referee immediately; B) Continue without notifying; C) Stop the match; D) Refuse to compete.")</f>
        <v>A) Notify the referee immediately; B) Continue without notifying; C) Stop the match; D) Refuse to compete.</v>
      </c>
      <c r="D79" s="5" t="str">
        <f>IFERROR(__xludf.DUMMYFUNCTION("GOOGLETRANSLATE(J79, ""th"", ""en"")"),"A) Notify the committee immediately.")</f>
        <v>A) Notify the committee immediately.</v>
      </c>
      <c r="E79" s="5" t="str">
        <f>IFERROR(__xludf.DUMMYFUNCTION("GOOGLETRANSLATE(K79, ""th"", ""en"")"),"Informing the board helped the situation to be resolved.")</f>
        <v>Informing the board helped the situation to be resolved.</v>
      </c>
      <c r="G79" s="6">
        <v>78.0</v>
      </c>
      <c r="H79" s="7" t="s">
        <v>293</v>
      </c>
      <c r="I79" s="7" t="s">
        <v>294</v>
      </c>
      <c r="J79" s="7" t="s">
        <v>285</v>
      </c>
      <c r="K79" s="7" t="s">
        <v>261</v>
      </c>
    </row>
    <row r="80" ht="14.25" customHeight="1">
      <c r="A80" s="4">
        <v>79.0</v>
      </c>
      <c r="B80" s="5" t="str">
        <f>IFERROR(__xludf.DUMMYFUNCTION("GOOGLETRANSLATE(H80, ""th"", ""en"")"),"During the race, you see that the track is abnormal. What do you do?")</f>
        <v>During the race, you see that the track is abnormal. What do you do?</v>
      </c>
      <c r="C80" s="5" t="str">
        <f>IFERROR(__xludf.DUMMYFUNCTION("GOOGLETRANSLATE(I80, ""th"", ""en"")"),"A) Notify the referee; B) Avoid the course yourself; C) Continue the race as normal; D) Stop the race.")</f>
        <v>A) Notify the referee; B) Avoid the course yourself; C) Continue the race as normal; D) Stop the race.</v>
      </c>
      <c r="D80" s="5" t="str">
        <f>IFERROR(__xludf.DUMMYFUNCTION("GOOGLETRANSLATE(J80, ""th"", ""en"")"),"A) Inform the committee.")</f>
        <v>A) Inform the committee.</v>
      </c>
      <c r="E80" s="5" t="str">
        <f>IFERROR(__xludf.DUMMYFUNCTION("GOOGLETRANSLATE(K80, ""th"", ""en"")"),"Informing the board allows the situation to be handled appropriately.")</f>
        <v>Informing the board allows the situation to be handled appropriately.</v>
      </c>
      <c r="G80" s="6">
        <v>79.0</v>
      </c>
      <c r="H80" s="7" t="s">
        <v>295</v>
      </c>
      <c r="I80" s="7" t="s">
        <v>296</v>
      </c>
      <c r="J80" s="7" t="s">
        <v>20</v>
      </c>
      <c r="K80" s="7" t="s">
        <v>297</v>
      </c>
    </row>
    <row r="81" ht="14.25" customHeight="1">
      <c r="A81" s="4">
        <v>80.0</v>
      </c>
      <c r="B81" s="5" t="str">
        <f>IFERROR(__xludf.DUMMYFUNCTION("GOOGLETRANSLATE(H81, ""th"", ""en"")"),"If you want to change your paddling strategy during the race, how do you do it?")</f>
        <v>If you want to change your paddling strategy during the race, how do you do it?</v>
      </c>
      <c r="C81" s="5" t="str">
        <f>IFERROR(__xludf.DUMMYFUNCTION("GOOGLETRANSLATE(I81, ""th"", ""en"")"),"A) Consult the coach; B) Change strategy without informing anyone; C) Stop the match; D) Continue with the original strategy.")</f>
        <v>A) Consult the coach; B) Change strategy without informing anyone; C) Stop the match; D) Continue with the original strategy.</v>
      </c>
      <c r="D81" s="5" t="str">
        <f>IFERROR(__xludf.DUMMYFUNCTION("GOOGLETRANSLATE(J81, ""th"", ""en"")"),"A) Consult your trainer.")</f>
        <v>A) Consult your trainer.</v>
      </c>
      <c r="E81" s="5" t="str">
        <f>IFERROR(__xludf.DUMMYFUNCTION("GOOGLETRANSLATE(K81, ""th"", ""en"")"),"Consulting a trainer can help make strategies more effective.")</f>
        <v>Consulting a trainer can help make strategies more effective.</v>
      </c>
      <c r="G81" s="6">
        <v>80.0</v>
      </c>
      <c r="H81" s="7" t="s">
        <v>298</v>
      </c>
      <c r="I81" s="7" t="s">
        <v>299</v>
      </c>
      <c r="J81" s="7" t="s">
        <v>300</v>
      </c>
      <c r="K81" s="7" t="s">
        <v>301</v>
      </c>
    </row>
    <row r="82" ht="14.25" customHeight="1">
      <c r="A82" s="4">
        <v>81.0</v>
      </c>
      <c r="B82" s="5" t="str">
        <f>IFERROR(__xludf.DUMMYFUNCTION("GOOGLETRANSLATE(H82, ""th"", ""en"")"),"In the event that your boat capsizes, what should you do?")</f>
        <v>In the event that your boat capsizes, what should you do?</v>
      </c>
      <c r="C82" s="5" t="str">
        <f>IFERROR(__xludf.DUMMYFUNCTION("GOOGLETRANSLATE(I82, ""th"", ""en"")"),"A) Notify the referee and wait for assistance; B) Attempt to turn the boat over; C) Stop the race; D) Ask to leave the race.")</f>
        <v>A) Notify the referee and wait for assistance; B) Attempt to turn the boat over; C) Stop the race; D) Ask to leave the race.</v>
      </c>
      <c r="D82" s="5" t="str">
        <f>IFERROR(__xludf.DUMMYFUNCTION("GOOGLETRANSLATE(J82, ""th"", ""en"")"),"A) Inform the committee and wait for assistance.")</f>
        <v>A) Inform the committee and wait for assistance.</v>
      </c>
      <c r="E82" s="5" t="str">
        <f>IFERROR(__xludf.DUMMYFUNCTION("GOOGLETRANSLATE(K82, ""th"", ""en"")"),"Notifying the board allows the situation to be handled safely.")</f>
        <v>Notifying the board allows the situation to be handled safely.</v>
      </c>
      <c r="G82" s="6">
        <v>81.0</v>
      </c>
      <c r="H82" s="7" t="s">
        <v>302</v>
      </c>
      <c r="I82" s="7" t="s">
        <v>303</v>
      </c>
      <c r="J82" s="7" t="s">
        <v>304</v>
      </c>
      <c r="K82" s="7" t="s">
        <v>305</v>
      </c>
    </row>
    <row r="83" ht="14.25" customHeight="1">
      <c r="A83" s="4">
        <v>82.0</v>
      </c>
      <c r="B83" s="5" t="str">
        <f>IFERROR(__xludf.DUMMYFUNCTION("GOOGLETRANSLATE(H83, ""th"", ""en"")"),"What should you do if your boat collides with a buoy?")</f>
        <v>What should you do if your boat collides with a buoy?</v>
      </c>
      <c r="C83" s="5" t="str">
        <f>IFERROR(__xludf.DUMMYFUNCTION("GOOGLETRANSLATE(I83, ""th"", ""en"")"),"A) Adjust direction and inform the referee; B) Try to avoid the game yourself; C) Stop the game; D) Continue playing without doing anything.")</f>
        <v>A) Adjust direction and inform the referee; B) Try to avoid the game yourself; C) Stop the game; D) Continue playing without doing anything.</v>
      </c>
      <c r="D83" s="5" t="str">
        <f>IFERROR(__xludf.DUMMYFUNCTION("GOOGLETRANSLATE(J83, ""th"", ""en"")"),"A) Adjust direction and inform the committee.")</f>
        <v>A) Adjust direction and inform the committee.</v>
      </c>
      <c r="E83" s="5" t="str">
        <f>IFERROR(__xludf.DUMMYFUNCTION("GOOGLETRANSLATE(K83, ""th"", ""en"")"),"Informing the referee helps to make the competition fair.")</f>
        <v>Informing the referee helps to make the competition fair.</v>
      </c>
      <c r="G83" s="6">
        <v>82.0</v>
      </c>
      <c r="H83" s="7" t="s">
        <v>306</v>
      </c>
      <c r="I83" s="7" t="s">
        <v>307</v>
      </c>
      <c r="J83" s="7" t="s">
        <v>308</v>
      </c>
      <c r="K83" s="7" t="s">
        <v>172</v>
      </c>
    </row>
    <row r="84" ht="14.25" customHeight="1">
      <c r="A84" s="4">
        <v>83.0</v>
      </c>
      <c r="B84" s="5" t="str">
        <f>IFERROR(__xludf.DUMMYFUNCTION("GOOGLETRANSLATE(H84, ""th"", ""en"")"),"During the race, you find that the route is not as planned. What will you do?")</f>
        <v>During the race, you find that the route is not as planned. What will you do?</v>
      </c>
      <c r="C84" s="5" t="str">
        <f>IFERROR(__xludf.DUMMYFUNCTION("GOOGLETRANSLATE(I84, ""th"", ""en"")"),"A) Inform the referee to adjust the course; B) Continue the race; C) Attempt to adjust the course himself; D) Stop the race.")</f>
        <v>A) Inform the referee to adjust the course; B) Continue the race; C) Attempt to adjust the course himself; D) Stop the race.</v>
      </c>
      <c r="D84" s="5" t="str">
        <f>IFERROR(__xludf.DUMMYFUNCTION("GOOGLETRANSLATE(J84, ""th"", ""en"")"),"A) Inform the committee to adjust the route.")</f>
        <v>A) Inform the committee to adjust the route.</v>
      </c>
      <c r="E84" s="5" t="str">
        <f>IFERROR(__xludf.DUMMYFUNCTION("GOOGLETRANSLATE(K84, ""th"", ""en"")"),"Informing the referee helps the competition to be in accordance with the rules.")</f>
        <v>Informing the referee helps the competition to be in accordance with the rules.</v>
      </c>
      <c r="G84" s="6">
        <v>83.0</v>
      </c>
      <c r="H84" s="7" t="s">
        <v>309</v>
      </c>
      <c r="I84" s="7" t="s">
        <v>310</v>
      </c>
      <c r="J84" s="7" t="s">
        <v>311</v>
      </c>
      <c r="K84" s="7" t="s">
        <v>250</v>
      </c>
    </row>
    <row r="85" ht="14.25" customHeight="1">
      <c r="A85" s="4">
        <v>84.0</v>
      </c>
      <c r="B85" s="5" t="str">
        <f>IFERROR(__xludf.DUMMYFUNCTION("GOOGLETRANSLATE(H85, ""th"", ""en"")"),"What should you do if your boat has problems at the start of the race?")</f>
        <v>What should you do if your boat has problems at the start of the race?</v>
      </c>
      <c r="C85" s="5" t="str">
        <f>IFERROR(__xludf.DUMMYFUNCTION("GOOGLETRANSLATE(I85, ""th"", ""en"")"),"A) Inform the referee and ask for a restart; B) Try to fix it yourself; C) Stop the match; D) Continue the match.")</f>
        <v>A) Inform the referee and ask for a restart; B) Try to fix it yourself; C) Stop the match; D) Continue the match.</v>
      </c>
      <c r="D85" s="5" t="str">
        <f>IFERROR(__xludf.DUMMYFUNCTION("GOOGLETRANSLATE(J85, ""th"", ""en"")"),"A) Inform the referee and ask them to start over.")</f>
        <v>A) Inform the referee and ask them to start over.</v>
      </c>
      <c r="E85" s="5" t="str">
        <f>IFERROR(__xludf.DUMMYFUNCTION("GOOGLETRANSLATE(K85, ""th"", ""en"")"),"Informing the board helped the situation to be resolved.")</f>
        <v>Informing the board helped the situation to be resolved.</v>
      </c>
      <c r="G85" s="6">
        <v>84.0</v>
      </c>
      <c r="H85" s="7" t="s">
        <v>312</v>
      </c>
      <c r="I85" s="7" t="s">
        <v>313</v>
      </c>
      <c r="J85" s="7" t="s">
        <v>314</v>
      </c>
      <c r="K85" s="7" t="s">
        <v>261</v>
      </c>
    </row>
    <row r="86" ht="14.25" customHeight="1">
      <c r="A86" s="4">
        <v>85.0</v>
      </c>
      <c r="B86" s="5" t="str">
        <f>IFERROR(__xludf.DUMMYFUNCTION("GOOGLETRANSLATE(H86, ""th"", ""en"")"),"If you find a violation of the rules on your opponent's team, what will you do?")</f>
        <v>If you find a violation of the rules on your opponent's team, what will you do?</v>
      </c>
      <c r="C86" s="5" t="str">
        <f>IFERROR(__xludf.DUMMYFUNCTION("GOOGLETRANSLATE(I86, ""th"", ""en"")"),"A) Immediately inform the referee; B) Avoid interfering; C) Try to stop the action; D) Continue the match.")</f>
        <v>A) Immediately inform the referee; B) Avoid interfering; C) Try to stop the action; D) Continue the match.</v>
      </c>
      <c r="D86" s="5" t="str">
        <f>IFERROR(__xludf.DUMMYFUNCTION("GOOGLETRANSLATE(J86, ""th"", ""en"")"),"A) Notify the committee immediately.")</f>
        <v>A) Notify the committee immediately.</v>
      </c>
      <c r="E86" s="5" t="str">
        <f>IFERROR(__xludf.DUMMYFUNCTION("GOOGLETRANSLATE(K86, ""th"", ""en"")"),"Informing the referee helps the competition to be in accordance with the rules.")</f>
        <v>Informing the referee helps the competition to be in accordance with the rules.</v>
      </c>
      <c r="G86" s="6">
        <v>85.0</v>
      </c>
      <c r="H86" s="7" t="s">
        <v>315</v>
      </c>
      <c r="I86" s="7" t="s">
        <v>316</v>
      </c>
      <c r="J86" s="7" t="s">
        <v>285</v>
      </c>
      <c r="K86" s="7" t="s">
        <v>250</v>
      </c>
    </row>
    <row r="87" ht="14.25" customHeight="1">
      <c r="A87" s="4">
        <v>86.0</v>
      </c>
      <c r="B87" s="5" t="str">
        <f>IFERROR(__xludf.DUMMYFUNCTION("GOOGLETRANSLATE(H87, ""th"", ""en"")"),"During a match, you see a player on your team committing a foul. What do you do?")</f>
        <v>During a match, you see a player on your team committing a foul. What do you do?</v>
      </c>
      <c r="C87" s="5" t="str">
        <f>IFERROR(__xludf.DUMMYFUNCTION("GOOGLETRANSLATE(I87, ""th"", ""en"")"),"A) Notify the coach immediately; B) Do nothing; C) Try to fix it yourself; D) Stop the game.")</f>
        <v>A) Notify the coach immediately; B) Do nothing; C) Try to fix it yourself; D) Stop the game.</v>
      </c>
      <c r="D87" s="5" t="str">
        <f>IFERROR(__xludf.DUMMYFUNCTION("GOOGLETRANSLATE(J87, ""th"", ""en"")"),"A) Notify the trainer immediately.")</f>
        <v>A) Notify the trainer immediately.</v>
      </c>
      <c r="E87" s="5" t="str">
        <f>IFERROR(__xludf.DUMMYFUNCTION("GOOGLETRANSLATE(K87, ""th"", ""en"")"),"Informing the coach allows for the rules to be implemented.")</f>
        <v>Informing the coach allows for the rules to be implemented.</v>
      </c>
      <c r="G87" s="6">
        <v>86.0</v>
      </c>
      <c r="H87" s="7" t="s">
        <v>317</v>
      </c>
      <c r="I87" s="7" t="s">
        <v>318</v>
      </c>
      <c r="J87" s="7" t="s">
        <v>319</v>
      </c>
      <c r="K87" s="7" t="s">
        <v>320</v>
      </c>
    </row>
    <row r="88" ht="14.25" customHeight="1">
      <c r="A88" s="4">
        <v>87.0</v>
      </c>
      <c r="B88" s="5" t="str">
        <f>IFERROR(__xludf.DUMMYFUNCTION("GOOGLETRANSLATE(H88, ""th"", ""en"")"),"If the race route is not accessible, what will you do?")</f>
        <v>If the race route is not accessible, what will you do?</v>
      </c>
      <c r="C88" s="5" t="str">
        <f>IFERROR(__xludf.DUMMYFUNCTION("GOOGLETRANSLATE(I88, ""th"", ""en"")"),"A) Inform the referee and ask for advice; B) Continue racing on the wrong course; C) Stop the race; D) Adjust the course yourself.")</f>
        <v>A) Inform the referee and ask for advice; B) Continue racing on the wrong course; C) Stop the race; D) Adjust the course yourself.</v>
      </c>
      <c r="D88" s="5" t="str">
        <f>IFERROR(__xludf.DUMMYFUNCTION("GOOGLETRANSLATE(J88, ""th"", ""en"")"),"A) Inform the committee and ask for advice.")</f>
        <v>A) Inform the committee and ask for advice.</v>
      </c>
      <c r="E88" s="5" t="str">
        <f>IFERROR(__xludf.DUMMYFUNCTION("GOOGLETRANSLATE(K88, ""th"", ""en"")"),"Informing the referee helps to make the correct decision.")</f>
        <v>Informing the referee helps to make the correct decision.</v>
      </c>
      <c r="G88" s="6">
        <v>87.0</v>
      </c>
      <c r="H88" s="7" t="s">
        <v>321</v>
      </c>
      <c r="I88" s="7" t="s">
        <v>322</v>
      </c>
      <c r="J88" s="7" t="s">
        <v>191</v>
      </c>
      <c r="K88" s="7" t="s">
        <v>188</v>
      </c>
    </row>
    <row r="89" ht="14.25" customHeight="1">
      <c r="A89" s="4">
        <v>88.0</v>
      </c>
      <c r="B89" s="5" t="str">
        <f>IFERROR(__xludf.DUMMYFUNCTION("GOOGLETRANSLATE(H89, ""th"", ""en"")"),"During a match, you find out that a player has been caught violating the rules. What will you do?")</f>
        <v>During a match, you find out that a player has been caught violating the rules. What will you do?</v>
      </c>
      <c r="C89" s="5" t="str">
        <f>IFERROR(__xludf.DUMMYFUNCTION("GOOGLETRANSLATE(I89, ""th"", ""en"")"),"A) inform the referee to make the appropriate decision; B) avoid interfering; C) continue the match; D) stop the match.")</f>
        <v>A) inform the referee to make the appropriate decision; B) avoid interfering; C) continue the match; D) stop the match.</v>
      </c>
      <c r="D89" s="5" t="str">
        <f>IFERROR(__xludf.DUMMYFUNCTION("GOOGLETRANSLATE(J89, ""th"", ""en"")"),"A) Inform the referee to make an appropriate decision.")</f>
        <v>A) Inform the referee to make an appropriate decision.</v>
      </c>
      <c r="E89" s="5" t="str">
        <f>IFERROR(__xludf.DUMMYFUNCTION("GOOGLETRANSLATE(K89, ""th"", ""en"")"),"Informing the referee helps the competition to be in accordance with the rules.")</f>
        <v>Informing the referee helps the competition to be in accordance with the rules.</v>
      </c>
      <c r="G89" s="6">
        <v>88.0</v>
      </c>
      <c r="H89" s="7" t="s">
        <v>323</v>
      </c>
      <c r="I89" s="7" t="s">
        <v>324</v>
      </c>
      <c r="J89" s="7" t="s">
        <v>325</v>
      </c>
      <c r="K89" s="7" t="s">
        <v>250</v>
      </c>
    </row>
    <row r="90" ht="14.25" customHeight="1">
      <c r="A90" s="4">
        <v>89.0</v>
      </c>
      <c r="B90" s="5" t="str">
        <f>IFERROR(__xludf.DUMMYFUNCTION("GOOGLETRANSLATE(H90, ""th"", ""en"")"),"If your team breaks the rules, what will you do?")</f>
        <v>If your team breaks the rules, what will you do?</v>
      </c>
      <c r="C90" s="5" t="str">
        <f>IFERROR(__xludf.DUMMYFUNCTION("GOOGLETRANSLATE(I90, ""th"", ""en"")"),"A) Notify the coach and make corrections; B) Ignore; C) Deny the offense; D) Stop the game.")</f>
        <v>A) Notify the coach and make corrections; B) Ignore; C) Deny the offense; D) Stop the game.</v>
      </c>
      <c r="D90" s="5" t="str">
        <f>IFERROR(__xludf.DUMMYFUNCTION("GOOGLETRANSLATE(J90, ""th"", ""en"")"),"A) Inform the trainer and make corrections.")</f>
        <v>A) Inform the trainer and make corrections.</v>
      </c>
      <c r="E90" s="5" t="str">
        <f>IFERROR(__xludf.DUMMYFUNCTION("GOOGLETRANSLATE(K90, ""th"", ""en"")"),"Informing the coach allows the team to improve.")</f>
        <v>Informing the coach allows the team to improve.</v>
      </c>
      <c r="G90" s="6">
        <v>89.0</v>
      </c>
      <c r="H90" s="7" t="s">
        <v>326</v>
      </c>
      <c r="I90" s="7" t="s">
        <v>327</v>
      </c>
      <c r="J90" s="7" t="s">
        <v>328</v>
      </c>
      <c r="K90" s="7" t="s">
        <v>329</v>
      </c>
    </row>
    <row r="91" ht="14.25" customHeight="1">
      <c r="A91" s="4">
        <v>90.0</v>
      </c>
      <c r="B91" s="5" t="str">
        <f>IFERROR(__xludf.DUMMYFUNCTION("GOOGLETRANSLATE(H91, ""th"", ""en"")"),"During the race, what should you do if the path is blocked by obstacles?")</f>
        <v>During the race, what should you do if the path is blocked by obstacles?</v>
      </c>
      <c r="C91" s="5" t="str">
        <f>IFERROR(__xludf.DUMMYFUNCTION("GOOGLETRANSLATE(I91, ""th"", ""en"")"),"A) inform the referee to find a solution; B) try to avoid the obstacle yourself; C) stop the game; D) continue the game.")</f>
        <v>A) inform the referee to find a solution; B) try to avoid the obstacle yourself; C) stop the game; D) continue the game.</v>
      </c>
      <c r="D91" s="5" t="str">
        <f>IFERROR(__xludf.DUMMYFUNCTION("GOOGLETRANSLATE(J91, ""th"", ""en"")"),"A) Inform the committee to find a solution.")</f>
        <v>A) Inform the committee to find a solution.</v>
      </c>
      <c r="E91" s="5" t="str">
        <f>IFERROR(__xludf.DUMMYFUNCTION("GOOGLETRANSLATE(K91, ""th"", ""en"")"),"Informing the board helped the situation to be resolved.")</f>
        <v>Informing the board helped the situation to be resolved.</v>
      </c>
      <c r="G91" s="6">
        <v>90.0</v>
      </c>
      <c r="H91" s="7" t="s">
        <v>330</v>
      </c>
      <c r="I91" s="7" t="s">
        <v>331</v>
      </c>
      <c r="J91" s="7" t="s">
        <v>278</v>
      </c>
      <c r="K91" s="7" t="s">
        <v>261</v>
      </c>
    </row>
    <row r="92" ht="14.25" customHeight="1">
      <c r="A92" s="4">
        <v>91.0</v>
      </c>
      <c r="B92" s="5" t="str">
        <f>IFERROR(__xludf.DUMMYFUNCTION("GOOGLETRANSLATE(H92, ""th"", ""en"")"),"What should you do if the opposing team clearly violates the rules?")</f>
        <v>What should you do if the opposing team clearly violates the rules?</v>
      </c>
      <c r="C92" s="5" t="str">
        <f>IFERROR(__xludf.DUMMYFUNCTION("GOOGLETRANSLATE(I92, ""th"", ""en"")"),"A) inform the referee to make a fair decision; B) do nothing; C) continue playing as normal; D) stop the game.")</f>
        <v>A) inform the referee to make a fair decision; B) do nothing; C) continue playing as normal; D) stop the game.</v>
      </c>
      <c r="D92" s="5" t="str">
        <f>IFERROR(__xludf.DUMMYFUNCTION("GOOGLETRANSLATE(J92, ""th"", ""en"")"),"A) Inform the referee to make a fair decision.")</f>
        <v>A) Inform the referee to make a fair decision.</v>
      </c>
      <c r="E92" s="5" t="str">
        <f>IFERROR(__xludf.DUMMYFUNCTION("GOOGLETRANSLATE(K92, ""th"", ""en"")"),"Informing the referee helps the competition to run smoothly.")</f>
        <v>Informing the referee helps the competition to run smoothly.</v>
      </c>
      <c r="G92" s="6">
        <v>91.0</v>
      </c>
      <c r="H92" s="7" t="s">
        <v>332</v>
      </c>
      <c r="I92" s="7" t="s">
        <v>333</v>
      </c>
      <c r="J92" s="7" t="s">
        <v>334</v>
      </c>
      <c r="K92" s="7" t="s">
        <v>335</v>
      </c>
    </row>
    <row r="93" ht="14.25" customHeight="1">
      <c r="A93" s="4">
        <v>92.0</v>
      </c>
      <c r="B93" s="5" t="str">
        <f>IFERROR(__xludf.DUMMYFUNCTION("GOOGLETRANSLATE(H93, ""th"", ""en"")"),"When you find your path has changed, what do you do?")</f>
        <v>When you find your path has changed, what do you do?</v>
      </c>
      <c r="C93" s="5" t="str">
        <f>IFERROR(__xludf.DUMMYFUNCTION("GOOGLETRANSLATE(I93, ""th"", ""en"")"),"A) Immediately inform the referee; B) Continue playing without doing anything; C) Try to find a way out on your own; D) Stop the game.")</f>
        <v>A) Immediately inform the referee; B) Continue playing without doing anything; C) Try to find a way out on your own; D) Stop the game.</v>
      </c>
      <c r="D93" s="5" t="str">
        <f>IFERROR(__xludf.DUMMYFUNCTION("GOOGLETRANSLATE(J93, ""th"", ""en"")"),"A) Notify the committee immediately.")</f>
        <v>A) Notify the committee immediately.</v>
      </c>
      <c r="E93" s="5" t="str">
        <f>IFERROR(__xludf.DUMMYFUNCTION("GOOGLETRANSLATE(K93, ""th"", ""en"")"),"Informing the referee helps ensure fair decisions.")</f>
        <v>Informing the referee helps ensure fair decisions.</v>
      </c>
      <c r="G93" s="6">
        <v>92.0</v>
      </c>
      <c r="H93" s="7" t="s">
        <v>336</v>
      </c>
      <c r="I93" s="7" t="s">
        <v>337</v>
      </c>
      <c r="J93" s="7" t="s">
        <v>285</v>
      </c>
      <c r="K93" s="7" t="s">
        <v>203</v>
      </c>
    </row>
    <row r="94" ht="14.25" customHeight="1">
      <c r="A94" s="4">
        <v>93.0</v>
      </c>
      <c r="B94" s="5" t="str">
        <f>IFERROR(__xludf.DUMMYFUNCTION("GOOGLETRANSLATE(H94, ""th"", ""en"")"),"During the race, what should you do if you see something wrong with your boat?")</f>
        <v>During the race, what should you do if you see something wrong with your boat?</v>
      </c>
      <c r="C94" s="5" t="str">
        <f>IFERROR(__xludf.DUMMYFUNCTION("GOOGLETRANSLATE(I94, ""th"", ""en"")"),"A) Inform the referee and ask him to stop the match; B) Try to fix it himself; C) Stop the match himself; D) Continue the match as normal.")</f>
        <v>A) Inform the referee and ask him to stop the match; B) Try to fix it himself; C) Stop the match himself; D) Continue the match as normal.</v>
      </c>
      <c r="D94" s="5" t="str">
        <f>IFERROR(__xludf.DUMMYFUNCTION("GOOGLETRANSLATE(J94, ""th"", ""en"")"),"A) Inform the referee and request that the match be stopped.")</f>
        <v>A) Inform the referee and request that the match be stopped.</v>
      </c>
      <c r="E94" s="5" t="str">
        <f>IFERROR(__xludf.DUMMYFUNCTION("GOOGLETRANSLATE(K94, ""th"", ""en"")"),"Informing the referee helps to make the correct decision.")</f>
        <v>Informing the referee helps to make the correct decision.</v>
      </c>
      <c r="G94" s="6">
        <v>93.0</v>
      </c>
      <c r="H94" s="7" t="s">
        <v>338</v>
      </c>
      <c r="I94" s="7" t="s">
        <v>339</v>
      </c>
      <c r="J94" s="7" t="s">
        <v>340</v>
      </c>
      <c r="K94" s="7" t="s">
        <v>188</v>
      </c>
    </row>
    <row r="95" ht="14.25" customHeight="1">
      <c r="A95" s="4">
        <v>94.0</v>
      </c>
      <c r="B95" s="5" t="str">
        <f>IFERROR(__xludf.DUMMYFUNCTION("GOOGLETRANSLATE(H95, ""th"", ""en"")"),"What should you do if you find that another team's training rules are being violated?")</f>
        <v>What should you do if you find that another team's training rules are being violated?</v>
      </c>
      <c r="C95" s="5" t="str">
        <f>IFERROR(__xludf.DUMMYFUNCTION("GOOGLETRANSLATE(I95, ""th"", ""en"")"),"A) Notify the coach immediately; B) Avoid interfering; C) Do nothing; D) Notify the referee.")</f>
        <v>A) Notify the coach immediately; B) Avoid interfering; C) Do nothing; D) Notify the referee.</v>
      </c>
      <c r="D95" s="5" t="str">
        <f>IFERROR(__xludf.DUMMYFUNCTION("GOOGLETRANSLATE(J95, ""th"", ""en"")"),"A) Notify the trainer immediately.")</f>
        <v>A) Notify the trainer immediately.</v>
      </c>
      <c r="E95" s="5" t="str">
        <f>IFERROR(__xludf.DUMMYFUNCTION("GOOGLETRANSLATE(K95, ""th"", ""en"")"),"Informing the coach allows the team to improve their training.")</f>
        <v>Informing the coach allows the team to improve their training.</v>
      </c>
      <c r="G95" s="6">
        <v>94.0</v>
      </c>
      <c r="H95" s="7" t="s">
        <v>341</v>
      </c>
      <c r="I95" s="7" t="s">
        <v>342</v>
      </c>
      <c r="J95" s="7" t="s">
        <v>319</v>
      </c>
      <c r="K95" s="7" t="s">
        <v>343</v>
      </c>
    </row>
    <row r="96" ht="14.25" customHeight="1">
      <c r="A96" s="4">
        <v>95.0</v>
      </c>
      <c r="B96" s="5" t="str">
        <f>IFERROR(__xludf.DUMMYFUNCTION("GOOGLETRANSLATE(H96, ""th"", ""en"")"),"In the event of a rule change during the competition, what will you do?")</f>
        <v>In the event of a rule change during the competition, what will you do?</v>
      </c>
      <c r="C96" s="5" t="str">
        <f>IFERROR(__xludf.DUMMYFUNCTION("GOOGLETRANSLATE(I96, ""th"", ""en"")"),"A) Immediately adapt to the new rules; B) Do nothing; C) Avoid following them; D) Stop the competition.")</f>
        <v>A) Immediately adapt to the new rules; B) Do nothing; C) Avoid following them; D) Stop the competition.</v>
      </c>
      <c r="D96" s="5" t="str">
        <f>IFERROR(__xludf.DUMMYFUNCTION("GOOGLETRANSLATE(J96, ""th"", ""en"")"),"A) Adapt to the new rules immediately.")</f>
        <v>A) Adapt to the new rules immediately.</v>
      </c>
      <c r="E96" s="5" t="str">
        <f>IFERROR(__xludf.DUMMYFUNCTION("GOOGLETRANSLATE(K96, ""th"", ""en"")"),"Adapting to the new rules helps the competition run smoothly.")</f>
        <v>Adapting to the new rules helps the competition run smoothly.</v>
      </c>
      <c r="G96" s="6">
        <v>95.0</v>
      </c>
      <c r="H96" s="7" t="s">
        <v>344</v>
      </c>
      <c r="I96" s="7" t="s">
        <v>345</v>
      </c>
      <c r="J96" s="7" t="s">
        <v>236</v>
      </c>
      <c r="K96" s="7" t="s">
        <v>346</v>
      </c>
    </row>
    <row r="97" ht="14.25" customHeight="1">
      <c r="A97" s="4">
        <v>96.0</v>
      </c>
      <c r="B97" s="5" t="str">
        <f>IFERROR(__xludf.DUMMYFUNCTION("GOOGLETRANSLATE(H97, ""th"", ""en"")"),"If your boat starts to get damaged during the race, what should you do?")</f>
        <v>If your boat starts to get damaged during the race, what should you do?</v>
      </c>
      <c r="C97" s="5" t="str">
        <f>IFERROR(__xludf.DUMMYFUNCTION("GOOGLETRANSLATE(I97, ""th"", ""en"")"),"A) Inform the referee and ask him to stop the match; B) Try to fix it himself; C) Stop the match; D) Continue the match.")</f>
        <v>A) Inform the referee and ask him to stop the match; B) Try to fix it himself; C) Stop the match; D) Continue the match.</v>
      </c>
      <c r="D97" s="5" t="str">
        <f>IFERROR(__xludf.DUMMYFUNCTION("GOOGLETRANSLATE(J97, ""th"", ""en"")"),"A) Inform the referee and request that the match be stopped.")</f>
        <v>A) Inform the referee and request that the match be stopped.</v>
      </c>
      <c r="E97" s="5" t="str">
        <f>IFERROR(__xludf.DUMMYFUNCTION("GOOGLETRANSLATE(K97, ""th"", ""en"")"),"Informing the referee allows for the situation to be resolved.")</f>
        <v>Informing the referee allows for the situation to be resolved.</v>
      </c>
      <c r="G97" s="6">
        <v>96.0</v>
      </c>
      <c r="H97" s="7" t="s">
        <v>347</v>
      </c>
      <c r="I97" s="7" t="s">
        <v>348</v>
      </c>
      <c r="J97" s="7" t="s">
        <v>340</v>
      </c>
      <c r="K97" s="7" t="s">
        <v>282</v>
      </c>
    </row>
    <row r="98" ht="14.25" customHeight="1">
      <c r="A98" s="4">
        <v>97.0</v>
      </c>
      <c r="B98" s="5" t="str">
        <f>IFERROR(__xludf.DUMMYFUNCTION("GOOGLETRANSLATE(H98, ""th"", ""en"")"),"During the race, what should you do if you find your boat is unavailable?")</f>
        <v>During the race, what should you do if you find your boat is unavailable?</v>
      </c>
      <c r="C98" s="5" t="str">
        <f>IFERROR(__xludf.DUMMYFUNCTION("GOOGLETRANSLATE(I98, ""th"", ""en"")"),"A) Notify the referee immediately; B) Try to correct the situation yourself; C) Stop the match; D) Continue the match.")</f>
        <v>A) Notify the referee immediately; B) Try to correct the situation yourself; C) Stop the match; D) Continue the match.</v>
      </c>
      <c r="D98" s="5" t="str">
        <f>IFERROR(__xludf.DUMMYFUNCTION("GOOGLETRANSLATE(J98, ""th"", ""en"")"),"A) Notify the committee immediately.")</f>
        <v>A) Notify the committee immediately.</v>
      </c>
      <c r="E98" s="5" t="str">
        <f>IFERROR(__xludf.DUMMYFUNCTION("GOOGLETRANSLATE(K98, ""th"", ""en"")"),"Informing the board helped the situation to be resolved.")</f>
        <v>Informing the board helped the situation to be resolved.</v>
      </c>
      <c r="G98" s="6">
        <v>97.0</v>
      </c>
      <c r="H98" s="7" t="s">
        <v>349</v>
      </c>
      <c r="I98" s="7" t="s">
        <v>350</v>
      </c>
      <c r="J98" s="7" t="s">
        <v>285</v>
      </c>
      <c r="K98" s="7" t="s">
        <v>261</v>
      </c>
    </row>
    <row r="99" ht="14.25" customHeight="1">
      <c r="A99" s="4">
        <v>98.0</v>
      </c>
      <c r="B99" s="5" t="str">
        <f>IFERROR(__xludf.DUMMYFUNCTION("GOOGLETRANSLATE(H99, ""th"", ""en"")"),"What should you do if you find that your ship has a control problem?")</f>
        <v>What should you do if you find that your ship has a control problem?</v>
      </c>
      <c r="C99" s="5" t="str">
        <f>IFERROR(__xludf.DUMMYFUNCTION("GOOGLETRANSLATE(I99, ""th"", ""en"")"),"A) Inform the referee and ask for correction; B) Try to correct the mistake yourself; C) Stop the match; D) Continue the match.")</f>
        <v>A) Inform the referee and ask for correction; B) Try to correct the mistake yourself; C) Stop the match; D) Continue the match.</v>
      </c>
      <c r="D99" s="5" t="str">
        <f>IFERROR(__xludf.DUMMYFUNCTION("GOOGLETRANSLATE(J99, ""th"", ""en"")"),"A) Inform the board and request corrections.")</f>
        <v>A) Inform the board and request corrections.</v>
      </c>
      <c r="E99" s="5" t="str">
        <f>IFERROR(__xludf.DUMMYFUNCTION("GOOGLETRANSLATE(K99, ""th"", ""en"")"),"Notification of the board helps to restore control of the ship.")</f>
        <v>Notification of the board helps to restore control of the ship.</v>
      </c>
      <c r="G99" s="6">
        <v>98.0</v>
      </c>
      <c r="H99" s="7" t="s">
        <v>351</v>
      </c>
      <c r="I99" s="7" t="s">
        <v>352</v>
      </c>
      <c r="J99" s="7" t="s">
        <v>353</v>
      </c>
      <c r="K99" s="7" t="s">
        <v>354</v>
      </c>
    </row>
    <row r="100" ht="14.25" customHeight="1">
      <c r="A100" s="4">
        <v>99.0</v>
      </c>
      <c r="B100" s="5" t="str">
        <f>IFERROR(__xludf.DUMMYFUNCTION("GOOGLETRANSLATE(H100, ""th"", ""en"")"),"If you want to complain about a referee's decision, what should you do?")</f>
        <v>If you want to complain about a referee's decision, what should you do?</v>
      </c>
      <c r="C100" s="5" t="str">
        <f>IFERROR(__xludf.DUMMYFUNCTION("GOOGLETRANSLATE(I100, ""th"", ""en"")"),"A) inform the senior referee; B) reject the decision; C) avoid informing; D) stop the match.")</f>
        <v>A) inform the senior referee; B) reject the decision; C) avoid informing; D) stop the match.</v>
      </c>
      <c r="D100" s="5" t="str">
        <f>IFERROR(__xludf.DUMMYFUNCTION("GOOGLETRANSLATE(J100, ""th"", ""en"")"),"A) Inform the senior committee.")</f>
        <v>A) Inform the senior committee.</v>
      </c>
      <c r="E100" s="5" t="str">
        <f>IFERROR(__xludf.DUMMYFUNCTION("GOOGLETRANSLATE(K100, ""th"", ""en"")"),"Notification of the senior committee allows for review and adjudication in accordance with the rules.")</f>
        <v>Notification of the senior committee allows for review and adjudication in accordance with the rules.</v>
      </c>
      <c r="G100" s="6">
        <v>99.0</v>
      </c>
      <c r="H100" s="7" t="s">
        <v>355</v>
      </c>
      <c r="I100" s="7" t="s">
        <v>356</v>
      </c>
      <c r="J100" s="7" t="s">
        <v>288</v>
      </c>
      <c r="K100" s="7" t="s">
        <v>357</v>
      </c>
    </row>
    <row r="101" ht="14.25" customHeight="1">
      <c r="A101" s="4">
        <v>100.0</v>
      </c>
      <c r="B101" s="5" t="str">
        <f>IFERROR(__xludf.DUMMYFUNCTION("GOOGLETRANSLATE(H101, ""th"", ""en"")"),"If your team gets a wrong decision, what will you do?")</f>
        <v>If your team gets a wrong decision, what will you do?</v>
      </c>
      <c r="C101" s="5" t="str">
        <f>IFERROR(__xludf.DUMMYFUNCTION("GOOGLETRANSLATE(I101, ""th"", ""en"")"),"A) notify the referee to request a new decision; B) do nothing; C) refuse to make a decision; D) stop the match.")</f>
        <v>A) notify the referee to request a new decision; B) do nothing; C) refuse to make a decision; D) stop the match.</v>
      </c>
      <c r="D101" s="5" t="str">
        <f>IFERROR(__xludf.DUMMYFUNCTION("GOOGLETRANSLATE(J101, ""th"", ""en"")"),"A) Inform the referee to request a new decision.")</f>
        <v>A) Inform the referee to request a new decision.</v>
      </c>
      <c r="E101" s="5" t="str">
        <f>IFERROR(__xludf.DUMMYFUNCTION("GOOGLETRANSLATE(K101, ""th"", ""en"")"),"Informing the board helped the situation to be resolved.")</f>
        <v>Informing the board helped the situation to be resolved.</v>
      </c>
      <c r="G101" s="6">
        <v>100.0</v>
      </c>
      <c r="H101" s="7" t="s">
        <v>358</v>
      </c>
      <c r="I101" s="7" t="s">
        <v>359</v>
      </c>
      <c r="J101" s="7" t="s">
        <v>360</v>
      </c>
      <c r="K101" s="7" t="s">
        <v>261</v>
      </c>
    </row>
    <row r="102" ht="14.25" customHeight="1">
      <c r="A102" s="4">
        <v>101.0</v>
      </c>
      <c r="B102" s="5" t="str">
        <f>IFERROR(__xludf.DUMMYFUNCTION("GOOGLETRANSLATE(H102, ""th"", ""en"")"),"In the event that a player is injured during a match, what will you do?")</f>
        <v>In the event that a player is injured during a match, what will you do?</v>
      </c>
      <c r="C102" s="5" t="str">
        <f>IFERROR(__xludf.DUMMYFUNCTION("GOOGLETRANSLATE(I102, ""th"", ""en"")"),"A) Notify the referee and request medical assistance; B) Attempt to help yourself; C) Stop the match; D) Continue the match.")</f>
        <v>A) Notify the referee and request medical assistance; B) Attempt to help yourself; C) Stop the match; D) Continue the match.</v>
      </c>
      <c r="D102" s="5" t="str">
        <f>IFERROR(__xludf.DUMMYFUNCTION("GOOGLETRANSLATE(J102, ""th"", ""en"")"),"A) Inform the committee and request medical assistance.")</f>
        <v>A) Inform the committee and request medical assistance.</v>
      </c>
      <c r="E102" s="5" t="str">
        <f>IFERROR(__xludf.DUMMYFUNCTION("GOOGLETRANSLATE(K102, ""th"", ""en"")"),"Notifying the referee ensures that players are properly cared for.")</f>
        <v>Notifying the referee ensures that players are properly cared for.</v>
      </c>
      <c r="G102" s="6">
        <v>101.0</v>
      </c>
      <c r="H102" s="7" t="s">
        <v>361</v>
      </c>
      <c r="I102" s="7" t="s">
        <v>362</v>
      </c>
      <c r="J102" s="7" t="s">
        <v>363</v>
      </c>
      <c r="K102" s="7" t="s">
        <v>364</v>
      </c>
    </row>
    <row r="103" ht="14.25" customHeight="1">
      <c r="A103" s="4">
        <v>102.0</v>
      </c>
      <c r="B103" s="5" t="str">
        <f>IFERROR(__xludf.DUMMYFUNCTION("GOOGLETRANSLATE(H103, ""th"", ""en"")"),"When you find that a player from the opposing team is not following the rules, what should you do?")</f>
        <v>When you find that a player from the opposing team is not following the rules, what should you do?</v>
      </c>
      <c r="C103" s="5" t="str">
        <f>IFERROR(__xludf.DUMMYFUNCTION("GOOGLETRANSLATE(I103, ""th"", ""en"")"),"A) Immediately inform the referee; B) Avoid interfering; C) Continue playing as normal; D) Refuse to make a decision.")</f>
        <v>A) Immediately inform the referee; B) Avoid interfering; C) Continue playing as normal; D) Refuse to make a decision.</v>
      </c>
      <c r="D103" s="5" t="str">
        <f>IFERROR(__xludf.DUMMYFUNCTION("GOOGLETRANSLATE(J103, ""th"", ""en"")"),"A) Notify the committee immediately.")</f>
        <v>A) Notify the committee immediately.</v>
      </c>
      <c r="E103" s="5" t="str">
        <f>IFERROR(__xludf.DUMMYFUNCTION("GOOGLETRANSLATE(K103, ""th"", ""en"")"),"Informing the referee helps the competition to be in accordance with the rules.")</f>
        <v>Informing the referee helps the competition to be in accordance with the rules.</v>
      </c>
      <c r="G103" s="6">
        <v>102.0</v>
      </c>
      <c r="H103" s="7" t="s">
        <v>365</v>
      </c>
      <c r="I103" s="7" t="s">
        <v>366</v>
      </c>
      <c r="J103" s="7" t="s">
        <v>285</v>
      </c>
      <c r="K103" s="7" t="s">
        <v>250</v>
      </c>
    </row>
    <row r="104" ht="14.25" customHeight="1">
      <c r="A104" s="4">
        <v>103.0</v>
      </c>
      <c r="B104" s="5" t="str">
        <f>IFERROR(__xludf.DUMMYFUNCTION("GOOGLETRANSLATE(H104, ""th"", ""en"")"),"You see that your path is blocked by an obstacle, what do you do?")</f>
        <v>You see that your path is blocked by an obstacle, what do you do?</v>
      </c>
      <c r="C104" s="5" t="str">
        <f>IFERROR(__xludf.DUMMYFUNCTION("GOOGLETRANSLATE(I104, ""th"", ""en"")"),"A) Notify the referee to handle the situation; B) Try to avoid the obstacle yourself; C) Stop the race; D) Continue the race as normal.")</f>
        <v>A) Notify the referee to handle the situation; B) Try to avoid the obstacle yourself; C) Stop the race; D) Continue the race as normal.</v>
      </c>
      <c r="D104" s="5" t="str">
        <f>IFERROR(__xludf.DUMMYFUNCTION("GOOGLETRANSLATE(J104, ""th"", ""en"")"),"A) Inform the committee to take care of it.")</f>
        <v>A) Inform the committee to take care of it.</v>
      </c>
      <c r="E104" s="5" t="str">
        <f>IFERROR(__xludf.DUMMYFUNCTION("GOOGLETRANSLATE(K104, ""th"", ""en"")"),"Informing the board allows the situation to be handled properly.")</f>
        <v>Informing the board allows the situation to be handled properly.</v>
      </c>
      <c r="G104" s="6">
        <v>103.0</v>
      </c>
      <c r="H104" s="7" t="s">
        <v>367</v>
      </c>
      <c r="I104" s="7" t="s">
        <v>368</v>
      </c>
      <c r="J104" s="7" t="s">
        <v>369</v>
      </c>
      <c r="K104" s="7" t="s">
        <v>370</v>
      </c>
    </row>
    <row r="105" ht="14.25" customHeight="1">
      <c r="A105" s="4">
        <v>104.0</v>
      </c>
      <c r="B105" s="5" t="str">
        <f>IFERROR(__xludf.DUMMYFUNCTION("GOOGLETRANSLATE(H105, ""th"", ""en"")"),"If there is a conflict in the referee's decision, what will you do?")</f>
        <v>If there is a conflict in the referee's decision, what will you do?</v>
      </c>
      <c r="C105" s="5" t="str">
        <f>IFERROR(__xludf.DUMMYFUNCTION("GOOGLETRANSLATE(I105, ""th"", ""en"")"),"A) Inform the senior referee for a review; B) Reject the decision; C) Avoid discussing the matter; D) Stop the match.")</f>
        <v>A) Inform the senior referee for a review; B) Reject the decision; C) Avoid discussing the matter; D) Stop the match.</v>
      </c>
      <c r="D105" s="5" t="str">
        <f>IFERROR(__xludf.DUMMYFUNCTION("GOOGLETRANSLATE(J105, ""th"", ""en"")"),"A) Notify the senior director to request a review.")</f>
        <v>A) Notify the senior director to request a review.</v>
      </c>
      <c r="E105" s="5" t="str">
        <f>IFERROR(__xludf.DUMMYFUNCTION("GOOGLETRANSLATE(K105, ""th"", ""en"")"),"Informing the senior judges helps ensure fair decisions.")</f>
        <v>Informing the senior judges helps ensure fair decisions.</v>
      </c>
      <c r="G105" s="6">
        <v>104.0</v>
      </c>
      <c r="H105" s="7" t="s">
        <v>371</v>
      </c>
      <c r="I105" s="7" t="s">
        <v>372</v>
      </c>
      <c r="J105" s="7" t="s">
        <v>373</v>
      </c>
      <c r="K105" s="7" t="s">
        <v>374</v>
      </c>
    </row>
    <row r="106" ht="14.25" customHeight="1">
      <c r="A106" s="4">
        <v>105.0</v>
      </c>
      <c r="B106" s="5" t="str">
        <f>IFERROR(__xludf.DUMMYFUNCTION("GOOGLETRANSLATE(H106, ""th"", ""en"")"),"If the boat race is temporarily suspended, what will you do?")</f>
        <v>If the boat race is temporarily suspended, what will you do?</v>
      </c>
      <c r="C106" s="5" t="str">
        <f>IFERROR(__xludf.DUMMYFUNCTION("GOOGLETRANSLATE(I106, ""th"", ""en"")"),"A) Follow the referee's instructions; B) Continue playing without doing anything; C) Stop the game immediately; D) Complain about the stoppage.")</f>
        <v>A) Follow the referee's instructions; B) Continue playing without doing anything; C) Stop the game immediately; D) Complain about the stoppage.</v>
      </c>
      <c r="D106" s="5" t="str">
        <f>IFERROR(__xludf.DUMMYFUNCTION("GOOGLETRANSLATE(J106, ""th"", ""en"")"),"A) Follow the instructions of the committee.")</f>
        <v>A) Follow the instructions of the committee.</v>
      </c>
      <c r="E106" s="5" t="str">
        <f>IFERROR(__xludf.DUMMYFUNCTION("GOOGLETRANSLATE(K106, ""th"", ""en"")"),"Following the instructions helps the competition run smoothly.")</f>
        <v>Following the instructions helps the competition run smoothly.</v>
      </c>
      <c r="G106" s="6">
        <v>105.0</v>
      </c>
      <c r="H106" s="7" t="s">
        <v>375</v>
      </c>
      <c r="I106" s="7" t="s">
        <v>376</v>
      </c>
      <c r="J106" s="7" t="s">
        <v>377</v>
      </c>
      <c r="K106" s="7" t="s">
        <v>378</v>
      </c>
    </row>
    <row r="107" ht="14.25" customHeight="1">
      <c r="A107" s="4">
        <v>106.0</v>
      </c>
      <c r="B107" s="5" t="str">
        <f>IFERROR(__xludf.DUMMYFUNCTION("GOOGLETRANSLATE(H107, ""th"", ""en"")"),"In the event of a violation of the rules by your opponent, what will you do?")</f>
        <v>In the event of a violation of the rules by your opponent, what will you do?</v>
      </c>
      <c r="C107" s="5" t="str">
        <f>IFERROR(__xludf.DUMMYFUNCTION("GOOGLETRANSLATE(I107, ""th"", ""en"")"),"A) Immediately inform the referee; B) Do nothing; C) Try to fix it yourself; D) Stop the match.")</f>
        <v>A) Immediately inform the referee; B) Do nothing; C) Try to fix it yourself; D) Stop the match.</v>
      </c>
      <c r="D107" s="5" t="str">
        <f>IFERROR(__xludf.DUMMYFUNCTION("GOOGLETRANSLATE(J107, ""th"", ""en"")"),"A) Notify the committee immediately.")</f>
        <v>A) Notify the committee immediately.</v>
      </c>
      <c r="E107" s="5" t="str">
        <f>IFERROR(__xludf.DUMMYFUNCTION("GOOGLETRANSLATE(K107, ""th"", ""en"")"),"Informing the referee helps ensure fair decisions.")</f>
        <v>Informing the referee helps ensure fair decisions.</v>
      </c>
      <c r="G107" s="6">
        <v>106.0</v>
      </c>
      <c r="H107" s="7" t="s">
        <v>379</v>
      </c>
      <c r="I107" s="7" t="s">
        <v>380</v>
      </c>
      <c r="J107" s="7" t="s">
        <v>285</v>
      </c>
      <c r="K107" s="7" t="s">
        <v>381</v>
      </c>
    </row>
    <row r="108" ht="14.25" customHeight="1">
      <c r="A108" s="4">
        <v>107.0</v>
      </c>
      <c r="B108" s="5" t="str">
        <f>IFERROR(__xludf.DUMMYFUNCTION("GOOGLETRANSLATE(H108, ""th"", ""en"")"),"If you find that the race route has changed, what will you do?")</f>
        <v>If you find that the race route has changed, what will you do?</v>
      </c>
      <c r="C108" s="5" t="str">
        <f>IFERROR(__xludf.DUMMYFUNCTION("GOOGLETRANSLATE(I108, ""th"", ""en"")"),"A) Inform the referee and ask for advice; B) Adjust yourself without informing the referee; C) Stop the match; D) Continue the match as normal.")</f>
        <v>A) Inform the referee and ask for advice; B) Adjust yourself without informing the referee; C) Stop the match; D) Continue the match as normal.</v>
      </c>
      <c r="D108" s="5" t="str">
        <f>IFERROR(__xludf.DUMMYFUNCTION("GOOGLETRANSLATE(J108, ""th"", ""en"")"),"A) Inform the committee and ask for advice.")</f>
        <v>A) Inform the committee and ask for advice.</v>
      </c>
      <c r="E108" s="5" t="str">
        <f>IFERROR(__xludf.DUMMYFUNCTION("GOOGLETRANSLATE(K108, ""th"", ""en"")"),"Informing the board allows the situation to be handled properly.")</f>
        <v>Informing the board allows the situation to be handled properly.</v>
      </c>
      <c r="G108" s="6">
        <v>107.0</v>
      </c>
      <c r="H108" s="7" t="s">
        <v>382</v>
      </c>
      <c r="I108" s="7" t="s">
        <v>383</v>
      </c>
      <c r="J108" s="7" t="s">
        <v>191</v>
      </c>
      <c r="K108" s="7" t="s">
        <v>370</v>
      </c>
    </row>
    <row r="109" ht="14.25" customHeight="1">
      <c r="A109" s="4">
        <v>108.0</v>
      </c>
      <c r="B109" s="5" t="str">
        <f>IFERROR(__xludf.DUMMYFUNCTION("GOOGLETRANSLATE(H109, ""th"", ""en"")"),"What would you do if your team broke the rules?")</f>
        <v>What would you do if your team broke the rules?</v>
      </c>
      <c r="C109" s="5" t="str">
        <f>IFERROR(__xludf.DUMMYFUNCTION("GOOGLETRANSLATE(I109, ""th"", ""en"")"),"A) Inform the coach and ask for improvement; B) Do nothing; C) Avoid making corrections; D) Stop the match.")</f>
        <v>A) Inform the coach and ask for improvement; B) Do nothing; C) Avoid making corrections; D) Stop the match.</v>
      </c>
      <c r="D109" s="5" t="str">
        <f>IFERROR(__xludf.DUMMYFUNCTION("GOOGLETRANSLATE(J109, ""th"", ""en"")"),"A) Inform the trainer and ask for improvements.")</f>
        <v>A) Inform the trainer and ask for improvements.</v>
      </c>
      <c r="E109" s="5" t="str">
        <f>IFERROR(__xludf.DUMMYFUNCTION("GOOGLETRANSLATE(K109, ""th"", ""en"")"),"Informing the coach allows for improvements in team performance.")</f>
        <v>Informing the coach allows for improvements in team performance.</v>
      </c>
      <c r="G109" s="6">
        <v>108.0</v>
      </c>
      <c r="H109" s="7" t="s">
        <v>384</v>
      </c>
      <c r="I109" s="7" t="s">
        <v>385</v>
      </c>
      <c r="J109" s="7" t="s">
        <v>386</v>
      </c>
      <c r="K109" s="7" t="s">
        <v>387</v>
      </c>
    </row>
    <row r="110" ht="14.25" customHeight="1">
      <c r="A110" s="4">
        <v>109.0</v>
      </c>
      <c r="B110" s="5" t="str">
        <f>IFERROR(__xludf.DUMMYFUNCTION("GOOGLETRANSLATE(H110, ""th"", ""en"")"),"If you find your boat has a problem or is damaged, what should you do?")</f>
        <v>If you find your boat has a problem or is damaged, what should you do?</v>
      </c>
      <c r="C110" s="5" t="str">
        <f>IFERROR(__xludf.DUMMYFUNCTION("GOOGLETRANSLATE(I110, ""th"", ""en"")"),"A) Inform the referee and ask him to stop the match; B) Try to fix it himself; C) Stop the match immediately; D) Continue the match.")</f>
        <v>A) Inform the referee and ask him to stop the match; B) Try to fix it himself; C) Stop the match immediately; D) Continue the match.</v>
      </c>
      <c r="D110" s="5" t="str">
        <f>IFERROR(__xludf.DUMMYFUNCTION("GOOGLETRANSLATE(J110, ""th"", ""en"")"),"A) Inform the referee and request that the match be stopped.")</f>
        <v>A) Inform the referee and request that the match be stopped.</v>
      </c>
      <c r="E110" s="5" t="str">
        <f>IFERROR(__xludf.DUMMYFUNCTION("GOOGLETRANSLATE(K110, ""th"", ""en"")"),"Informing the board allows the situation to be handled properly.")</f>
        <v>Informing the board allows the situation to be handled properly.</v>
      </c>
      <c r="G110" s="6">
        <v>109.0</v>
      </c>
      <c r="H110" s="7" t="s">
        <v>388</v>
      </c>
      <c r="I110" s="7" t="s">
        <v>389</v>
      </c>
      <c r="J110" s="7" t="s">
        <v>340</v>
      </c>
      <c r="K110" s="7" t="s">
        <v>370</v>
      </c>
    </row>
    <row r="111" ht="14.25" customHeight="1">
      <c r="A111" s="4">
        <v>110.0</v>
      </c>
      <c r="B111" s="5" t="str">
        <f>IFERROR(__xludf.DUMMYFUNCTION("GOOGLETRANSLATE(H111, ""th"", ""en"")"),"If the boat race is canceled due to weather conditions, what will you do?")</f>
        <v>If the boat race is canceled due to weather conditions, what will you do?</v>
      </c>
      <c r="C111" s="5" t="str">
        <f>IFERROR(__xludf.DUMMYFUNCTION("GOOGLETRANSLATE(I111, ""th"", ""en"")"),"A) Follow instructions from the referee; B) Avoid following instructions; C) Continue competing regardless of instructions; D) Stop the competition immediately.")</f>
        <v>A) Follow instructions from the referee; B) Avoid following instructions; C) Continue competing regardless of instructions; D) Stop the competition immediately.</v>
      </c>
      <c r="D111" s="5" t="str">
        <f>IFERROR(__xludf.DUMMYFUNCTION("GOOGLETRANSLATE(J111, ""th"", ""en"")"),"A) Follow the instructions from the committee.")</f>
        <v>A) Follow the instructions from the committee.</v>
      </c>
      <c r="E111" s="5" t="str">
        <f>IFERROR(__xludf.DUMMYFUNCTION("GOOGLETRANSLATE(K111, ""th"", ""en"")"),"Following these guidelines will help ensure the competition runs safely.")</f>
        <v>Following these guidelines will help ensure the competition runs safely.</v>
      </c>
      <c r="G111" s="6">
        <v>110.0</v>
      </c>
      <c r="H111" s="7" t="s">
        <v>390</v>
      </c>
      <c r="I111" s="7" t="s">
        <v>391</v>
      </c>
      <c r="J111" s="7" t="s">
        <v>392</v>
      </c>
      <c r="K111" s="7" t="s">
        <v>393</v>
      </c>
    </row>
    <row r="112" ht="14.25" customHeight="1">
      <c r="A112" s="4">
        <v>111.0</v>
      </c>
      <c r="B112" s="5" t="str">
        <f>IFERROR(__xludf.DUMMYFUNCTION("GOOGLETRANSLATE(H112, ""th"", ""en"")"),"If you find your opponent's boat is breaking the rules, what will you do?")</f>
        <v>If you find your opponent's boat is breaking the rules, what will you do?</v>
      </c>
      <c r="C112" s="5" t="str">
        <f>IFERROR(__xludf.DUMMYFUNCTION("GOOGLETRANSLATE(I112, ""th"", ""en"")"),"A) Notify the referee immediately; B) Do nothing; C) Continue playing as normal; D) Stop the game.")</f>
        <v>A) Notify the referee immediately; B) Do nothing; C) Continue playing as normal; D) Stop the game.</v>
      </c>
      <c r="D112" s="5" t="str">
        <f>IFERROR(__xludf.DUMMYFUNCTION("GOOGLETRANSLATE(J112, ""th"", ""en"")"),"A) Notify the committee immediately.")</f>
        <v>A) Notify the committee immediately.</v>
      </c>
      <c r="E112" s="5" t="str">
        <f>IFERROR(__xludf.DUMMYFUNCTION("GOOGLETRANSLATE(K112, ""th"", ""en"")"),"Informing the referee helps the competition to be in accordance with the rules.")</f>
        <v>Informing the referee helps the competition to be in accordance with the rules.</v>
      </c>
      <c r="G112" s="6">
        <v>111.0</v>
      </c>
      <c r="H112" s="7" t="s">
        <v>394</v>
      </c>
      <c r="I112" s="7" t="s">
        <v>395</v>
      </c>
      <c r="J112" s="7" t="s">
        <v>285</v>
      </c>
      <c r="K112" s="7" t="s">
        <v>250</v>
      </c>
    </row>
    <row r="113" ht="14.25" customHeight="1">
      <c r="A113" s="4">
        <v>112.0</v>
      </c>
      <c r="B113" s="5" t="str">
        <f>IFERROR(__xludf.DUMMYFUNCTION("GOOGLETRANSLATE(H113, ""th"", ""en"")"),"What would you do if there was a conflict between players on your team?")</f>
        <v>What would you do if there was a conflict between players on your team?</v>
      </c>
      <c r="C113" s="5" t="str">
        <f>IFERROR(__xludf.DUMMYFUNCTION("GOOGLETRANSLATE(I113, ""th"", ""en"")"),"A) Inform the coach to find a solution; B) Do nothing; C) Refuse to interfere; D) Stop the game.")</f>
        <v>A) Inform the coach to find a solution; B) Do nothing; C) Refuse to interfere; D) Stop the game.</v>
      </c>
      <c r="D113" s="5" t="str">
        <f>IFERROR(__xludf.DUMMYFUNCTION("GOOGLETRANSLATE(J113, ""th"", ""en"")"),"A) Inform the trainer to find a solution.")</f>
        <v>A) Inform the trainer to find a solution.</v>
      </c>
      <c r="E113" s="5" t="str">
        <f>IFERROR(__xludf.DUMMYFUNCTION("GOOGLETRANSLATE(K113, ""th"", ""en"")"),"Notifying the trainer allows the situation to be managed.")</f>
        <v>Notifying the trainer allows the situation to be managed.</v>
      </c>
      <c r="G113" s="6">
        <v>112.0</v>
      </c>
      <c r="H113" s="7" t="s">
        <v>396</v>
      </c>
      <c r="I113" s="7" t="s">
        <v>397</v>
      </c>
      <c r="J113" s="7" t="s">
        <v>398</v>
      </c>
      <c r="K113" s="7" t="s">
        <v>399</v>
      </c>
    </row>
    <row r="114" ht="14.25" customHeight="1">
      <c r="A114" s="4">
        <v>113.0</v>
      </c>
      <c r="B114" s="5" t="str">
        <f>IFERROR(__xludf.DUMMYFUNCTION("GOOGLETRANSLATE(H114, ""th"", ""en"")"),"If your boat breaks the rules of the race, what will you do?")</f>
        <v>If your boat breaks the rules of the race, what will you do?</v>
      </c>
      <c r="C114" s="5" t="str">
        <f>IFERROR(__xludf.DUMMYFUNCTION("GOOGLETRANSLATE(I114, ""th"", ""en"")"),"A) inform the referee and request a review; B) do nothing; C) reject the decision; D) stop the match.")</f>
        <v>A) inform the referee and request a review; B) do nothing; C) reject the decision; D) stop the match.</v>
      </c>
      <c r="D114" s="5" t="str">
        <f>IFERROR(__xludf.DUMMYFUNCTION("GOOGLETRANSLATE(J114, ""th"", ""en"")"),"A) Inform the board and request a review.")</f>
        <v>A) Inform the board and request a review.</v>
      </c>
      <c r="E114" s="5" t="str">
        <f>IFERROR(__xludf.DUMMYFUNCTION("GOOGLETRANSLATE(K114, ""th"", ""en"")"),"Informing the referee helps to make the correct decision.")</f>
        <v>Informing the referee helps to make the correct decision.</v>
      </c>
      <c r="G114" s="6">
        <v>113.0</v>
      </c>
      <c r="H114" s="7" t="s">
        <v>400</v>
      </c>
      <c r="I114" s="7" t="s">
        <v>401</v>
      </c>
      <c r="J114" s="7" t="s">
        <v>402</v>
      </c>
      <c r="K114" s="7" t="s">
        <v>188</v>
      </c>
    </row>
    <row r="115" ht="14.25" customHeight="1">
      <c r="A115" s="4">
        <v>114.0</v>
      </c>
      <c r="B115" s="5" t="str">
        <f>IFERROR(__xludf.DUMMYFUNCTION("GOOGLETRANSLATE(H115, ""th"", ""en"")"),"When you find out that a player on your team is injured, what do you do?")</f>
        <v>When you find out that a player on your team is injured, what do you do?</v>
      </c>
      <c r="C115" s="5" t="str">
        <f>IFERROR(__xludf.DUMMYFUNCTION("GOOGLETRANSLATE(I115, ""th"", ""en"")"),"A) Notify the referee and request immediate assistance; B) Attempt to assist the injured person himself; C) Stop the match; D) Continue the match.")</f>
        <v>A) Notify the referee and request immediate assistance; B) Attempt to assist the injured person himself; C) Stop the match; D) Continue the match.</v>
      </c>
      <c r="D115" s="5" t="str">
        <f>IFERROR(__xludf.DUMMYFUNCTION("GOOGLETRANSLATE(J115, ""th"", ""en"")"),"A) Notify the committee and request immediate assistance.")</f>
        <v>A) Notify the committee and request immediate assistance.</v>
      </c>
      <c r="E115" s="5" t="str">
        <f>IFERROR(__xludf.DUMMYFUNCTION("GOOGLETRANSLATE(K115, ""th"", ""en"")"),"Notifying the referee ensures that players are properly cared for.")</f>
        <v>Notifying the referee ensures that players are properly cared for.</v>
      </c>
      <c r="G115" s="6">
        <v>114.0</v>
      </c>
      <c r="H115" s="7" t="s">
        <v>403</v>
      </c>
      <c r="I115" s="7" t="s">
        <v>404</v>
      </c>
      <c r="J115" s="7" t="s">
        <v>405</v>
      </c>
      <c r="K115" s="7" t="s">
        <v>364</v>
      </c>
    </row>
    <row r="116" ht="14.25" customHeight="1">
      <c r="A116" s="4">
        <v>115.0</v>
      </c>
      <c r="B116" s="5" t="str">
        <f>IFERROR(__xludf.DUMMYFUNCTION("GOOGLETRANSLATE(H116, ""th"", ""en"")"),"If you want to change your paddling strategy during the race, how do you do it?")</f>
        <v>If you want to change your paddling strategy during the race, how do you do it?</v>
      </c>
      <c r="C116" s="5" t="str">
        <f>IFERROR(__xludf.DUMMYFUNCTION("GOOGLETRANSLATE(I116, ""th"", ""en"")"),"A) Consult with the coach and adjust the strategy; B) Change the strategy without informing anyone; C) Stop the match; D) Do not make any changes.")</f>
        <v>A) Consult with the coach and adjust the strategy; B) Change the strategy without informing anyone; C) Stop the match; D) Do not make any changes.</v>
      </c>
      <c r="D116" s="5" t="str">
        <f>IFERROR(__xludf.DUMMYFUNCTION("GOOGLETRANSLATE(J116, ""th"", ""en"")"),"A) Consult with your trainer and adjust your strategy.")</f>
        <v>A) Consult with your trainer and adjust your strategy.</v>
      </c>
      <c r="E116" s="5" t="str">
        <f>IFERROR(__xludf.DUMMYFUNCTION("GOOGLETRANSLATE(K116, ""th"", ""en"")"),"Consulting a coach helps to make strategic changes effective.")</f>
        <v>Consulting a coach helps to make strategic changes effective.</v>
      </c>
      <c r="G116" s="6">
        <v>115.0</v>
      </c>
      <c r="H116" s="7" t="s">
        <v>406</v>
      </c>
      <c r="I116" s="7" t="s">
        <v>407</v>
      </c>
      <c r="J116" s="7" t="s">
        <v>408</v>
      </c>
      <c r="K116" s="7" t="s">
        <v>409</v>
      </c>
    </row>
    <row r="117" ht="14.25" customHeight="1">
      <c r="A117" s="4">
        <v>116.0</v>
      </c>
      <c r="B117" s="5" t="str">
        <f>IFERROR(__xludf.DUMMYFUNCTION("GOOGLETRANSLATE(H117, ""th"", ""en"")"),"If you find your players are violating the rules, what should you do?")</f>
        <v>If you find your players are violating the rules, what should you do?</v>
      </c>
      <c r="C117" s="5" t="str">
        <f>IFERROR(__xludf.DUMMYFUNCTION("GOOGLETRANSLATE(I117, ""th"", ""en"")"),"A) Notify the coach immediately; B) Avoid interfering; C) Continue the match as normal; D) Stop the match.")</f>
        <v>A) Notify the coach immediately; B) Avoid interfering; C) Continue the match as normal; D) Stop the match.</v>
      </c>
      <c r="D117" s="5" t="str">
        <f>IFERROR(__xludf.DUMMYFUNCTION("GOOGLETRANSLATE(J117, ""th"", ""en"")"),"A) Notify the trainer immediately.")</f>
        <v>A) Notify the trainer immediately.</v>
      </c>
      <c r="E117" s="5" t="str">
        <f>IFERROR(__xludf.DUMMYFUNCTION("GOOGLETRANSLATE(K117, ""th"", ""en"")"),"Notifying the trainer allows the situation to be managed.")</f>
        <v>Notifying the trainer allows the situation to be managed.</v>
      </c>
      <c r="G117" s="6">
        <v>116.0</v>
      </c>
      <c r="H117" s="7" t="s">
        <v>410</v>
      </c>
      <c r="I117" s="7" t="s">
        <v>411</v>
      </c>
      <c r="J117" s="7" t="s">
        <v>319</v>
      </c>
      <c r="K117" s="7" t="s">
        <v>399</v>
      </c>
    </row>
    <row r="118" ht="14.25" customHeight="1">
      <c r="A118" s="4">
        <v>117.0</v>
      </c>
      <c r="B118" s="5" t="str">
        <f>IFERROR(__xludf.DUMMYFUNCTION("GOOGLETRANSLATE(H118, ""th"", ""en"")"),"If your team experiences technical difficulties during a match, what should you do?")</f>
        <v>If your team experiences technical difficulties during a match, what should you do?</v>
      </c>
      <c r="C118" s="5" t="str">
        <f>IFERROR(__xludf.DUMMYFUNCTION("GOOGLETRANSLATE(I118, ""th"", ""en"")"),"A) Inform the referee and request technical assistance; B) Attempt to correct the situation; C) Stop the match; D) Continue the match as normal.")</f>
        <v>A) Inform the referee and request technical assistance; B) Attempt to correct the situation; C) Stop the match; D) Continue the match as normal.</v>
      </c>
      <c r="D118" s="5" t="str">
        <f>IFERROR(__xludf.DUMMYFUNCTION("GOOGLETRANSLATE(J118, ""th"", ""en"")"),"A) Inform the board and request technical assistance.")</f>
        <v>A) Inform the board and request technical assistance.</v>
      </c>
      <c r="E118" s="5" t="str">
        <f>IFERROR(__xludf.DUMMYFUNCTION("GOOGLETRANSLATE(K118, ""th"", ""en"")"),"Informing the board of directors helped resolve the issue.")</f>
        <v>Informing the board of directors helped resolve the issue.</v>
      </c>
      <c r="G118" s="6">
        <v>117.0</v>
      </c>
      <c r="H118" s="7" t="s">
        <v>412</v>
      </c>
      <c r="I118" s="7" t="s">
        <v>413</v>
      </c>
      <c r="J118" s="7" t="s">
        <v>414</v>
      </c>
      <c r="K118" s="7" t="s">
        <v>415</v>
      </c>
    </row>
    <row r="119" ht="14.25" customHeight="1">
      <c r="A119" s="4">
        <v>118.0</v>
      </c>
      <c r="B119" s="5" t="str">
        <f>IFERROR(__xludf.DUMMYFUNCTION("GOOGLETRANSLATE(H119, ""th"", ""en"")"),"What should you do if your boat is not properly inspected before the race?")</f>
        <v>What should you do if your boat is not properly inspected before the race?</v>
      </c>
      <c r="C119" s="5" t="str">
        <f>IFERROR(__xludf.DUMMYFUNCTION("GOOGLETRANSLATE(I119, ""th"", ""en"")"),"A) Notify the referee and request a re-examination; B) Continue the match without notifying the referee; C) Stop the match; D) Refuse the match.")</f>
        <v>A) Notify the referee and request a re-examination; B) Continue the match without notifying the referee; C) Stop the match; D) Refuse the match.</v>
      </c>
      <c r="D119" s="5" t="str">
        <f>IFERROR(__xludf.DUMMYFUNCTION("GOOGLETRANSLATE(J119, ""th"", ""en"")"),"A) Inform the committee and request a new inspection.")</f>
        <v>A) Inform the committee and request a new inspection.</v>
      </c>
      <c r="E119" s="5" t="str">
        <f>IFERROR(__xludf.DUMMYFUNCTION("GOOGLETRANSLATE(K119, ""th"", ""en"")"),"Informing the referee helps the competition to be in accordance with the rules.")</f>
        <v>Informing the referee helps the competition to be in accordance with the rules.</v>
      </c>
      <c r="G119" s="6">
        <v>118.0</v>
      </c>
      <c r="H119" s="7" t="s">
        <v>416</v>
      </c>
      <c r="I119" s="7" t="s">
        <v>417</v>
      </c>
      <c r="J119" s="7" t="s">
        <v>418</v>
      </c>
      <c r="K119" s="7" t="s">
        <v>250</v>
      </c>
    </row>
    <row r="120" ht="14.25" customHeight="1">
      <c r="A120" s="4">
        <v>119.0</v>
      </c>
      <c r="B120" s="5" t="str">
        <f>IFERROR(__xludf.DUMMYFUNCTION("GOOGLETRANSLATE(H120, ""th"", ""en"")"),"If your paths clash during a race, what will you do?")</f>
        <v>If your paths clash during a race, what will you do?</v>
      </c>
      <c r="C120" s="5" t="str">
        <f>IFERROR(__xludf.DUMMYFUNCTION("GOOGLETRANSLATE(I120, ""th"", ""en"")"),"A) Inform the referee for advice; B) Adjust the course without informing anyone; C) Stop the race; D) Continue the race as normal.")</f>
        <v>A) Inform the referee for advice; B) Adjust the course without informing anyone; C) Stop the race; D) Continue the race as normal.</v>
      </c>
      <c r="D120" s="5" t="str">
        <f>IFERROR(__xludf.DUMMYFUNCTION("GOOGLETRANSLATE(J120, ""th"", ""en"")"),"A) Inform the committee for advice.")</f>
        <v>A) Inform the committee for advice.</v>
      </c>
      <c r="E120" s="5" t="str">
        <f>IFERROR(__xludf.DUMMYFUNCTION("GOOGLETRANSLATE(K120, ""th"", ""en"")"),"Informing the referee helps the competition to be in accordance with the rules.")</f>
        <v>Informing the referee helps the competition to be in accordance with the rules.</v>
      </c>
      <c r="G120" s="6">
        <v>119.0</v>
      </c>
      <c r="H120" s="7" t="s">
        <v>419</v>
      </c>
      <c r="I120" s="7" t="s">
        <v>420</v>
      </c>
      <c r="J120" s="7" t="s">
        <v>183</v>
      </c>
      <c r="K120" s="7" t="s">
        <v>250</v>
      </c>
    </row>
    <row r="121" ht="14.25" customHeight="1">
      <c r="A121" s="4">
        <v>120.0</v>
      </c>
      <c r="B121" s="5" t="str">
        <f>IFERROR(__xludf.DUMMYFUNCTION("GOOGLETRANSLATE(H121, ""th"", ""en"")"),"During a match, you find that some players are not following the rules. What will you do?")</f>
        <v>During a match, you find that some players are not following the rules. What will you do?</v>
      </c>
      <c r="C121" s="5" t="str">
        <f>IFERROR(__xludf.DUMMYFUNCTION("GOOGLETRANSLATE(I121, ""th"", ""en"")"),"A) Notify the referee immediately; B) Do nothing; C) Continue playing as normal; D) Stop the game.")</f>
        <v>A) Notify the referee immediately; B) Do nothing; C) Continue playing as normal; D) Stop the game.</v>
      </c>
      <c r="D121" s="5" t="str">
        <f>IFERROR(__xludf.DUMMYFUNCTION("GOOGLETRANSLATE(J121, ""th"", ""en"")"),"A) Notify the committee immediately.")</f>
        <v>A) Notify the committee immediately.</v>
      </c>
      <c r="E121" s="5" t="str">
        <f>IFERROR(__xludf.DUMMYFUNCTION("GOOGLETRANSLATE(K121, ""th"", ""en"")"),"Informing the referee helps the competition to be in accordance with the rules.")</f>
        <v>Informing the referee helps the competition to be in accordance with the rules.</v>
      </c>
      <c r="G121" s="6">
        <v>120.0</v>
      </c>
      <c r="H121" s="7" t="s">
        <v>421</v>
      </c>
      <c r="I121" s="7" t="s">
        <v>395</v>
      </c>
      <c r="J121" s="7" t="s">
        <v>285</v>
      </c>
      <c r="K121" s="7" t="s">
        <v>250</v>
      </c>
    </row>
    <row r="122" ht="14.25" customHeight="1">
      <c r="A122" s="4">
        <v>121.0</v>
      </c>
      <c r="B122" s="5" t="str">
        <f>IFERROR(__xludf.DUMMYFUNCTION("GOOGLETRANSLATE(H122, ""th"", ""en"")"),"If your boat loses balance during a race, what should you do?")</f>
        <v>If your boat loses balance during a race, what should you do?</v>
      </c>
      <c r="C122" s="5" t="str">
        <f>IFERROR(__xludf.DUMMYFUNCTION("GOOGLETRANSLATE(I122, ""th"", ""en"")"),"A) Balance the boat and inform the referee; B) Attempt to continue the race; C) Stop the race immediately; D) Inform the coach.")</f>
        <v>A) Balance the boat and inform the referee; B) Attempt to continue the race; C) Stop the race immediately; D) Inform the coach.</v>
      </c>
      <c r="D122" s="5" t="str">
        <f>IFERROR(__xludf.DUMMYFUNCTION("GOOGLETRANSLATE(J122, ""th"", ""en"")"),"A) Balance the boat and inform the referee.")</f>
        <v>A) Balance the boat and inform the referee.</v>
      </c>
      <c r="E122" s="5" t="str">
        <f>IFERROR(__xludf.DUMMYFUNCTION("GOOGLETRANSLATE(K122, ""th"", ""en"")"),"Informing the board allows the situation to be handled properly.")</f>
        <v>Informing the board allows the situation to be handled properly.</v>
      </c>
      <c r="G122" s="6">
        <v>121.0</v>
      </c>
      <c r="H122" s="7" t="s">
        <v>422</v>
      </c>
      <c r="I122" s="7" t="s">
        <v>423</v>
      </c>
      <c r="J122" s="7" t="s">
        <v>424</v>
      </c>
      <c r="K122" s="7" t="s">
        <v>370</v>
      </c>
    </row>
    <row r="123" ht="14.25" customHeight="1">
      <c r="A123" s="4">
        <v>122.0</v>
      </c>
      <c r="B123" s="5" t="str">
        <f>IFERROR(__xludf.DUMMYFUNCTION("GOOGLETRANSLATE(H123, ""th"", ""en"")"),"If a referee makes a decision you disagree with, what should you do?")</f>
        <v>If a referee makes a decision you disagree with, what should you do?</v>
      </c>
      <c r="C123" s="5" t="str">
        <f>IFERROR(__xludf.DUMMYFUNCTION("GOOGLETRANSLATE(I123, ""th"", ""en"")"),"A) Ask the referee to explain the decision; B) Do nothing; C) Reject the decision; D) Stop the match.")</f>
        <v>A) Ask the referee to explain the decision; B) Do nothing; C) Reject the decision; D) Stop the match.</v>
      </c>
      <c r="D123" s="5" t="str">
        <f>IFERROR(__xludf.DUMMYFUNCTION("GOOGLETRANSLATE(J123, ""th"", ""en"")"),"A) Ask the judges to explain their decision.")</f>
        <v>A) Ask the judges to explain their decision.</v>
      </c>
      <c r="E123" s="5" t="str">
        <f>IFERROR(__xludf.DUMMYFUNCTION("GOOGLETRANSLATE(K123, ""th"", ""en"")"),"Asking for an explanation helps clarify the situation.")</f>
        <v>Asking for an explanation helps clarify the situation.</v>
      </c>
      <c r="G123" s="6">
        <v>122.0</v>
      </c>
      <c r="H123" s="7" t="s">
        <v>425</v>
      </c>
      <c r="I123" s="7" t="s">
        <v>426</v>
      </c>
      <c r="J123" s="7" t="s">
        <v>427</v>
      </c>
      <c r="K123" s="7" t="s">
        <v>428</v>
      </c>
    </row>
    <row r="124" ht="14.25" customHeight="1">
      <c r="A124" s="4">
        <v>123.0</v>
      </c>
      <c r="B124" s="5" t="str">
        <f>IFERROR(__xludf.DUMMYFUNCTION("GOOGLETRANSLATE(H124, ""th"", ""en"")"),"If you find a conflict between players on your team, what should you do?")</f>
        <v>If you find a conflict between players on your team, what should you do?</v>
      </c>
      <c r="C124" s="5" t="str">
        <f>IFERROR(__xludf.DUMMYFUNCTION("GOOGLETRANSLATE(I124, ""th"", ""en"")"),"A) Inform the coach to find a solution; B) Do nothing; C) Refuse to interfere; D) Stop the game.")</f>
        <v>A) Inform the coach to find a solution; B) Do nothing; C) Refuse to interfere; D) Stop the game.</v>
      </c>
      <c r="D124" s="5" t="str">
        <f>IFERROR(__xludf.DUMMYFUNCTION("GOOGLETRANSLATE(J124, ""th"", ""en"")"),"A) Inform the trainer to find a solution.")</f>
        <v>A) Inform the trainer to find a solution.</v>
      </c>
      <c r="E124" s="5" t="str">
        <f>IFERROR(__xludf.DUMMYFUNCTION("GOOGLETRANSLATE(K124, ""th"", ""en"")"),"Notifying the trainer allows the situation to be managed.")</f>
        <v>Notifying the trainer allows the situation to be managed.</v>
      </c>
      <c r="G124" s="6">
        <v>123.0</v>
      </c>
      <c r="H124" s="7" t="s">
        <v>429</v>
      </c>
      <c r="I124" s="7" t="s">
        <v>397</v>
      </c>
      <c r="J124" s="7" t="s">
        <v>398</v>
      </c>
      <c r="K124" s="7" t="s">
        <v>399</v>
      </c>
    </row>
    <row r="125" ht="14.25" customHeight="1">
      <c r="A125" s="4">
        <v>124.0</v>
      </c>
      <c r="B125" s="5" t="str">
        <f>IFERROR(__xludf.DUMMYFUNCTION("GOOGLETRANSLATE(H125, ""th"", ""en"")"),"If you find that your boat is unable to reach its normal speed, what should you do?")</f>
        <v>If you find that your boat is unable to reach its normal speed, what should you do?</v>
      </c>
      <c r="C125" s="5" t="str">
        <f>IFERROR(__xludf.DUMMYFUNCTION("GOOGLETRANSLATE(I125, ""th"", ""en"")"),"A) Notify the referee and ask for an inspection; B) Try to speed up yourself; C) Stop the race; D) Continue the race as normal.")</f>
        <v>A) Notify the referee and ask for an inspection; B) Try to speed up yourself; C) Stop the race; D) Continue the race as normal.</v>
      </c>
      <c r="D125" s="5" t="str">
        <f>IFERROR(__xludf.DUMMYFUNCTION("GOOGLETRANSLATE(J125, ""th"", ""en"")"),"A) Inform the committee and request an inspection.")</f>
        <v>A) Inform the committee and request an inspection.</v>
      </c>
      <c r="E125" s="5" t="str">
        <f>IFERROR(__xludf.DUMMYFUNCTION("GOOGLETRANSLATE(K125, ""th"", ""en"")"),"Informing the board allows the situation to be managed.")</f>
        <v>Informing the board allows the situation to be managed.</v>
      </c>
      <c r="G125" s="6">
        <v>124.0</v>
      </c>
      <c r="H125" s="7" t="s">
        <v>430</v>
      </c>
      <c r="I125" s="7" t="s">
        <v>431</v>
      </c>
      <c r="J125" s="7" t="s">
        <v>432</v>
      </c>
      <c r="K125" s="7" t="s">
        <v>433</v>
      </c>
    </row>
    <row r="126" ht="14.25" customHeight="1">
      <c r="A126" s="4">
        <v>125.0</v>
      </c>
      <c r="B126" s="5" t="str">
        <f>IFERROR(__xludf.DUMMYFUNCTION("GOOGLETRANSLATE(H126, ""th"", ""en"")"),"If the competition is temporarily suspended due to weather conditions, what will you do?")</f>
        <v>If the competition is temporarily suspended due to weather conditions, what will you do?</v>
      </c>
      <c r="C126" s="5" t="str">
        <f>IFERROR(__xludf.DUMMYFUNCTION("GOOGLETRANSLATE(I126, ""th"", ""en"")"),"A) Follow instructions from the referee; B) Avoid following instructions; C) Continue competing regardless of instructions; D) Stop the competition immediately.")</f>
        <v>A) Follow instructions from the referee; B) Avoid following instructions; C) Continue competing regardless of instructions; D) Stop the competition immediately.</v>
      </c>
      <c r="D126" s="5" t="str">
        <f>IFERROR(__xludf.DUMMYFUNCTION("GOOGLETRANSLATE(J126, ""th"", ""en"")"),"A) Follow the instructions from the committee.")</f>
        <v>A) Follow the instructions from the committee.</v>
      </c>
      <c r="E126" s="5" t="str">
        <f>IFERROR(__xludf.DUMMYFUNCTION("GOOGLETRANSLATE(K126, ""th"", ""en"")"),"Following these guidelines will help ensure the competition runs safely.")</f>
        <v>Following these guidelines will help ensure the competition runs safely.</v>
      </c>
      <c r="G126" s="6">
        <v>125.0</v>
      </c>
      <c r="H126" s="7" t="s">
        <v>434</v>
      </c>
      <c r="I126" s="7" t="s">
        <v>391</v>
      </c>
      <c r="J126" s="7" t="s">
        <v>392</v>
      </c>
      <c r="K126" s="7" t="s">
        <v>393</v>
      </c>
    </row>
    <row r="127" ht="14.25" customHeight="1">
      <c r="A127" s="4">
        <v>126.0</v>
      </c>
      <c r="B127" s="5" t="str">
        <f>IFERROR(__xludf.DUMMYFUNCTION("GOOGLETRANSLATE(H127, ""th"", ""en"")"),"If you see a competitor's ship blocking your path, what should you do?")</f>
        <v>If you see a competitor's ship blocking your path, what should you do?</v>
      </c>
      <c r="C127" s="5" t="str">
        <f>IFERROR(__xludf.DUMMYFUNCTION("GOOGLETRANSLATE(I127, ""th"", ""en"")"),"A) Notify the referee immediately; B) Try to avoid the obstacle yourself; C) Stop the race; D) Continue the race as normal.")</f>
        <v>A) Notify the referee immediately; B) Try to avoid the obstacle yourself; C) Stop the race; D) Continue the race as normal.</v>
      </c>
      <c r="D127" s="5" t="str">
        <f>IFERROR(__xludf.DUMMYFUNCTION("GOOGLETRANSLATE(J127, ""th"", ""en"")"),"A) Notify the committee immediately.")</f>
        <v>A) Notify the committee immediately.</v>
      </c>
      <c r="E127" s="5" t="str">
        <f>IFERROR(__xludf.DUMMYFUNCTION("GOOGLETRANSLATE(K127, ""th"", ""en"")"),"Informing the referee helps the competition to be in accordance with the rules.")</f>
        <v>Informing the referee helps the competition to be in accordance with the rules.</v>
      </c>
      <c r="G127" s="6">
        <v>126.0</v>
      </c>
      <c r="H127" s="7" t="s">
        <v>435</v>
      </c>
      <c r="I127" s="7" t="s">
        <v>436</v>
      </c>
      <c r="J127" s="7" t="s">
        <v>285</v>
      </c>
      <c r="K127" s="7" t="s">
        <v>250</v>
      </c>
    </row>
    <row r="128" ht="14.25" customHeight="1">
      <c r="A128" s="4">
        <v>127.0</v>
      </c>
      <c r="B128" s="5" t="str">
        <f>IFERROR(__xludf.DUMMYFUNCTION("GOOGLETRANSLATE(H128, ""th"", ""en"")"),"If the boat race is canceled midway, what will you do?")</f>
        <v>If the boat race is canceled midway, what will you do?</v>
      </c>
      <c r="C128" s="5" t="str">
        <f>IFERROR(__xludf.DUMMYFUNCTION("GOOGLETRANSLATE(I128, ""th"", ""en"")"),"A) Follow the instructions of the referee; B) Continue the race; C) Stop the race; D) Complain about the cancellation.")</f>
        <v>A) Follow the instructions of the referee; B) Continue the race; C) Stop the race; D) Complain about the cancellation.</v>
      </c>
      <c r="D128" s="5" t="str">
        <f>IFERROR(__xludf.DUMMYFUNCTION("GOOGLETRANSLATE(J128, ""th"", ""en"")"),"A) Follow the instructions from the committee.")</f>
        <v>A) Follow the instructions from the committee.</v>
      </c>
      <c r="E128" s="5" t="str">
        <f>IFERROR(__xludf.DUMMYFUNCTION("GOOGLETRANSLATE(K128, ""th"", ""en"")"),"Following the instructions helped the situation get managed.")</f>
        <v>Following the instructions helped the situation get managed.</v>
      </c>
      <c r="G128" s="6">
        <v>127.0</v>
      </c>
      <c r="H128" s="7" t="s">
        <v>437</v>
      </c>
      <c r="I128" s="7" t="s">
        <v>438</v>
      </c>
      <c r="J128" s="7" t="s">
        <v>392</v>
      </c>
      <c r="K128" s="7" t="s">
        <v>439</v>
      </c>
    </row>
    <row r="129" ht="14.25" customHeight="1">
      <c r="A129" s="4">
        <v>128.0</v>
      </c>
      <c r="B129" s="5" t="str">
        <f>IFERROR(__xludf.DUMMYFUNCTION("GOOGLETRANSLATE(H129, ""th"", ""en"")"),"If you see a player from the opposing team not wearing safety equipment, what should you do?")</f>
        <v>If you see a player from the opposing team not wearing safety equipment, what should you do?</v>
      </c>
      <c r="C129" s="5" t="str">
        <f>IFERROR(__xludf.DUMMYFUNCTION("GOOGLETRANSLATE(I129, ""th"", ""en"")"),"A) Notify the referee immediately; B) Do nothing; C) Continue playing as normal; D) Stop the game.")</f>
        <v>A) Notify the referee immediately; B) Do nothing; C) Continue playing as normal; D) Stop the game.</v>
      </c>
      <c r="D129" s="5" t="str">
        <f>IFERROR(__xludf.DUMMYFUNCTION("GOOGLETRANSLATE(J129, ""th"", ""en"")"),"A) Notify the committee immediately.")</f>
        <v>A) Notify the committee immediately.</v>
      </c>
      <c r="E129" s="5" t="str">
        <f>IFERROR(__xludf.DUMMYFUNCTION("GOOGLETRANSLATE(K129, ""th"", ""en"")"),"Informing the referee helps the competition to be in accordance with the rules.")</f>
        <v>Informing the referee helps the competition to be in accordance with the rules.</v>
      </c>
      <c r="G129" s="6">
        <v>128.0</v>
      </c>
      <c r="H129" s="7" t="s">
        <v>440</v>
      </c>
      <c r="I129" s="7" t="s">
        <v>395</v>
      </c>
      <c r="J129" s="7" t="s">
        <v>285</v>
      </c>
      <c r="K129" s="7" t="s">
        <v>250</v>
      </c>
    </row>
    <row r="130" ht="14.25" customHeight="1">
      <c r="A130" s="4">
        <v>129.0</v>
      </c>
      <c r="B130" s="5" t="str">
        <f>IFERROR(__xludf.DUMMYFUNCTION("GOOGLETRANSLATE(H130, ""th"", ""en"")"),"If your boat is disqualified from a race, what should you do?")</f>
        <v>If your boat is disqualified from a race, what should you do?</v>
      </c>
      <c r="C130" s="5" t="str">
        <f>IFERROR(__xludf.DUMMYFUNCTION("GOOGLETRANSLATE(I130, ""th"", ""en"")"),"A) Request a reconsideration from the referee; B) Do nothing; C) Avoid requesting a reconsideration; D) Stop the match.")</f>
        <v>A) Request a reconsideration from the referee; B) Do nothing; C) Avoid requesting a reconsideration; D) Stop the match.</v>
      </c>
      <c r="D130" s="5" t="str">
        <f>IFERROR(__xludf.DUMMYFUNCTION("GOOGLETRANSLATE(J130, ""th"", ""en"")"),"A) Request reconsideration from the committee.")</f>
        <v>A) Request reconsideration from the committee.</v>
      </c>
      <c r="E130" s="5" t="str">
        <f>IFERROR(__xludf.DUMMYFUNCTION("GOOGLETRANSLATE(K130, ""th"", ""en"")"),"Requesting reconsideration allows the situation to be resolved.")</f>
        <v>Requesting reconsideration allows the situation to be resolved.</v>
      </c>
      <c r="G130" s="6">
        <v>129.0</v>
      </c>
      <c r="H130" s="7" t="s">
        <v>441</v>
      </c>
      <c r="I130" s="7" t="s">
        <v>442</v>
      </c>
      <c r="J130" s="7" t="s">
        <v>443</v>
      </c>
      <c r="K130" s="7" t="s">
        <v>444</v>
      </c>
    </row>
    <row r="131" ht="14.25" customHeight="1">
      <c r="A131" s="4">
        <v>130.0</v>
      </c>
      <c r="B131" s="5" t="str">
        <f>IFERROR(__xludf.DUMMYFUNCTION("GOOGLETRANSLATE(H131, ""th"", ""en"")"),"If a boat race has communication problems between teams, what should you do?")</f>
        <v>If a boat race has communication problems between teams, what should you do?</v>
      </c>
      <c r="C131" s="5" t="str">
        <f>IFERROR(__xludf.DUMMYFUNCTION("GOOGLETRANSLATE(I131, ""th"", ""en"")"),"A) Immediately improve team communication; B) Do nothing; C) Avoid discussing the issue; D) Stop the competition.")</f>
        <v>A) Immediately improve team communication; B) Do nothing; C) Avoid discussing the issue; D) Stop the competition.</v>
      </c>
      <c r="D131" s="5" t="str">
        <f>IFERROR(__xludf.DUMMYFUNCTION("GOOGLETRANSLATE(J131, ""th"", ""en"")"),"A) Immediately improve team communication.")</f>
        <v>A) Immediately improve team communication.</v>
      </c>
      <c r="E131" s="5" t="str">
        <f>IFERROR(__xludf.DUMMYFUNCTION("GOOGLETRANSLATE(K131, ""th"", ""en"")"),"Improving communication allows teams to work better together.")</f>
        <v>Improving communication allows teams to work better together.</v>
      </c>
      <c r="G131" s="6">
        <v>130.0</v>
      </c>
      <c r="H131" s="7" t="s">
        <v>445</v>
      </c>
      <c r="I131" s="7" t="s">
        <v>446</v>
      </c>
      <c r="J131" s="7" t="s">
        <v>447</v>
      </c>
      <c r="K131" s="7" t="s">
        <v>448</v>
      </c>
    </row>
    <row r="132" ht="14.25" customHeight="1">
      <c r="A132" s="4">
        <v>131.0</v>
      </c>
      <c r="B132" s="5" t="str">
        <f>IFERROR(__xludf.DUMMYFUNCTION("GOOGLETRANSLATE(H132, ""th"", ""en"")"),"If your ship has a technical problem, what should you do?")</f>
        <v>If your ship has a technical problem, what should you do?</v>
      </c>
      <c r="C132" s="5" t="str">
        <f>IFERROR(__xludf.DUMMYFUNCTION("GOOGLETRANSLATE(I132, ""th"", ""en"")"),"A) Notify the referee and ask for help; B) Try to fix it yourself; C) Stop the match; D) Continue the match.")</f>
        <v>A) Notify the referee and ask for help; B) Try to fix it yourself; C) Stop the match; D) Continue the match.</v>
      </c>
      <c r="D132" s="5" t="str">
        <f>IFERROR(__xludf.DUMMYFUNCTION("GOOGLETRANSLATE(J132, ""th"", ""en"")"),"A) Inform the committee and ask for assistance.")</f>
        <v>A) Inform the committee and ask for assistance.</v>
      </c>
      <c r="E132" s="5" t="str">
        <f>IFERROR(__xludf.DUMMYFUNCTION("GOOGLETRANSLATE(K132, ""th"", ""en"")"),"Informing the board of directors helped resolve the issue.")</f>
        <v>Informing the board of directors helped resolve the issue.</v>
      </c>
      <c r="G132" s="6">
        <v>131.0</v>
      </c>
      <c r="H132" s="7" t="s">
        <v>449</v>
      </c>
      <c r="I132" s="7" t="s">
        <v>450</v>
      </c>
      <c r="J132" s="7" t="s">
        <v>240</v>
      </c>
      <c r="K132" s="7" t="s">
        <v>415</v>
      </c>
    </row>
    <row r="133" ht="14.25" customHeight="1">
      <c r="A133" s="4">
        <v>132.0</v>
      </c>
      <c r="B133" s="5" t="str">
        <f>IFERROR(__xludf.DUMMYFUNCTION("GOOGLETRANSLATE(H133, ""th"", ""en"")"),"If you find a player on your team breaking the rules, what should you do?")</f>
        <v>If you find a player on your team breaking the rules, what should you do?</v>
      </c>
      <c r="C133" s="5" t="str">
        <f>IFERROR(__xludf.DUMMYFUNCTION("GOOGLETRANSLATE(I133, ""th"", ""en"")"),"A) Inform the coach and ask for improvement; B) Do nothing; C) Refuse to make corrections; D) Stop the match.")</f>
        <v>A) Inform the coach and ask for improvement; B) Do nothing; C) Refuse to make corrections; D) Stop the match.</v>
      </c>
      <c r="D133" s="5" t="str">
        <f>IFERROR(__xludf.DUMMYFUNCTION("GOOGLETRANSLATE(J133, ""th"", ""en"")"),"A) Inform the trainer and ask for improvements.")</f>
        <v>A) Inform the trainer and ask for improvements.</v>
      </c>
      <c r="E133" s="5" t="str">
        <f>IFERROR(__xludf.DUMMYFUNCTION("GOOGLETRANSLATE(K133, ""th"", ""en"")"),"Notifying the trainer allows the situation to be managed.")</f>
        <v>Notifying the trainer allows the situation to be managed.</v>
      </c>
      <c r="G133" s="6">
        <v>132.0</v>
      </c>
      <c r="H133" s="7" t="s">
        <v>451</v>
      </c>
      <c r="I133" s="7" t="s">
        <v>452</v>
      </c>
      <c r="J133" s="7" t="s">
        <v>386</v>
      </c>
      <c r="K133" s="7" t="s">
        <v>399</v>
      </c>
    </row>
    <row r="134" ht="14.25" customHeight="1">
      <c r="A134" s="4">
        <v>133.0</v>
      </c>
      <c r="B134" s="5" t="str">
        <f>IFERROR(__xludf.DUMMYFUNCTION("GOOGLETRANSLATE(H134, ""th"", ""en"")"),"If your team doesn't have enough players for the match, what should you do?")</f>
        <v>If your team doesn't have enough players for the match, what should you do?</v>
      </c>
      <c r="C134" s="5" t="str">
        <f>IFERROR(__xludf.DUMMYFUNCTION("GOOGLETRANSLATE(I134, ""th"", ""en"")"),"A) Notify the coach and ask for help; B) Continue the race; C) Avoid talking about the problem; D) Stop the race.")</f>
        <v>A) Notify the coach and ask for help; B) Continue the race; C) Avoid talking about the problem; D) Stop the race.</v>
      </c>
      <c r="D134" s="5" t="str">
        <f>IFERROR(__xludf.DUMMYFUNCTION("GOOGLETRANSLATE(J134, ""th"", ""en"")"),"A) Inform the trainer and ask for assistance.")</f>
        <v>A) Inform the trainer and ask for assistance.</v>
      </c>
      <c r="E134" s="5" t="str">
        <f>IFERROR(__xludf.DUMMYFUNCTION("GOOGLETRANSLATE(K134, ""th"", ""en"")"),"Notifying the trainer helped resolve the situation.")</f>
        <v>Notifying the trainer helped resolve the situation.</v>
      </c>
      <c r="G134" s="6">
        <v>133.0</v>
      </c>
      <c r="H134" s="7" t="s">
        <v>453</v>
      </c>
      <c r="I134" s="7" t="s">
        <v>454</v>
      </c>
      <c r="J134" s="7" t="s">
        <v>455</v>
      </c>
      <c r="K134" s="7" t="s">
        <v>456</v>
      </c>
    </row>
    <row r="135" ht="14.25" customHeight="1">
      <c r="A135" s="4">
        <v>134.0</v>
      </c>
      <c r="B135" s="5" t="str">
        <f>IFERROR(__xludf.DUMMYFUNCTION("GOOGLETRANSLATE(H135, ""th"", ""en"")"),"If you find that a player from the opposing team is not following the rules, what will you do?")</f>
        <v>If you find that a player from the opposing team is not following the rules, what will you do?</v>
      </c>
      <c r="C135" s="5" t="str">
        <f>IFERROR(__xludf.DUMMYFUNCTION("GOOGLETRANSLATE(I135, ""th"", ""en"")"),"A) Notify the referee immediately; B) Try to avoid interfering; C) Continue playing as normal; D) Stop the game.")</f>
        <v>A) Notify the referee immediately; B) Try to avoid interfering; C) Continue playing as normal; D) Stop the game.</v>
      </c>
      <c r="D135" s="5" t="str">
        <f>IFERROR(__xludf.DUMMYFUNCTION("GOOGLETRANSLATE(J135, ""th"", ""en"")"),"A) Notify the committee immediately.")</f>
        <v>A) Notify the committee immediately.</v>
      </c>
      <c r="E135" s="5" t="str">
        <f>IFERROR(__xludf.DUMMYFUNCTION("GOOGLETRANSLATE(K135, ""th"", ""en"")"),"Informing the referee helps the competition to be in accordance with the rules.")</f>
        <v>Informing the referee helps the competition to be in accordance with the rules.</v>
      </c>
      <c r="G135" s="6">
        <v>134.0</v>
      </c>
      <c r="H135" s="7" t="s">
        <v>457</v>
      </c>
      <c r="I135" s="7" t="s">
        <v>458</v>
      </c>
      <c r="J135" s="7" t="s">
        <v>285</v>
      </c>
      <c r="K135" s="7" t="s">
        <v>250</v>
      </c>
    </row>
    <row r="136" ht="14.25" customHeight="1">
      <c r="A136" s="4">
        <v>135.0</v>
      </c>
      <c r="B136" s="5" t="str">
        <f>IFERROR(__xludf.DUMMYFUNCTION("GOOGLETRANSLATE(H136, ""th"", ""en"")"),"If your ship is misrated, what should you do?")</f>
        <v>If your ship is misrated, what should you do?</v>
      </c>
      <c r="C136" s="5" t="str">
        <f>IFERROR(__xludf.DUMMYFUNCTION("GOOGLETRANSLATE(I136, ""th"", ""en"")"),"A) Notify the referee and request a reconsideration; B) Do nothing; C) Refuse the decision; D) Stop the match.")</f>
        <v>A) Notify the referee and request a reconsideration; B) Do nothing; C) Refuse the decision; D) Stop the match.</v>
      </c>
      <c r="D136" s="5" t="str">
        <f>IFERROR(__xludf.DUMMYFUNCTION("GOOGLETRANSLATE(J136, ""th"", ""en"")"),"A) Inform the committee and request reconsideration.")</f>
        <v>A) Inform the committee and request reconsideration.</v>
      </c>
      <c r="E136" s="5" t="str">
        <f>IFERROR(__xludf.DUMMYFUNCTION("GOOGLETRANSLATE(K136, ""th"", ""en"")"),"Requesting reconsideration allows the situation to be resolved.")</f>
        <v>Requesting reconsideration allows the situation to be resolved.</v>
      </c>
      <c r="G136" s="6">
        <v>135.0</v>
      </c>
      <c r="H136" s="7" t="s">
        <v>459</v>
      </c>
      <c r="I136" s="7" t="s">
        <v>460</v>
      </c>
      <c r="J136" s="7" t="s">
        <v>461</v>
      </c>
      <c r="K136" s="7" t="s">
        <v>444</v>
      </c>
    </row>
    <row r="137" ht="14.25" customHeight="1">
      <c r="A137" s="4">
        <v>136.0</v>
      </c>
      <c r="B137" s="5" t="str">
        <f>IFERROR(__xludf.DUMMYFUNCTION("GOOGLETRANSLATE(H137, ""th"", ""en"")"),"If you find your competitive path is obstructed, what will you do?")</f>
        <v>If you find your competitive path is obstructed, what will you do?</v>
      </c>
      <c r="C137" s="5" t="str">
        <f>IFERROR(__xludf.DUMMYFUNCTION("GOOGLETRANSLATE(I137, ""th"", ""en"")"),"A) Notify the referee to handle the situation; B) Avoid the obstacle yourself; C) Stop the race; D) Continue the race as normal.")</f>
        <v>A) Notify the referee to handle the situation; B) Avoid the obstacle yourself; C) Stop the race; D) Continue the race as normal.</v>
      </c>
      <c r="D137" s="5" t="str">
        <f>IFERROR(__xludf.DUMMYFUNCTION("GOOGLETRANSLATE(J137, ""th"", ""en"")"),"A) Inform the committee to take care of it.")</f>
        <v>A) Inform the committee to take care of it.</v>
      </c>
      <c r="E137" s="5" t="str">
        <f>IFERROR(__xludf.DUMMYFUNCTION("GOOGLETRANSLATE(K137, ""th"", ""en"")"),"Informing the board allows the situation to be managed.")</f>
        <v>Informing the board allows the situation to be managed.</v>
      </c>
      <c r="G137" s="6">
        <v>136.0</v>
      </c>
      <c r="H137" s="7" t="s">
        <v>462</v>
      </c>
      <c r="I137" s="7" t="s">
        <v>463</v>
      </c>
      <c r="J137" s="7" t="s">
        <v>369</v>
      </c>
      <c r="K137" s="7" t="s">
        <v>433</v>
      </c>
    </row>
    <row r="138" ht="14.25" customHeight="1">
      <c r="A138" s="4">
        <v>137.0</v>
      </c>
      <c r="B138" s="5" t="str">
        <f>IFERROR(__xludf.DUMMYFUNCTION("GOOGLETRANSLATE(H138, ""th"", ""en"")"),"If there is a conflict in your team during a match, what will you do?")</f>
        <v>If there is a conflict in your team during a match, what will you do?</v>
      </c>
      <c r="C138" s="5" t="str">
        <f>IFERROR(__xludf.DUMMYFUNCTION("GOOGLETRANSLATE(I138, ""th"", ""en"")"),"A) Notify the coach and ask for help; B) Do nothing; C) Refuse to interfere; D) Stop the match.")</f>
        <v>A) Notify the coach and ask for help; B) Do nothing; C) Refuse to interfere; D) Stop the match.</v>
      </c>
      <c r="D138" s="5" t="str">
        <f>IFERROR(__xludf.DUMMYFUNCTION("GOOGLETRANSLATE(J138, ""th"", ""en"")"),"A) Inform the trainer and ask for assistance.")</f>
        <v>A) Inform the trainer and ask for assistance.</v>
      </c>
      <c r="E138" s="5" t="str">
        <f>IFERROR(__xludf.DUMMYFUNCTION("GOOGLETRANSLATE(K138, ""th"", ""en"")"),"Informing the coach helps resolve problems within the team.")</f>
        <v>Informing the coach helps resolve problems within the team.</v>
      </c>
      <c r="G138" s="6">
        <v>137.0</v>
      </c>
      <c r="H138" s="7" t="s">
        <v>464</v>
      </c>
      <c r="I138" s="7" t="s">
        <v>465</v>
      </c>
      <c r="J138" s="7" t="s">
        <v>455</v>
      </c>
      <c r="K138" s="7" t="s">
        <v>466</v>
      </c>
    </row>
    <row r="139" ht="14.25" customHeight="1">
      <c r="A139" s="4">
        <v>138.0</v>
      </c>
      <c r="B139" s="5" t="str">
        <f>IFERROR(__xludf.DUMMYFUNCTION("GOOGLETRANSLATE(H139, ""th"", ""en"")"),"If your boat has speed problems, what should you do?")</f>
        <v>If your boat has speed problems, what should you do?</v>
      </c>
      <c r="C139" s="5" t="str">
        <f>IFERROR(__xludf.DUMMYFUNCTION("GOOGLETRANSLATE(I139, ""th"", ""en"")"),"A) Notify the referee and request a check; B) Try to accelerate yourself; C) Stop the race; D) Continue the race.")</f>
        <v>A) Notify the referee and request a check; B) Try to accelerate yourself; C) Stop the race; D) Continue the race.</v>
      </c>
      <c r="D139" s="5" t="str">
        <f>IFERROR(__xludf.DUMMYFUNCTION("GOOGLETRANSLATE(J139, ""th"", ""en"")"),"A) Inform the board and request an inspection.")</f>
        <v>A) Inform the board and request an inspection.</v>
      </c>
      <c r="E139" s="5" t="str">
        <f>IFERROR(__xludf.DUMMYFUNCTION("GOOGLETRANSLATE(K139, ""th"", ""en"")"),"Informing the board of directors helped resolve the issue.")</f>
        <v>Informing the board of directors helped resolve the issue.</v>
      </c>
      <c r="G139" s="6">
        <v>138.0</v>
      </c>
      <c r="H139" s="7" t="s">
        <v>467</v>
      </c>
      <c r="I139" s="7" t="s">
        <v>468</v>
      </c>
      <c r="J139" s="7" t="s">
        <v>469</v>
      </c>
      <c r="K139" s="7" t="s">
        <v>415</v>
      </c>
    </row>
    <row r="140" ht="14.25" customHeight="1">
      <c r="A140" s="4">
        <v>139.0</v>
      </c>
      <c r="B140" s="5" t="str">
        <f>IFERROR(__xludf.DUMMYFUNCTION("GOOGLETRANSLATE(H140, ""th"", ""en"")"),"If there is a rule change during the competition, what will you do?")</f>
        <v>If there is a rule change during the competition, what will you do?</v>
      </c>
      <c r="C140" s="5" t="str">
        <f>IFERROR(__xludf.DUMMYFUNCTION("GOOGLETRANSLATE(I140, ""th"", ""en"")"),"A) Immediately comply with the new rules; B) Do nothing; C) Avoid complying with the new rules; D) Stop the competition.")</f>
        <v>A) Immediately comply with the new rules; B) Do nothing; C) Avoid complying with the new rules; D) Stop the competition.</v>
      </c>
      <c r="D140" s="5" t="str">
        <f>IFERROR(__xludf.DUMMYFUNCTION("GOOGLETRANSLATE(J140, ""th"", ""en"")"),"A) Immediately comply with the new rules.")</f>
        <v>A) Immediately comply with the new rules.</v>
      </c>
      <c r="E140" s="5" t="str">
        <f>IFERROR(__xludf.DUMMYFUNCTION("GOOGLETRANSLATE(K140, ""th"", ""en"")"),"Compliance with the new rules helps to keep the competition in order.")</f>
        <v>Compliance with the new rules helps to keep the competition in order.</v>
      </c>
      <c r="G140" s="6">
        <v>139.0</v>
      </c>
      <c r="H140" s="7" t="s">
        <v>470</v>
      </c>
      <c r="I140" s="7" t="s">
        <v>471</v>
      </c>
      <c r="J140" s="7" t="s">
        <v>472</v>
      </c>
      <c r="K140" s="7" t="s">
        <v>473</v>
      </c>
    </row>
    <row r="141" ht="14.25" customHeight="1">
      <c r="A141" s="4">
        <v>140.0</v>
      </c>
      <c r="B141" s="5" t="str">
        <f>IFERROR(__xludf.DUMMYFUNCTION("GOOGLETRANSLATE(H141, ""th"", ""en"")"),"If you see a violation of the rules by an opposing team, what should you do?")</f>
        <v>If you see a violation of the rules by an opposing team, what should you do?</v>
      </c>
      <c r="C141" s="5" t="str">
        <f>IFERROR(__xludf.DUMMYFUNCTION("GOOGLETRANSLATE(I141, ""th"", ""en"")"),"A) Notify the referee immediately; B) Do nothing; C) Continue playing as normal; D) Stop the game.")</f>
        <v>A) Notify the referee immediately; B) Do nothing; C) Continue playing as normal; D) Stop the game.</v>
      </c>
      <c r="D141" s="5" t="str">
        <f>IFERROR(__xludf.DUMMYFUNCTION("GOOGLETRANSLATE(J141, ""th"", ""en"")"),"A) Notify the committee immediately.")</f>
        <v>A) Notify the committee immediately.</v>
      </c>
      <c r="E141" s="5" t="str">
        <f>IFERROR(__xludf.DUMMYFUNCTION("GOOGLETRANSLATE(K141, ""th"", ""en"")"),"Informing the referee helps the competition to be in accordance with the rules.")</f>
        <v>Informing the referee helps the competition to be in accordance with the rules.</v>
      </c>
      <c r="G141" s="6">
        <v>140.0</v>
      </c>
      <c r="H141" s="7" t="s">
        <v>474</v>
      </c>
      <c r="I141" s="7" t="s">
        <v>395</v>
      </c>
      <c r="J141" s="7" t="s">
        <v>285</v>
      </c>
      <c r="K141" s="7" t="s">
        <v>250</v>
      </c>
    </row>
    <row r="142" ht="14.25" customHeight="1">
      <c r="A142" s="4">
        <v>141.0</v>
      </c>
      <c r="B142" s="5" t="str">
        <f>IFERROR(__xludf.DUMMYFUNCTION("GOOGLETRANSLATE(H142, ""th"", ""en"")"),"If you want to change your position in the competition, what should you do?")</f>
        <v>If you want to change your position in the competition, what should you do?</v>
      </c>
      <c r="C142" s="5" t="str">
        <f>IFERROR(__xludf.DUMMYFUNCTION("GOOGLETRANSLATE(I142, ""th"", ""en"")"),"A) Inform the coach and ask for advice; B) Do nothing; C) Change position yourself; D) Stop the match.")</f>
        <v>A) Inform the coach and ask for advice; B) Do nothing; C) Change position yourself; D) Stop the match.</v>
      </c>
      <c r="D142" s="5" t="str">
        <f>IFERROR(__xludf.DUMMYFUNCTION("GOOGLETRANSLATE(J142, ""th"", ""en"")"),"A) Inform the trainer and ask for advice.")</f>
        <v>A) Inform the trainer and ask for advice.</v>
      </c>
      <c r="E142" s="5" t="str">
        <f>IFERROR(__xludf.DUMMYFUNCTION("GOOGLETRANSLATE(K142, ""th"", ""en"")"),"Informing the coach helps the decision be made according to the rules.")</f>
        <v>Informing the coach helps the decision be made according to the rules.</v>
      </c>
      <c r="G142" s="6">
        <v>141.0</v>
      </c>
      <c r="H142" s="7" t="s">
        <v>475</v>
      </c>
      <c r="I142" s="7" t="s">
        <v>476</v>
      </c>
      <c r="J142" s="7" t="s">
        <v>477</v>
      </c>
      <c r="K142" s="7" t="s">
        <v>478</v>
      </c>
    </row>
    <row r="143" ht="14.25" customHeight="1">
      <c r="A143" s="4">
        <v>142.0</v>
      </c>
      <c r="B143" s="5" t="str">
        <f>IFERROR(__xludf.DUMMYFUNCTION("GOOGLETRANSLATE(H143, ""th"", ""en"")"),"If you have a conflict with a director, what should you do?")</f>
        <v>If you have a conflict with a director, what should you do?</v>
      </c>
      <c r="C143" s="5" t="str">
        <f>IFERROR(__xludf.DUMMYFUNCTION("GOOGLETRANSLATE(I143, ""th"", ""en"")"),"A) Ask the referee to explain the decision; B) Reject the decision; C) Avoid discussing the decision; D) Stop the match.")</f>
        <v>A) Ask the referee to explain the decision; B) Reject the decision; C) Avoid discussing the decision; D) Stop the match.</v>
      </c>
      <c r="D143" s="5" t="str">
        <f>IFERROR(__xludf.DUMMYFUNCTION("GOOGLETRANSLATE(J143, ""th"", ""en"")"),"A) Ask the judges to explain their decision.")</f>
        <v>A) Ask the judges to explain their decision.</v>
      </c>
      <c r="E143" s="5" t="str">
        <f>IFERROR(__xludf.DUMMYFUNCTION("GOOGLETRANSLATE(K143, ""th"", ""en"")"),"Asking for an explanation helps clarify the situation.")</f>
        <v>Asking for an explanation helps clarify the situation.</v>
      </c>
      <c r="G143" s="6">
        <v>142.0</v>
      </c>
      <c r="H143" s="7" t="s">
        <v>479</v>
      </c>
      <c r="I143" s="7" t="s">
        <v>480</v>
      </c>
      <c r="J143" s="7" t="s">
        <v>427</v>
      </c>
      <c r="K143" s="7" t="s">
        <v>428</v>
      </c>
    </row>
    <row r="144" ht="14.25" customHeight="1">
      <c r="A144" s="4">
        <v>143.0</v>
      </c>
      <c r="B144" s="5" t="str">
        <f>IFERROR(__xludf.DUMMYFUNCTION("GOOGLETRANSLATE(H144, ""th"", ""en"")"),"If your team needs a break during a match, what do you do?")</f>
        <v>If your team needs a break during a match, what do you do?</v>
      </c>
      <c r="C144" s="5" t="str">
        <f>IFERROR(__xludf.DUMMYFUNCTION("GOOGLETRANSLATE(I144, ""th"", ""en"")"),"A) Inform the referee of a break; B) Take a break without informing the referee; C) Avoid a break; D) Stop the match.")</f>
        <v>A) Inform the referee of a break; B) Take a break without informing the referee; C) Avoid a break; D) Stop the match.</v>
      </c>
      <c r="D144" s="5" t="str">
        <f>IFERROR(__xludf.DUMMYFUNCTION("GOOGLETRANSLATE(J144, ""th"", ""en"")"),"A) Inform the committee to request a break.")</f>
        <v>A) Inform the committee to request a break.</v>
      </c>
      <c r="E144" s="5" t="str">
        <f>IFERROR(__xludf.DUMMYFUNCTION("GOOGLETRANSLATE(K144, ""th"", ""en"")"),"Taking time off allows the team to recover.")</f>
        <v>Taking time off allows the team to recover.</v>
      </c>
      <c r="G144" s="6">
        <v>143.0</v>
      </c>
      <c r="H144" s="7" t="s">
        <v>481</v>
      </c>
      <c r="I144" s="7" t="s">
        <v>482</v>
      </c>
      <c r="J144" s="7" t="s">
        <v>483</v>
      </c>
      <c r="K144" s="7" t="s">
        <v>484</v>
      </c>
    </row>
    <row r="145" ht="14.25" customHeight="1">
      <c r="A145" s="4">
        <v>144.0</v>
      </c>
      <c r="B145" s="5" t="str">
        <f>IFERROR(__xludf.DUMMYFUNCTION("GOOGLETRANSLATE(H145, ""th"", ""en"")"),"If you find a player from an opposing team using illegal methods, what should you do?")</f>
        <v>If you find a player from an opposing team using illegal methods, what should you do?</v>
      </c>
      <c r="C145" s="5" t="str">
        <f>IFERROR(__xludf.DUMMYFUNCTION("GOOGLETRANSLATE(I145, ""th"", ""en"")"),"A) Immediately notify the referee; B) Do nothing; C) Refuse to notify the referee; D) Stop the match.")</f>
        <v>A) Immediately notify the referee; B) Do nothing; C) Refuse to notify the referee; D) Stop the match.</v>
      </c>
      <c r="D145" s="5" t="str">
        <f>IFERROR(__xludf.DUMMYFUNCTION("GOOGLETRANSLATE(J145, ""th"", ""en"")"),"A) Notify the committee immediately.")</f>
        <v>A) Notify the committee immediately.</v>
      </c>
      <c r="E145" s="5" t="str">
        <f>IFERROR(__xludf.DUMMYFUNCTION("GOOGLETRANSLATE(K145, ""th"", ""en"")"),"Informing the board allows the situation to be managed.")</f>
        <v>Informing the board allows the situation to be managed.</v>
      </c>
      <c r="G145" s="6">
        <v>144.0</v>
      </c>
      <c r="H145" s="7" t="s">
        <v>485</v>
      </c>
      <c r="I145" s="7" t="s">
        <v>486</v>
      </c>
      <c r="J145" s="7" t="s">
        <v>285</v>
      </c>
      <c r="K145" s="7" t="s">
        <v>433</v>
      </c>
    </row>
    <row r="146" ht="14.25" customHeight="1">
      <c r="A146" s="4">
        <v>145.0</v>
      </c>
      <c r="B146" s="5" t="str">
        <f>IFERROR(__xludf.DUMMYFUNCTION("GOOGLETRANSLATE(H146, ""th"", ""en"")"),"If you see that your boat needs repairs during a race, what should you do?")</f>
        <v>If you see that your boat needs repairs during a race, what should you do?</v>
      </c>
      <c r="C146" s="5" t="str">
        <f>IFERROR(__xludf.DUMMYFUNCTION("GOOGLETRANSLATE(I146, ""th"", ""en"")"),"A) notify the referee to request permission to repair; B) repair without notifying the referee; C) avoid repair; D) stop the match.")</f>
        <v>A) notify the referee to request permission to repair; B) repair without notifying the referee; C) avoid repair; D) stop the match.</v>
      </c>
      <c r="D146" s="5" t="str">
        <f>IFERROR(__xludf.DUMMYFUNCTION("GOOGLETRANSLATE(J146, ""th"", ""en"")"),"A) Notify the board to request permission for repairs.")</f>
        <v>A) Notify the board to request permission for repairs.</v>
      </c>
      <c r="E146" s="5" t="str">
        <f>IFERROR(__xludf.DUMMYFUNCTION("GOOGLETRANSLATE(K146, ""th"", ""en"")"),"Informing the referee helps the competition to proceed according to the rules.")</f>
        <v>Informing the referee helps the competition to proceed according to the rules.</v>
      </c>
      <c r="G146" s="6">
        <v>145.0</v>
      </c>
      <c r="H146" s="7" t="s">
        <v>487</v>
      </c>
      <c r="I146" s="7" t="s">
        <v>488</v>
      </c>
      <c r="J146" s="7" t="s">
        <v>489</v>
      </c>
      <c r="K146" s="7" t="s">
        <v>490</v>
      </c>
    </row>
    <row r="147" ht="14.25" customHeight="1">
      <c r="A147" s="4">
        <v>146.0</v>
      </c>
      <c r="B147" s="5" t="str">
        <f>IFERROR(__xludf.DUMMYFUNCTION("GOOGLETRANSLATE(H147, ""th"", ""en"")"),"If you are concerned about the weather during the race, what should you do?")</f>
        <v>If you are concerned about the weather during the race, what should you do?</v>
      </c>
      <c r="C147" s="5" t="str">
        <f>IFERROR(__xludf.DUMMYFUNCTION("GOOGLETRANSLATE(I147, ""th"", ""en"")"),"A) notify the referee for advice; B) do nothing; C) continue the race regardless of the weather conditions; D) stop the race.")</f>
        <v>A) notify the referee for advice; B) do nothing; C) continue the race regardless of the weather conditions; D) stop the race.</v>
      </c>
      <c r="D147" s="5" t="str">
        <f>IFERROR(__xludf.DUMMYFUNCTION("GOOGLETRANSLATE(J147, ""th"", ""en"")"),"A) Inform the committee for advice.")</f>
        <v>A) Inform the committee for advice.</v>
      </c>
      <c r="E147" s="5" t="str">
        <f>IFERROR(__xludf.DUMMYFUNCTION("GOOGLETRANSLATE(K147, ""th"", ""en"")"),"Informing the referee helps the decision be made according to the rules.")</f>
        <v>Informing the referee helps the decision be made according to the rules.</v>
      </c>
      <c r="G147" s="6">
        <v>146.0</v>
      </c>
      <c r="H147" s="7" t="s">
        <v>491</v>
      </c>
      <c r="I147" s="7" t="s">
        <v>492</v>
      </c>
      <c r="J147" s="7" t="s">
        <v>183</v>
      </c>
      <c r="K147" s="7" t="s">
        <v>493</v>
      </c>
    </row>
    <row r="148" ht="14.25" customHeight="1">
      <c r="A148" s="4">
        <v>147.0</v>
      </c>
      <c r="B148" s="5" t="str">
        <f>IFERROR(__xludf.DUMMYFUNCTION("GOOGLETRANSLATE(H148, ""th"", ""en"")"),"If there is a change in the game time, what will you do?")</f>
        <v>If there is a change in the game time, what will you do?</v>
      </c>
      <c r="C148" s="5" t="str">
        <f>IFERROR(__xludf.DUMMYFUNCTION("GOOGLETRANSLATE(I148, ""th"", ""en"")"),"A) Immediately comply with the new time; B) Do nothing; C) Refuse the time change; D) Stop the game.")</f>
        <v>A) Immediately comply with the new time; B) Do nothing; C) Refuse the time change; D) Stop the game.</v>
      </c>
      <c r="D148" s="5" t="str">
        <f>IFERROR(__xludf.DUMMYFUNCTION("GOOGLETRANSLATE(J148, ""th"", ""en"")"),"A) Immediately comply with the new time.")</f>
        <v>A) Immediately comply with the new time.</v>
      </c>
      <c r="E148" s="5" t="str">
        <f>IFERROR(__xludf.DUMMYFUNCTION("GOOGLETRANSLATE(K148, ""th"", ""en"")"),"Adhering to the scheduled time helps the competition go on schedule.")</f>
        <v>Adhering to the scheduled time helps the competition go on schedule.</v>
      </c>
      <c r="G148" s="6">
        <v>147.0</v>
      </c>
      <c r="H148" s="7" t="s">
        <v>494</v>
      </c>
      <c r="I148" s="7" t="s">
        <v>495</v>
      </c>
      <c r="J148" s="7" t="s">
        <v>496</v>
      </c>
      <c r="K148" s="7" t="s">
        <v>497</v>
      </c>
    </row>
    <row r="149" ht="14.25" customHeight="1">
      <c r="A149" s="4">
        <v>148.0</v>
      </c>
      <c r="B149" s="5" t="str">
        <f>IFERROR(__xludf.DUMMYFUNCTION("GOOGLETRANSLATE(H149, ""th"", ""en"")"),"If your boat is disqualified from a race, what should you do?")</f>
        <v>If your boat is disqualified from a race, what should you do?</v>
      </c>
      <c r="C149" s="5" t="str">
        <f>IFERROR(__xludf.DUMMYFUNCTION("GOOGLETRANSLATE(I149, ""th"", ""en"")"),"A) Request reconsideration from the referee; B) Do nothing; C) Refuse disqualification; D) Stop the match.")</f>
        <v>A) Request reconsideration from the referee; B) Do nothing; C) Refuse disqualification; D) Stop the match.</v>
      </c>
      <c r="D149" s="5" t="str">
        <f>IFERROR(__xludf.DUMMYFUNCTION("GOOGLETRANSLATE(J149, ""th"", ""en"")"),"A) Request reconsideration from the committee.")</f>
        <v>A) Request reconsideration from the committee.</v>
      </c>
      <c r="E149" s="5" t="str">
        <f>IFERROR(__xludf.DUMMYFUNCTION("GOOGLETRANSLATE(K149, ""th"", ""en"")"),"Requesting reconsideration allows the situation to be resolved.")</f>
        <v>Requesting reconsideration allows the situation to be resolved.</v>
      </c>
      <c r="G149" s="6">
        <v>148.0</v>
      </c>
      <c r="H149" s="7" t="s">
        <v>441</v>
      </c>
      <c r="I149" s="7" t="s">
        <v>498</v>
      </c>
      <c r="J149" s="7" t="s">
        <v>443</v>
      </c>
      <c r="K149" s="7" t="s">
        <v>444</v>
      </c>
    </row>
    <row r="150" ht="14.25" customHeight="1">
      <c r="A150" s="4">
        <v>149.0</v>
      </c>
      <c r="B150" s="5" t="str">
        <f>IFERROR(__xludf.DUMMYFUNCTION("GOOGLETRANSLATE(H150, ""th"", ""en"")"),"If you see any interference from the opposing team's players during a match, what should you do?")</f>
        <v>If you see any interference from the opposing team's players during a match, what should you do?</v>
      </c>
      <c r="C150" s="5" t="str">
        <f>IFERROR(__xludf.DUMMYFUNCTION("GOOGLETRANSLATE(I150, ""th"", ""en"")"),"A) Notify the referee immediately; B) Try to avoid interfering yourself; C) Stop the match; D) Continue playing as normal.")</f>
        <v>A) Notify the referee immediately; B) Try to avoid interfering yourself; C) Stop the match; D) Continue playing as normal.</v>
      </c>
      <c r="D150" s="5" t="str">
        <f>IFERROR(__xludf.DUMMYFUNCTION("GOOGLETRANSLATE(J150, ""th"", ""en"")"),"A) Notify the committee immediately.")</f>
        <v>A) Notify the committee immediately.</v>
      </c>
      <c r="E150" s="5" t="str">
        <f>IFERROR(__xludf.DUMMYFUNCTION("GOOGLETRANSLATE(K150, ""th"", ""en"")"),"Informing the referee helps the competition to be in accordance with the rules.")</f>
        <v>Informing the referee helps the competition to be in accordance with the rules.</v>
      </c>
      <c r="G150" s="6">
        <v>149.0</v>
      </c>
      <c r="H150" s="7" t="s">
        <v>499</v>
      </c>
      <c r="I150" s="7" t="s">
        <v>500</v>
      </c>
      <c r="J150" s="7" t="s">
        <v>285</v>
      </c>
      <c r="K150" s="7" t="s">
        <v>250</v>
      </c>
    </row>
    <row r="151" ht="14.25" customHeight="1">
      <c r="A151" s="4">
        <v>150.0</v>
      </c>
      <c r="B151" s="5" t="str">
        <f>IFERROR(__xludf.DUMMYFUNCTION("GOOGLETRANSLATE(H151, ""th"", ""en"")"),"If you find that a player on your team is not following safety rules, what should you do?")</f>
        <v>If you find that a player on your team is not following safety rules, what should you do?</v>
      </c>
      <c r="C151" s="5" t="str">
        <f>IFERROR(__xludf.DUMMYFUNCTION("GOOGLETRANSLATE(I151, ""th"", ""en"")"),"A) Inform the coach and ask for improvement; B) Do nothing; C) Refuse to inform the coach; D) Stop the match.")</f>
        <v>A) Inform the coach and ask for improvement; B) Do nothing; C) Refuse to inform the coach; D) Stop the match.</v>
      </c>
      <c r="D151" s="5" t="str">
        <f>IFERROR(__xludf.DUMMYFUNCTION("GOOGLETRANSLATE(J151, ""th"", ""en"")"),"A) Inform the trainer and ask for improvement.")</f>
        <v>A) Inform the trainer and ask for improvement.</v>
      </c>
      <c r="E151" s="5" t="str">
        <f>IFERROR(__xludf.DUMMYFUNCTION("GOOGLETRANSLATE(K151, ""th"", ""en"")"),"Notifying the trainer helped resolve the situation.")</f>
        <v>Notifying the trainer helped resolve the situation.</v>
      </c>
      <c r="G151" s="6">
        <v>150.0</v>
      </c>
      <c r="H151" s="7" t="s">
        <v>501</v>
      </c>
      <c r="I151" s="7" t="s">
        <v>502</v>
      </c>
      <c r="J151" s="7" t="s">
        <v>503</v>
      </c>
      <c r="K151" s="7" t="s">
        <v>456</v>
      </c>
    </row>
    <row r="152" ht="14.25" customHeight="1">
      <c r="A152" s="4">
        <v>151.0</v>
      </c>
      <c r="B152" s="5" t="str">
        <f>IFERROR(__xludf.DUMMYFUNCTION("GOOGLETRANSLATE(H152, ""th"", ""en"")"),"If you have doubts about a judge's decision, what should you do?")</f>
        <v>If you have doubts about a judge's decision, what should you do?</v>
      </c>
      <c r="C152" s="5" t="str">
        <f>IFERROR(__xludf.DUMMYFUNCTION("GOOGLETRANSLATE(I152, ""th"", ""en"")"),"A) Request a reconsideration from the referee; B) Do nothing; C) Refuse the reconsideration request; D) Stop the match.")</f>
        <v>A) Request a reconsideration from the referee; B) Do nothing; C) Refuse the reconsideration request; D) Stop the match.</v>
      </c>
      <c r="D152" s="5" t="str">
        <f>IFERROR(__xludf.DUMMYFUNCTION("GOOGLETRANSLATE(J152, ""th"", ""en"")"),"A) Request reconsideration from the committee.")</f>
        <v>A) Request reconsideration from the committee.</v>
      </c>
      <c r="E152" s="5" t="str">
        <f>IFERROR(__xludf.DUMMYFUNCTION("GOOGLETRANSLATE(K152, ""th"", ""en"")"),"Requesting reconsideration allows the situation to be managed.")</f>
        <v>Requesting reconsideration allows the situation to be managed.</v>
      </c>
      <c r="G152" s="6">
        <v>151.0</v>
      </c>
      <c r="H152" s="7" t="s">
        <v>504</v>
      </c>
      <c r="I152" s="7" t="s">
        <v>505</v>
      </c>
      <c r="J152" s="7" t="s">
        <v>443</v>
      </c>
      <c r="K152" s="7" t="s">
        <v>506</v>
      </c>
    </row>
    <row r="153" ht="14.25" customHeight="1">
      <c r="A153" s="4">
        <v>152.0</v>
      </c>
      <c r="B153" s="5" t="str">
        <f>IFERROR(__xludf.DUMMYFUNCTION("GOOGLETRANSLATE(H153, ""th"", ""en"")"),"If you see that a competitor's boat is not following safety equipment rules, what should you do?")</f>
        <v>If you see that a competitor's boat is not following safety equipment rules, what should you do?</v>
      </c>
      <c r="C153" s="5" t="str">
        <f>IFERROR(__xludf.DUMMYFUNCTION("GOOGLETRANSLATE(I153, ""th"", ""en"")"),"A) Immediately notify the referee; B) Do nothing; C) Refuse to notify the referee; D) Stop the match.")</f>
        <v>A) Immediately notify the referee; B) Do nothing; C) Refuse to notify the referee; D) Stop the match.</v>
      </c>
      <c r="D153" s="5" t="str">
        <f>IFERROR(__xludf.DUMMYFUNCTION("GOOGLETRANSLATE(J153, ""th"", ""en"")"),"A) Notify the committee immediately.")</f>
        <v>A) Notify the committee immediately.</v>
      </c>
      <c r="E153" s="5" t="str">
        <f>IFERROR(__xludf.DUMMYFUNCTION("GOOGLETRANSLATE(K153, ""th"", ""en"")"),"Informing the referee helps the competition to be in accordance with the rules.")</f>
        <v>Informing the referee helps the competition to be in accordance with the rules.</v>
      </c>
      <c r="G153" s="6">
        <v>152.0</v>
      </c>
      <c r="H153" s="7" t="s">
        <v>507</v>
      </c>
      <c r="I153" s="7" t="s">
        <v>486</v>
      </c>
      <c r="J153" s="7" t="s">
        <v>285</v>
      </c>
      <c r="K153" s="7" t="s">
        <v>250</v>
      </c>
    </row>
    <row r="154" ht="14.25" customHeight="1">
      <c r="A154" s="4">
        <v>153.0</v>
      </c>
      <c r="B154" s="5" t="str">
        <f>IFERROR(__xludf.DUMMYFUNCTION("GOOGLETRANSLATE(H154, ""th"", ""en"")"),"If a player on your team doesn't follow communication rules, what should you do?")</f>
        <v>If a player on your team doesn't follow communication rules, what should you do?</v>
      </c>
      <c r="C154" s="5" t="str">
        <f>IFERROR(__xludf.DUMMYFUNCTION("GOOGLETRANSLATE(I154, ""th"", ""en"")"),"A) notify the coach for instructions; B) do nothing; C) refuse to interfere; D) stop the match.")</f>
        <v>A) notify the coach for instructions; B) do nothing; C) refuse to interfere; D) stop the match.</v>
      </c>
      <c r="D154" s="5" t="str">
        <f>IFERROR(__xludf.DUMMYFUNCTION("GOOGLETRANSLATE(J154, ""th"", ""en"")"),"A) Inform the trainer to give advice.")</f>
        <v>A) Inform the trainer to give advice.</v>
      </c>
      <c r="E154" s="5" t="str">
        <f>IFERROR(__xludf.DUMMYFUNCTION("GOOGLETRANSLATE(K154, ""th"", ""en"")"),"Informing the coach helps the team work better together.")</f>
        <v>Informing the coach helps the team work better together.</v>
      </c>
      <c r="G154" s="6">
        <v>153.0</v>
      </c>
      <c r="H154" s="7" t="s">
        <v>508</v>
      </c>
      <c r="I154" s="7" t="s">
        <v>509</v>
      </c>
      <c r="J154" s="7" t="s">
        <v>510</v>
      </c>
      <c r="K154" s="7" t="s">
        <v>511</v>
      </c>
    </row>
    <row r="155" ht="14.25" customHeight="1">
      <c r="A155" s="4">
        <v>154.0</v>
      </c>
      <c r="B155" s="5" t="str">
        <f>IFERROR(__xludf.DUMMYFUNCTION("GOOGLETRANSLATE(H155, ""th"", ""en"")"),"If you want to stop racing due to personal reasons, what should you do?")</f>
        <v>If you want to stop racing due to personal reasons, what should you do?</v>
      </c>
      <c r="C155" s="5" t="str">
        <f>IFERROR(__xludf.DUMMYFUNCTION("GOOGLETRANSLATE(I155, ""th"", ""en"")"),"A) Notify the coach and referee first; B) Stop without informing anyone; C) Refusal to give reasons; D) Stop the match immediately.")</f>
        <v>A) Notify the coach and referee first; B) Stop without informing anyone; C) Refusal to give reasons; D) Stop the match immediately.</v>
      </c>
      <c r="D155" s="5" t="str">
        <f>IFERROR(__xludf.DUMMYFUNCTION("GOOGLETRANSLATE(J155, ""th"", ""en"")"),"A) Inform the coach and referee first.")</f>
        <v>A) Inform the coach and referee first.</v>
      </c>
      <c r="E155" s="5" t="str">
        <f>IFERROR(__xludf.DUMMYFUNCTION("GOOGLETRANSLATE(K155, ""th"", ""en"")"),"Informing the coach and referee allows the situation to be managed.")</f>
        <v>Informing the coach and referee allows the situation to be managed.</v>
      </c>
      <c r="G155" s="6">
        <v>154.0</v>
      </c>
      <c r="H155" s="7" t="s">
        <v>512</v>
      </c>
      <c r="I155" s="7" t="s">
        <v>513</v>
      </c>
      <c r="J155" s="7" t="s">
        <v>514</v>
      </c>
      <c r="K155" s="7" t="s">
        <v>515</v>
      </c>
    </row>
    <row r="156" ht="14.25" customHeight="1">
      <c r="A156" s="4">
        <v>155.0</v>
      </c>
      <c r="B156" s="5" t="str">
        <f>IFERROR(__xludf.DUMMYFUNCTION("GOOGLETRANSLATE(H156, ""th"", ""en"")"),"If you see that your boat has been damaged by a collision with an obstacle, what should you do?")</f>
        <v>If you see that your boat has been damaged by a collision with an obstacle, what should you do?</v>
      </c>
      <c r="C156" s="5" t="str">
        <f>IFERROR(__xludf.DUMMYFUNCTION("GOOGLETRANSLATE(I156, ""th"", ""en"")"),"A) Inform the referee and ask for help; B) Repair it yourself; C) Avoid informing the referee; D) Stop the match.")</f>
        <v>A) Inform the referee and ask for help; B) Repair it yourself; C) Avoid informing the referee; D) Stop the match.</v>
      </c>
      <c r="D156" s="5" t="str">
        <f>IFERROR(__xludf.DUMMYFUNCTION("GOOGLETRANSLATE(J156, ""th"", ""en"")"),"A) Inform the committee and ask for assistance.")</f>
        <v>A) Inform the committee and ask for assistance.</v>
      </c>
      <c r="E156" s="5" t="str">
        <f>IFERROR(__xludf.DUMMYFUNCTION("GOOGLETRANSLATE(K156, ""th"", ""en"")"),"Informing the board helped the situation to be resolved.")</f>
        <v>Informing the board helped the situation to be resolved.</v>
      </c>
      <c r="G156" s="6">
        <v>155.0</v>
      </c>
      <c r="H156" s="7" t="s">
        <v>516</v>
      </c>
      <c r="I156" s="7" t="s">
        <v>517</v>
      </c>
      <c r="J156" s="7" t="s">
        <v>240</v>
      </c>
      <c r="K156" s="7" t="s">
        <v>261</v>
      </c>
    </row>
    <row r="157" ht="14.25" customHeight="1">
      <c r="A157" s="4">
        <v>156.0</v>
      </c>
      <c r="B157" s="5" t="str">
        <f>IFERROR(__xludf.DUMMYFUNCTION("GOOGLETRANSLATE(H157, ""th"", ""en"")"),"If your boat has speed problems, what should you do?")</f>
        <v>If your boat has speed problems, what should you do?</v>
      </c>
      <c r="C157" s="5" t="str">
        <f>IFERROR(__xludf.DUMMYFUNCTION("GOOGLETRANSLATE(I157, ""th"", ""en"")"),"A) notify the referee for assistance; B) try to accelerate yourself; C) stop the race; D) continue the race.")</f>
        <v>A) notify the referee for assistance; B) try to accelerate yourself; C) stop the race; D) continue the race.</v>
      </c>
      <c r="D157" s="5" t="str">
        <f>IFERROR(__xludf.DUMMYFUNCTION("GOOGLETRANSLATE(J157, ""th"", ""en"")"),"A) Inform the committee for assistance.")</f>
        <v>A) Inform the committee for assistance.</v>
      </c>
      <c r="E157" s="5" t="str">
        <f>IFERROR(__xludf.DUMMYFUNCTION("GOOGLETRANSLATE(K157, ""th"", ""en"")"),"Informing the board of directors helps to manage the problem.")</f>
        <v>Informing the board of directors helps to manage the problem.</v>
      </c>
      <c r="G157" s="6">
        <v>156.0</v>
      </c>
      <c r="H157" s="7" t="s">
        <v>518</v>
      </c>
      <c r="I157" s="7" t="s">
        <v>519</v>
      </c>
      <c r="J157" s="7" t="s">
        <v>520</v>
      </c>
      <c r="K157" s="7" t="s">
        <v>521</v>
      </c>
    </row>
    <row r="158" ht="14.25" customHeight="1">
      <c r="A158" s="4">
        <v>157.0</v>
      </c>
      <c r="B158" s="5" t="str">
        <f>IFERROR(__xludf.DUMMYFUNCTION("GOOGLETRANSLATE(H158, ""th"", ""en"")"),"If you find that a rule has been violated during the competition, what will you do?")</f>
        <v>If you find that a rule has been violated during the competition, what will you do?</v>
      </c>
      <c r="C158" s="5" t="str">
        <f>IFERROR(__xludf.DUMMYFUNCTION("GOOGLETRANSLATE(I158, ""th"", ""en"")"),"A) Immediately notify the referee; B) Do nothing; C) Avoid notifying the referee; D) Stop the match.")</f>
        <v>A) Immediately notify the referee; B) Do nothing; C) Avoid notifying the referee; D) Stop the match.</v>
      </c>
      <c r="D158" s="5" t="str">
        <f>IFERROR(__xludf.DUMMYFUNCTION("GOOGLETRANSLATE(J158, ""th"", ""en"")"),"A) Notify the committee immediately.")</f>
        <v>A) Notify the committee immediately.</v>
      </c>
      <c r="E158" s="5" t="str">
        <f>IFERROR(__xludf.DUMMYFUNCTION("GOOGLETRANSLATE(K158, ""th"", ""en"")"),"Informing the referee helps the competition to be in accordance with the rules.")</f>
        <v>Informing the referee helps the competition to be in accordance with the rules.</v>
      </c>
      <c r="G158" s="6">
        <v>157.0</v>
      </c>
      <c r="H158" s="7" t="s">
        <v>522</v>
      </c>
      <c r="I158" s="7" t="s">
        <v>523</v>
      </c>
      <c r="J158" s="7" t="s">
        <v>285</v>
      </c>
      <c r="K158" s="7" t="s">
        <v>250</v>
      </c>
    </row>
    <row r="159" ht="14.25" customHeight="1">
      <c r="A159" s="4">
        <v>158.0</v>
      </c>
      <c r="B159" s="5" t="str">
        <f>IFERROR(__xludf.DUMMYFUNCTION("GOOGLETRANSLATE(H159, ""th"", ""en"")"),"If your team has communication problems during a match, what should you do?")</f>
        <v>If your team has communication problems during a match, what should you do?</v>
      </c>
      <c r="C159" s="5" t="str">
        <f>IFERROR(__xludf.DUMMYFUNCTION("GOOGLETRANSLATE(I159, ""th"", ""en"")"),"A) Improve communication immediately; B) Do nothing; C) Avoid communication; D) Stop the competition.")</f>
        <v>A) Improve communication immediately; B) Do nothing; C) Avoid communication; D) Stop the competition.</v>
      </c>
      <c r="D159" s="5" t="str">
        <f>IFERROR(__xludf.DUMMYFUNCTION("GOOGLETRANSLATE(J159, ""th"", ""en"")"),"A) Improve communication immediately.")</f>
        <v>A) Improve communication immediately.</v>
      </c>
      <c r="E159" s="5" t="str">
        <f>IFERROR(__xludf.DUMMYFUNCTION("GOOGLETRANSLATE(K159, ""th"", ""en"")"),"Improving communication allows teams to work better together.")</f>
        <v>Improving communication allows teams to work better together.</v>
      </c>
      <c r="G159" s="6">
        <v>158.0</v>
      </c>
      <c r="H159" s="7" t="s">
        <v>524</v>
      </c>
      <c r="I159" s="7" t="s">
        <v>525</v>
      </c>
      <c r="J159" s="7" t="s">
        <v>526</v>
      </c>
      <c r="K159" s="7" t="s">
        <v>448</v>
      </c>
    </row>
    <row r="160" ht="14.25" customHeight="1">
      <c r="A160" s="4">
        <v>159.0</v>
      </c>
      <c r="B160" s="5" t="str">
        <f>IFERROR(__xludf.DUMMYFUNCTION("GOOGLETRANSLATE(H160, ""th"", ""en"")"),"If you see that your ship is having trouble moving forward, what should you do?")</f>
        <v>If you see that your ship is having trouble moving forward, what should you do?</v>
      </c>
      <c r="C160" s="5" t="str">
        <f>IFERROR(__xludf.DUMMYFUNCTION("GOOGLETRANSLATE(I160, ""th"", ""en"")"),"A) Notify the referee and ask for an inspection; B) Try to move forward on your own; C) Stop the match; D) Continue the match.")</f>
        <v>A) Notify the referee and ask for an inspection; B) Try to move forward on your own; C) Stop the match; D) Continue the match.</v>
      </c>
      <c r="D160" s="5" t="str">
        <f>IFERROR(__xludf.DUMMYFUNCTION("GOOGLETRANSLATE(J160, ""th"", ""en"")"),"A) Inform the committee and request an inspection.")</f>
        <v>A) Inform the committee and request an inspection.</v>
      </c>
      <c r="E160" s="5" t="str">
        <f>IFERROR(__xludf.DUMMYFUNCTION("GOOGLETRANSLATE(K160, ""th"", ""en"")"),"Informing the board of directors helped resolve the issue.")</f>
        <v>Informing the board of directors helped resolve the issue.</v>
      </c>
      <c r="G160" s="6">
        <v>159.0</v>
      </c>
      <c r="H160" s="7" t="s">
        <v>527</v>
      </c>
      <c r="I160" s="7" t="s">
        <v>528</v>
      </c>
      <c r="J160" s="7" t="s">
        <v>432</v>
      </c>
      <c r="K160" s="7" t="s">
        <v>415</v>
      </c>
    </row>
    <row r="161" ht="14.25" customHeight="1">
      <c r="A161" s="4">
        <v>160.0</v>
      </c>
      <c r="B161" s="5" t="str">
        <f>IFERROR(__xludf.DUMMYFUNCTION("GOOGLETRANSLATE(H161, ""th"", ""en"")"),"If your team needs additional time to prepare, what should you do?")</f>
        <v>If your team needs additional time to prepare, what should you do?</v>
      </c>
      <c r="C161" s="5" t="str">
        <f>IFERROR(__xludf.DUMMYFUNCTION("GOOGLETRANSLATE(I161, ""th"", ""en"")"),"A) Tell the referee to ask for time; B) Try to prepare yourself; C) Avoid asking for time; D) Stop the match.")</f>
        <v>A) Tell the referee to ask for time; B) Try to prepare yourself; C) Avoid asking for time; D) Stop the match.</v>
      </c>
      <c r="D161" s="5" t="str">
        <f>IFERROR(__xludf.DUMMYFUNCTION("GOOGLETRANSLATE(J161, ""th"", ""en"")"),"A) Inform the committee to request time.")</f>
        <v>A) Inform the committee to request time.</v>
      </c>
      <c r="E161" s="5" t="str">
        <f>IFERROR(__xludf.DUMMYFUNCTION("GOOGLETRANSLATE(K161, ""th"", ""en"")"),"Requesting additional time allows the team to prepare better.")</f>
        <v>Requesting additional time allows the team to prepare better.</v>
      </c>
      <c r="G161" s="6">
        <v>160.0</v>
      </c>
      <c r="H161" s="7" t="s">
        <v>529</v>
      </c>
      <c r="I161" s="7" t="s">
        <v>530</v>
      </c>
      <c r="J161" s="7" t="s">
        <v>531</v>
      </c>
      <c r="K161" s="7" t="s">
        <v>532</v>
      </c>
    </row>
    <row r="162" ht="14.25" customHeight="1">
      <c r="A162" s="4">
        <v>161.0</v>
      </c>
      <c r="B162" s="5" t="str">
        <f>IFERROR(__xludf.DUMMYFUNCTION("GOOGLETRANSLATE(H162, ""th"", ""en"")"),"If your boat malfunctions during a race, what should you do?")</f>
        <v>If your boat malfunctions during a race, what should you do?</v>
      </c>
      <c r="C162" s="5" t="str">
        <f>IFERROR(__xludf.DUMMYFUNCTION("GOOGLETRANSLATE(I162, ""th"", ""en"")"),"A) Notify the referee and stop the match; B) Attempt to repair the match; C) Continue the match as normal; D) Stop the match immediately.")</f>
        <v>A) Notify the referee and stop the match; B) Attempt to repair the match; C) Continue the match as normal; D) Stop the match immediately.</v>
      </c>
      <c r="D162" s="5" t="str">
        <f>IFERROR(__xludf.DUMMYFUNCTION("GOOGLETRANSLATE(J162, ""th"", ""en"")"),"A) Inform the referee and stop the match.")</f>
        <v>A) Inform the referee and stop the match.</v>
      </c>
      <c r="E162" s="5" t="str">
        <f>IFERROR(__xludf.DUMMYFUNCTION("GOOGLETRANSLATE(K162, ""th"", ""en"")"),"Informing the referee allows for decisions to be made in accordance with the rules.")</f>
        <v>Informing the referee allows for decisions to be made in accordance with the rules.</v>
      </c>
      <c r="G162" s="6">
        <v>161.0</v>
      </c>
      <c r="H162" s="7" t="s">
        <v>533</v>
      </c>
      <c r="I162" s="7" t="s">
        <v>534</v>
      </c>
      <c r="J162" s="7" t="s">
        <v>229</v>
      </c>
      <c r="K162" s="7" t="s">
        <v>535</v>
      </c>
    </row>
    <row r="163" ht="14.25" customHeight="1">
      <c r="A163" s="4">
        <v>162.0</v>
      </c>
      <c r="B163" s="5" t="str">
        <f>IFERROR(__xludf.DUMMYFUNCTION("GOOGLETRANSLATE(H163, ""th"", ""en"")"),"If you see an opposing team cheating during a match, what should you do?")</f>
        <v>If you see an opposing team cheating during a match, what should you do?</v>
      </c>
      <c r="C163" s="5" t="str">
        <f>IFERROR(__xludf.DUMMYFUNCTION("GOOGLETRANSLATE(I163, ""th"", ""en"")"),"A) Immediately inform the referee; B) Do nothing; C) Contest the decision; D) Stop the match.")</f>
        <v>A) Immediately inform the referee; B) Do nothing; C) Contest the decision; D) Stop the match.</v>
      </c>
      <c r="D163" s="5" t="str">
        <f>IFERROR(__xludf.DUMMYFUNCTION("GOOGLETRANSLATE(J163, ""th"", ""en"")"),"A) Notify the committee immediately.")</f>
        <v>A) Notify the committee immediately.</v>
      </c>
      <c r="E163" s="5" t="str">
        <f>IFERROR(__xludf.DUMMYFUNCTION("GOOGLETRANSLATE(K163, ""th"", ""en"")"),"Informing the referee helps the competition to be in accordance with the rules.")</f>
        <v>Informing the referee helps the competition to be in accordance with the rules.</v>
      </c>
      <c r="G163" s="6">
        <v>162.0</v>
      </c>
      <c r="H163" s="7" t="s">
        <v>536</v>
      </c>
      <c r="I163" s="7" t="s">
        <v>537</v>
      </c>
      <c r="J163" s="7" t="s">
        <v>285</v>
      </c>
      <c r="K163" s="7" t="s">
        <v>250</v>
      </c>
    </row>
    <row r="164" ht="14.25" customHeight="1">
      <c r="A164" s="4">
        <v>163.0</v>
      </c>
      <c r="B164" s="5" t="str">
        <f>IFERROR(__xludf.DUMMYFUNCTION("GOOGLETRANSLATE(H164, ""th"", ""en"")"),"If you want to review the rules of the competition, how do you do it?")</f>
        <v>If you want to review the rules of the competition, how do you do it?</v>
      </c>
      <c r="C164" s="5" t="str">
        <f>IFERROR(__xludf.DUMMYFUNCTION("GOOGLETRANSLATE(I164, ""th"", ""en"")"),"A) Ask the director for clarification; B) Get information from other sources; C) Do nothing; D) Wait until the break.")</f>
        <v>A) Ask the director for clarification; B) Get information from other sources; C) Do nothing; D) Wait until the break.</v>
      </c>
      <c r="D164" s="5" t="str">
        <f>IFERROR(__xludf.DUMMYFUNCTION("GOOGLETRANSLATE(J164, ""th"", ""en"")"),"A) Ask for an explanation from the judges.")</f>
        <v>A) Ask for an explanation from the judges.</v>
      </c>
      <c r="E164" s="5" t="str">
        <f>IFERROR(__xludf.DUMMYFUNCTION("GOOGLETRANSLATE(K164, ""th"", ""en"")"),"Asking for clarification helps to understand the requirements.")</f>
        <v>Asking for clarification helps to understand the requirements.</v>
      </c>
      <c r="G164" s="6">
        <v>163.0</v>
      </c>
      <c r="H164" s="7" t="s">
        <v>538</v>
      </c>
      <c r="I164" s="7" t="s">
        <v>539</v>
      </c>
      <c r="J164" s="7" t="s">
        <v>540</v>
      </c>
      <c r="K164" s="7" t="s">
        <v>541</v>
      </c>
    </row>
    <row r="165" ht="14.25" customHeight="1">
      <c r="A165" s="4">
        <v>164.0</v>
      </c>
      <c r="B165" s="5" t="str">
        <f>IFERROR(__xludf.DUMMYFUNCTION("GOOGLETRANSLATE(H165, ""th"", ""en"")"),"If during a race your boat cannot move forward, what should you do?")</f>
        <v>If during a race your boat cannot move forward, what should you do?</v>
      </c>
      <c r="C165" s="5" t="str">
        <f>IFERROR(__xludf.DUMMYFUNCTION("GOOGLETRANSLATE(I165, ""th"", ""en"")"),"A) Notify the referee and ask him to stop the game; B) Attempt to move forward on his own; C) Stop the game; D) Wait until help arrives.")</f>
        <v>A) Notify the referee and ask him to stop the game; B) Attempt to move forward on his own; C) Stop the game; D) Wait until help arrives.</v>
      </c>
      <c r="D165" s="5" t="str">
        <f>IFERROR(__xludf.DUMMYFUNCTION("GOOGLETRANSLATE(J165, ""th"", ""en"")"),"A) Inform the referee and request that the match be stopped.")</f>
        <v>A) Inform the referee and request that the match be stopped.</v>
      </c>
      <c r="E165" s="5" t="str">
        <f>IFERROR(__xludf.DUMMYFUNCTION("GOOGLETRANSLATE(K165, ""th"", ""en"")"),"Informing the board allows the situation to be managed.")</f>
        <v>Informing the board allows the situation to be managed.</v>
      </c>
      <c r="G165" s="6">
        <v>164.0</v>
      </c>
      <c r="H165" s="7" t="s">
        <v>542</v>
      </c>
      <c r="I165" s="7" t="s">
        <v>543</v>
      </c>
      <c r="J165" s="7" t="s">
        <v>340</v>
      </c>
      <c r="K165" s="7" t="s">
        <v>433</v>
      </c>
    </row>
    <row r="166" ht="14.25" customHeight="1">
      <c r="A166" s="4">
        <v>165.0</v>
      </c>
      <c r="B166" s="5" t="str">
        <f>IFERROR(__xludf.DUMMYFUNCTION("GOOGLETRANSLATE(H166, ""th"", ""en"")"),"If there is spectator interference during the match, what will you do?")</f>
        <v>If there is spectator interference during the match, what will you do?</v>
      </c>
      <c r="C166" s="5" t="str">
        <f>IFERROR(__xludf.DUMMYFUNCTION("GOOGLETRANSLATE(I166, ""th"", ""en"")"),"A) notify the referee to request management; B) do nothing; C) dispute the interference; D) stop the match.")</f>
        <v>A) notify the referee to request management; B) do nothing; C) dispute the interference; D) stop the match.</v>
      </c>
      <c r="D166" s="5" t="str">
        <f>IFERROR(__xludf.DUMMYFUNCTION("GOOGLETRANSLATE(J166, ""th"", ""en"")"),"A) Inform the board of directors to request management.")</f>
        <v>A) Inform the board of directors to request management.</v>
      </c>
      <c r="E166" s="5" t="str">
        <f>IFERROR(__xludf.DUMMYFUNCTION("GOOGLETRANSLATE(K166, ""th"", ""en"")"),"Informing the referee helps the competition to proceed according to the rules.")</f>
        <v>Informing the referee helps the competition to proceed according to the rules.</v>
      </c>
      <c r="G166" s="6">
        <v>165.0</v>
      </c>
      <c r="H166" s="7" t="s">
        <v>544</v>
      </c>
      <c r="I166" s="7" t="s">
        <v>545</v>
      </c>
      <c r="J166" s="7" t="s">
        <v>546</v>
      </c>
      <c r="K166" s="7" t="s">
        <v>490</v>
      </c>
    </row>
    <row r="167" ht="14.25" customHeight="1">
      <c r="A167" s="4">
        <v>166.0</v>
      </c>
      <c r="B167" s="5" t="str">
        <f>IFERROR(__xludf.DUMMYFUNCTION("GOOGLETRANSLATE(H167, ""th"", ""en"")"),"If your boat is damaged by a collision with an obstacle, what should you do?")</f>
        <v>If your boat is damaged by a collision with an obstacle, what should you do?</v>
      </c>
      <c r="C167" s="5" t="str">
        <f>IFERROR(__xludf.DUMMYFUNCTION("GOOGLETRANSLATE(I167, ""th"", ""en"")"),"A) Inform the referee and ask for help; B) Repair it yourself; C) Avoid informing the referee; D) Stop the match.")</f>
        <v>A) Inform the referee and ask for help; B) Repair it yourself; C) Avoid informing the referee; D) Stop the match.</v>
      </c>
      <c r="D167" s="5" t="str">
        <f>IFERROR(__xludf.DUMMYFUNCTION("GOOGLETRANSLATE(J167, ""th"", ""en"")"),"A) Inform the committee and ask for assistance.")</f>
        <v>A) Inform the committee and ask for assistance.</v>
      </c>
      <c r="E167" s="5" t="str">
        <f>IFERROR(__xludf.DUMMYFUNCTION("GOOGLETRANSLATE(K167, ""th"", ""en"")"),"Informing the referee helps the competition to be in accordance with the rules.")</f>
        <v>Informing the referee helps the competition to be in accordance with the rules.</v>
      </c>
      <c r="G167" s="6">
        <v>166.0</v>
      </c>
      <c r="H167" s="7" t="s">
        <v>547</v>
      </c>
      <c r="I167" s="7" t="s">
        <v>517</v>
      </c>
      <c r="J167" s="7" t="s">
        <v>240</v>
      </c>
      <c r="K167" s="7" t="s">
        <v>250</v>
      </c>
    </row>
    <row r="168" ht="14.25" customHeight="1">
      <c r="A168" s="4">
        <v>167.0</v>
      </c>
      <c r="B168" s="5" t="str">
        <f>IFERROR(__xludf.DUMMYFUNCTION("GOOGLETRANSLATE(H168, ""th"", ""en"")"),"If you want to use a special technique during the match, what should you do?")</f>
        <v>If you want to use a special technique during the match, what should you do?</v>
      </c>
      <c r="C168" s="5" t="str">
        <f>IFERROR(__xludf.DUMMYFUNCTION("GOOGLETRANSLATE(I168, ""th"", ""en"")"),"A) Ask permission from the referee before using; B) Use techniques without informing the referee; C) Avoid using special techniques; D) Stop the match.")</f>
        <v>A) Ask permission from the referee before using; B) Use techniques without informing the referee; C) Avoid using special techniques; D) Stop the match.</v>
      </c>
      <c r="D168" s="5" t="str">
        <f>IFERROR(__xludf.DUMMYFUNCTION("GOOGLETRANSLATE(J168, ""th"", ""en"")"),"A) Ask permission from the committee before using.")</f>
        <v>A) Ask permission from the committee before using.</v>
      </c>
      <c r="E168" s="5" t="str">
        <f>IFERROR(__xludf.DUMMYFUNCTION("GOOGLETRANSLATE(K168, ""th"", ""en"")"),"Permission is required to ensure that the technique is used in accordance with the rules.")</f>
        <v>Permission is required to ensure that the technique is used in accordance with the rules.</v>
      </c>
      <c r="G168" s="6">
        <v>167.0</v>
      </c>
      <c r="H168" s="7" t="s">
        <v>548</v>
      </c>
      <c r="I168" s="7" t="s">
        <v>549</v>
      </c>
      <c r="J168" s="7" t="s">
        <v>550</v>
      </c>
      <c r="K168" s="7" t="s">
        <v>551</v>
      </c>
    </row>
    <row r="169" ht="14.25" customHeight="1">
      <c r="A169" s="4">
        <v>168.0</v>
      </c>
      <c r="B169" s="5" t="str">
        <f>IFERROR(__xludf.DUMMYFUNCTION("GOOGLETRANSLATE(H169, ""th"", ""en"")"),"If you find a teammate not following safety rules, what should you do?")</f>
        <v>If you find a teammate not following safety rules, what should you do?</v>
      </c>
      <c r="C169" s="5" t="str">
        <f>IFERROR(__xludf.DUMMYFUNCTION("GOOGLETRANSLATE(I169, ""th"", ""en"")"),"A) Inform the coach and ask for improvement; B) Do nothing; C) Refuse to inform the coach; D) Stop the match.")</f>
        <v>A) Inform the coach and ask for improvement; B) Do nothing; C) Refuse to inform the coach; D) Stop the match.</v>
      </c>
      <c r="D169" s="5" t="str">
        <f>IFERROR(__xludf.DUMMYFUNCTION("GOOGLETRANSLATE(J169, ""th"", ""en"")"),"A) Inform the trainer to ask for improvement.")</f>
        <v>A) Inform the trainer to ask for improvement.</v>
      </c>
      <c r="E169" s="5" t="str">
        <f>IFERROR(__xludf.DUMMYFUNCTION("GOOGLETRANSLATE(K169, ""th"", ""en"")"),"Informing the coach helps the team follow the rules.")</f>
        <v>Informing the coach helps the team follow the rules.</v>
      </c>
      <c r="G169" s="6">
        <v>168.0</v>
      </c>
      <c r="H169" s="7" t="s">
        <v>552</v>
      </c>
      <c r="I169" s="7" t="s">
        <v>553</v>
      </c>
      <c r="J169" s="7" t="s">
        <v>554</v>
      </c>
      <c r="K169" s="7" t="s">
        <v>555</v>
      </c>
    </row>
    <row r="170" ht="14.25" customHeight="1">
      <c r="A170" s="4">
        <v>169.0</v>
      </c>
      <c r="B170" s="5" t="str">
        <f>IFERROR(__xludf.DUMMYFUNCTION("GOOGLETRANSLATE(H170, ""th"", ""en"")"),"If your coach is unable to compete that day, what will you do?")</f>
        <v>If your coach is unable to compete that day, what will you do?</v>
      </c>
      <c r="C170" s="5" t="str">
        <f>IFERROR(__xludf.DUMMYFUNCTION("GOOGLETRANSLATE(I170, ""th"", ""en"")"),"A) Follow the previously prepared plan; B) Stop the match; C) Ask the referee for advice; D) Refuse the match.")</f>
        <v>A) Follow the previously prepared plan; B) Stop the match; C) Ask the referee for advice; D) Refuse the match.</v>
      </c>
      <c r="D170" s="5" t="str">
        <f>IFERROR(__xludf.DUMMYFUNCTION("GOOGLETRANSLATE(J170, ""th"", ""en"")"),"A) Follow the previously prepared plan.")</f>
        <v>A) Follow the previously prepared plan.</v>
      </c>
      <c r="E170" s="5" t="str">
        <f>IFERROR(__xludf.DUMMYFUNCTION("GOOGLETRANSLATE(K170, ""th"", ""en"")"),"Following the plan helps the team to continue working.")</f>
        <v>Following the plan helps the team to continue working.</v>
      </c>
      <c r="G170" s="6">
        <v>169.0</v>
      </c>
      <c r="H170" s="7" t="s">
        <v>556</v>
      </c>
      <c r="I170" s="7" t="s">
        <v>557</v>
      </c>
      <c r="J170" s="7" t="s">
        <v>558</v>
      </c>
      <c r="K170" s="7" t="s">
        <v>559</v>
      </c>
    </row>
    <row r="171" ht="14.25" customHeight="1">
      <c r="A171" s="4">
        <v>170.0</v>
      </c>
      <c r="B171" s="5" t="str">
        <f>IFERROR(__xludf.DUMMYFUNCTION("GOOGLETRANSLATE(H171, ""th"", ""en"")"),"If your boat needs repairs during a race, what should you do?")</f>
        <v>If your boat needs repairs during a race, what should you do?</v>
      </c>
      <c r="C171" s="5" t="str">
        <f>IFERROR(__xludf.DUMMYFUNCTION("GOOGLETRANSLATE(I171, ""th"", ""en"")"),"A) notify the referee to request permission to repair; B) repair without notifying the referee; C) avoid repair; D) stop the match.")</f>
        <v>A) notify the referee to request permission to repair; B) repair without notifying the referee; C) avoid repair; D) stop the match.</v>
      </c>
      <c r="D171" s="5" t="str">
        <f>IFERROR(__xludf.DUMMYFUNCTION("GOOGLETRANSLATE(J171, ""th"", ""en"")"),"A) Notify the board to request permission for repairs.")</f>
        <v>A) Notify the board to request permission for repairs.</v>
      </c>
      <c r="E171" s="5" t="str">
        <f>IFERROR(__xludf.DUMMYFUNCTION("GOOGLETRANSLATE(K171, ""th"", ""en"")"),"Requesting permission from the board ensures that repairs are legal.")</f>
        <v>Requesting permission from the board ensures that repairs are legal.</v>
      </c>
      <c r="G171" s="6">
        <v>170.0</v>
      </c>
      <c r="H171" s="7" t="s">
        <v>560</v>
      </c>
      <c r="I171" s="7" t="s">
        <v>488</v>
      </c>
      <c r="J171" s="7" t="s">
        <v>489</v>
      </c>
      <c r="K171" s="7" t="s">
        <v>561</v>
      </c>
    </row>
    <row r="172" ht="14.25" customHeight="1">
      <c r="A172" s="4">
        <v>171.0</v>
      </c>
      <c r="B172" s="5" t="str">
        <f>IFERROR(__xludf.DUMMYFUNCTION("GOOGLETRANSLATE(H172, ""th"", ""en"")"),"If your team breaks the rules, what will you do?")</f>
        <v>If your team breaks the rules, what will you do?</v>
      </c>
      <c r="C172" s="5" t="str">
        <f>IFERROR(__xludf.DUMMYFUNCTION("GOOGLETRANSLATE(I172, ""th"", ""en"")"),"A) Immediately inform the referee; B) Refuse to admit fault; C) Avoid talking about the matter; D) Stop the match.")</f>
        <v>A) Immediately inform the referee; B) Refuse to admit fault; C) Avoid talking about the matter; D) Stop the match.</v>
      </c>
      <c r="D172" s="5" t="str">
        <f>IFERROR(__xludf.DUMMYFUNCTION("GOOGLETRANSLATE(J172, ""th"", ""en"")"),"A) Notify the committee immediately.")</f>
        <v>A) Notify the committee immediately.</v>
      </c>
      <c r="E172" s="5" t="str">
        <f>IFERROR(__xludf.DUMMYFUNCTION("GOOGLETRANSLATE(K172, ""th"", ""en"")"),"Informing the board allows the situation to be managed.")</f>
        <v>Informing the board allows the situation to be managed.</v>
      </c>
      <c r="G172" s="6">
        <v>171.0</v>
      </c>
      <c r="H172" s="7" t="s">
        <v>562</v>
      </c>
      <c r="I172" s="7" t="s">
        <v>563</v>
      </c>
      <c r="J172" s="7" t="s">
        <v>285</v>
      </c>
      <c r="K172" s="7" t="s">
        <v>433</v>
      </c>
    </row>
    <row r="173" ht="14.25" customHeight="1">
      <c r="A173" s="4">
        <v>172.0</v>
      </c>
      <c r="B173" s="5" t="str">
        <f>IFERROR(__xludf.DUMMYFUNCTION("GOOGLETRANSLATE(H173, ""th"", ""en"")"),"If you see your competitors using illegal techniques, what should you do?")</f>
        <v>If you see your competitors using illegal techniques, what should you do?</v>
      </c>
      <c r="C173" s="5" t="str">
        <f>IFERROR(__xludf.DUMMYFUNCTION("GOOGLETRANSLATE(I173, ""th"", ""en"")"),"A) Immediately inform the referee; B) Refuse to inform the referee; C) Avoid talking about the matter; D) Stop the match.")</f>
        <v>A) Immediately inform the referee; B) Refuse to inform the referee; C) Avoid talking about the matter; D) Stop the match.</v>
      </c>
      <c r="D173" s="5" t="str">
        <f>IFERROR(__xludf.DUMMYFUNCTION("GOOGLETRANSLATE(J173, ""th"", ""en"")"),"A) Notify the committee immediately.")</f>
        <v>A) Notify the committee immediately.</v>
      </c>
      <c r="E173" s="5" t="str">
        <f>IFERROR(__xludf.DUMMYFUNCTION("GOOGLETRANSLATE(K173, ""th"", ""en"")"),"Informing the board allows the situation to be managed.")</f>
        <v>Informing the board allows the situation to be managed.</v>
      </c>
      <c r="G173" s="6">
        <v>172.0</v>
      </c>
      <c r="H173" s="7" t="s">
        <v>564</v>
      </c>
      <c r="I173" s="7" t="s">
        <v>565</v>
      </c>
      <c r="J173" s="7" t="s">
        <v>285</v>
      </c>
      <c r="K173" s="7" t="s">
        <v>433</v>
      </c>
    </row>
    <row r="174" ht="14.25" customHeight="1">
      <c r="A174" s="4">
        <v>173.0</v>
      </c>
      <c r="B174" s="5" t="str">
        <f>IFERROR(__xludf.DUMMYFUNCTION("GOOGLETRANSLATE(H174, ""th"", ""en"")"),"If there are changes to the competition terms, what will you do?")</f>
        <v>If there are changes to the competition terms, what will you do?</v>
      </c>
      <c r="C174" s="5" t="str">
        <f>IFERROR(__xludf.DUMMYFUNCTION("GOOGLETRANSLATE(I174, ""th"", ""en"")"),"A) Immediately comply with the new conditions; B) Reject the new conditions; C) Do nothing; D) Stop the competition.")</f>
        <v>A) Immediately comply with the new conditions; B) Reject the new conditions; C) Do nothing; D) Stop the competition.</v>
      </c>
      <c r="D174" s="5" t="str">
        <f>IFERROR(__xludf.DUMMYFUNCTION("GOOGLETRANSLATE(J174, ""th"", ""en"")"),"A) Immediately comply with the new conditions.")</f>
        <v>A) Immediately comply with the new conditions.</v>
      </c>
      <c r="E174" s="5" t="str">
        <f>IFERROR(__xludf.DUMMYFUNCTION("GOOGLETRANSLATE(K174, ""th"", ""en"")"),"Adapting to new conditions allows the competition to proceed.")</f>
        <v>Adapting to new conditions allows the competition to proceed.</v>
      </c>
      <c r="G174" s="6">
        <v>173.0</v>
      </c>
      <c r="H174" s="7" t="s">
        <v>566</v>
      </c>
      <c r="I174" s="7" t="s">
        <v>567</v>
      </c>
      <c r="J174" s="7" t="s">
        <v>568</v>
      </c>
      <c r="K174" s="7" t="s">
        <v>569</v>
      </c>
    </row>
    <row r="175" ht="14.25" customHeight="1">
      <c r="A175" s="4">
        <v>174.0</v>
      </c>
      <c r="B175" s="5" t="str">
        <f>IFERROR(__xludf.DUMMYFUNCTION("GOOGLETRANSLATE(H175, ""th"", ""en"")"),"If your boat is unable to continue racing due to an engine problem, what should you do?")</f>
        <v>If your boat is unable to continue racing due to an engine problem, what should you do?</v>
      </c>
      <c r="C175" s="5" t="str">
        <f>IFERROR(__xludf.DUMMYFUNCTION("GOOGLETRANSLATE(I175, ""th"", ""en"")"),"A) Inform the referee and request a stoppage of the match; B) Repair the match yourself; C) Avoid informing the referee; D) Stop the match.")</f>
        <v>A) Inform the referee and request a stoppage of the match; B) Repair the match yourself; C) Avoid informing the referee; D) Stop the match.</v>
      </c>
      <c r="D175" s="5" t="str">
        <f>IFERROR(__xludf.DUMMYFUNCTION("GOOGLETRANSLATE(J175, ""th"", ""en"")"),"A) Inform the referee and request a stop to the match.")</f>
        <v>A) Inform the referee and request a stop to the match.</v>
      </c>
      <c r="E175" s="5" t="str">
        <f>IFERROR(__xludf.DUMMYFUNCTION("GOOGLETRANSLATE(K175, ""th"", ""en"")"),"Informing the referee helps the decision be made according to the rules.")</f>
        <v>Informing the referee helps the decision be made according to the rules.</v>
      </c>
      <c r="G175" s="6">
        <v>174.0</v>
      </c>
      <c r="H175" s="7" t="s">
        <v>570</v>
      </c>
      <c r="I175" s="7" t="s">
        <v>571</v>
      </c>
      <c r="J175" s="7" t="s">
        <v>572</v>
      </c>
      <c r="K175" s="7" t="s">
        <v>493</v>
      </c>
    </row>
    <row r="176" ht="14.25" customHeight="1">
      <c r="A176" s="4">
        <v>175.0</v>
      </c>
      <c r="B176" s="5" t="str">
        <f>IFERROR(__xludf.DUMMYFUNCTION("GOOGLETRANSLATE(H176, ""th"", ""en"")"),"If you see a player on your team violating the rules during a match, what should you do?")</f>
        <v>If you see a player on your team violating the rules during a match, what should you do?</v>
      </c>
      <c r="C176" s="5" t="str">
        <f>IFERROR(__xludf.DUMMYFUNCTION("GOOGLETRANSLATE(I176, ""th"", ""en"")"),"A) Notify the coach immediately; B) Refuse to notify the coach; C) Avoid talking about the matter; D) Stop the match.")</f>
        <v>A) Notify the coach immediately; B) Refuse to notify the coach; C) Avoid talking about the matter; D) Stop the match.</v>
      </c>
      <c r="D176" s="5" t="str">
        <f>IFERROR(__xludf.DUMMYFUNCTION("GOOGLETRANSLATE(J176, ""th"", ""en"")"),"A) Notify the trainer immediately.")</f>
        <v>A) Notify the trainer immediately.</v>
      </c>
      <c r="E176" s="5" t="str">
        <f>IFERROR(__xludf.DUMMYFUNCTION("GOOGLETRANSLATE(K176, ""th"", ""en"")"),"Notifying the trainer helped resolve the situation.")</f>
        <v>Notifying the trainer helped resolve the situation.</v>
      </c>
      <c r="G176" s="6">
        <v>175.0</v>
      </c>
      <c r="H176" s="7" t="s">
        <v>573</v>
      </c>
      <c r="I176" s="7" t="s">
        <v>574</v>
      </c>
      <c r="J176" s="7" t="s">
        <v>319</v>
      </c>
      <c r="K176" s="7" t="s">
        <v>456</v>
      </c>
    </row>
    <row r="177" ht="14.25" customHeight="1">
      <c r="A177" s="4">
        <v>176.0</v>
      </c>
      <c r="B177" s="5" t="str">
        <f>IFERROR(__xludf.DUMMYFUNCTION("GOOGLETRANSLATE(H177, ""th"", ""en"")"),"If your team is missing a player during a match, what will you do?")</f>
        <v>If your team is missing a player during a match, what will you do?</v>
      </c>
      <c r="C177" s="5" t="str">
        <f>IFERROR(__xludf.DUMMYFUNCTION("GOOGLETRANSLATE(I177, ""th"", ""en"")"),"A) Notify the referee and request a substitution; B) Continue playing without any additional players; C) Avoid notifying the referee; D) Stop the game.")</f>
        <v>A) Notify the referee and request a substitution; B) Continue playing without any additional players; C) Avoid notifying the referee; D) Stop the game.</v>
      </c>
      <c r="D177" s="5" t="str">
        <f>IFERROR(__xludf.DUMMYFUNCTION("GOOGLETRANSLATE(J177, ""th"", ""en"")"),"A) Inform the board of directors to request a replacement.")</f>
        <v>A) Inform the board of directors to request a replacement.</v>
      </c>
      <c r="E177" s="5" t="str">
        <f>IFERROR(__xludf.DUMMYFUNCTION("GOOGLETRANSLATE(K177, ""th"", ""en"")"),"Informing the board helped the situation to be resolved.")</f>
        <v>Informing the board helped the situation to be resolved.</v>
      </c>
      <c r="G177" s="6">
        <v>176.0</v>
      </c>
      <c r="H177" s="7" t="s">
        <v>575</v>
      </c>
      <c r="I177" s="7" t="s">
        <v>576</v>
      </c>
      <c r="J177" s="7" t="s">
        <v>577</v>
      </c>
      <c r="K177" s="7" t="s">
        <v>261</v>
      </c>
    </row>
    <row r="178" ht="14.25" customHeight="1">
      <c r="A178" s="4">
        <v>177.0</v>
      </c>
      <c r="B178" s="5" t="str">
        <f>IFERROR(__xludf.DUMMYFUNCTION("GOOGLETRANSLATE(H178, ""th"", ""en"")"),"If you see that your teammates are not following the plan, what will you do?")</f>
        <v>If you see that your teammates are not following the plan, what will you do?</v>
      </c>
      <c r="C178" s="5" t="str">
        <f>IFERROR(__xludf.DUMMYFUNCTION("GOOGLETRANSLATE(I178, ""th"", ""en"")"),"A) Inform the coach for advice; B) Refuse to inform the coach; C) Avoid interfering; D) Stop the match.")</f>
        <v>A) Inform the coach for advice; B) Refuse to inform the coach; C) Avoid interfering; D) Stop the match.</v>
      </c>
      <c r="D178" s="5" t="str">
        <f>IFERROR(__xludf.DUMMYFUNCTION("GOOGLETRANSLATE(J178, ""th"", ""en"")"),"A) Inform the trainer for advice.")</f>
        <v>A) Inform the trainer for advice.</v>
      </c>
      <c r="E178" s="5" t="str">
        <f>IFERROR(__xludf.DUMMYFUNCTION("GOOGLETRANSLATE(K178, ""th"", ""en"")"),"Informing the coach helps the plan proceed efficiently.")</f>
        <v>Informing the coach helps the plan proceed efficiently.</v>
      </c>
      <c r="G178" s="6">
        <v>177.0</v>
      </c>
      <c r="H178" s="7" t="s">
        <v>578</v>
      </c>
      <c r="I178" s="7" t="s">
        <v>579</v>
      </c>
      <c r="J178" s="7" t="s">
        <v>580</v>
      </c>
      <c r="K178" s="7" t="s">
        <v>581</v>
      </c>
    </row>
    <row r="179" ht="14.25" customHeight="1">
      <c r="A179" s="4">
        <v>178.0</v>
      </c>
      <c r="B179" s="5" t="str">
        <f>IFERROR(__xludf.DUMMYFUNCTION("GOOGLETRANSLATE(H179, ""th"", ""en"")"),"If you want to use another boat in the race, what should you do?")</f>
        <v>If you want to use another boat in the race, what should you do?</v>
      </c>
      <c r="C179" s="5" t="str">
        <f>IFERROR(__xludf.DUMMYFUNCTION("GOOGLETRANSLATE(I179, ""th"", ""en"")"),"A) Ask permission from the referee first; B) Use the boat yourself without informing the referee; C) Do nothing; D) Stop the race.")</f>
        <v>A) Ask permission from the referee first; B) Use the boat yourself without informing the referee; C) Do nothing; D) Stop the race.</v>
      </c>
      <c r="D179" s="5" t="str">
        <f>IFERROR(__xludf.DUMMYFUNCTION("GOOGLETRANSLATE(J179, ""th"", ""en"")"),"A) Request permission from the committee first.")</f>
        <v>A) Request permission from the committee first.</v>
      </c>
      <c r="E179" s="5" t="str">
        <f>IFERROR(__xludf.DUMMYFUNCTION("GOOGLETRANSLATE(K179, ""th"", ""en"")"),"Requesting permission from the board ensures that the boat is used in accordance with the rules.")</f>
        <v>Requesting permission from the board ensures that the boat is used in accordance with the rules.</v>
      </c>
      <c r="G179" s="6">
        <v>178.0</v>
      </c>
      <c r="H179" s="7" t="s">
        <v>582</v>
      </c>
      <c r="I179" s="7" t="s">
        <v>583</v>
      </c>
      <c r="J179" s="7" t="s">
        <v>584</v>
      </c>
      <c r="K179" s="7" t="s">
        <v>585</v>
      </c>
    </row>
    <row r="180" ht="14.25" customHeight="1">
      <c r="A180" s="4">
        <v>179.0</v>
      </c>
      <c r="B180" s="5" t="str">
        <f>IFERROR(__xludf.DUMMYFUNCTION("GOOGLETRANSLATE(H180, ""th"", ""en"")"),"If your team needs more time to practice, what should you do?")</f>
        <v>If your team needs more time to practice, what should you do?</v>
      </c>
      <c r="C180" s="5" t="str">
        <f>IFERROR(__xludf.DUMMYFUNCTION("GOOGLETRANSLATE(I180, ""th"", ""en"")"),"A) Inform the referee of a request for additional time; B) Avoid a request for additional time; C) Refuse a request for additional time; D) Stop the match.")</f>
        <v>A) Inform the referee of a request for additional time; B) Avoid a request for additional time; C) Refuse a request for additional time; D) Stop the match.</v>
      </c>
      <c r="D180" s="5" t="str">
        <f>IFERROR(__xludf.DUMMYFUNCTION("GOOGLETRANSLATE(J180, ""th"", ""en"")"),"A) Inform the committee to request additional time.")</f>
        <v>A) Inform the committee to request additional time.</v>
      </c>
      <c r="E180" s="5" t="str">
        <f>IFERROR(__xludf.DUMMYFUNCTION("GOOGLETRANSLATE(K180, ""th"", ""en"")"),"Requesting additional time allows the team to practice more effectively.")</f>
        <v>Requesting additional time allows the team to practice more effectively.</v>
      </c>
      <c r="G180" s="6">
        <v>179.0</v>
      </c>
      <c r="H180" s="7" t="s">
        <v>586</v>
      </c>
      <c r="I180" s="7" t="s">
        <v>587</v>
      </c>
      <c r="J180" s="7" t="s">
        <v>588</v>
      </c>
      <c r="K180" s="7" t="s">
        <v>589</v>
      </c>
    </row>
    <row r="181" ht="14.25" customHeight="1">
      <c r="A181" s="4">
        <v>180.0</v>
      </c>
      <c r="B181" s="5" t="str">
        <f>IFERROR(__xludf.DUMMYFUNCTION("GOOGLETRANSLATE(H181, ""th"", ""en"")"),"If a player on your team is unable to continue the match due to injury, what should you do?")</f>
        <v>If a player on your team is unable to continue the match due to injury, what should you do?</v>
      </c>
      <c r="C181" s="5" t="str">
        <f>IFERROR(__xludf.DUMMYFUNCTION("GOOGLETRANSLATE(I181, ""th"", ""en"")"),"A) Notify the referee and request a substitution; B) Refuse the substitution; C) Avoid notifying the referee; D) Stop the match.")</f>
        <v>A) Notify the referee and request a substitution; B) Refuse the substitution; C) Avoid notifying the referee; D) Stop the match.</v>
      </c>
      <c r="D181" s="5" t="str">
        <f>IFERROR(__xludf.DUMMYFUNCTION("GOOGLETRANSLATE(J181, ""th"", ""en"")"),"A) Inform the board and request a replacement.")</f>
        <v>A) Inform the board and request a replacement.</v>
      </c>
      <c r="E181" s="5" t="str">
        <f>IFERROR(__xludf.DUMMYFUNCTION("GOOGLETRANSLATE(K181, ""th"", ""en"")"),"Informing the referee helps the competition to proceed according to the rules.")</f>
        <v>Informing the referee helps the competition to proceed according to the rules.</v>
      </c>
      <c r="G181" s="6">
        <v>180.0</v>
      </c>
      <c r="H181" s="7" t="s">
        <v>590</v>
      </c>
      <c r="I181" s="7" t="s">
        <v>591</v>
      </c>
      <c r="J181" s="7" t="s">
        <v>592</v>
      </c>
      <c r="K181" s="7" t="s">
        <v>593</v>
      </c>
    </row>
    <row r="182" ht="14.25" customHeight="1">
      <c r="A182" s="4">
        <v>181.0</v>
      </c>
      <c r="B182" s="5" t="str">
        <f>IFERROR(__xludf.DUMMYFUNCTION("GOOGLETRANSLATE(H182, ""th"", ""en"")"),"If you feel that your teammate is experiencing physical problems during a match, what should you do?")</f>
        <v>If you feel that your teammate is experiencing physical problems during a match, what should you do?</v>
      </c>
      <c r="C182" s="5" t="str">
        <f>IFERROR(__xludf.DUMMYFUNCTION("GOOGLETRANSLATE(I182, ""th"", ""en"")"),"A) Tell the referee to stop the game; B) Refuse to help; C) Give him encouragement to get through; D) Avoid interfering.")</f>
        <v>A) Tell the referee to stop the game; B) Refuse to help; C) Give him encouragement to get through; D) Avoid interfering.</v>
      </c>
      <c r="D182" s="5" t="str">
        <f>IFERROR(__xludf.DUMMYFUNCTION("GOOGLETRANSLATE(J182, ""th"", ""en"")"),"A) Inform the referee to stop the match.")</f>
        <v>A) Inform the referee to stop the match.</v>
      </c>
      <c r="E182" s="5" t="str">
        <f>IFERROR(__xludf.DUMMYFUNCTION("GOOGLETRANSLATE(K182, ""th"", ""en"")"),"Informing the board allows the situation to be managed.")</f>
        <v>Informing the board allows the situation to be managed.</v>
      </c>
      <c r="G182" s="6">
        <v>181.0</v>
      </c>
      <c r="H182" s="7" t="s">
        <v>594</v>
      </c>
      <c r="I182" s="7" t="s">
        <v>595</v>
      </c>
      <c r="J182" s="7" t="s">
        <v>596</v>
      </c>
      <c r="K182" s="7" t="s">
        <v>433</v>
      </c>
    </row>
    <row r="183" ht="14.25" customHeight="1">
      <c r="A183" s="4">
        <v>182.0</v>
      </c>
      <c r="B183" s="5" t="str">
        <f>IFERROR(__xludf.DUMMYFUNCTION("GOOGLETRANSLATE(H183, ""th"", ""en"")"),"If you find that your team's boat has technical problems during a race, what should you do?")</f>
        <v>If you find that your team's boat has technical problems during a race, what should you do?</v>
      </c>
      <c r="C183" s="5" t="str">
        <f>IFERROR(__xludf.DUMMYFUNCTION("GOOGLETRANSLATE(I183, ""th"", ""en"")"),"A) Notify the referee to stop the match; B) Repair the match without notifying the referee; C) Continue the match as normal; D) Stop the match immediately.")</f>
        <v>A) Notify the referee to stop the match; B) Repair the match without notifying the referee; C) Continue the match as normal; D) Stop the match immediately.</v>
      </c>
      <c r="D183" s="5" t="str">
        <f>IFERROR(__xludf.DUMMYFUNCTION("GOOGLETRANSLATE(J183, ""th"", ""en"")"),"A) Inform the referee to stop the match.")</f>
        <v>A) Inform the referee to stop the match.</v>
      </c>
      <c r="E183" s="5" t="str">
        <f>IFERROR(__xludf.DUMMYFUNCTION("GOOGLETRANSLATE(K183, ""th"", ""en"")"),"Informing the referee helps the competition to be in accordance with the rules.")</f>
        <v>Informing the referee helps the competition to be in accordance with the rules.</v>
      </c>
      <c r="G183" s="6">
        <v>182.0</v>
      </c>
      <c r="H183" s="7" t="s">
        <v>597</v>
      </c>
      <c r="I183" s="7" t="s">
        <v>598</v>
      </c>
      <c r="J183" s="7" t="s">
        <v>599</v>
      </c>
      <c r="K183" s="7" t="s">
        <v>250</v>
      </c>
    </row>
    <row r="184" ht="14.25" customHeight="1">
      <c r="A184" s="4">
        <v>183.0</v>
      </c>
      <c r="B184" s="5" t="str">
        <f>IFERROR(__xludf.DUMMYFUNCTION("GOOGLETRANSLATE(H184, ""th"", ""en"")"),"If the referee makes the wrong decision, what will you do?")</f>
        <v>If the referee makes the wrong decision, what will you do?</v>
      </c>
      <c r="C184" s="5" t="str">
        <f>IFERROR(__xludf.DUMMYFUNCTION("GOOGLETRANSLATE(I184, ""th"", ""en"")"),"A) File a request for review of the decision; B) Openly contest the decision; C) Refuse to accept the decision; D) Stop the match.")</f>
        <v>A) File a request for review of the decision; B) Openly contest the decision; C) Refuse to accept the decision; D) Stop the match.</v>
      </c>
      <c r="D184" s="5" t="str">
        <f>IFERROR(__xludf.DUMMYFUNCTION("GOOGLETRANSLATE(J184, ""th"", ""en"")"),"A) File a request for review of the decision.")</f>
        <v>A) File a request for review of the decision.</v>
      </c>
      <c r="E184" s="5" t="str">
        <f>IFERROR(__xludf.DUMMYFUNCTION("GOOGLETRANSLATE(K184, ""th"", ""en"")"),"Filing a petition helps ensure a fair decision.")</f>
        <v>Filing a petition helps ensure a fair decision.</v>
      </c>
      <c r="G184" s="6">
        <v>183.0</v>
      </c>
      <c r="H184" s="7" t="s">
        <v>600</v>
      </c>
      <c r="I184" s="7" t="s">
        <v>601</v>
      </c>
      <c r="J184" s="7" t="s">
        <v>602</v>
      </c>
      <c r="K184" s="7" t="s">
        <v>603</v>
      </c>
    </row>
    <row r="185" ht="14.25" customHeight="1">
      <c r="A185" s="4">
        <v>184.0</v>
      </c>
      <c r="B185" s="5" t="str">
        <f>IFERROR(__xludf.DUMMYFUNCTION("GOOGLETRANSLATE(H185, ""th"", ""en"")"),"If you see your competitor cross the starting line prematurely, what should you do?")</f>
        <v>If you see your competitor cross the starting line prematurely, what should you do?</v>
      </c>
      <c r="C185" s="5" t="str">
        <f>IFERROR(__xludf.DUMMYFUNCTION("GOOGLETRANSLATE(I185, ""th"", ""en"")"),"A) Immediately notify the referee; B) Do nothing; C) Refuse to notify the referee; D) Stop the match.")</f>
        <v>A) Immediately notify the referee; B) Do nothing; C) Refuse to notify the referee; D) Stop the match.</v>
      </c>
      <c r="D185" s="5" t="str">
        <f>IFERROR(__xludf.DUMMYFUNCTION("GOOGLETRANSLATE(J185, ""th"", ""en"")"),"A) Notify the committee immediately.")</f>
        <v>A) Notify the committee immediately.</v>
      </c>
      <c r="E185" s="5" t="str">
        <f>IFERROR(__xludf.DUMMYFUNCTION("GOOGLETRANSLATE(K185, ""th"", ""en"")"),"Informing the referee helps the competition to be in accordance with the rules.")</f>
        <v>Informing the referee helps the competition to be in accordance with the rules.</v>
      </c>
      <c r="G185" s="6">
        <v>184.0</v>
      </c>
      <c r="H185" s="7" t="s">
        <v>604</v>
      </c>
      <c r="I185" s="7" t="s">
        <v>486</v>
      </c>
      <c r="J185" s="7" t="s">
        <v>285</v>
      </c>
      <c r="K185" s="7" t="s">
        <v>250</v>
      </c>
    </row>
    <row r="186" ht="14.25" customHeight="1">
      <c r="A186" s="4">
        <v>185.0</v>
      </c>
      <c r="B186" s="5" t="str">
        <f>IFERROR(__xludf.DUMMYFUNCTION("GOOGLETRANSLATE(H186, ""th"", ""en"")"),"If you want to check your racing equipment before starting, what should you do?")</f>
        <v>If you want to check your racing equipment before starting, what should you do?</v>
      </c>
      <c r="C186" s="5" t="str">
        <f>IFERROR(__xludf.DUMMYFUNCTION("GOOGLETRANSLATE(I186, ""th"", ""en"")"),"A) Ask permission from the referee before checking; B) Check on your own without informing the referee; C) Do nothing; D) Stop the match.")</f>
        <v>A) Ask permission from the referee before checking; B) Check on your own without informing the referee; C) Do nothing; D) Stop the match.</v>
      </c>
      <c r="D186" s="5" t="str">
        <f>IFERROR(__xludf.DUMMYFUNCTION("GOOGLETRANSLATE(J186, ""th"", ""en"")"),"A) Request permission from the committee before inspecting.")</f>
        <v>A) Request permission from the committee before inspecting.</v>
      </c>
      <c r="E186" s="5" t="str">
        <f>IFERROR(__xludf.DUMMYFUNCTION("GOOGLETRANSLATE(K186, ""th"", ""en"")"),"Requesting permission from the board ensures that the inspection is in compliance with the rules.")</f>
        <v>Requesting permission from the board ensures that the inspection is in compliance with the rules.</v>
      </c>
      <c r="G186" s="6">
        <v>185.0</v>
      </c>
      <c r="H186" s="7" t="s">
        <v>605</v>
      </c>
      <c r="I186" s="7" t="s">
        <v>606</v>
      </c>
      <c r="J186" s="7" t="s">
        <v>607</v>
      </c>
      <c r="K186" s="7" t="s">
        <v>608</v>
      </c>
    </row>
    <row r="187" ht="14.25" customHeight="1">
      <c r="A187" s="4">
        <v>186.0</v>
      </c>
      <c r="B187" s="5" t="str">
        <f>IFERROR(__xludf.DUMMYFUNCTION("GOOGLETRANSLATE(H187, ""th"", ""en"")"),"If your team doesn't practice as planned, what should you do?")</f>
        <v>If your team doesn't practice as planned, what should you do?</v>
      </c>
      <c r="C187" s="5" t="str">
        <f>IFERROR(__xludf.DUMMYFUNCTION("GOOGLETRANSLATE(I187, ""th"", ""en"")"),"A) Inform the coach to adjust the plan; B) Refuse to adjust the plan; C) Avoid engaging in discussions; D) Stop the game.")</f>
        <v>A) Inform the coach to adjust the plan; B) Refuse to adjust the plan; C) Avoid engaging in discussions; D) Stop the game.</v>
      </c>
      <c r="D187" s="5" t="str">
        <f>IFERROR(__xludf.DUMMYFUNCTION("GOOGLETRANSLATE(J187, ""th"", ""en"")"),"A) Inform the trainer to adjust the new plan.")</f>
        <v>A) Inform the trainer to adjust the new plan.</v>
      </c>
      <c r="E187" s="5" t="str">
        <f>IFERROR(__xludf.DUMMYFUNCTION("GOOGLETRANSLATE(K187, ""th"", ""en"")"),"Informing the coach helps keep training on track.")</f>
        <v>Informing the coach helps keep training on track.</v>
      </c>
      <c r="G187" s="6">
        <v>186.0</v>
      </c>
      <c r="H187" s="7" t="s">
        <v>609</v>
      </c>
      <c r="I187" s="7" t="s">
        <v>610</v>
      </c>
      <c r="J187" s="7" t="s">
        <v>611</v>
      </c>
      <c r="K187" s="7" t="s">
        <v>612</v>
      </c>
    </row>
    <row r="188" ht="14.25" customHeight="1">
      <c r="A188" s="4">
        <v>187.0</v>
      </c>
      <c r="B188" s="5" t="str">
        <f>IFERROR(__xludf.DUMMYFUNCTION("GOOGLETRANSLATE(H188, ""th"", ""en"")"),"If you see a teammate violating the rules during a match, what should you do?")</f>
        <v>If you see a teammate violating the rules during a match, what should you do?</v>
      </c>
      <c r="C188" s="5" t="str">
        <f>IFERROR(__xludf.DUMMYFUNCTION("GOOGLETRANSLATE(I188, ""th"", ""en"")"),"A) Notify the coach immediately; B) Do nothing; C) Refuse to notify the coach; D) Stop the match.")</f>
        <v>A) Notify the coach immediately; B) Do nothing; C) Refuse to notify the coach; D) Stop the match.</v>
      </c>
      <c r="D188" s="5" t="str">
        <f>IFERROR(__xludf.DUMMYFUNCTION("GOOGLETRANSLATE(J188, ""th"", ""en"")"),"A) Notify the trainer immediately.")</f>
        <v>A) Notify the trainer immediately.</v>
      </c>
      <c r="E188" s="5" t="str">
        <f>IFERROR(__xludf.DUMMYFUNCTION("GOOGLETRANSLATE(K188, ""th"", ""en"")"),"Notifying the trainer helped resolve the situation.")</f>
        <v>Notifying the trainer helped resolve the situation.</v>
      </c>
      <c r="G188" s="6">
        <v>187.0</v>
      </c>
      <c r="H188" s="7" t="s">
        <v>613</v>
      </c>
      <c r="I188" s="7" t="s">
        <v>614</v>
      </c>
      <c r="J188" s="7" t="s">
        <v>319</v>
      </c>
      <c r="K188" s="7" t="s">
        <v>456</v>
      </c>
    </row>
    <row r="189" ht="14.25" customHeight="1">
      <c r="A189" s="4">
        <v>188.0</v>
      </c>
      <c r="B189" s="5" t="str">
        <f>IFERROR(__xludf.DUMMYFUNCTION("GOOGLETRANSLATE(H189, ""th"", ""en"")"),"If your boat goes the wrong way during a race, what should you do?")</f>
        <v>If your boat goes the wrong way during a race, what should you do?</v>
      </c>
      <c r="C189" s="5" t="str">
        <f>IFERROR(__xludf.DUMMYFUNCTION("GOOGLETRANSLATE(I189, ""th"", ""en"")"),"A) Correct the course of the boat immediately; B) Ignore it and continue racing; C) Notify the referee; D) Stop the race.")</f>
        <v>A) Correct the course of the boat immediately; B) Ignore it and continue racing; C) Notify the referee; D) Stop the race.</v>
      </c>
      <c r="D189" s="5" t="str">
        <f>IFERROR(__xludf.DUMMYFUNCTION("GOOGLETRANSLATE(J189, ""th"", ""en"")"),"A) Immediately adjust the ship's direction.")</f>
        <v>A) Immediately adjust the ship's direction.</v>
      </c>
      <c r="E189" s="5" t="str">
        <f>IFERROR(__xludf.DUMMYFUNCTION("GOOGLETRANSLATE(K189, ""th"", ""en"")"),"Instant direction adjustments help keep the race on track.")</f>
        <v>Instant direction adjustments help keep the race on track.</v>
      </c>
      <c r="G189" s="6">
        <v>188.0</v>
      </c>
      <c r="H189" s="7" t="s">
        <v>615</v>
      </c>
      <c r="I189" s="7" t="s">
        <v>616</v>
      </c>
      <c r="J189" s="7" t="s">
        <v>43</v>
      </c>
      <c r="K189" s="7" t="s">
        <v>617</v>
      </c>
    </row>
    <row r="190" ht="14.25" customHeight="1">
      <c r="A190" s="4">
        <v>189.0</v>
      </c>
      <c r="B190" s="5" t="str">
        <f>IFERROR(__xludf.DUMMYFUNCTION("GOOGLETRANSLATE(H190, ""th"", ""en"")"),"If a referee asks you to verify your identity during a match, what should you do?")</f>
        <v>If a referee asks you to verify your identity during a match, what should you do?</v>
      </c>
      <c r="C190" s="5" t="str">
        <f>IFERROR(__xludf.DUMMYFUNCTION("GOOGLETRANSLATE(I190, ""th"", ""en"")"),"A) Verify your identity immediately upon request; B) Refuse to verify your identity; C) Do nothing; D) Stop the match.")</f>
        <v>A) Verify your identity immediately upon request; B) Refuse to verify your identity; C) Do nothing; D) Stop the match.</v>
      </c>
      <c r="D190" s="5" t="str">
        <f>IFERROR(__xludf.DUMMYFUNCTION("GOOGLETRANSLATE(J190, ""th"", ""en"")"),"A) Instant identity verification upon request.")</f>
        <v>A) Instant identity verification upon request.</v>
      </c>
      <c r="E190" s="5" t="str">
        <f>IFERROR(__xludf.DUMMYFUNCTION("GOOGLETRANSLATE(K190, ""th"", ""en"")"),"Identity verification helps make the competition transparent.")</f>
        <v>Identity verification helps make the competition transparent.</v>
      </c>
      <c r="G190" s="6">
        <v>189.0</v>
      </c>
      <c r="H190" s="7" t="s">
        <v>618</v>
      </c>
      <c r="I190" s="7" t="s">
        <v>619</v>
      </c>
      <c r="J190" s="7" t="s">
        <v>620</v>
      </c>
      <c r="K190" s="7" t="s">
        <v>621</v>
      </c>
    </row>
    <row r="191" ht="14.25" customHeight="1">
      <c r="A191" s="4">
        <v>190.0</v>
      </c>
      <c r="B191" s="5" t="str">
        <f>IFERROR(__xludf.DUMMYFUNCTION("GOOGLETRANSLATE(H191, ""th"", ""en"")"),"If you feel that a teammate has violated safety rules, what should you do?")</f>
        <v>If you feel that a teammate has violated safety rules, what should you do?</v>
      </c>
      <c r="C191" s="5" t="str">
        <f>IFERROR(__xludf.DUMMYFUNCTION("GOOGLETRANSLATE(I191, ""th"", ""en"")"),"A) Inform the coach and ask for improvement; B) Do nothing; C) Avoid informing the coach; D) Stop the match.")</f>
        <v>A) Inform the coach and ask for improvement; B) Do nothing; C) Avoid informing the coach; D) Stop the match.</v>
      </c>
      <c r="D191" s="5" t="str">
        <f>IFERROR(__xludf.DUMMYFUNCTION("GOOGLETRANSLATE(J191, ""th"", ""en"")"),"A) Inform the trainer to ask for improvement.")</f>
        <v>A) Inform the trainer to ask for improvement.</v>
      </c>
      <c r="E191" s="5" t="str">
        <f>IFERROR(__xludf.DUMMYFUNCTION("GOOGLETRANSLATE(K191, ""th"", ""en"")"),"Informing the coach helps the team follow the rules.")</f>
        <v>Informing the coach helps the team follow the rules.</v>
      </c>
      <c r="G191" s="6">
        <v>190.0</v>
      </c>
      <c r="H191" s="7" t="s">
        <v>622</v>
      </c>
      <c r="I191" s="7" t="s">
        <v>623</v>
      </c>
      <c r="J191" s="7" t="s">
        <v>554</v>
      </c>
      <c r="K191" s="7" t="s">
        <v>555</v>
      </c>
    </row>
    <row r="192" ht="14.25" customHeight="1">
      <c r="A192" s="4">
        <v>191.0</v>
      </c>
      <c r="B192" s="5" t="str">
        <f>IFERROR(__xludf.DUMMYFUNCTION("GOOGLETRANSLATE(H192, ""th"", ""en"")"),"If you want to use a special technique in a competition, what should you do?")</f>
        <v>If you want to use a special technique in a competition, what should you do?</v>
      </c>
      <c r="C192" s="5" t="str">
        <f>IFERROR(__xludf.DUMMYFUNCTION("GOOGLETRANSLATE(I192, ""th"", ""en"")"),"A) Ask permission from the referee before using; B) Use techniques without informing the referee; C) Avoid using special techniques; D) Stop the match.")</f>
        <v>A) Ask permission from the referee before using; B) Use techniques without informing the referee; C) Avoid using special techniques; D) Stop the match.</v>
      </c>
      <c r="D192" s="5" t="str">
        <f>IFERROR(__xludf.DUMMYFUNCTION("GOOGLETRANSLATE(J192, ""th"", ""en"")"),"A) Ask permission from the committee before using.")</f>
        <v>A) Ask permission from the committee before using.</v>
      </c>
      <c r="E192" s="5" t="str">
        <f>IFERROR(__xludf.DUMMYFUNCTION("GOOGLETRANSLATE(K192, ""th"", ""en"")"),"Requesting permission from the board ensures that the technique is used legally.")</f>
        <v>Requesting permission from the board ensures that the technique is used legally.</v>
      </c>
      <c r="G192" s="6">
        <v>191.0</v>
      </c>
      <c r="H192" s="7" t="s">
        <v>624</v>
      </c>
      <c r="I192" s="7" t="s">
        <v>549</v>
      </c>
      <c r="J192" s="7" t="s">
        <v>550</v>
      </c>
      <c r="K192" s="7" t="s">
        <v>625</v>
      </c>
    </row>
    <row r="193" ht="14.25" customHeight="1">
      <c r="A193" s="4">
        <v>192.0</v>
      </c>
      <c r="B193" s="5" t="str">
        <f>IFERROR(__xludf.DUMMYFUNCTION("GOOGLETRANSLATE(H193, ""th"", ""en"")"),"If your boat has technical problems after the start of the race, what should you do?")</f>
        <v>If your boat has technical problems after the start of the race, what should you do?</v>
      </c>
      <c r="C193" s="5" t="str">
        <f>IFERROR(__xludf.DUMMYFUNCTION("GOOGLETRANSLATE(I193, ""th"", ""en"")"),"A) Inform the referee and request a stoppage of the match; B) Repair the match without informing the referee; C) Avoid informing the referee; D) Stop the match immediately.")</f>
        <v>A) Inform the referee and request a stoppage of the match; B) Repair the match without informing the referee; C) Avoid informing the referee; D) Stop the match immediately.</v>
      </c>
      <c r="D193" s="5" t="str">
        <f>IFERROR(__xludf.DUMMYFUNCTION("GOOGLETRANSLATE(J193, ""th"", ""en"")"),"A) Inform the referee and request a stop to the match.")</f>
        <v>A) Inform the referee and request a stop to the match.</v>
      </c>
      <c r="E193" s="5" t="str">
        <f>IFERROR(__xludf.DUMMYFUNCTION("GOOGLETRANSLATE(K193, ""th"", ""en"")"),"Notifying the board helps to manage the issue in accordance with the rules.")</f>
        <v>Notifying the board helps to manage the issue in accordance with the rules.</v>
      </c>
      <c r="G193" s="6">
        <v>192.0</v>
      </c>
      <c r="H193" s="7" t="s">
        <v>626</v>
      </c>
      <c r="I193" s="7" t="s">
        <v>627</v>
      </c>
      <c r="J193" s="7" t="s">
        <v>572</v>
      </c>
      <c r="K193" s="7" t="s">
        <v>628</v>
      </c>
    </row>
    <row r="194" ht="14.25" customHeight="1">
      <c r="A194" s="4">
        <v>193.0</v>
      </c>
      <c r="B194" s="5" t="str">
        <f>IFERROR(__xludf.DUMMYFUNCTION("GOOGLETRANSLATE(H194, ""th"", ""en"")"),"If there is a change in the competition rules, what will you do?")</f>
        <v>If there is a change in the competition rules, what will you do?</v>
      </c>
      <c r="C194" s="5" t="str">
        <f>IFERROR(__xludf.DUMMYFUNCTION("GOOGLETRANSLATE(I194, ""th"", ""en"")"),"A) Immediately implement the new rules; B) contest the change; C) do nothing; D) stop the competition.")</f>
        <v>A) Immediately implement the new rules; B) contest the change; C) do nothing; D) stop the competition.</v>
      </c>
      <c r="D194" s="5" t="str">
        <f>IFERROR(__xludf.DUMMYFUNCTION("GOOGLETRANSLATE(J194, ""th"", ""en"")"),"A) Immediately comply with the new rules.")</f>
        <v>A) Immediately comply with the new rules.</v>
      </c>
      <c r="E194" s="5" t="str">
        <f>IFERROR(__xludf.DUMMYFUNCTION("GOOGLETRANSLATE(K194, ""th"", ""en"")"),"Adapting to the new rules allows the competition to proceed.")</f>
        <v>Adapting to the new rules allows the competition to proceed.</v>
      </c>
      <c r="G194" s="6">
        <v>193.0</v>
      </c>
      <c r="H194" s="7" t="s">
        <v>629</v>
      </c>
      <c r="I194" s="7" t="s">
        <v>630</v>
      </c>
      <c r="J194" s="7" t="s">
        <v>472</v>
      </c>
      <c r="K194" s="7" t="s">
        <v>631</v>
      </c>
    </row>
    <row r="195" ht="14.25" customHeight="1">
      <c r="A195" s="4">
        <v>194.0</v>
      </c>
      <c r="B195" s="5" t="str">
        <f>IFERROR(__xludf.DUMMYFUNCTION("GOOGLETRANSLATE(H195, ""th"", ""en"")"),"If your boat needs repairs during a race, what should you do?")</f>
        <v>If your boat needs repairs during a race, what should you do?</v>
      </c>
      <c r="C195" s="5" t="str">
        <f>IFERROR(__xludf.DUMMYFUNCTION("GOOGLETRANSLATE(I195, ""th"", ""en"")"),"A) notify the referee to request permission to repair; B) repair without notifying the referee; C) avoid repair; D) stop the match.")</f>
        <v>A) notify the referee to request permission to repair; B) repair without notifying the referee; C) avoid repair; D) stop the match.</v>
      </c>
      <c r="D195" s="5" t="str">
        <f>IFERROR(__xludf.DUMMYFUNCTION("GOOGLETRANSLATE(J195, ""th"", ""en"")"),"A) Notify the board to request permission for repairs.")</f>
        <v>A) Notify the board to request permission for repairs.</v>
      </c>
      <c r="E195" s="5" t="str">
        <f>IFERROR(__xludf.DUMMYFUNCTION("GOOGLETRANSLATE(K195, ""th"", ""en"")"),"Requesting permission from the board ensures that repairs are legal.")</f>
        <v>Requesting permission from the board ensures that repairs are legal.</v>
      </c>
      <c r="G195" s="6">
        <v>194.0</v>
      </c>
      <c r="H195" s="7" t="s">
        <v>632</v>
      </c>
      <c r="I195" s="7" t="s">
        <v>488</v>
      </c>
      <c r="J195" s="7" t="s">
        <v>489</v>
      </c>
      <c r="K195" s="7" t="s">
        <v>561</v>
      </c>
    </row>
    <row r="196" ht="14.25" customHeight="1">
      <c r="A196" s="4">
        <v>195.0</v>
      </c>
      <c r="B196" s="5" t="str">
        <f>IFERROR(__xludf.DUMMYFUNCTION("GOOGLETRANSLATE(H196, ""th"", ""en"")"),"If you see your opponent cheating during a match, what should you do?")</f>
        <v>If you see your opponent cheating during a match, what should you do?</v>
      </c>
      <c r="C196" s="5" t="str">
        <f>IFERROR(__xludf.DUMMYFUNCTION("GOOGLETRANSLATE(I196, ""th"", ""en"")"),"A) Immediately inform the referee; B) Do nothing; C) Contest the decision; D) Stop the match.")</f>
        <v>A) Immediately inform the referee; B) Do nothing; C) Contest the decision; D) Stop the match.</v>
      </c>
      <c r="D196" s="5" t="str">
        <f>IFERROR(__xludf.DUMMYFUNCTION("GOOGLETRANSLATE(J196, ""th"", ""en"")"),"A) Notify the committee immediately.")</f>
        <v>A) Notify the committee immediately.</v>
      </c>
      <c r="E196" s="5" t="str">
        <f>IFERROR(__xludf.DUMMYFUNCTION("GOOGLETRANSLATE(K196, ""th"", ""en"")"),"Informing the referee helps the competition to be in accordance with the rules.")</f>
        <v>Informing the referee helps the competition to be in accordance with the rules.</v>
      </c>
      <c r="G196" s="6">
        <v>195.0</v>
      </c>
      <c r="H196" s="7" t="s">
        <v>633</v>
      </c>
      <c r="I196" s="7" t="s">
        <v>537</v>
      </c>
      <c r="J196" s="7" t="s">
        <v>285</v>
      </c>
      <c r="K196" s="7" t="s">
        <v>250</v>
      </c>
    </row>
    <row r="197" ht="14.25" customHeight="1">
      <c r="A197" s="4">
        <v>196.0</v>
      </c>
      <c r="B197" s="5" t="str">
        <f>IFERROR(__xludf.DUMMYFUNCTION("GOOGLETRANSLATE(H197, ""th"", ""en"")"),"If the judges say your boat failed the inspection, what should you do?")</f>
        <v>If the judges say your boat failed the inspection, what should you do?</v>
      </c>
      <c r="C197" s="5" t="str">
        <f>IFERROR(__xludf.DUMMYFUNCTION("GOOGLETRANSLATE(I197, ""th"", ""en"")"),"A) Improve and request a re-examination; B) Refuse the improvement; C) Avoid requesting a re-examination; D) Stop the competition.")</f>
        <v>A) Improve and request a re-examination; B) Refuse the improvement; C) Avoid requesting a re-examination; D) Stop the competition.</v>
      </c>
      <c r="D197" s="5" t="str">
        <f>IFERROR(__xludf.DUMMYFUNCTION("GOOGLETRANSLATE(J197, ""th"", ""en"")"),"A) Improve and request a new review.")</f>
        <v>A) Improve and request a new review.</v>
      </c>
      <c r="E197" s="5" t="str">
        <f>IFERROR(__xludf.DUMMYFUNCTION("GOOGLETRANSLATE(K197, ""th"", ""en"")"),"Requesting a new audit helps to make the competition more transparent.")</f>
        <v>Requesting a new audit helps to make the competition more transparent.</v>
      </c>
      <c r="G197" s="6">
        <v>196.0</v>
      </c>
      <c r="H197" s="7" t="s">
        <v>634</v>
      </c>
      <c r="I197" s="7" t="s">
        <v>635</v>
      </c>
      <c r="J197" s="7" t="s">
        <v>636</v>
      </c>
      <c r="K197" s="7" t="s">
        <v>637</v>
      </c>
    </row>
    <row r="198" ht="14.25" customHeight="1">
      <c r="A198" s="4">
        <v>197.0</v>
      </c>
      <c r="B198" s="5" t="str">
        <f>IFERROR(__xludf.DUMMYFUNCTION("GOOGLETRANSLATE(H198, ""th"", ""en"")"),"If your team is missing a member during a match, what will you do?")</f>
        <v>If your team is missing a member during a match, what will you do?</v>
      </c>
      <c r="C198" s="5" t="str">
        <f>IFERROR(__xludf.DUMMYFUNCTION("GOOGLETRANSLATE(I198, ""th"", ""en"")"),"A) Notify the referee to request a replacement; B) Continue playing without any additional players; C) Avoid notifying the referee; D) Stop the game.")</f>
        <v>A) Notify the referee to request a replacement; B) Continue playing without any additional players; C) Avoid notifying the referee; D) Stop the game.</v>
      </c>
      <c r="D198" s="5" t="str">
        <f>IFERROR(__xludf.DUMMYFUNCTION("GOOGLETRANSLATE(J198, ""th"", ""en"")"),"A) Notify the board of directors to request a replacement.")</f>
        <v>A) Notify the board of directors to request a replacement.</v>
      </c>
      <c r="E198" s="5" t="str">
        <f>IFERROR(__xludf.DUMMYFUNCTION("GOOGLETRANSLATE(K198, ""th"", ""en"")"),"Informing the referee allows the team to proceed with the match.")</f>
        <v>Informing the referee allows the team to proceed with the match.</v>
      </c>
      <c r="G198" s="6">
        <v>197.0</v>
      </c>
      <c r="H198" s="7" t="s">
        <v>638</v>
      </c>
      <c r="I198" s="7" t="s">
        <v>639</v>
      </c>
      <c r="J198" s="7" t="s">
        <v>640</v>
      </c>
      <c r="K198" s="7" t="s">
        <v>641</v>
      </c>
    </row>
    <row r="199" ht="14.25" customHeight="1">
      <c r="A199" s="4">
        <v>198.0</v>
      </c>
      <c r="B199" s="5" t="str">
        <f>IFERROR(__xludf.DUMMYFUNCTION("GOOGLETRANSLATE(H199, ""th"", ""en"")"),"If you want to use new skills in a competition, what should you do?")</f>
        <v>If you want to use new skills in a competition, what should you do?</v>
      </c>
      <c r="C199" s="5" t="str">
        <f>IFERROR(__xludf.DUMMYFUNCTION("GOOGLETRANSLATE(I199, ""th"", ""en"")"),"A) Ask permission from the referee before using; B) Use a new skill without informing the referee; C) Avoid using a new skill; D) Stop the match.")</f>
        <v>A) Ask permission from the referee before using; B) Use a new skill without informing the referee; C) Avoid using a new skill; D) Stop the match.</v>
      </c>
      <c r="D199" s="5" t="str">
        <f>IFERROR(__xludf.DUMMYFUNCTION("GOOGLETRANSLATE(J199, ""th"", ""en"")"),"A) Ask permission from the committee before using.")</f>
        <v>A) Ask permission from the committee before using.</v>
      </c>
      <c r="E199" s="5" t="str">
        <f>IFERROR(__xludf.DUMMYFUNCTION("GOOGLETRANSLATE(K199, ""th"", ""en"")"),"Requesting permission from the board makes new skills legal.")</f>
        <v>Requesting permission from the board makes new skills legal.</v>
      </c>
      <c r="G199" s="6">
        <v>198.0</v>
      </c>
      <c r="H199" s="7" t="s">
        <v>642</v>
      </c>
      <c r="I199" s="7" t="s">
        <v>643</v>
      </c>
      <c r="J199" s="7" t="s">
        <v>550</v>
      </c>
      <c r="K199" s="7" t="s">
        <v>644</v>
      </c>
    </row>
    <row r="200" ht="14.25" customHeight="1">
      <c r="A200" s="4">
        <v>199.0</v>
      </c>
      <c r="B200" s="5" t="str">
        <f>IFERROR(__xludf.DUMMYFUNCTION("GOOGLETRANSLATE(H200, ""th"", ""en"")"),"If you see a referee making an incorrect decision, what should you do?")</f>
        <v>If you see a referee making an incorrect decision, what should you do?</v>
      </c>
      <c r="C200" s="5" t="str">
        <f>IFERROR(__xludf.DUMMYFUNCTION("GOOGLETRANSLATE(I200, ""th"", ""en"")"),"A) notify the referee to request a review of the decision; B) contest the decision; C) refuse to accept the decision; D) stop the match.")</f>
        <v>A) notify the referee to request a review of the decision; B) contest the decision; C) refuse to accept the decision; D) stop the match.</v>
      </c>
      <c r="D200" s="5" t="str">
        <f>IFERROR(__xludf.DUMMYFUNCTION("GOOGLETRANSLATE(J200, ""th"", ""en"")"),"A) Inform the committee to request a review of the decision.")</f>
        <v>A) Inform the committee to request a review of the decision.</v>
      </c>
      <c r="E200" s="5" t="str">
        <f>IFERROR(__xludf.DUMMYFUNCTION("GOOGLETRANSLATE(K200, ""th"", ""en"")"),"Informing the referee helps ensure fair decisions.")</f>
        <v>Informing the referee helps ensure fair decisions.</v>
      </c>
      <c r="G200" s="6">
        <v>199.0</v>
      </c>
      <c r="H200" s="7" t="s">
        <v>645</v>
      </c>
      <c r="I200" s="7" t="s">
        <v>646</v>
      </c>
      <c r="J200" s="7" t="s">
        <v>647</v>
      </c>
      <c r="K200" s="7" t="s">
        <v>648</v>
      </c>
    </row>
    <row r="201" ht="14.25" customHeight="1">
      <c r="A201" s="4">
        <v>200.0</v>
      </c>
      <c r="B201" s="5" t="str">
        <f>IFERROR(__xludf.DUMMYFUNCTION("GOOGLETRANSLATE(H201, ""th"", ""en"")"),"If you want to stop competing for personal reasons, what should you do?")</f>
        <v>If you want to stop competing for personal reasons, what should you do?</v>
      </c>
      <c r="C201" s="5" t="str">
        <f>IFERROR(__xludf.DUMMYFUNCTION("GOOGLETRANSLATE(I201, ""th"", ""en"")"),"A) Inform the referee and request a stoppage of the match; B) Avoid informing the referee; C) Stop the match yourself without informing the referee; D) Do nothing.")</f>
        <v>A) Inform the referee and request a stoppage of the match; B) Avoid informing the referee; C) Stop the match yourself without informing the referee; D) Do nothing.</v>
      </c>
      <c r="D201" s="5" t="str">
        <f>IFERROR(__xludf.DUMMYFUNCTION("GOOGLETRANSLATE(J201, ""th"", ""en"")"),"A) Inform the referee and request a stop to the match.")</f>
        <v>A) Inform the referee and request a stop to the match.</v>
      </c>
      <c r="E201" s="5" t="str">
        <f>IFERROR(__xludf.DUMMYFUNCTION("GOOGLETRANSLATE(K201, ""th"", ""en"")"),"Informing the referee helps to stop the match in accordance with the rules.")</f>
        <v>Informing the referee helps to stop the match in accordance with the rules.</v>
      </c>
      <c r="G201" s="6">
        <v>200.0</v>
      </c>
      <c r="H201" s="7" t="s">
        <v>649</v>
      </c>
      <c r="I201" s="7" t="s">
        <v>650</v>
      </c>
      <c r="J201" s="7" t="s">
        <v>572</v>
      </c>
      <c r="K201" s="7" t="s">
        <v>651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>
      <c r="A207" s="8" t="s">
        <v>652</v>
      </c>
    </row>
    <row r="208" ht="14.25" customHeight="1">
      <c r="A208" s="9" t="s">
        <v>5</v>
      </c>
      <c r="B208" s="9" t="s">
        <v>1</v>
      </c>
      <c r="C208" s="9" t="s">
        <v>653</v>
      </c>
      <c r="D208" s="9" t="s">
        <v>654</v>
      </c>
      <c r="E208" s="9" t="s">
        <v>2</v>
      </c>
      <c r="F208" s="9" t="s">
        <v>655</v>
      </c>
      <c r="G208" s="9" t="s">
        <v>3</v>
      </c>
      <c r="H208" s="9" t="s">
        <v>656</v>
      </c>
      <c r="I208" s="9" t="s">
        <v>4</v>
      </c>
      <c r="J208" s="9" t="s">
        <v>657</v>
      </c>
    </row>
    <row r="209" ht="14.25" customHeight="1">
      <c r="A209" s="10">
        <v>1.0</v>
      </c>
      <c r="B209" s="11" t="s">
        <v>10</v>
      </c>
      <c r="C209" s="10">
        <v>1.0</v>
      </c>
      <c r="D209" s="12"/>
      <c r="E209" s="11" t="s">
        <v>11</v>
      </c>
      <c r="F209" s="12"/>
      <c r="G209" s="11" t="s">
        <v>12</v>
      </c>
      <c r="H209" s="12"/>
      <c r="I209" s="11" t="s">
        <v>13</v>
      </c>
      <c r="J209" s="12"/>
    </row>
    <row r="210" ht="14.25" customHeight="1">
      <c r="A210" s="13">
        <v>2.0</v>
      </c>
      <c r="B210" s="14" t="s">
        <v>14</v>
      </c>
      <c r="C210" s="13">
        <v>1.0</v>
      </c>
      <c r="D210" s="15"/>
      <c r="E210" s="14" t="s">
        <v>15</v>
      </c>
      <c r="F210" s="16" t="s">
        <v>658</v>
      </c>
      <c r="G210" s="14" t="s">
        <v>16</v>
      </c>
      <c r="H210" s="16" t="s">
        <v>659</v>
      </c>
      <c r="I210" s="14" t="s">
        <v>17</v>
      </c>
      <c r="J210" s="15"/>
    </row>
    <row r="211" ht="14.25" customHeight="1">
      <c r="A211" s="10">
        <v>3.0</v>
      </c>
      <c r="B211" s="11" t="s">
        <v>18</v>
      </c>
      <c r="C211" s="10">
        <v>0.0</v>
      </c>
      <c r="D211" s="12"/>
      <c r="E211" s="11" t="s">
        <v>19</v>
      </c>
      <c r="F211" s="12"/>
      <c r="G211" s="11" t="s">
        <v>20</v>
      </c>
      <c r="H211" s="12"/>
      <c r="I211" s="11" t="s">
        <v>21</v>
      </c>
      <c r="J211" s="12"/>
    </row>
    <row r="212" ht="14.25" customHeight="1">
      <c r="A212" s="13">
        <v>4.0</v>
      </c>
      <c r="B212" s="14" t="s">
        <v>22</v>
      </c>
      <c r="C212" s="13">
        <v>0.0</v>
      </c>
      <c r="D212" s="15"/>
      <c r="E212" s="14" t="s">
        <v>23</v>
      </c>
      <c r="F212" s="15"/>
      <c r="G212" s="14" t="s">
        <v>24</v>
      </c>
      <c r="H212" s="15"/>
      <c r="I212" s="14" t="s">
        <v>25</v>
      </c>
      <c r="J212" s="15"/>
    </row>
    <row r="213" ht="14.25" customHeight="1">
      <c r="A213" s="10">
        <v>5.0</v>
      </c>
      <c r="B213" s="11" t="s">
        <v>26</v>
      </c>
      <c r="C213" s="10">
        <v>1.0</v>
      </c>
      <c r="D213" s="12"/>
      <c r="E213" s="11" t="s">
        <v>27</v>
      </c>
      <c r="F213" s="12"/>
      <c r="G213" s="11" t="s">
        <v>28</v>
      </c>
      <c r="H213" s="12"/>
      <c r="I213" s="11" t="s">
        <v>29</v>
      </c>
      <c r="J213" s="12"/>
    </row>
    <row r="214" ht="14.25" customHeight="1">
      <c r="A214" s="13">
        <v>6.0</v>
      </c>
      <c r="B214" s="14" t="s">
        <v>30</v>
      </c>
      <c r="C214" s="13">
        <v>1.0</v>
      </c>
      <c r="D214" s="15"/>
      <c r="E214" s="14" t="s">
        <v>31</v>
      </c>
      <c r="F214" s="15"/>
      <c r="G214" s="14" t="s">
        <v>32</v>
      </c>
      <c r="H214" s="15"/>
      <c r="I214" s="14" t="s">
        <v>33</v>
      </c>
      <c r="J214" s="15"/>
    </row>
    <row r="215" ht="14.25" customHeight="1">
      <c r="A215" s="10">
        <v>7.0</v>
      </c>
      <c r="B215" s="11" t="s">
        <v>34</v>
      </c>
      <c r="C215" s="10">
        <v>1.0</v>
      </c>
      <c r="D215" s="17" t="s">
        <v>660</v>
      </c>
      <c r="E215" s="11" t="s">
        <v>35</v>
      </c>
      <c r="F215" s="12"/>
      <c r="G215" s="11" t="s">
        <v>20</v>
      </c>
      <c r="H215" s="12"/>
      <c r="I215" s="11" t="s">
        <v>36</v>
      </c>
      <c r="J215" s="17" t="s">
        <v>661</v>
      </c>
    </row>
    <row r="216" ht="14.25" customHeight="1">
      <c r="A216" s="13">
        <v>8.0</v>
      </c>
      <c r="B216" s="14" t="s">
        <v>37</v>
      </c>
      <c r="C216" s="13">
        <v>0.0</v>
      </c>
      <c r="D216" s="15"/>
      <c r="E216" s="14" t="s">
        <v>38</v>
      </c>
      <c r="F216" s="15"/>
      <c r="G216" s="14" t="s">
        <v>39</v>
      </c>
      <c r="H216" s="15"/>
      <c r="I216" s="14" t="s">
        <v>40</v>
      </c>
      <c r="J216" s="15"/>
    </row>
    <row r="217" ht="14.25" customHeight="1">
      <c r="A217" s="10">
        <v>9.0</v>
      </c>
      <c r="B217" s="11" t="s">
        <v>41</v>
      </c>
      <c r="C217" s="10">
        <v>1.0</v>
      </c>
      <c r="D217" s="12"/>
      <c r="E217" s="11" t="s">
        <v>42</v>
      </c>
      <c r="F217" s="12"/>
      <c r="G217" s="11" t="s">
        <v>43</v>
      </c>
      <c r="H217" s="12"/>
      <c r="I217" s="11" t="s">
        <v>44</v>
      </c>
      <c r="J217" s="12"/>
    </row>
    <row r="218" ht="14.25" customHeight="1">
      <c r="A218" s="13">
        <v>10.0</v>
      </c>
      <c r="B218" s="14" t="s">
        <v>45</v>
      </c>
      <c r="C218" s="13">
        <v>0.0</v>
      </c>
      <c r="D218" s="15"/>
      <c r="E218" s="14" t="s">
        <v>46</v>
      </c>
      <c r="F218" s="15"/>
      <c r="G218" s="14" t="s">
        <v>47</v>
      </c>
      <c r="H218" s="15"/>
      <c r="I218" s="14" t="s">
        <v>48</v>
      </c>
      <c r="J218" s="15"/>
    </row>
    <row r="219" ht="14.25" customHeight="1">
      <c r="A219" s="10">
        <v>11.0</v>
      </c>
      <c r="B219" s="11" t="s">
        <v>49</v>
      </c>
      <c r="C219" s="10">
        <v>1.0</v>
      </c>
      <c r="D219" s="12"/>
      <c r="E219" s="11" t="s">
        <v>50</v>
      </c>
      <c r="F219" s="12"/>
      <c r="G219" s="11" t="s">
        <v>51</v>
      </c>
      <c r="H219" s="12"/>
      <c r="I219" s="11" t="s">
        <v>52</v>
      </c>
      <c r="J219" s="12"/>
    </row>
    <row r="220" ht="14.25" customHeight="1">
      <c r="A220" s="13">
        <v>12.0</v>
      </c>
      <c r="B220" s="14" t="s">
        <v>53</v>
      </c>
      <c r="C220" s="13">
        <v>1.0</v>
      </c>
      <c r="D220" s="15"/>
      <c r="E220" s="14" t="s">
        <v>54</v>
      </c>
      <c r="F220" s="15"/>
      <c r="G220" s="14" t="s">
        <v>55</v>
      </c>
      <c r="H220" s="15"/>
      <c r="I220" s="14" t="s">
        <v>56</v>
      </c>
      <c r="J220" s="15"/>
    </row>
    <row r="221" ht="14.25" customHeight="1">
      <c r="A221" s="10">
        <v>13.0</v>
      </c>
      <c r="B221" s="11" t="s">
        <v>57</v>
      </c>
      <c r="C221" s="10">
        <v>0.0</v>
      </c>
      <c r="D221" s="12"/>
      <c r="E221" s="11" t="s">
        <v>58</v>
      </c>
      <c r="F221" s="12"/>
      <c r="G221" s="11" t="s">
        <v>59</v>
      </c>
      <c r="H221" s="12"/>
      <c r="I221" s="11" t="s">
        <v>60</v>
      </c>
      <c r="J221" s="12"/>
    </row>
    <row r="222" ht="14.25" customHeight="1">
      <c r="A222" s="13">
        <v>14.0</v>
      </c>
      <c r="B222" s="14" t="s">
        <v>61</v>
      </c>
      <c r="C222" s="13">
        <v>0.0</v>
      </c>
      <c r="D222" s="15"/>
      <c r="E222" s="14" t="s">
        <v>62</v>
      </c>
      <c r="F222" s="15"/>
      <c r="G222" s="14" t="s">
        <v>63</v>
      </c>
      <c r="H222" s="15"/>
      <c r="I222" s="14" t="s">
        <v>64</v>
      </c>
      <c r="J222" s="15"/>
    </row>
    <row r="223" ht="14.25" customHeight="1">
      <c r="A223" s="10">
        <v>15.0</v>
      </c>
      <c r="B223" s="11" t="s">
        <v>65</v>
      </c>
      <c r="C223" s="10">
        <v>0.0</v>
      </c>
      <c r="D223" s="12"/>
      <c r="E223" s="11" t="s">
        <v>66</v>
      </c>
      <c r="F223" s="12"/>
      <c r="G223" s="11" t="s">
        <v>20</v>
      </c>
      <c r="H223" s="12"/>
      <c r="I223" s="11" t="s">
        <v>67</v>
      </c>
      <c r="J223" s="12"/>
    </row>
    <row r="224" ht="14.25" customHeight="1">
      <c r="A224" s="13">
        <v>16.0</v>
      </c>
      <c r="B224" s="14" t="s">
        <v>68</v>
      </c>
      <c r="C224" s="13">
        <v>0.0</v>
      </c>
      <c r="D224" s="15"/>
      <c r="E224" s="14" t="s">
        <v>69</v>
      </c>
      <c r="F224" s="15"/>
      <c r="G224" s="14" t="s">
        <v>70</v>
      </c>
      <c r="H224" s="15"/>
      <c r="I224" s="14" t="s">
        <v>71</v>
      </c>
      <c r="J224" s="15"/>
    </row>
    <row r="225" ht="14.25" customHeight="1">
      <c r="A225" s="10">
        <v>17.0</v>
      </c>
      <c r="B225" s="11" t="s">
        <v>72</v>
      </c>
      <c r="C225" s="10">
        <v>1.0</v>
      </c>
      <c r="D225" s="12"/>
      <c r="E225" s="11" t="s">
        <v>73</v>
      </c>
      <c r="F225" s="12"/>
      <c r="G225" s="11" t="s">
        <v>74</v>
      </c>
      <c r="H225" s="12"/>
      <c r="I225" s="11" t="s">
        <v>75</v>
      </c>
      <c r="J225" s="12"/>
    </row>
    <row r="226" ht="14.25" customHeight="1">
      <c r="A226" s="13">
        <v>18.0</v>
      </c>
      <c r="B226" s="14" t="s">
        <v>76</v>
      </c>
      <c r="C226" s="13">
        <v>0.0</v>
      </c>
      <c r="D226" s="15"/>
      <c r="E226" s="14" t="s">
        <v>77</v>
      </c>
      <c r="F226" s="15"/>
      <c r="G226" s="14" t="s">
        <v>78</v>
      </c>
      <c r="H226" s="15"/>
      <c r="I226" s="14" t="s">
        <v>79</v>
      </c>
      <c r="J226" s="15"/>
    </row>
    <row r="227" ht="14.25" customHeight="1">
      <c r="A227" s="10">
        <v>19.0</v>
      </c>
      <c r="B227" s="11" t="s">
        <v>80</v>
      </c>
      <c r="C227" s="10">
        <v>1.0</v>
      </c>
      <c r="D227" s="12"/>
      <c r="E227" s="11" t="s">
        <v>81</v>
      </c>
      <c r="F227" s="12"/>
      <c r="G227" s="11" t="s">
        <v>20</v>
      </c>
      <c r="H227" s="12"/>
      <c r="I227" s="11" t="s">
        <v>82</v>
      </c>
      <c r="J227" s="12"/>
    </row>
    <row r="228" ht="14.25" customHeight="1">
      <c r="A228" s="13">
        <v>20.0</v>
      </c>
      <c r="B228" s="14" t="s">
        <v>83</v>
      </c>
      <c r="C228" s="13">
        <v>0.0</v>
      </c>
      <c r="D228" s="15"/>
      <c r="E228" s="14" t="s">
        <v>84</v>
      </c>
      <c r="F228" s="15"/>
      <c r="G228" s="14" t="s">
        <v>85</v>
      </c>
      <c r="H228" s="15"/>
      <c r="I228" s="14" t="s">
        <v>86</v>
      </c>
      <c r="J228" s="15"/>
    </row>
    <row r="229" ht="14.25" customHeight="1">
      <c r="A229" s="10">
        <v>21.0</v>
      </c>
      <c r="B229" s="11" t="s">
        <v>87</v>
      </c>
      <c r="C229" s="10">
        <v>0.0</v>
      </c>
      <c r="D229" s="12"/>
      <c r="E229" s="11" t="s">
        <v>88</v>
      </c>
      <c r="F229" s="12"/>
      <c r="G229" s="11" t="s">
        <v>20</v>
      </c>
      <c r="H229" s="12"/>
      <c r="I229" s="11" t="s">
        <v>89</v>
      </c>
      <c r="J229" s="12"/>
    </row>
    <row r="230" ht="14.25" customHeight="1">
      <c r="A230" s="13">
        <v>22.0</v>
      </c>
      <c r="B230" s="14" t="s">
        <v>90</v>
      </c>
      <c r="C230" s="13">
        <v>1.0</v>
      </c>
      <c r="D230" s="15"/>
      <c r="E230" s="14" t="s">
        <v>91</v>
      </c>
      <c r="F230" s="15"/>
      <c r="G230" s="14" t="s">
        <v>92</v>
      </c>
      <c r="H230" s="15"/>
      <c r="I230" s="14" t="s">
        <v>93</v>
      </c>
      <c r="J230" s="15"/>
    </row>
    <row r="231" ht="14.25" customHeight="1">
      <c r="A231" s="10">
        <v>23.0</v>
      </c>
      <c r="B231" s="11" t="s">
        <v>94</v>
      </c>
      <c r="C231" s="10">
        <v>0.0</v>
      </c>
      <c r="D231" s="12"/>
      <c r="E231" s="11" t="s">
        <v>95</v>
      </c>
      <c r="F231" s="12"/>
      <c r="G231" s="11" t="s">
        <v>96</v>
      </c>
      <c r="H231" s="12"/>
      <c r="I231" s="11" t="s">
        <v>97</v>
      </c>
      <c r="J231" s="12"/>
    </row>
    <row r="232" ht="14.25" customHeight="1">
      <c r="A232" s="13">
        <v>24.0</v>
      </c>
      <c r="B232" s="14" t="s">
        <v>98</v>
      </c>
      <c r="C232" s="13">
        <v>0.0</v>
      </c>
      <c r="D232" s="15"/>
      <c r="E232" s="14" t="s">
        <v>99</v>
      </c>
      <c r="F232" s="15"/>
      <c r="G232" s="14" t="s">
        <v>100</v>
      </c>
      <c r="H232" s="15"/>
      <c r="I232" s="14" t="s">
        <v>101</v>
      </c>
      <c r="J232" s="15"/>
    </row>
    <row r="233" ht="14.25" customHeight="1">
      <c r="A233" s="10">
        <v>25.0</v>
      </c>
      <c r="B233" s="11" t="s">
        <v>102</v>
      </c>
      <c r="C233" s="10">
        <v>0.0</v>
      </c>
      <c r="D233" s="12"/>
      <c r="E233" s="11" t="s">
        <v>103</v>
      </c>
      <c r="F233" s="12"/>
      <c r="G233" s="11" t="s">
        <v>104</v>
      </c>
      <c r="H233" s="12"/>
      <c r="I233" s="11" t="s">
        <v>105</v>
      </c>
      <c r="J233" s="12"/>
    </row>
    <row r="234" ht="14.25" customHeight="1">
      <c r="A234" s="13">
        <v>26.0</v>
      </c>
      <c r="B234" s="14" t="s">
        <v>106</v>
      </c>
      <c r="C234" s="13">
        <v>0.0</v>
      </c>
      <c r="D234" s="15"/>
      <c r="E234" s="14" t="s">
        <v>107</v>
      </c>
      <c r="F234" s="15"/>
      <c r="G234" s="14" t="s">
        <v>108</v>
      </c>
      <c r="H234" s="15"/>
      <c r="I234" s="14" t="s">
        <v>109</v>
      </c>
      <c r="J234" s="15"/>
    </row>
    <row r="235" ht="14.25" customHeight="1">
      <c r="A235" s="10">
        <v>27.0</v>
      </c>
      <c r="B235" s="11" t="s">
        <v>110</v>
      </c>
      <c r="C235" s="10">
        <v>1.0</v>
      </c>
      <c r="D235" s="12"/>
      <c r="E235" s="11" t="s">
        <v>111</v>
      </c>
      <c r="F235" s="12"/>
      <c r="G235" s="11" t="s">
        <v>112</v>
      </c>
      <c r="H235" s="12"/>
      <c r="I235" s="11" t="s">
        <v>113</v>
      </c>
      <c r="J235" s="12"/>
    </row>
    <row r="236" ht="14.25" customHeight="1">
      <c r="A236" s="13">
        <v>28.0</v>
      </c>
      <c r="B236" s="14" t="s">
        <v>114</v>
      </c>
      <c r="C236" s="13">
        <v>1.0</v>
      </c>
      <c r="D236" s="15"/>
      <c r="E236" s="14" t="s">
        <v>115</v>
      </c>
      <c r="F236" s="15"/>
      <c r="G236" s="14" t="s">
        <v>32</v>
      </c>
      <c r="H236" s="15"/>
      <c r="I236" s="14" t="s">
        <v>116</v>
      </c>
      <c r="J236" s="15"/>
    </row>
    <row r="237" ht="14.25" customHeight="1">
      <c r="A237" s="10">
        <v>29.0</v>
      </c>
      <c r="B237" s="11" t="s">
        <v>117</v>
      </c>
      <c r="C237" s="10">
        <v>0.0</v>
      </c>
      <c r="D237" s="12"/>
      <c r="E237" s="11" t="s">
        <v>118</v>
      </c>
      <c r="F237" s="12"/>
      <c r="G237" s="11" t="s">
        <v>119</v>
      </c>
      <c r="H237" s="12"/>
      <c r="I237" s="11" t="s">
        <v>120</v>
      </c>
      <c r="J237" s="12"/>
    </row>
    <row r="238" ht="14.25" customHeight="1">
      <c r="A238" s="13">
        <v>30.0</v>
      </c>
      <c r="B238" s="14" t="s">
        <v>121</v>
      </c>
      <c r="C238" s="13">
        <v>1.0</v>
      </c>
      <c r="D238" s="16" t="s">
        <v>662</v>
      </c>
      <c r="E238" s="14" t="s">
        <v>122</v>
      </c>
      <c r="F238" s="15"/>
      <c r="G238" s="14" t="s">
        <v>123</v>
      </c>
      <c r="H238" s="15"/>
      <c r="I238" s="14" t="s">
        <v>124</v>
      </c>
      <c r="J238" s="15"/>
    </row>
    <row r="239" ht="14.25" customHeight="1">
      <c r="A239" s="10">
        <v>31.0</v>
      </c>
      <c r="B239" s="11" t="s">
        <v>125</v>
      </c>
      <c r="C239" s="10">
        <v>1.0</v>
      </c>
      <c r="D239" s="12"/>
      <c r="E239" s="11" t="s">
        <v>126</v>
      </c>
      <c r="F239" s="12"/>
      <c r="G239" s="11" t="s">
        <v>20</v>
      </c>
      <c r="H239" s="17" t="s">
        <v>663</v>
      </c>
      <c r="I239" s="11" t="s">
        <v>127</v>
      </c>
      <c r="J239" s="17" t="s">
        <v>664</v>
      </c>
    </row>
    <row r="240" ht="14.25" customHeight="1">
      <c r="A240" s="13">
        <v>32.0</v>
      </c>
      <c r="B240" s="14" t="s">
        <v>128</v>
      </c>
      <c r="C240" s="13">
        <v>1.0</v>
      </c>
      <c r="D240" s="15"/>
      <c r="E240" s="14" t="s">
        <v>129</v>
      </c>
      <c r="F240" s="15"/>
      <c r="G240" s="14" t="s">
        <v>130</v>
      </c>
      <c r="H240" s="15"/>
      <c r="I240" s="14" t="s">
        <v>131</v>
      </c>
      <c r="J240" s="15"/>
    </row>
    <row r="241" ht="14.25" customHeight="1">
      <c r="A241" s="10">
        <v>33.0</v>
      </c>
      <c r="B241" s="11" t="s">
        <v>132</v>
      </c>
      <c r="C241" s="10">
        <v>0.0</v>
      </c>
      <c r="D241" s="12"/>
      <c r="E241" s="11" t="s">
        <v>133</v>
      </c>
      <c r="F241" s="12"/>
      <c r="G241" s="11" t="s">
        <v>134</v>
      </c>
      <c r="H241" s="12"/>
      <c r="I241" s="11" t="s">
        <v>135</v>
      </c>
      <c r="J241" s="12"/>
    </row>
    <row r="242" ht="14.25" customHeight="1">
      <c r="A242" s="13">
        <v>34.0</v>
      </c>
      <c r="B242" s="14" t="s">
        <v>136</v>
      </c>
      <c r="C242" s="13">
        <v>0.0</v>
      </c>
      <c r="D242" s="15"/>
      <c r="E242" s="14" t="s">
        <v>137</v>
      </c>
      <c r="F242" s="15"/>
      <c r="G242" s="14" t="s">
        <v>138</v>
      </c>
      <c r="H242" s="15"/>
      <c r="I242" s="14" t="s">
        <v>139</v>
      </c>
      <c r="J242" s="15"/>
    </row>
    <row r="243" ht="14.25" customHeight="1">
      <c r="A243" s="10">
        <v>35.0</v>
      </c>
      <c r="B243" s="11" t="s">
        <v>140</v>
      </c>
      <c r="C243" s="10">
        <v>0.0</v>
      </c>
      <c r="D243" s="12"/>
      <c r="E243" s="11" t="s">
        <v>141</v>
      </c>
      <c r="F243" s="12"/>
      <c r="G243" s="11" t="s">
        <v>142</v>
      </c>
      <c r="H243" s="12"/>
      <c r="I243" s="11" t="s">
        <v>143</v>
      </c>
      <c r="J243" s="12"/>
    </row>
    <row r="244" ht="14.25" customHeight="1">
      <c r="A244" s="13">
        <v>36.0</v>
      </c>
      <c r="B244" s="14" t="s">
        <v>144</v>
      </c>
      <c r="C244" s="13">
        <v>0.0</v>
      </c>
      <c r="D244" s="15"/>
      <c r="E244" s="14" t="s">
        <v>145</v>
      </c>
      <c r="F244" s="15"/>
      <c r="G244" s="14" t="s">
        <v>20</v>
      </c>
      <c r="H244" s="15"/>
      <c r="I244" s="14" t="s">
        <v>127</v>
      </c>
      <c r="J244" s="15"/>
    </row>
    <row r="245" ht="14.25" customHeight="1">
      <c r="A245" s="10">
        <v>37.0</v>
      </c>
      <c r="B245" s="11" t="s">
        <v>146</v>
      </c>
      <c r="C245" s="10">
        <v>0.0</v>
      </c>
      <c r="D245" s="12"/>
      <c r="E245" s="11" t="s">
        <v>147</v>
      </c>
      <c r="F245" s="12"/>
      <c r="G245" s="11" t="s">
        <v>148</v>
      </c>
      <c r="H245" s="12"/>
      <c r="I245" s="11" t="s">
        <v>149</v>
      </c>
      <c r="J245" s="12"/>
    </row>
    <row r="246" ht="14.25" customHeight="1">
      <c r="A246" s="13">
        <v>38.0</v>
      </c>
      <c r="B246" s="14" t="s">
        <v>150</v>
      </c>
      <c r="C246" s="13">
        <v>0.0</v>
      </c>
      <c r="D246" s="15"/>
      <c r="E246" s="14" t="s">
        <v>151</v>
      </c>
      <c r="F246" s="15"/>
      <c r="G246" s="14" t="s">
        <v>152</v>
      </c>
      <c r="H246" s="15"/>
      <c r="I246" s="14" t="s">
        <v>153</v>
      </c>
      <c r="J246" s="15"/>
    </row>
    <row r="247" ht="14.25" customHeight="1">
      <c r="A247" s="10">
        <v>39.0</v>
      </c>
      <c r="B247" s="11" t="s">
        <v>154</v>
      </c>
      <c r="C247" s="10">
        <v>0.0</v>
      </c>
      <c r="D247" s="12"/>
      <c r="E247" s="11" t="s">
        <v>155</v>
      </c>
      <c r="F247" s="12"/>
      <c r="G247" s="11" t="s">
        <v>156</v>
      </c>
      <c r="H247" s="12"/>
      <c r="I247" s="11" t="s">
        <v>157</v>
      </c>
      <c r="J247" s="12"/>
    </row>
    <row r="248" ht="14.25" customHeight="1">
      <c r="A248" s="13">
        <v>40.0</v>
      </c>
      <c r="B248" s="14" t="s">
        <v>158</v>
      </c>
      <c r="C248" s="13">
        <v>0.0</v>
      </c>
      <c r="D248" s="15"/>
      <c r="E248" s="14" t="s">
        <v>159</v>
      </c>
      <c r="F248" s="15"/>
      <c r="G248" s="14" t="s">
        <v>160</v>
      </c>
      <c r="H248" s="15"/>
      <c r="I248" s="14" t="s">
        <v>161</v>
      </c>
      <c r="J248" s="15"/>
    </row>
    <row r="249" ht="14.25" customHeight="1">
      <c r="A249" s="10">
        <v>41.0</v>
      </c>
      <c r="B249" s="11" t="s">
        <v>162</v>
      </c>
      <c r="C249" s="10">
        <v>0.0</v>
      </c>
      <c r="D249" s="12"/>
      <c r="E249" s="11" t="s">
        <v>163</v>
      </c>
      <c r="F249" s="12"/>
      <c r="G249" s="11" t="s">
        <v>164</v>
      </c>
      <c r="H249" s="12"/>
      <c r="I249" s="11" t="s">
        <v>165</v>
      </c>
      <c r="J249" s="12"/>
    </row>
    <row r="250" ht="14.25" customHeight="1">
      <c r="A250" s="13">
        <v>42.0</v>
      </c>
      <c r="B250" s="14" t="s">
        <v>166</v>
      </c>
      <c r="C250" s="13">
        <v>0.0</v>
      </c>
      <c r="D250" s="15"/>
      <c r="E250" s="14" t="s">
        <v>167</v>
      </c>
      <c r="F250" s="15"/>
      <c r="G250" s="14" t="s">
        <v>168</v>
      </c>
      <c r="H250" s="15"/>
      <c r="I250" s="14" t="s">
        <v>169</v>
      </c>
      <c r="J250" s="15"/>
    </row>
    <row r="251" ht="14.25" customHeight="1">
      <c r="A251" s="10">
        <v>43.0</v>
      </c>
      <c r="B251" s="11" t="s">
        <v>170</v>
      </c>
      <c r="C251" s="10">
        <v>0.0</v>
      </c>
      <c r="D251" s="12"/>
      <c r="E251" s="11" t="s">
        <v>171</v>
      </c>
      <c r="F251" s="12"/>
      <c r="G251" s="11" t="s">
        <v>20</v>
      </c>
      <c r="H251" s="12"/>
      <c r="I251" s="11" t="s">
        <v>172</v>
      </c>
      <c r="J251" s="12"/>
    </row>
    <row r="252" ht="14.25" customHeight="1">
      <c r="A252" s="13">
        <v>44.0</v>
      </c>
      <c r="B252" s="14" t="s">
        <v>173</v>
      </c>
      <c r="C252" s="13">
        <v>1.0</v>
      </c>
      <c r="D252" s="15"/>
      <c r="E252" s="14" t="s">
        <v>174</v>
      </c>
      <c r="F252" s="15"/>
      <c r="G252" s="14" t="s">
        <v>175</v>
      </c>
      <c r="H252" s="15"/>
      <c r="I252" s="14" t="s">
        <v>176</v>
      </c>
      <c r="J252" s="15"/>
    </row>
    <row r="253" ht="14.25" customHeight="1">
      <c r="A253" s="10">
        <v>45.0</v>
      </c>
      <c r="B253" s="11" t="s">
        <v>177</v>
      </c>
      <c r="C253" s="10">
        <v>0.0</v>
      </c>
      <c r="D253" s="12"/>
      <c r="E253" s="11" t="s">
        <v>178</v>
      </c>
      <c r="F253" s="12"/>
      <c r="G253" s="11" t="s">
        <v>179</v>
      </c>
      <c r="H253" s="12"/>
      <c r="I253" s="11" t="s">
        <v>180</v>
      </c>
      <c r="J253" s="12"/>
    </row>
    <row r="254" ht="14.25" customHeight="1">
      <c r="A254" s="13">
        <v>46.0</v>
      </c>
      <c r="B254" s="14" t="s">
        <v>181</v>
      </c>
      <c r="C254" s="13">
        <v>0.0</v>
      </c>
      <c r="D254" s="15"/>
      <c r="E254" s="14" t="s">
        <v>182</v>
      </c>
      <c r="F254" s="15"/>
      <c r="G254" s="14" t="s">
        <v>183</v>
      </c>
      <c r="H254" s="15"/>
      <c r="I254" s="14" t="s">
        <v>184</v>
      </c>
      <c r="J254" s="15"/>
    </row>
    <row r="255" ht="14.25" customHeight="1">
      <c r="A255" s="10">
        <v>47.0</v>
      </c>
      <c r="B255" s="11" t="s">
        <v>185</v>
      </c>
      <c r="C255" s="10">
        <v>0.0</v>
      </c>
      <c r="D255" s="12"/>
      <c r="E255" s="11" t="s">
        <v>186</v>
      </c>
      <c r="F255" s="12"/>
      <c r="G255" s="11" t="s">
        <v>187</v>
      </c>
      <c r="H255" s="12"/>
      <c r="I255" s="11" t="s">
        <v>188</v>
      </c>
      <c r="J255" s="12"/>
    </row>
    <row r="256" ht="14.25" customHeight="1">
      <c r="A256" s="13">
        <v>48.0</v>
      </c>
      <c r="B256" s="14" t="s">
        <v>189</v>
      </c>
      <c r="C256" s="13">
        <v>0.0</v>
      </c>
      <c r="D256" s="15"/>
      <c r="E256" s="14" t="s">
        <v>190</v>
      </c>
      <c r="F256" s="15"/>
      <c r="G256" s="14" t="s">
        <v>191</v>
      </c>
      <c r="H256" s="15"/>
      <c r="I256" s="14" t="s">
        <v>192</v>
      </c>
      <c r="J256" s="15"/>
    </row>
    <row r="257" ht="14.25" customHeight="1">
      <c r="A257" s="10">
        <v>49.0</v>
      </c>
      <c r="B257" s="11" t="s">
        <v>193</v>
      </c>
      <c r="C257" s="10">
        <v>1.0</v>
      </c>
      <c r="D257" s="12"/>
      <c r="E257" s="11" t="s">
        <v>194</v>
      </c>
      <c r="F257" s="12"/>
      <c r="G257" s="11" t="s">
        <v>195</v>
      </c>
      <c r="H257" s="12"/>
      <c r="I257" s="11" t="s">
        <v>196</v>
      </c>
      <c r="J257" s="12"/>
    </row>
    <row r="258" ht="14.25" customHeight="1">
      <c r="A258" s="13">
        <v>50.0</v>
      </c>
      <c r="B258" s="14" t="s">
        <v>197</v>
      </c>
      <c r="C258" s="13">
        <v>0.0</v>
      </c>
      <c r="D258" s="15"/>
      <c r="E258" s="14" t="s">
        <v>198</v>
      </c>
      <c r="F258" s="15"/>
      <c r="G258" s="14" t="s">
        <v>199</v>
      </c>
      <c r="H258" s="15"/>
      <c r="I258" s="14" t="s">
        <v>200</v>
      </c>
      <c r="J258" s="15"/>
    </row>
    <row r="259" ht="14.25" customHeight="1">
      <c r="A259" s="10">
        <v>51.0</v>
      </c>
      <c r="B259" s="11" t="s">
        <v>201</v>
      </c>
      <c r="C259" s="10">
        <v>1.0</v>
      </c>
      <c r="D259" s="12"/>
      <c r="E259" s="11" t="s">
        <v>202</v>
      </c>
      <c r="F259" s="12"/>
      <c r="G259" s="11" t="s">
        <v>20</v>
      </c>
      <c r="H259" s="12"/>
      <c r="I259" s="11" t="s">
        <v>203</v>
      </c>
      <c r="J259" s="12"/>
    </row>
    <row r="260" ht="14.25" customHeight="1">
      <c r="A260" s="13">
        <v>52.0</v>
      </c>
      <c r="B260" s="14" t="s">
        <v>204</v>
      </c>
      <c r="C260" s="13">
        <v>1.0</v>
      </c>
      <c r="D260" s="15"/>
      <c r="E260" s="14" t="s">
        <v>205</v>
      </c>
      <c r="F260" s="15"/>
      <c r="G260" s="14" t="s">
        <v>20</v>
      </c>
      <c r="H260" s="16" t="s">
        <v>665</v>
      </c>
      <c r="I260" s="14" t="s">
        <v>172</v>
      </c>
      <c r="J260" s="16" t="s">
        <v>666</v>
      </c>
    </row>
    <row r="261" ht="14.25" customHeight="1">
      <c r="A261" s="10">
        <v>53.0</v>
      </c>
      <c r="B261" s="11" t="s">
        <v>206</v>
      </c>
      <c r="C261" s="10">
        <v>0.0</v>
      </c>
      <c r="D261" s="12"/>
      <c r="E261" s="11" t="s">
        <v>207</v>
      </c>
      <c r="F261" s="12"/>
      <c r="G261" s="11" t="s">
        <v>43</v>
      </c>
      <c r="H261" s="12"/>
      <c r="I261" s="11" t="s">
        <v>208</v>
      </c>
      <c r="J261" s="12"/>
    </row>
    <row r="262" ht="14.25" customHeight="1">
      <c r="A262" s="13">
        <v>54.0</v>
      </c>
      <c r="B262" s="14" t="s">
        <v>209</v>
      </c>
      <c r="C262" s="13">
        <v>0.0</v>
      </c>
      <c r="D262" s="15"/>
      <c r="E262" s="14" t="s">
        <v>210</v>
      </c>
      <c r="F262" s="15"/>
      <c r="G262" s="14" t="s">
        <v>20</v>
      </c>
      <c r="H262" s="15"/>
      <c r="I262" s="14" t="s">
        <v>211</v>
      </c>
      <c r="J262" s="15"/>
    </row>
    <row r="263" ht="14.25" customHeight="1">
      <c r="A263" s="10">
        <v>55.0</v>
      </c>
      <c r="B263" s="11" t="s">
        <v>212</v>
      </c>
      <c r="C263" s="10">
        <v>0.0</v>
      </c>
      <c r="D263" s="12"/>
      <c r="E263" s="11" t="s">
        <v>213</v>
      </c>
      <c r="F263" s="12"/>
      <c r="G263" s="11" t="s">
        <v>175</v>
      </c>
      <c r="H263" s="12"/>
      <c r="I263" s="11" t="s">
        <v>214</v>
      </c>
      <c r="J263" s="12"/>
    </row>
    <row r="264" ht="14.25" customHeight="1">
      <c r="A264" s="13">
        <v>56.0</v>
      </c>
      <c r="B264" s="14" t="s">
        <v>215</v>
      </c>
      <c r="C264" s="13">
        <v>0.0</v>
      </c>
      <c r="D264" s="15"/>
      <c r="E264" s="14" t="s">
        <v>216</v>
      </c>
      <c r="F264" s="15"/>
      <c r="G264" s="14" t="s">
        <v>217</v>
      </c>
      <c r="H264" s="15"/>
      <c r="I264" s="14" t="s">
        <v>218</v>
      </c>
      <c r="J264" s="15"/>
    </row>
    <row r="265" ht="14.25" customHeight="1">
      <c r="A265" s="10">
        <v>57.0</v>
      </c>
      <c r="B265" s="11" t="s">
        <v>219</v>
      </c>
      <c r="C265" s="10">
        <v>0.0</v>
      </c>
      <c r="D265" s="12"/>
      <c r="E265" s="11" t="s">
        <v>220</v>
      </c>
      <c r="F265" s="12"/>
      <c r="G265" s="11" t="s">
        <v>221</v>
      </c>
      <c r="H265" s="12"/>
      <c r="I265" s="11" t="s">
        <v>222</v>
      </c>
      <c r="J265" s="12"/>
    </row>
    <row r="266" ht="14.25" customHeight="1">
      <c r="A266" s="13">
        <v>58.0</v>
      </c>
      <c r="B266" s="14" t="s">
        <v>223</v>
      </c>
      <c r="C266" s="13">
        <v>1.0</v>
      </c>
      <c r="D266" s="15"/>
      <c r="E266" s="14" t="s">
        <v>224</v>
      </c>
      <c r="F266" s="15"/>
      <c r="G266" s="14" t="s">
        <v>225</v>
      </c>
      <c r="H266" s="15"/>
      <c r="I266" s="14" t="s">
        <v>226</v>
      </c>
      <c r="J266" s="15"/>
    </row>
    <row r="267" ht="14.25" customHeight="1">
      <c r="A267" s="10">
        <v>59.0</v>
      </c>
      <c r="B267" s="11" t="s">
        <v>227</v>
      </c>
      <c r="C267" s="10">
        <v>0.0</v>
      </c>
      <c r="D267" s="12"/>
      <c r="E267" s="11" t="s">
        <v>228</v>
      </c>
      <c r="F267" s="12"/>
      <c r="G267" s="11" t="s">
        <v>229</v>
      </c>
      <c r="H267" s="12"/>
      <c r="I267" s="11" t="s">
        <v>188</v>
      </c>
      <c r="J267" s="12"/>
    </row>
    <row r="268" ht="14.25" customHeight="1">
      <c r="A268" s="13">
        <v>60.0</v>
      </c>
      <c r="B268" s="14" t="s">
        <v>230</v>
      </c>
      <c r="C268" s="13">
        <v>0.0</v>
      </c>
      <c r="D268" s="15"/>
      <c r="E268" s="14" t="s">
        <v>231</v>
      </c>
      <c r="F268" s="15"/>
      <c r="G268" s="14" t="s">
        <v>232</v>
      </c>
      <c r="H268" s="15"/>
      <c r="I268" s="14" t="s">
        <v>233</v>
      </c>
      <c r="J268" s="15"/>
    </row>
    <row r="269" ht="14.25" customHeight="1">
      <c r="A269" s="10">
        <v>61.0</v>
      </c>
      <c r="B269" s="11" t="s">
        <v>234</v>
      </c>
      <c r="C269" s="10">
        <v>0.0</v>
      </c>
      <c r="D269" s="12"/>
      <c r="E269" s="11" t="s">
        <v>235</v>
      </c>
      <c r="F269" s="12"/>
      <c r="G269" s="11" t="s">
        <v>236</v>
      </c>
      <c r="H269" s="12"/>
      <c r="I269" s="11" t="s">
        <v>237</v>
      </c>
      <c r="J269" s="12"/>
    </row>
    <row r="270" ht="14.25" customHeight="1">
      <c r="A270" s="13">
        <v>62.0</v>
      </c>
      <c r="B270" s="14" t="s">
        <v>238</v>
      </c>
      <c r="C270" s="13">
        <v>1.0</v>
      </c>
      <c r="D270" s="15"/>
      <c r="E270" s="14" t="s">
        <v>239</v>
      </c>
      <c r="F270" s="15"/>
      <c r="G270" s="14" t="s">
        <v>240</v>
      </c>
      <c r="H270" s="15"/>
      <c r="I270" s="14" t="s">
        <v>241</v>
      </c>
      <c r="J270" s="15"/>
    </row>
    <row r="271" ht="14.25" customHeight="1">
      <c r="A271" s="10">
        <v>63.0</v>
      </c>
      <c r="B271" s="11" t="s">
        <v>242</v>
      </c>
      <c r="C271" s="10">
        <v>0.0</v>
      </c>
      <c r="D271" s="12"/>
      <c r="E271" s="11" t="s">
        <v>243</v>
      </c>
      <c r="F271" s="12"/>
      <c r="G271" s="11" t="s">
        <v>217</v>
      </c>
      <c r="H271" s="12"/>
      <c r="I271" s="11" t="s">
        <v>244</v>
      </c>
      <c r="J271" s="12"/>
    </row>
    <row r="272" ht="14.25" customHeight="1">
      <c r="A272" s="13">
        <v>64.0</v>
      </c>
      <c r="B272" s="14" t="s">
        <v>245</v>
      </c>
      <c r="C272" s="13">
        <v>0.0</v>
      </c>
      <c r="D272" s="15"/>
      <c r="E272" s="14" t="s">
        <v>246</v>
      </c>
      <c r="F272" s="15"/>
      <c r="G272" s="14" t="s">
        <v>20</v>
      </c>
      <c r="H272" s="15"/>
      <c r="I272" s="14" t="s">
        <v>247</v>
      </c>
      <c r="J272" s="15"/>
    </row>
    <row r="273" ht="14.25" customHeight="1">
      <c r="A273" s="10">
        <v>65.0</v>
      </c>
      <c r="B273" s="11" t="s">
        <v>248</v>
      </c>
      <c r="C273" s="10">
        <v>0.0</v>
      </c>
      <c r="D273" s="12"/>
      <c r="E273" s="11" t="s">
        <v>249</v>
      </c>
      <c r="F273" s="12"/>
      <c r="G273" s="11" t="s">
        <v>20</v>
      </c>
      <c r="H273" s="12"/>
      <c r="I273" s="11" t="s">
        <v>250</v>
      </c>
      <c r="J273" s="12"/>
    </row>
    <row r="274" ht="14.25" customHeight="1">
      <c r="A274" s="13">
        <v>66.0</v>
      </c>
      <c r="B274" s="14" t="s">
        <v>251</v>
      </c>
      <c r="C274" s="13">
        <v>0.0</v>
      </c>
      <c r="D274" s="15"/>
      <c r="E274" s="14" t="s">
        <v>252</v>
      </c>
      <c r="F274" s="15"/>
      <c r="G274" s="14" t="s">
        <v>253</v>
      </c>
      <c r="H274" s="15"/>
      <c r="I274" s="14" t="s">
        <v>254</v>
      </c>
      <c r="J274" s="15"/>
    </row>
    <row r="275" ht="14.25" customHeight="1">
      <c r="A275" s="10">
        <v>67.0</v>
      </c>
      <c r="B275" s="11" t="s">
        <v>255</v>
      </c>
      <c r="C275" s="10">
        <v>0.0</v>
      </c>
      <c r="D275" s="12"/>
      <c r="E275" s="11" t="s">
        <v>256</v>
      </c>
      <c r="F275" s="12"/>
      <c r="G275" s="11" t="s">
        <v>217</v>
      </c>
      <c r="H275" s="12"/>
      <c r="I275" s="11" t="s">
        <v>257</v>
      </c>
      <c r="J275" s="12"/>
    </row>
    <row r="276" ht="14.25" customHeight="1">
      <c r="A276" s="13">
        <v>68.0</v>
      </c>
      <c r="B276" s="14" t="s">
        <v>258</v>
      </c>
      <c r="C276" s="13">
        <v>0.0</v>
      </c>
      <c r="D276" s="15"/>
      <c r="E276" s="14" t="s">
        <v>259</v>
      </c>
      <c r="F276" s="15"/>
      <c r="G276" s="14" t="s">
        <v>260</v>
      </c>
      <c r="H276" s="15"/>
      <c r="I276" s="14" t="s">
        <v>261</v>
      </c>
      <c r="J276" s="15"/>
    </row>
    <row r="277" ht="14.25" customHeight="1">
      <c r="A277" s="10">
        <v>69.0</v>
      </c>
      <c r="B277" s="11" t="s">
        <v>262</v>
      </c>
      <c r="C277" s="10">
        <v>1.0</v>
      </c>
      <c r="D277" s="12"/>
      <c r="E277" s="11" t="s">
        <v>263</v>
      </c>
      <c r="F277" s="12"/>
      <c r="G277" s="11" t="s">
        <v>264</v>
      </c>
      <c r="H277" s="12"/>
      <c r="I277" s="11" t="s">
        <v>265</v>
      </c>
      <c r="J277" s="12"/>
    </row>
    <row r="278" ht="14.25" customHeight="1">
      <c r="A278" s="13">
        <v>70.0</v>
      </c>
      <c r="B278" s="14" t="s">
        <v>266</v>
      </c>
      <c r="C278" s="13">
        <v>0.0</v>
      </c>
      <c r="D278" s="15"/>
      <c r="E278" s="14" t="s">
        <v>267</v>
      </c>
      <c r="F278" s="15"/>
      <c r="G278" s="14" t="s">
        <v>268</v>
      </c>
      <c r="H278" s="15"/>
      <c r="I278" s="14" t="s">
        <v>269</v>
      </c>
      <c r="J278" s="15"/>
    </row>
    <row r="279" ht="14.25" customHeight="1">
      <c r="A279" s="10">
        <v>71.0</v>
      </c>
      <c r="B279" s="11" t="s">
        <v>270</v>
      </c>
      <c r="C279" s="10">
        <v>0.0</v>
      </c>
      <c r="D279" s="12"/>
      <c r="E279" s="11" t="s">
        <v>271</v>
      </c>
      <c r="F279" s="12"/>
      <c r="G279" s="11" t="s">
        <v>20</v>
      </c>
      <c r="H279" s="12"/>
      <c r="I279" s="11" t="s">
        <v>272</v>
      </c>
      <c r="J279" s="12"/>
    </row>
    <row r="280" ht="14.25" customHeight="1">
      <c r="A280" s="13">
        <v>72.0</v>
      </c>
      <c r="B280" s="14" t="s">
        <v>273</v>
      </c>
      <c r="C280" s="13">
        <v>0.0</v>
      </c>
      <c r="D280" s="15"/>
      <c r="E280" s="14" t="s">
        <v>274</v>
      </c>
      <c r="F280" s="15"/>
      <c r="G280" s="14" t="s">
        <v>275</v>
      </c>
      <c r="H280" s="15"/>
      <c r="I280" s="14" t="s">
        <v>203</v>
      </c>
      <c r="J280" s="15"/>
    </row>
    <row r="281" ht="14.25" customHeight="1">
      <c r="A281" s="10">
        <v>73.0</v>
      </c>
      <c r="B281" s="11" t="s">
        <v>276</v>
      </c>
      <c r="C281" s="10">
        <v>0.0</v>
      </c>
      <c r="D281" s="12"/>
      <c r="E281" s="11" t="s">
        <v>277</v>
      </c>
      <c r="F281" s="12"/>
      <c r="G281" s="11" t="s">
        <v>278</v>
      </c>
      <c r="H281" s="12"/>
      <c r="I281" s="11" t="s">
        <v>279</v>
      </c>
      <c r="J281" s="12"/>
    </row>
    <row r="282" ht="14.25" customHeight="1">
      <c r="A282" s="13">
        <v>74.0</v>
      </c>
      <c r="B282" s="14" t="s">
        <v>280</v>
      </c>
      <c r="C282" s="13">
        <v>1.0</v>
      </c>
      <c r="D282" s="15"/>
      <c r="E282" s="14" t="s">
        <v>281</v>
      </c>
      <c r="F282" s="15"/>
      <c r="G282" s="14" t="s">
        <v>240</v>
      </c>
      <c r="H282" s="15"/>
      <c r="I282" s="14" t="s">
        <v>282</v>
      </c>
      <c r="J282" s="15"/>
    </row>
    <row r="283" ht="14.25" customHeight="1">
      <c r="A283" s="10">
        <v>75.0</v>
      </c>
      <c r="B283" s="11" t="s">
        <v>283</v>
      </c>
      <c r="C283" s="10">
        <v>0.0</v>
      </c>
      <c r="D283" s="12"/>
      <c r="E283" s="11" t="s">
        <v>284</v>
      </c>
      <c r="F283" s="12"/>
      <c r="G283" s="11" t="s">
        <v>285</v>
      </c>
      <c r="H283" s="12"/>
      <c r="I283" s="11" t="s">
        <v>250</v>
      </c>
      <c r="J283" s="12"/>
    </row>
    <row r="284" ht="14.25" customHeight="1">
      <c r="A284" s="13">
        <v>76.0</v>
      </c>
      <c r="B284" s="14" t="s">
        <v>286</v>
      </c>
      <c r="C284" s="13">
        <v>0.0</v>
      </c>
      <c r="D284" s="15"/>
      <c r="E284" s="14" t="s">
        <v>287</v>
      </c>
      <c r="F284" s="15"/>
      <c r="G284" s="14" t="s">
        <v>288</v>
      </c>
      <c r="H284" s="15"/>
      <c r="I284" s="14" t="s">
        <v>289</v>
      </c>
      <c r="J284" s="15"/>
    </row>
    <row r="285" ht="14.25" customHeight="1">
      <c r="A285" s="10">
        <v>77.0</v>
      </c>
      <c r="B285" s="11" t="s">
        <v>290</v>
      </c>
      <c r="C285" s="10">
        <v>1.0</v>
      </c>
      <c r="D285" s="12"/>
      <c r="E285" s="11" t="s">
        <v>291</v>
      </c>
      <c r="F285" s="12"/>
      <c r="G285" s="11" t="s">
        <v>175</v>
      </c>
      <c r="H285" s="12"/>
      <c r="I285" s="11" t="s">
        <v>292</v>
      </c>
      <c r="J285" s="12"/>
    </row>
    <row r="286" ht="14.25" customHeight="1">
      <c r="A286" s="13">
        <v>78.0</v>
      </c>
      <c r="B286" s="14" t="s">
        <v>293</v>
      </c>
      <c r="C286" s="13">
        <v>1.0</v>
      </c>
      <c r="D286" s="15"/>
      <c r="E286" s="14" t="s">
        <v>294</v>
      </c>
      <c r="F286" s="15"/>
      <c r="G286" s="14" t="s">
        <v>285</v>
      </c>
      <c r="H286" s="15"/>
      <c r="I286" s="14" t="s">
        <v>261</v>
      </c>
      <c r="J286" s="15"/>
    </row>
    <row r="287" ht="14.25" customHeight="1">
      <c r="A287" s="10">
        <v>79.0</v>
      </c>
      <c r="B287" s="11" t="s">
        <v>295</v>
      </c>
      <c r="C287" s="10">
        <v>0.0</v>
      </c>
      <c r="D287" s="12"/>
      <c r="E287" s="11" t="s">
        <v>296</v>
      </c>
      <c r="F287" s="12"/>
      <c r="G287" s="11" t="s">
        <v>20</v>
      </c>
      <c r="H287" s="12"/>
      <c r="I287" s="11" t="s">
        <v>297</v>
      </c>
      <c r="J287" s="12"/>
    </row>
    <row r="288" ht="14.25" customHeight="1">
      <c r="A288" s="13">
        <v>80.0</v>
      </c>
      <c r="B288" s="14" t="s">
        <v>298</v>
      </c>
      <c r="C288" s="13">
        <v>1.0</v>
      </c>
      <c r="D288" s="15"/>
      <c r="E288" s="14" t="s">
        <v>299</v>
      </c>
      <c r="F288" s="15"/>
      <c r="G288" s="14" t="s">
        <v>300</v>
      </c>
      <c r="H288" s="15"/>
      <c r="I288" s="14" t="s">
        <v>301</v>
      </c>
      <c r="J288" s="15"/>
    </row>
    <row r="289" ht="14.25" customHeight="1">
      <c r="A289" s="10">
        <v>81.0</v>
      </c>
      <c r="B289" s="11" t="s">
        <v>302</v>
      </c>
      <c r="C289" s="10">
        <v>1.0</v>
      </c>
      <c r="D289" s="12"/>
      <c r="E289" s="11" t="s">
        <v>303</v>
      </c>
      <c r="F289" s="12"/>
      <c r="G289" s="11" t="s">
        <v>304</v>
      </c>
      <c r="H289" s="12"/>
      <c r="I289" s="11" t="s">
        <v>305</v>
      </c>
      <c r="J289" s="12"/>
    </row>
    <row r="290" ht="14.25" customHeight="1">
      <c r="A290" s="13">
        <v>82.0</v>
      </c>
      <c r="B290" s="14" t="s">
        <v>306</v>
      </c>
      <c r="C290" s="13">
        <v>1.0</v>
      </c>
      <c r="D290" s="15"/>
      <c r="E290" s="14" t="s">
        <v>307</v>
      </c>
      <c r="F290" s="15"/>
      <c r="G290" s="14" t="s">
        <v>308</v>
      </c>
      <c r="H290" s="15"/>
      <c r="I290" s="14" t="s">
        <v>172</v>
      </c>
      <c r="J290" s="15"/>
    </row>
    <row r="291" ht="14.25" customHeight="1">
      <c r="A291" s="10">
        <v>83.0</v>
      </c>
      <c r="B291" s="11" t="s">
        <v>309</v>
      </c>
      <c r="C291" s="10">
        <v>0.0</v>
      </c>
      <c r="D291" s="12"/>
      <c r="E291" s="11" t="s">
        <v>310</v>
      </c>
      <c r="F291" s="12"/>
      <c r="G291" s="11" t="s">
        <v>311</v>
      </c>
      <c r="H291" s="12"/>
      <c r="I291" s="11" t="s">
        <v>250</v>
      </c>
      <c r="J291" s="12"/>
    </row>
    <row r="292" ht="14.25" customHeight="1">
      <c r="A292" s="13">
        <v>84.0</v>
      </c>
      <c r="B292" s="14" t="s">
        <v>312</v>
      </c>
      <c r="C292" s="13">
        <v>1.0</v>
      </c>
      <c r="D292" s="15"/>
      <c r="E292" s="14" t="s">
        <v>313</v>
      </c>
      <c r="F292" s="15"/>
      <c r="G292" s="14" t="s">
        <v>314</v>
      </c>
      <c r="H292" s="15"/>
      <c r="I292" s="14" t="s">
        <v>261</v>
      </c>
      <c r="J292" s="15"/>
    </row>
    <row r="293" ht="14.25" customHeight="1">
      <c r="A293" s="10">
        <v>85.0</v>
      </c>
      <c r="B293" s="11" t="s">
        <v>315</v>
      </c>
      <c r="C293" s="10">
        <v>0.0</v>
      </c>
      <c r="D293" s="12"/>
      <c r="E293" s="11" t="s">
        <v>316</v>
      </c>
      <c r="F293" s="12"/>
      <c r="G293" s="11" t="s">
        <v>285</v>
      </c>
      <c r="H293" s="12"/>
      <c r="I293" s="11" t="s">
        <v>250</v>
      </c>
      <c r="J293" s="12"/>
    </row>
    <row r="294" ht="14.25" customHeight="1">
      <c r="A294" s="13">
        <v>86.0</v>
      </c>
      <c r="B294" s="14" t="s">
        <v>317</v>
      </c>
      <c r="C294" s="13">
        <v>0.0</v>
      </c>
      <c r="D294" s="15"/>
      <c r="E294" s="14" t="s">
        <v>318</v>
      </c>
      <c r="F294" s="15"/>
      <c r="G294" s="14" t="s">
        <v>319</v>
      </c>
      <c r="H294" s="15"/>
      <c r="I294" s="14" t="s">
        <v>320</v>
      </c>
      <c r="J294" s="15"/>
    </row>
    <row r="295" ht="14.25" customHeight="1">
      <c r="A295" s="10">
        <v>87.0</v>
      </c>
      <c r="B295" s="11" t="s">
        <v>321</v>
      </c>
      <c r="C295" s="10">
        <v>0.0</v>
      </c>
      <c r="D295" s="12"/>
      <c r="E295" s="11" t="s">
        <v>322</v>
      </c>
      <c r="F295" s="12"/>
      <c r="G295" s="11" t="s">
        <v>191</v>
      </c>
      <c r="H295" s="12"/>
      <c r="I295" s="11" t="s">
        <v>188</v>
      </c>
      <c r="J295" s="12"/>
    </row>
    <row r="296" ht="14.25" customHeight="1">
      <c r="A296" s="13">
        <v>88.0</v>
      </c>
      <c r="B296" s="14" t="s">
        <v>323</v>
      </c>
      <c r="C296" s="13">
        <v>0.0</v>
      </c>
      <c r="D296" s="15"/>
      <c r="E296" s="14" t="s">
        <v>324</v>
      </c>
      <c r="F296" s="15"/>
      <c r="G296" s="14" t="s">
        <v>325</v>
      </c>
      <c r="H296" s="15"/>
      <c r="I296" s="14" t="s">
        <v>250</v>
      </c>
      <c r="J296" s="15"/>
    </row>
    <row r="297" ht="14.25" customHeight="1">
      <c r="A297" s="10">
        <v>89.0</v>
      </c>
      <c r="B297" s="11" t="s">
        <v>326</v>
      </c>
      <c r="C297" s="10">
        <v>0.0</v>
      </c>
      <c r="D297" s="12"/>
      <c r="E297" s="11" t="s">
        <v>327</v>
      </c>
      <c r="F297" s="12"/>
      <c r="G297" s="11" t="s">
        <v>328</v>
      </c>
      <c r="H297" s="12"/>
      <c r="I297" s="11" t="s">
        <v>329</v>
      </c>
      <c r="J297" s="12"/>
    </row>
    <row r="298" ht="14.25" customHeight="1">
      <c r="A298" s="13">
        <v>90.0</v>
      </c>
      <c r="B298" s="14" t="s">
        <v>330</v>
      </c>
      <c r="C298" s="13">
        <v>0.0</v>
      </c>
      <c r="D298" s="15"/>
      <c r="E298" s="14" t="s">
        <v>331</v>
      </c>
      <c r="F298" s="15"/>
      <c r="G298" s="14" t="s">
        <v>278</v>
      </c>
      <c r="H298" s="15"/>
      <c r="I298" s="14" t="s">
        <v>261</v>
      </c>
      <c r="J298" s="15"/>
    </row>
    <row r="299" ht="14.25" customHeight="1">
      <c r="A299" s="10">
        <v>91.0</v>
      </c>
      <c r="B299" s="11" t="s">
        <v>332</v>
      </c>
      <c r="C299" s="10">
        <v>0.0</v>
      </c>
      <c r="D299" s="12"/>
      <c r="E299" s="11" t="s">
        <v>333</v>
      </c>
      <c r="F299" s="12"/>
      <c r="G299" s="11" t="s">
        <v>334</v>
      </c>
      <c r="H299" s="12"/>
      <c r="I299" s="11" t="s">
        <v>335</v>
      </c>
      <c r="J299" s="12"/>
    </row>
    <row r="300" ht="14.25" customHeight="1">
      <c r="A300" s="13">
        <v>92.0</v>
      </c>
      <c r="B300" s="14" t="s">
        <v>336</v>
      </c>
      <c r="C300" s="13">
        <v>0.0</v>
      </c>
      <c r="D300" s="15"/>
      <c r="E300" s="14" t="s">
        <v>337</v>
      </c>
      <c r="F300" s="15"/>
      <c r="G300" s="14" t="s">
        <v>285</v>
      </c>
      <c r="H300" s="15"/>
      <c r="I300" s="14" t="s">
        <v>203</v>
      </c>
      <c r="J300" s="15"/>
    </row>
    <row r="301" ht="14.25" customHeight="1">
      <c r="A301" s="10">
        <v>93.0</v>
      </c>
      <c r="B301" s="11" t="s">
        <v>338</v>
      </c>
      <c r="C301" s="10">
        <v>1.0</v>
      </c>
      <c r="D301" s="12"/>
      <c r="E301" s="11" t="s">
        <v>339</v>
      </c>
      <c r="F301" s="12"/>
      <c r="G301" s="11" t="s">
        <v>340</v>
      </c>
      <c r="H301" s="12"/>
      <c r="I301" s="11" t="s">
        <v>188</v>
      </c>
      <c r="J301" s="12"/>
    </row>
    <row r="302" ht="14.25" customHeight="1">
      <c r="A302" s="13">
        <v>94.0</v>
      </c>
      <c r="B302" s="14" t="s">
        <v>341</v>
      </c>
      <c r="C302" s="13">
        <v>0.0</v>
      </c>
      <c r="D302" s="15"/>
      <c r="E302" s="14" t="s">
        <v>342</v>
      </c>
      <c r="F302" s="15"/>
      <c r="G302" s="14" t="s">
        <v>319</v>
      </c>
      <c r="H302" s="15"/>
      <c r="I302" s="14" t="s">
        <v>343</v>
      </c>
      <c r="J302" s="15"/>
    </row>
    <row r="303" ht="14.25" customHeight="1">
      <c r="A303" s="10">
        <v>95.0</v>
      </c>
      <c r="B303" s="11" t="s">
        <v>344</v>
      </c>
      <c r="C303" s="10">
        <v>0.0</v>
      </c>
      <c r="D303" s="12"/>
      <c r="E303" s="11" t="s">
        <v>345</v>
      </c>
      <c r="F303" s="12"/>
      <c r="G303" s="11" t="s">
        <v>236</v>
      </c>
      <c r="H303" s="12"/>
      <c r="I303" s="11" t="s">
        <v>346</v>
      </c>
      <c r="J303" s="12"/>
    </row>
    <row r="304" ht="14.25" customHeight="1">
      <c r="A304" s="13">
        <v>96.0</v>
      </c>
      <c r="B304" s="14" t="s">
        <v>347</v>
      </c>
      <c r="C304" s="13">
        <v>1.0</v>
      </c>
      <c r="D304" s="15"/>
      <c r="E304" s="14" t="s">
        <v>348</v>
      </c>
      <c r="F304" s="15"/>
      <c r="G304" s="14" t="s">
        <v>340</v>
      </c>
      <c r="H304" s="15"/>
      <c r="I304" s="14" t="s">
        <v>282</v>
      </c>
      <c r="J304" s="15"/>
    </row>
    <row r="305" ht="14.25" customHeight="1">
      <c r="A305" s="10">
        <v>97.0</v>
      </c>
      <c r="B305" s="11" t="s">
        <v>349</v>
      </c>
      <c r="C305" s="10">
        <v>1.0</v>
      </c>
      <c r="D305" s="12"/>
      <c r="E305" s="11" t="s">
        <v>350</v>
      </c>
      <c r="F305" s="12"/>
      <c r="G305" s="11" t="s">
        <v>285</v>
      </c>
      <c r="H305" s="12"/>
      <c r="I305" s="11" t="s">
        <v>261</v>
      </c>
      <c r="J305" s="12"/>
    </row>
    <row r="306" ht="14.25" customHeight="1">
      <c r="A306" s="13">
        <v>98.0</v>
      </c>
      <c r="B306" s="14" t="s">
        <v>351</v>
      </c>
      <c r="C306" s="13">
        <v>1.0</v>
      </c>
      <c r="D306" s="15"/>
      <c r="E306" s="14" t="s">
        <v>352</v>
      </c>
      <c r="F306" s="15"/>
      <c r="G306" s="14" t="s">
        <v>353</v>
      </c>
      <c r="H306" s="15"/>
      <c r="I306" s="14" t="s">
        <v>354</v>
      </c>
      <c r="J306" s="16" t="s">
        <v>261</v>
      </c>
    </row>
    <row r="307" ht="14.25" customHeight="1">
      <c r="A307" s="10">
        <v>99.0</v>
      </c>
      <c r="B307" s="11" t="s">
        <v>355</v>
      </c>
      <c r="C307" s="10">
        <v>0.0</v>
      </c>
      <c r="D307" s="12"/>
      <c r="E307" s="11" t="s">
        <v>356</v>
      </c>
      <c r="F307" s="12"/>
      <c r="G307" s="11" t="s">
        <v>288</v>
      </c>
      <c r="H307" s="12"/>
      <c r="I307" s="11" t="s">
        <v>357</v>
      </c>
      <c r="J307" s="12"/>
    </row>
    <row r="308" ht="14.25" customHeight="1">
      <c r="A308" s="13">
        <v>100.0</v>
      </c>
      <c r="B308" s="14" t="s">
        <v>358</v>
      </c>
      <c r="C308" s="13">
        <v>0.0</v>
      </c>
      <c r="D308" s="15"/>
      <c r="E308" s="14" t="s">
        <v>359</v>
      </c>
      <c r="F308" s="15"/>
      <c r="G308" s="14" t="s">
        <v>360</v>
      </c>
      <c r="H308" s="15"/>
      <c r="I308" s="14" t="s">
        <v>261</v>
      </c>
      <c r="J308" s="15"/>
    </row>
    <row r="309" ht="14.25" customHeight="1">
      <c r="A309" s="10">
        <v>101.0</v>
      </c>
      <c r="B309" s="11" t="s">
        <v>361</v>
      </c>
      <c r="C309" s="10">
        <v>0.0</v>
      </c>
      <c r="D309" s="12"/>
      <c r="E309" s="11" t="s">
        <v>362</v>
      </c>
      <c r="F309" s="12"/>
      <c r="G309" s="11" t="s">
        <v>363</v>
      </c>
      <c r="H309" s="12"/>
      <c r="I309" s="11" t="s">
        <v>364</v>
      </c>
      <c r="J309" s="12"/>
    </row>
    <row r="310" ht="14.25" customHeight="1">
      <c r="A310" s="13">
        <v>102.0</v>
      </c>
      <c r="B310" s="14" t="s">
        <v>365</v>
      </c>
      <c r="C310" s="13">
        <v>0.0</v>
      </c>
      <c r="D310" s="15"/>
      <c r="E310" s="14" t="s">
        <v>366</v>
      </c>
      <c r="F310" s="15"/>
      <c r="G310" s="14" t="s">
        <v>285</v>
      </c>
      <c r="H310" s="15"/>
      <c r="I310" s="14" t="s">
        <v>250</v>
      </c>
      <c r="J310" s="15"/>
    </row>
    <row r="311" ht="14.25" customHeight="1">
      <c r="A311" s="10">
        <v>103.0</v>
      </c>
      <c r="B311" s="11" t="s">
        <v>367</v>
      </c>
      <c r="C311" s="10">
        <v>0.0</v>
      </c>
      <c r="D311" s="12"/>
      <c r="E311" s="11" t="s">
        <v>368</v>
      </c>
      <c r="F311" s="12"/>
      <c r="G311" s="11" t="s">
        <v>369</v>
      </c>
      <c r="H311" s="12"/>
      <c r="I311" s="11" t="s">
        <v>370</v>
      </c>
      <c r="J311" s="12"/>
    </row>
    <row r="312" ht="14.25" customHeight="1">
      <c r="A312" s="13">
        <v>104.0</v>
      </c>
      <c r="B312" s="14" t="s">
        <v>371</v>
      </c>
      <c r="C312" s="13">
        <v>0.0</v>
      </c>
      <c r="D312" s="15"/>
      <c r="E312" s="14" t="s">
        <v>372</v>
      </c>
      <c r="F312" s="15"/>
      <c r="G312" s="14" t="s">
        <v>373</v>
      </c>
      <c r="H312" s="15"/>
      <c r="I312" s="14" t="s">
        <v>374</v>
      </c>
      <c r="J312" s="15"/>
    </row>
    <row r="313" ht="14.25" customHeight="1">
      <c r="A313" s="10">
        <v>105.0</v>
      </c>
      <c r="B313" s="11" t="s">
        <v>375</v>
      </c>
      <c r="C313" s="10">
        <v>1.0</v>
      </c>
      <c r="D313" s="12"/>
      <c r="E313" s="11" t="s">
        <v>376</v>
      </c>
      <c r="F313" s="12"/>
      <c r="G313" s="11" t="s">
        <v>377</v>
      </c>
      <c r="H313" s="12"/>
      <c r="I313" s="11" t="s">
        <v>378</v>
      </c>
      <c r="J313" s="12"/>
    </row>
    <row r="314" ht="14.25" customHeight="1">
      <c r="A314" s="13">
        <v>106.0</v>
      </c>
      <c r="B314" s="14" t="s">
        <v>379</v>
      </c>
      <c r="C314" s="13">
        <v>0.0</v>
      </c>
      <c r="D314" s="15"/>
      <c r="E314" s="14" t="s">
        <v>380</v>
      </c>
      <c r="F314" s="15"/>
      <c r="G314" s="14" t="s">
        <v>285</v>
      </c>
      <c r="H314" s="15"/>
      <c r="I314" s="14" t="s">
        <v>381</v>
      </c>
      <c r="J314" s="15"/>
    </row>
    <row r="315" ht="14.25" customHeight="1">
      <c r="A315" s="10">
        <v>107.0</v>
      </c>
      <c r="B315" s="11" t="s">
        <v>382</v>
      </c>
      <c r="C315" s="10">
        <v>0.0</v>
      </c>
      <c r="D315" s="12"/>
      <c r="E315" s="11" t="s">
        <v>383</v>
      </c>
      <c r="F315" s="12"/>
      <c r="G315" s="11" t="s">
        <v>191</v>
      </c>
      <c r="H315" s="12"/>
      <c r="I315" s="11" t="s">
        <v>370</v>
      </c>
      <c r="J315" s="12"/>
    </row>
    <row r="316" ht="14.25" customHeight="1">
      <c r="A316" s="13">
        <v>108.0</v>
      </c>
      <c r="B316" s="14" t="s">
        <v>384</v>
      </c>
      <c r="C316" s="13">
        <v>0.0</v>
      </c>
      <c r="D316" s="15"/>
      <c r="E316" s="14" t="s">
        <v>385</v>
      </c>
      <c r="F316" s="15"/>
      <c r="G316" s="14" t="s">
        <v>386</v>
      </c>
      <c r="H316" s="15"/>
      <c r="I316" s="14" t="s">
        <v>387</v>
      </c>
      <c r="J316" s="15"/>
    </row>
    <row r="317" ht="14.25" customHeight="1">
      <c r="A317" s="10">
        <v>109.0</v>
      </c>
      <c r="B317" s="11" t="s">
        <v>388</v>
      </c>
      <c r="C317" s="10">
        <v>1.0</v>
      </c>
      <c r="D317" s="12"/>
      <c r="E317" s="11" t="s">
        <v>389</v>
      </c>
      <c r="F317" s="12"/>
      <c r="G317" s="11" t="s">
        <v>340</v>
      </c>
      <c r="H317" s="12"/>
      <c r="I317" s="11" t="s">
        <v>370</v>
      </c>
      <c r="J317" s="12"/>
    </row>
    <row r="318" ht="14.25" customHeight="1">
      <c r="A318" s="13">
        <v>110.0</v>
      </c>
      <c r="B318" s="14" t="s">
        <v>390</v>
      </c>
      <c r="C318" s="13">
        <v>1.0</v>
      </c>
      <c r="D318" s="15"/>
      <c r="E318" s="14" t="s">
        <v>391</v>
      </c>
      <c r="F318" s="15"/>
      <c r="G318" s="14" t="s">
        <v>392</v>
      </c>
      <c r="H318" s="15"/>
      <c r="I318" s="14" t="s">
        <v>393</v>
      </c>
      <c r="J318" s="15"/>
    </row>
    <row r="319" ht="14.25" customHeight="1">
      <c r="A319" s="10">
        <v>111.0</v>
      </c>
      <c r="B319" s="11" t="s">
        <v>394</v>
      </c>
      <c r="C319" s="10">
        <v>1.0</v>
      </c>
      <c r="D319" s="12"/>
      <c r="E319" s="11" t="s">
        <v>395</v>
      </c>
      <c r="F319" s="12"/>
      <c r="G319" s="11" t="s">
        <v>285</v>
      </c>
      <c r="H319" s="12"/>
      <c r="I319" s="11" t="s">
        <v>250</v>
      </c>
      <c r="J319" s="12"/>
    </row>
    <row r="320" ht="14.25" customHeight="1">
      <c r="A320" s="13">
        <v>112.0</v>
      </c>
      <c r="B320" s="14" t="s">
        <v>396</v>
      </c>
      <c r="C320" s="13">
        <v>0.0</v>
      </c>
      <c r="D320" s="15"/>
      <c r="E320" s="14" t="s">
        <v>397</v>
      </c>
      <c r="F320" s="15"/>
      <c r="G320" s="14" t="s">
        <v>398</v>
      </c>
      <c r="H320" s="15"/>
      <c r="I320" s="14" t="s">
        <v>399</v>
      </c>
      <c r="J320" s="15"/>
    </row>
    <row r="321" ht="14.25" customHeight="1">
      <c r="A321" s="10">
        <v>113.0</v>
      </c>
      <c r="B321" s="11" t="s">
        <v>400</v>
      </c>
      <c r="C321" s="10">
        <v>0.0</v>
      </c>
      <c r="D321" s="12"/>
      <c r="E321" s="11" t="s">
        <v>401</v>
      </c>
      <c r="F321" s="12"/>
      <c r="G321" s="11" t="s">
        <v>402</v>
      </c>
      <c r="H321" s="12"/>
      <c r="I321" s="11" t="s">
        <v>188</v>
      </c>
      <c r="J321" s="12"/>
    </row>
    <row r="322" ht="14.25" customHeight="1">
      <c r="A322" s="13">
        <v>114.0</v>
      </c>
      <c r="B322" s="14" t="s">
        <v>403</v>
      </c>
      <c r="C322" s="13">
        <v>0.0</v>
      </c>
      <c r="D322" s="15"/>
      <c r="E322" s="14" t="s">
        <v>404</v>
      </c>
      <c r="F322" s="15"/>
      <c r="G322" s="14" t="s">
        <v>405</v>
      </c>
      <c r="H322" s="15"/>
      <c r="I322" s="14" t="s">
        <v>364</v>
      </c>
      <c r="J322" s="15"/>
    </row>
    <row r="323" ht="14.25" customHeight="1">
      <c r="A323" s="10">
        <v>115.0</v>
      </c>
      <c r="B323" s="11" t="s">
        <v>406</v>
      </c>
      <c r="C323" s="10">
        <v>1.0</v>
      </c>
      <c r="D323" s="12"/>
      <c r="E323" s="11" t="s">
        <v>407</v>
      </c>
      <c r="F323" s="12"/>
      <c r="G323" s="11" t="s">
        <v>408</v>
      </c>
      <c r="H323" s="12"/>
      <c r="I323" s="11" t="s">
        <v>409</v>
      </c>
      <c r="J323" s="12"/>
    </row>
    <row r="324" ht="14.25" customHeight="1">
      <c r="A324" s="13">
        <v>116.0</v>
      </c>
      <c r="B324" s="14" t="s">
        <v>410</v>
      </c>
      <c r="C324" s="13">
        <v>0.0</v>
      </c>
      <c r="D324" s="15"/>
      <c r="E324" s="14" t="s">
        <v>411</v>
      </c>
      <c r="F324" s="15"/>
      <c r="G324" s="14" t="s">
        <v>319</v>
      </c>
      <c r="H324" s="15"/>
      <c r="I324" s="14" t="s">
        <v>399</v>
      </c>
      <c r="J324" s="15"/>
    </row>
    <row r="325" ht="14.25" customHeight="1">
      <c r="A325" s="10">
        <v>117.0</v>
      </c>
      <c r="B325" s="11" t="s">
        <v>412</v>
      </c>
      <c r="C325" s="10">
        <v>0.0</v>
      </c>
      <c r="D325" s="12"/>
      <c r="E325" s="11" t="s">
        <v>413</v>
      </c>
      <c r="F325" s="12"/>
      <c r="G325" s="11" t="s">
        <v>414</v>
      </c>
      <c r="H325" s="12"/>
      <c r="I325" s="11" t="s">
        <v>415</v>
      </c>
      <c r="J325" s="12"/>
    </row>
    <row r="326" ht="14.25" customHeight="1">
      <c r="A326" s="13">
        <v>118.0</v>
      </c>
      <c r="B326" s="14" t="s">
        <v>416</v>
      </c>
      <c r="C326" s="13">
        <v>1.0</v>
      </c>
      <c r="D326" s="15"/>
      <c r="E326" s="14" t="s">
        <v>417</v>
      </c>
      <c r="F326" s="15"/>
      <c r="G326" s="14" t="s">
        <v>418</v>
      </c>
      <c r="H326" s="15"/>
      <c r="I326" s="14" t="s">
        <v>250</v>
      </c>
      <c r="J326" s="15"/>
    </row>
    <row r="327" ht="14.25" customHeight="1">
      <c r="A327" s="10">
        <v>119.0</v>
      </c>
      <c r="B327" s="11" t="s">
        <v>419</v>
      </c>
      <c r="C327" s="10">
        <v>0.0</v>
      </c>
      <c r="D327" s="12"/>
      <c r="E327" s="11" t="s">
        <v>420</v>
      </c>
      <c r="F327" s="12"/>
      <c r="G327" s="11" t="s">
        <v>183</v>
      </c>
      <c r="H327" s="12"/>
      <c r="I327" s="11" t="s">
        <v>250</v>
      </c>
      <c r="J327" s="12"/>
    </row>
    <row r="328" ht="14.25" customHeight="1">
      <c r="A328" s="13">
        <v>120.0</v>
      </c>
      <c r="B328" s="14" t="s">
        <v>421</v>
      </c>
      <c r="C328" s="13">
        <v>0.0</v>
      </c>
      <c r="D328" s="15"/>
      <c r="E328" s="14" t="s">
        <v>395</v>
      </c>
      <c r="F328" s="15"/>
      <c r="G328" s="14" t="s">
        <v>285</v>
      </c>
      <c r="H328" s="15"/>
      <c r="I328" s="14" t="s">
        <v>250</v>
      </c>
      <c r="J328" s="15"/>
    </row>
    <row r="329" ht="14.25" customHeight="1">
      <c r="A329" s="10">
        <v>121.0</v>
      </c>
      <c r="B329" s="11" t="s">
        <v>422</v>
      </c>
      <c r="C329" s="10">
        <v>1.0</v>
      </c>
      <c r="D329" s="12"/>
      <c r="E329" s="11" t="s">
        <v>423</v>
      </c>
      <c r="F329" s="12"/>
      <c r="G329" s="11" t="s">
        <v>424</v>
      </c>
      <c r="H329" s="12"/>
      <c r="I329" s="11" t="s">
        <v>370</v>
      </c>
      <c r="J329" s="12"/>
    </row>
    <row r="330" ht="14.25" customHeight="1">
      <c r="A330" s="13">
        <v>122.0</v>
      </c>
      <c r="B330" s="14" t="s">
        <v>425</v>
      </c>
      <c r="C330" s="13">
        <v>0.0</v>
      </c>
      <c r="D330" s="15"/>
      <c r="E330" s="14" t="s">
        <v>426</v>
      </c>
      <c r="F330" s="15"/>
      <c r="G330" s="14" t="s">
        <v>427</v>
      </c>
      <c r="H330" s="15"/>
      <c r="I330" s="14" t="s">
        <v>428</v>
      </c>
      <c r="J330" s="15"/>
    </row>
    <row r="331" ht="14.25" customHeight="1">
      <c r="A331" s="10">
        <v>123.0</v>
      </c>
      <c r="B331" s="11" t="s">
        <v>429</v>
      </c>
      <c r="C331" s="10">
        <v>0.0</v>
      </c>
      <c r="D331" s="12"/>
      <c r="E331" s="11" t="s">
        <v>397</v>
      </c>
      <c r="F331" s="12"/>
      <c r="G331" s="11" t="s">
        <v>398</v>
      </c>
      <c r="H331" s="12"/>
      <c r="I331" s="11" t="s">
        <v>399</v>
      </c>
      <c r="J331" s="12"/>
    </row>
    <row r="332" ht="14.25" customHeight="1">
      <c r="A332" s="13">
        <v>124.0</v>
      </c>
      <c r="B332" s="14" t="s">
        <v>430</v>
      </c>
      <c r="C332" s="13">
        <v>1.0</v>
      </c>
      <c r="D332" s="15"/>
      <c r="E332" s="14" t="s">
        <v>431</v>
      </c>
      <c r="F332" s="15"/>
      <c r="G332" s="14" t="s">
        <v>432</v>
      </c>
      <c r="H332" s="16" t="s">
        <v>667</v>
      </c>
      <c r="I332" s="14" t="s">
        <v>433</v>
      </c>
      <c r="J332" s="16" t="s">
        <v>668</v>
      </c>
    </row>
    <row r="333" ht="14.25" customHeight="1">
      <c r="A333" s="10">
        <v>125.0</v>
      </c>
      <c r="B333" s="11" t="s">
        <v>434</v>
      </c>
      <c r="C333" s="10">
        <v>0.0</v>
      </c>
      <c r="D333" s="12"/>
      <c r="E333" s="11" t="s">
        <v>391</v>
      </c>
      <c r="F333" s="12"/>
      <c r="G333" s="11" t="s">
        <v>392</v>
      </c>
      <c r="H333" s="12"/>
      <c r="I333" s="11" t="s">
        <v>393</v>
      </c>
      <c r="J333" s="12"/>
    </row>
    <row r="334" ht="14.25" customHeight="1">
      <c r="A334" s="13">
        <v>126.0</v>
      </c>
      <c r="B334" s="14" t="s">
        <v>435</v>
      </c>
      <c r="C334" s="13">
        <v>1.0</v>
      </c>
      <c r="D334" s="15"/>
      <c r="E334" s="14" t="s">
        <v>436</v>
      </c>
      <c r="F334" s="15"/>
      <c r="G334" s="14" t="s">
        <v>285</v>
      </c>
      <c r="H334" s="15"/>
      <c r="I334" s="14" t="s">
        <v>250</v>
      </c>
      <c r="J334" s="15"/>
    </row>
    <row r="335" ht="14.25" customHeight="1">
      <c r="A335" s="10">
        <v>127.0</v>
      </c>
      <c r="B335" s="11" t="s">
        <v>437</v>
      </c>
      <c r="C335" s="10">
        <v>1.0</v>
      </c>
      <c r="D335" s="12"/>
      <c r="E335" s="11" t="s">
        <v>438</v>
      </c>
      <c r="F335" s="12"/>
      <c r="G335" s="11" t="s">
        <v>392</v>
      </c>
      <c r="H335" s="12"/>
      <c r="I335" s="11" t="s">
        <v>439</v>
      </c>
      <c r="J335" s="12"/>
    </row>
    <row r="336" ht="14.25" customHeight="1">
      <c r="A336" s="13">
        <v>128.0</v>
      </c>
      <c r="B336" s="14" t="s">
        <v>440</v>
      </c>
      <c r="C336" s="13">
        <v>0.0</v>
      </c>
      <c r="D336" s="15"/>
      <c r="E336" s="14" t="s">
        <v>395</v>
      </c>
      <c r="F336" s="15"/>
      <c r="G336" s="14" t="s">
        <v>285</v>
      </c>
      <c r="H336" s="15"/>
      <c r="I336" s="14" t="s">
        <v>250</v>
      </c>
      <c r="J336" s="15"/>
    </row>
    <row r="337" ht="14.25" customHeight="1">
      <c r="A337" s="10">
        <v>129.0</v>
      </c>
      <c r="B337" s="11" t="s">
        <v>441</v>
      </c>
      <c r="C337" s="10">
        <v>1.0</v>
      </c>
      <c r="D337" s="12"/>
      <c r="E337" s="11" t="s">
        <v>442</v>
      </c>
      <c r="F337" s="12"/>
      <c r="G337" s="11" t="s">
        <v>443</v>
      </c>
      <c r="H337" s="12"/>
      <c r="I337" s="11" t="s">
        <v>444</v>
      </c>
      <c r="J337" s="12"/>
    </row>
    <row r="338" ht="14.25" customHeight="1">
      <c r="A338" s="13">
        <v>130.0</v>
      </c>
      <c r="B338" s="14" t="s">
        <v>445</v>
      </c>
      <c r="C338" s="13">
        <v>1.0</v>
      </c>
      <c r="D338" s="16" t="s">
        <v>669</v>
      </c>
      <c r="E338" s="14" t="s">
        <v>446</v>
      </c>
      <c r="F338" s="15"/>
      <c r="G338" s="14" t="s">
        <v>447</v>
      </c>
      <c r="H338" s="15"/>
      <c r="I338" s="14" t="s">
        <v>448</v>
      </c>
      <c r="J338" s="15"/>
    </row>
    <row r="339" ht="14.25" customHeight="1">
      <c r="A339" s="10">
        <v>131.0</v>
      </c>
      <c r="B339" s="11" t="s">
        <v>449</v>
      </c>
      <c r="C339" s="10">
        <v>1.0</v>
      </c>
      <c r="D339" s="12"/>
      <c r="E339" s="11" t="s">
        <v>450</v>
      </c>
      <c r="F339" s="12"/>
      <c r="G339" s="11" t="s">
        <v>240</v>
      </c>
      <c r="H339" s="12"/>
      <c r="I339" s="11" t="s">
        <v>415</v>
      </c>
      <c r="J339" s="12"/>
    </row>
    <row r="340" ht="14.25" customHeight="1">
      <c r="A340" s="13">
        <v>132.0</v>
      </c>
      <c r="B340" s="14" t="s">
        <v>451</v>
      </c>
      <c r="C340" s="13">
        <v>0.0</v>
      </c>
      <c r="D340" s="15"/>
      <c r="E340" s="14" t="s">
        <v>452</v>
      </c>
      <c r="F340" s="15"/>
      <c r="G340" s="14" t="s">
        <v>386</v>
      </c>
      <c r="H340" s="15"/>
      <c r="I340" s="14" t="s">
        <v>399</v>
      </c>
      <c r="J340" s="15"/>
    </row>
    <row r="341" ht="14.25" customHeight="1">
      <c r="A341" s="10">
        <v>133.0</v>
      </c>
      <c r="B341" s="11" t="s">
        <v>453</v>
      </c>
      <c r="C341" s="10">
        <v>0.0</v>
      </c>
      <c r="D341" s="12"/>
      <c r="E341" s="11" t="s">
        <v>454</v>
      </c>
      <c r="F341" s="12"/>
      <c r="G341" s="11" t="s">
        <v>455</v>
      </c>
      <c r="H341" s="12"/>
      <c r="I341" s="11" t="s">
        <v>456</v>
      </c>
      <c r="J341" s="12"/>
    </row>
    <row r="342" ht="14.25" customHeight="1">
      <c r="A342" s="13">
        <v>134.0</v>
      </c>
      <c r="B342" s="14" t="s">
        <v>457</v>
      </c>
      <c r="C342" s="13">
        <v>0.0</v>
      </c>
      <c r="D342" s="15"/>
      <c r="E342" s="14" t="s">
        <v>458</v>
      </c>
      <c r="F342" s="15"/>
      <c r="G342" s="14" t="s">
        <v>285</v>
      </c>
      <c r="H342" s="15"/>
      <c r="I342" s="14" t="s">
        <v>250</v>
      </c>
      <c r="J342" s="15"/>
    </row>
    <row r="343" ht="14.25" customHeight="1">
      <c r="A343" s="10">
        <v>135.0</v>
      </c>
      <c r="B343" s="11" t="s">
        <v>459</v>
      </c>
      <c r="C343" s="10">
        <v>1.0</v>
      </c>
      <c r="D343" s="12"/>
      <c r="E343" s="11" t="s">
        <v>460</v>
      </c>
      <c r="F343" s="12"/>
      <c r="G343" s="11" t="s">
        <v>461</v>
      </c>
      <c r="H343" s="12"/>
      <c r="I343" s="11" t="s">
        <v>444</v>
      </c>
      <c r="J343" s="12"/>
    </row>
    <row r="344" ht="14.25" customHeight="1">
      <c r="A344" s="13">
        <v>136.0</v>
      </c>
      <c r="B344" s="14" t="s">
        <v>462</v>
      </c>
      <c r="C344" s="13">
        <v>0.0</v>
      </c>
      <c r="D344" s="15"/>
      <c r="E344" s="14" t="s">
        <v>463</v>
      </c>
      <c r="F344" s="15"/>
      <c r="G344" s="14" t="s">
        <v>369</v>
      </c>
      <c r="H344" s="15"/>
      <c r="I344" s="14" t="s">
        <v>433</v>
      </c>
      <c r="J344" s="15"/>
    </row>
    <row r="345" ht="14.25" customHeight="1">
      <c r="A345" s="10">
        <v>137.0</v>
      </c>
      <c r="B345" s="11" t="s">
        <v>464</v>
      </c>
      <c r="C345" s="10">
        <v>0.0</v>
      </c>
      <c r="D345" s="12"/>
      <c r="E345" s="11" t="s">
        <v>465</v>
      </c>
      <c r="F345" s="12"/>
      <c r="G345" s="11" t="s">
        <v>455</v>
      </c>
      <c r="H345" s="12"/>
      <c r="I345" s="11" t="s">
        <v>466</v>
      </c>
      <c r="J345" s="12"/>
    </row>
    <row r="346" ht="14.25" customHeight="1">
      <c r="A346" s="13">
        <v>138.0</v>
      </c>
      <c r="B346" s="14" t="s">
        <v>467</v>
      </c>
      <c r="C346" s="13">
        <v>1.0</v>
      </c>
      <c r="D346" s="15"/>
      <c r="E346" s="14" t="s">
        <v>468</v>
      </c>
      <c r="F346" s="15"/>
      <c r="G346" s="14" t="s">
        <v>469</v>
      </c>
      <c r="H346" s="16" t="s">
        <v>667</v>
      </c>
      <c r="I346" s="14" t="s">
        <v>415</v>
      </c>
      <c r="J346" s="16" t="s">
        <v>668</v>
      </c>
    </row>
    <row r="347" ht="14.25" customHeight="1">
      <c r="A347" s="10">
        <v>139.0</v>
      </c>
      <c r="B347" s="11" t="s">
        <v>470</v>
      </c>
      <c r="C347" s="10">
        <v>0.0</v>
      </c>
      <c r="D347" s="12"/>
      <c r="E347" s="11" t="s">
        <v>471</v>
      </c>
      <c r="F347" s="12"/>
      <c r="G347" s="11" t="s">
        <v>472</v>
      </c>
      <c r="H347" s="12"/>
      <c r="I347" s="11" t="s">
        <v>473</v>
      </c>
      <c r="J347" s="12"/>
    </row>
    <row r="348" ht="14.25" customHeight="1">
      <c r="A348" s="13">
        <v>140.0</v>
      </c>
      <c r="B348" s="14" t="s">
        <v>474</v>
      </c>
      <c r="C348" s="13">
        <v>0.0</v>
      </c>
      <c r="D348" s="15"/>
      <c r="E348" s="14" t="s">
        <v>395</v>
      </c>
      <c r="F348" s="15"/>
      <c r="G348" s="14" t="s">
        <v>285</v>
      </c>
      <c r="H348" s="15"/>
      <c r="I348" s="14" t="s">
        <v>250</v>
      </c>
      <c r="J348" s="15"/>
    </row>
    <row r="349" ht="14.25" customHeight="1">
      <c r="A349" s="10">
        <v>141.0</v>
      </c>
      <c r="B349" s="11" t="s">
        <v>475</v>
      </c>
      <c r="C349" s="10">
        <v>0.0</v>
      </c>
      <c r="D349" s="12"/>
      <c r="E349" s="11" t="s">
        <v>476</v>
      </c>
      <c r="F349" s="12"/>
      <c r="G349" s="11" t="s">
        <v>477</v>
      </c>
      <c r="H349" s="12"/>
      <c r="I349" s="11" t="s">
        <v>478</v>
      </c>
      <c r="J349" s="12"/>
    </row>
    <row r="350" ht="14.25" customHeight="1">
      <c r="A350" s="13">
        <v>142.0</v>
      </c>
      <c r="B350" s="14" t="s">
        <v>479</v>
      </c>
      <c r="C350" s="13">
        <v>0.0</v>
      </c>
      <c r="D350" s="15"/>
      <c r="E350" s="14" t="s">
        <v>480</v>
      </c>
      <c r="F350" s="15"/>
      <c r="G350" s="14" t="s">
        <v>427</v>
      </c>
      <c r="H350" s="15"/>
      <c r="I350" s="14" t="s">
        <v>428</v>
      </c>
      <c r="J350" s="15"/>
    </row>
    <row r="351" ht="14.25" customHeight="1">
      <c r="A351" s="10">
        <v>143.0</v>
      </c>
      <c r="B351" s="11" t="s">
        <v>481</v>
      </c>
      <c r="C351" s="10">
        <v>0.0</v>
      </c>
      <c r="D351" s="12"/>
      <c r="E351" s="11" t="s">
        <v>482</v>
      </c>
      <c r="F351" s="12"/>
      <c r="G351" s="11" t="s">
        <v>483</v>
      </c>
      <c r="H351" s="12"/>
      <c r="I351" s="11" t="s">
        <v>484</v>
      </c>
      <c r="J351" s="12"/>
    </row>
    <row r="352" ht="14.25" customHeight="1">
      <c r="A352" s="13">
        <v>144.0</v>
      </c>
      <c r="B352" s="14" t="s">
        <v>485</v>
      </c>
      <c r="C352" s="13">
        <v>0.0</v>
      </c>
      <c r="D352" s="15"/>
      <c r="E352" s="14" t="s">
        <v>486</v>
      </c>
      <c r="F352" s="15"/>
      <c r="G352" s="14" t="s">
        <v>285</v>
      </c>
      <c r="H352" s="15"/>
      <c r="I352" s="14" t="s">
        <v>433</v>
      </c>
      <c r="J352" s="15"/>
    </row>
    <row r="353" ht="14.25" customHeight="1">
      <c r="A353" s="10">
        <v>145.0</v>
      </c>
      <c r="B353" s="11" t="s">
        <v>487</v>
      </c>
      <c r="C353" s="10">
        <v>1.0</v>
      </c>
      <c r="D353" s="12"/>
      <c r="E353" s="11" t="s">
        <v>488</v>
      </c>
      <c r="F353" s="12"/>
      <c r="G353" s="11" t="s">
        <v>489</v>
      </c>
      <c r="H353" s="12"/>
      <c r="I353" s="11" t="s">
        <v>490</v>
      </c>
      <c r="J353" s="12"/>
    </row>
    <row r="354" ht="14.25" customHeight="1">
      <c r="A354" s="13">
        <v>146.0</v>
      </c>
      <c r="B354" s="14" t="s">
        <v>491</v>
      </c>
      <c r="C354" s="13">
        <v>0.0</v>
      </c>
      <c r="D354" s="15"/>
      <c r="E354" s="14" t="s">
        <v>492</v>
      </c>
      <c r="F354" s="15"/>
      <c r="G354" s="14" t="s">
        <v>183</v>
      </c>
      <c r="H354" s="15"/>
      <c r="I354" s="14" t="s">
        <v>493</v>
      </c>
      <c r="J354" s="15"/>
    </row>
    <row r="355" ht="14.25" customHeight="1">
      <c r="A355" s="10">
        <v>147.0</v>
      </c>
      <c r="B355" s="11" t="s">
        <v>494</v>
      </c>
      <c r="C355" s="10">
        <v>0.0</v>
      </c>
      <c r="D355" s="12"/>
      <c r="E355" s="11" t="s">
        <v>495</v>
      </c>
      <c r="F355" s="12"/>
      <c r="G355" s="11" t="s">
        <v>496</v>
      </c>
      <c r="H355" s="12"/>
      <c r="I355" s="11" t="s">
        <v>497</v>
      </c>
      <c r="J355" s="12"/>
    </row>
    <row r="356" ht="14.25" customHeight="1">
      <c r="A356" s="13">
        <v>148.0</v>
      </c>
      <c r="B356" s="14" t="s">
        <v>441</v>
      </c>
      <c r="C356" s="13">
        <v>1.0</v>
      </c>
      <c r="D356" s="15"/>
      <c r="E356" s="14" t="s">
        <v>498</v>
      </c>
      <c r="F356" s="15"/>
      <c r="G356" s="14" t="s">
        <v>443</v>
      </c>
      <c r="H356" s="15"/>
      <c r="I356" s="14" t="s">
        <v>444</v>
      </c>
      <c r="J356" s="15"/>
    </row>
    <row r="357" ht="14.25" customHeight="1">
      <c r="A357" s="10">
        <v>149.0</v>
      </c>
      <c r="B357" s="11" t="s">
        <v>499</v>
      </c>
      <c r="C357" s="10">
        <v>0.0</v>
      </c>
      <c r="D357" s="12"/>
      <c r="E357" s="11" t="s">
        <v>500</v>
      </c>
      <c r="F357" s="12"/>
      <c r="G357" s="11" t="s">
        <v>285</v>
      </c>
      <c r="H357" s="12"/>
      <c r="I357" s="11" t="s">
        <v>250</v>
      </c>
      <c r="J357" s="12"/>
    </row>
    <row r="358" ht="14.25" customHeight="1">
      <c r="A358" s="13">
        <v>150.0</v>
      </c>
      <c r="B358" s="14" t="s">
        <v>501</v>
      </c>
      <c r="C358" s="13">
        <v>0.0</v>
      </c>
      <c r="D358" s="15"/>
      <c r="E358" s="14" t="s">
        <v>502</v>
      </c>
      <c r="F358" s="15"/>
      <c r="G358" s="14" t="s">
        <v>503</v>
      </c>
      <c r="H358" s="15"/>
      <c r="I358" s="14" t="s">
        <v>456</v>
      </c>
      <c r="J358" s="15"/>
    </row>
    <row r="359" ht="14.25" customHeight="1">
      <c r="A359" s="10">
        <v>151.0</v>
      </c>
      <c r="B359" s="11" t="s">
        <v>504</v>
      </c>
      <c r="C359" s="10">
        <v>0.0</v>
      </c>
      <c r="D359" s="12"/>
      <c r="E359" s="11" t="s">
        <v>505</v>
      </c>
      <c r="F359" s="12"/>
      <c r="G359" s="11" t="s">
        <v>443</v>
      </c>
      <c r="H359" s="12"/>
      <c r="I359" s="11" t="s">
        <v>506</v>
      </c>
      <c r="J359" s="12"/>
    </row>
    <row r="360" ht="14.25" customHeight="1">
      <c r="A360" s="13">
        <v>152.0</v>
      </c>
      <c r="B360" s="14" t="s">
        <v>507</v>
      </c>
      <c r="C360" s="13">
        <v>1.0</v>
      </c>
      <c r="D360" s="15"/>
      <c r="E360" s="14" t="s">
        <v>486</v>
      </c>
      <c r="F360" s="15"/>
      <c r="G360" s="14" t="s">
        <v>285</v>
      </c>
      <c r="H360" s="15"/>
      <c r="I360" s="14" t="s">
        <v>250</v>
      </c>
      <c r="J360" s="15"/>
    </row>
    <row r="361" ht="14.25" customHeight="1">
      <c r="A361" s="10">
        <v>153.0</v>
      </c>
      <c r="B361" s="11" t="s">
        <v>508</v>
      </c>
      <c r="C361" s="10">
        <v>0.0</v>
      </c>
      <c r="D361" s="12"/>
      <c r="E361" s="11" t="s">
        <v>509</v>
      </c>
      <c r="F361" s="12"/>
      <c r="G361" s="11" t="s">
        <v>510</v>
      </c>
      <c r="H361" s="12"/>
      <c r="I361" s="11" t="s">
        <v>511</v>
      </c>
      <c r="J361" s="12"/>
    </row>
    <row r="362" ht="14.25" customHeight="1">
      <c r="A362" s="13">
        <v>154.0</v>
      </c>
      <c r="B362" s="14" t="s">
        <v>512</v>
      </c>
      <c r="C362" s="13">
        <v>0.0</v>
      </c>
      <c r="D362" s="15"/>
      <c r="E362" s="14" t="s">
        <v>513</v>
      </c>
      <c r="F362" s="15"/>
      <c r="G362" s="14" t="s">
        <v>514</v>
      </c>
      <c r="H362" s="15"/>
      <c r="I362" s="14" t="s">
        <v>515</v>
      </c>
      <c r="J362" s="15"/>
    </row>
    <row r="363" ht="14.25" customHeight="1">
      <c r="A363" s="10">
        <v>155.0</v>
      </c>
      <c r="B363" s="11" t="s">
        <v>516</v>
      </c>
      <c r="C363" s="10">
        <v>1.0</v>
      </c>
      <c r="D363" s="17" t="s">
        <v>670</v>
      </c>
      <c r="E363" s="11" t="s">
        <v>517</v>
      </c>
      <c r="F363" s="12"/>
      <c r="G363" s="11" t="s">
        <v>240</v>
      </c>
      <c r="H363" s="12"/>
      <c r="I363" s="11" t="s">
        <v>261</v>
      </c>
      <c r="J363" s="12"/>
    </row>
    <row r="364" ht="14.25" customHeight="1">
      <c r="A364" s="13">
        <v>156.0</v>
      </c>
      <c r="B364" s="14" t="s">
        <v>518</v>
      </c>
      <c r="C364" s="13">
        <v>1.0</v>
      </c>
      <c r="D364" s="15"/>
      <c r="E364" s="14" t="s">
        <v>519</v>
      </c>
      <c r="F364" s="15"/>
      <c r="G364" s="14" t="s">
        <v>520</v>
      </c>
      <c r="H364" s="16" t="s">
        <v>667</v>
      </c>
      <c r="I364" s="14" t="s">
        <v>521</v>
      </c>
      <c r="J364" s="16" t="s">
        <v>668</v>
      </c>
    </row>
    <row r="365" ht="14.25" customHeight="1">
      <c r="A365" s="10">
        <v>157.0</v>
      </c>
      <c r="B365" s="11" t="s">
        <v>522</v>
      </c>
      <c r="C365" s="10">
        <v>0.0</v>
      </c>
      <c r="D365" s="12"/>
      <c r="E365" s="11" t="s">
        <v>523</v>
      </c>
      <c r="F365" s="12"/>
      <c r="G365" s="11" t="s">
        <v>285</v>
      </c>
      <c r="H365" s="12"/>
      <c r="I365" s="11" t="s">
        <v>250</v>
      </c>
      <c r="J365" s="12"/>
    </row>
    <row r="366" ht="14.25" customHeight="1">
      <c r="A366" s="13">
        <v>158.0</v>
      </c>
      <c r="B366" s="14" t="s">
        <v>524</v>
      </c>
      <c r="C366" s="13">
        <v>0.0</v>
      </c>
      <c r="D366" s="15"/>
      <c r="E366" s="14" t="s">
        <v>525</v>
      </c>
      <c r="F366" s="15"/>
      <c r="G366" s="14" t="s">
        <v>526</v>
      </c>
      <c r="H366" s="15"/>
      <c r="I366" s="14" t="s">
        <v>448</v>
      </c>
      <c r="J366" s="15"/>
    </row>
    <row r="367" ht="14.25" customHeight="1">
      <c r="A367" s="10">
        <v>159.0</v>
      </c>
      <c r="B367" s="11" t="s">
        <v>527</v>
      </c>
      <c r="C367" s="10">
        <v>0.0</v>
      </c>
      <c r="D367" s="12"/>
      <c r="E367" s="11" t="s">
        <v>528</v>
      </c>
      <c r="F367" s="12"/>
      <c r="G367" s="11" t="s">
        <v>432</v>
      </c>
      <c r="H367" s="12"/>
      <c r="I367" s="11" t="s">
        <v>415</v>
      </c>
      <c r="J367" s="12"/>
    </row>
    <row r="368" ht="14.25" customHeight="1">
      <c r="A368" s="13">
        <v>160.0</v>
      </c>
      <c r="B368" s="14" t="s">
        <v>529</v>
      </c>
      <c r="C368" s="13">
        <v>0.0</v>
      </c>
      <c r="D368" s="15"/>
      <c r="E368" s="14" t="s">
        <v>530</v>
      </c>
      <c r="F368" s="15"/>
      <c r="G368" s="14" t="s">
        <v>531</v>
      </c>
      <c r="H368" s="15"/>
      <c r="I368" s="14" t="s">
        <v>532</v>
      </c>
      <c r="J368" s="15"/>
    </row>
    <row r="369" ht="14.25" customHeight="1">
      <c r="A369" s="10">
        <v>161.0</v>
      </c>
      <c r="B369" s="11" t="s">
        <v>533</v>
      </c>
      <c r="C369" s="10">
        <v>1.0</v>
      </c>
      <c r="D369" s="12"/>
      <c r="E369" s="11" t="s">
        <v>534</v>
      </c>
      <c r="F369" s="12"/>
      <c r="G369" s="11" t="s">
        <v>229</v>
      </c>
      <c r="H369" s="12"/>
      <c r="I369" s="11" t="s">
        <v>535</v>
      </c>
      <c r="J369" s="12"/>
    </row>
    <row r="370" ht="14.25" customHeight="1">
      <c r="A370" s="13">
        <v>162.0</v>
      </c>
      <c r="B370" s="14" t="s">
        <v>536</v>
      </c>
      <c r="C370" s="13">
        <v>0.0</v>
      </c>
      <c r="D370" s="15"/>
      <c r="E370" s="14" t="s">
        <v>537</v>
      </c>
      <c r="F370" s="15"/>
      <c r="G370" s="14" t="s">
        <v>285</v>
      </c>
      <c r="H370" s="15"/>
      <c r="I370" s="14" t="s">
        <v>250</v>
      </c>
      <c r="J370" s="15"/>
    </row>
    <row r="371" ht="14.25" customHeight="1">
      <c r="A371" s="10">
        <v>163.0</v>
      </c>
      <c r="B371" s="11" t="s">
        <v>538</v>
      </c>
      <c r="C371" s="10">
        <v>0.0</v>
      </c>
      <c r="D371" s="12"/>
      <c r="E371" s="11" t="s">
        <v>539</v>
      </c>
      <c r="F371" s="12"/>
      <c r="G371" s="11" t="s">
        <v>540</v>
      </c>
      <c r="H371" s="12"/>
      <c r="I371" s="11" t="s">
        <v>541</v>
      </c>
      <c r="J371" s="12"/>
    </row>
    <row r="372" ht="14.25" customHeight="1">
      <c r="A372" s="13">
        <v>164.0</v>
      </c>
      <c r="B372" s="14" t="s">
        <v>542</v>
      </c>
      <c r="C372" s="13">
        <v>1.0</v>
      </c>
      <c r="D372" s="15"/>
      <c r="E372" s="14" t="s">
        <v>543</v>
      </c>
      <c r="F372" s="15"/>
      <c r="G372" s="14" t="s">
        <v>340</v>
      </c>
      <c r="H372" s="15"/>
      <c r="I372" s="14" t="s">
        <v>433</v>
      </c>
      <c r="J372" s="15"/>
    </row>
    <row r="373" ht="14.25" customHeight="1">
      <c r="A373" s="10">
        <v>165.0</v>
      </c>
      <c r="B373" s="11" t="s">
        <v>544</v>
      </c>
      <c r="C373" s="10">
        <v>0.0</v>
      </c>
      <c r="D373" s="12"/>
      <c r="E373" s="11" t="s">
        <v>545</v>
      </c>
      <c r="F373" s="12"/>
      <c r="G373" s="11" t="s">
        <v>546</v>
      </c>
      <c r="H373" s="12"/>
      <c r="I373" s="11" t="s">
        <v>490</v>
      </c>
      <c r="J373" s="12"/>
    </row>
    <row r="374" ht="14.25" customHeight="1">
      <c r="A374" s="13">
        <v>166.0</v>
      </c>
      <c r="B374" s="14" t="s">
        <v>547</v>
      </c>
      <c r="C374" s="13">
        <v>1.0</v>
      </c>
      <c r="D374" s="15"/>
      <c r="E374" s="14" t="s">
        <v>517</v>
      </c>
      <c r="F374" s="15"/>
      <c r="G374" s="14" t="s">
        <v>240</v>
      </c>
      <c r="H374" s="15"/>
      <c r="I374" s="14" t="s">
        <v>250</v>
      </c>
      <c r="J374" s="15"/>
    </row>
    <row r="375" ht="14.25" customHeight="1">
      <c r="A375" s="10">
        <v>167.0</v>
      </c>
      <c r="B375" s="11" t="s">
        <v>548</v>
      </c>
      <c r="C375" s="10">
        <v>0.0</v>
      </c>
      <c r="D375" s="12"/>
      <c r="E375" s="11" t="s">
        <v>549</v>
      </c>
      <c r="F375" s="12"/>
      <c r="G375" s="11" t="s">
        <v>550</v>
      </c>
      <c r="H375" s="12"/>
      <c r="I375" s="11" t="s">
        <v>551</v>
      </c>
      <c r="J375" s="12"/>
    </row>
    <row r="376" ht="14.25" customHeight="1">
      <c r="A376" s="13">
        <v>168.0</v>
      </c>
      <c r="B376" s="14" t="s">
        <v>552</v>
      </c>
      <c r="C376" s="13">
        <v>0.0</v>
      </c>
      <c r="D376" s="15"/>
      <c r="E376" s="14" t="s">
        <v>553</v>
      </c>
      <c r="F376" s="15"/>
      <c r="G376" s="14" t="s">
        <v>554</v>
      </c>
      <c r="H376" s="15"/>
      <c r="I376" s="14" t="s">
        <v>555</v>
      </c>
      <c r="J376" s="15"/>
    </row>
    <row r="377" ht="14.25" customHeight="1">
      <c r="A377" s="10">
        <v>169.0</v>
      </c>
      <c r="B377" s="11" t="s">
        <v>556</v>
      </c>
      <c r="C377" s="10">
        <v>0.0</v>
      </c>
      <c r="D377" s="12"/>
      <c r="E377" s="11" t="s">
        <v>557</v>
      </c>
      <c r="F377" s="12"/>
      <c r="G377" s="11" t="s">
        <v>558</v>
      </c>
      <c r="H377" s="12"/>
      <c r="I377" s="11" t="s">
        <v>559</v>
      </c>
      <c r="J377" s="12"/>
    </row>
    <row r="378" ht="14.25" customHeight="1">
      <c r="A378" s="13">
        <v>170.0</v>
      </c>
      <c r="B378" s="14" t="s">
        <v>560</v>
      </c>
      <c r="C378" s="13">
        <v>1.0</v>
      </c>
      <c r="D378" s="15"/>
      <c r="E378" s="14" t="s">
        <v>488</v>
      </c>
      <c r="F378" s="15"/>
      <c r="G378" s="14" t="s">
        <v>489</v>
      </c>
      <c r="H378" s="15"/>
      <c r="I378" s="14" t="s">
        <v>561</v>
      </c>
      <c r="J378" s="15"/>
    </row>
    <row r="379" ht="14.25" customHeight="1">
      <c r="A379" s="10">
        <v>171.0</v>
      </c>
      <c r="B379" s="11" t="s">
        <v>562</v>
      </c>
      <c r="C379" s="10">
        <v>0.0</v>
      </c>
      <c r="D379" s="12"/>
      <c r="E379" s="11" t="s">
        <v>563</v>
      </c>
      <c r="F379" s="12"/>
      <c r="G379" s="11" t="s">
        <v>285</v>
      </c>
      <c r="H379" s="12"/>
      <c r="I379" s="11" t="s">
        <v>433</v>
      </c>
      <c r="J379" s="12"/>
    </row>
    <row r="380" ht="14.25" customHeight="1">
      <c r="A380" s="13">
        <v>172.0</v>
      </c>
      <c r="B380" s="14" t="s">
        <v>564</v>
      </c>
      <c r="C380" s="13">
        <v>0.0</v>
      </c>
      <c r="D380" s="15"/>
      <c r="E380" s="14" t="s">
        <v>565</v>
      </c>
      <c r="F380" s="15"/>
      <c r="G380" s="14" t="s">
        <v>285</v>
      </c>
      <c r="H380" s="15"/>
      <c r="I380" s="14" t="s">
        <v>433</v>
      </c>
      <c r="J380" s="15"/>
    </row>
    <row r="381" ht="14.25" customHeight="1">
      <c r="A381" s="10">
        <v>173.0</v>
      </c>
      <c r="B381" s="11" t="s">
        <v>566</v>
      </c>
      <c r="C381" s="10">
        <v>0.0</v>
      </c>
      <c r="D381" s="12"/>
      <c r="E381" s="11" t="s">
        <v>567</v>
      </c>
      <c r="F381" s="12"/>
      <c r="G381" s="11" t="s">
        <v>568</v>
      </c>
      <c r="H381" s="12"/>
      <c r="I381" s="11" t="s">
        <v>569</v>
      </c>
      <c r="J381" s="12"/>
    </row>
    <row r="382" ht="14.25" customHeight="1">
      <c r="A382" s="13">
        <v>174.0</v>
      </c>
      <c r="B382" s="14" t="s">
        <v>570</v>
      </c>
      <c r="C382" s="13">
        <v>1.0</v>
      </c>
      <c r="D382" s="16" t="s">
        <v>671</v>
      </c>
      <c r="E382" s="14" t="s">
        <v>571</v>
      </c>
      <c r="F382" s="15"/>
      <c r="G382" s="14" t="s">
        <v>572</v>
      </c>
      <c r="H382" s="15"/>
      <c r="I382" s="14" t="s">
        <v>493</v>
      </c>
      <c r="J382" s="15"/>
    </row>
    <row r="383" ht="14.25" customHeight="1">
      <c r="A383" s="10">
        <v>175.0</v>
      </c>
      <c r="B383" s="11" t="s">
        <v>573</v>
      </c>
      <c r="C383" s="10">
        <v>0.0</v>
      </c>
      <c r="D383" s="12"/>
      <c r="E383" s="11" t="s">
        <v>574</v>
      </c>
      <c r="F383" s="12"/>
      <c r="G383" s="11" t="s">
        <v>319</v>
      </c>
      <c r="H383" s="12"/>
      <c r="I383" s="11" t="s">
        <v>456</v>
      </c>
      <c r="J383" s="12"/>
    </row>
    <row r="384" ht="14.25" customHeight="1">
      <c r="A384" s="13">
        <v>176.0</v>
      </c>
      <c r="B384" s="14" t="s">
        <v>575</v>
      </c>
      <c r="C384" s="13">
        <v>0.0</v>
      </c>
      <c r="D384" s="15"/>
      <c r="E384" s="14" t="s">
        <v>576</v>
      </c>
      <c r="F384" s="15"/>
      <c r="G384" s="14" t="s">
        <v>577</v>
      </c>
      <c r="H384" s="15"/>
      <c r="I384" s="14" t="s">
        <v>261</v>
      </c>
      <c r="J384" s="15"/>
    </row>
    <row r="385" ht="14.25" customHeight="1">
      <c r="A385" s="10">
        <v>177.0</v>
      </c>
      <c r="B385" s="11" t="s">
        <v>578</v>
      </c>
      <c r="C385" s="10">
        <v>0.0</v>
      </c>
      <c r="D385" s="12"/>
      <c r="E385" s="11" t="s">
        <v>579</v>
      </c>
      <c r="F385" s="12"/>
      <c r="G385" s="11" t="s">
        <v>580</v>
      </c>
      <c r="H385" s="12"/>
      <c r="I385" s="11" t="s">
        <v>581</v>
      </c>
      <c r="J385" s="12"/>
    </row>
    <row r="386" ht="14.25" customHeight="1">
      <c r="A386" s="13">
        <v>178.0</v>
      </c>
      <c r="B386" s="14" t="s">
        <v>582</v>
      </c>
      <c r="C386" s="13">
        <v>0.0</v>
      </c>
      <c r="D386" s="15"/>
      <c r="E386" s="14" t="s">
        <v>583</v>
      </c>
      <c r="F386" s="15"/>
      <c r="G386" s="14" t="s">
        <v>584</v>
      </c>
      <c r="H386" s="15"/>
      <c r="I386" s="14" t="s">
        <v>585</v>
      </c>
      <c r="J386" s="15"/>
    </row>
    <row r="387" ht="14.25" customHeight="1">
      <c r="A387" s="10">
        <v>179.0</v>
      </c>
      <c r="B387" s="11" t="s">
        <v>586</v>
      </c>
      <c r="C387" s="10">
        <v>0.0</v>
      </c>
      <c r="D387" s="12"/>
      <c r="E387" s="11" t="s">
        <v>587</v>
      </c>
      <c r="F387" s="12"/>
      <c r="G387" s="11" t="s">
        <v>588</v>
      </c>
      <c r="H387" s="12"/>
      <c r="I387" s="11" t="s">
        <v>589</v>
      </c>
      <c r="J387" s="12"/>
    </row>
    <row r="388" ht="14.25" customHeight="1">
      <c r="A388" s="13">
        <v>180.0</v>
      </c>
      <c r="B388" s="14" t="s">
        <v>590</v>
      </c>
      <c r="C388" s="13">
        <v>0.0</v>
      </c>
      <c r="D388" s="15"/>
      <c r="E388" s="14" t="s">
        <v>591</v>
      </c>
      <c r="F388" s="15"/>
      <c r="G388" s="14" t="s">
        <v>592</v>
      </c>
      <c r="H388" s="15"/>
      <c r="I388" s="14" t="s">
        <v>593</v>
      </c>
      <c r="J388" s="15"/>
    </row>
    <row r="389" ht="14.25" customHeight="1">
      <c r="A389" s="10">
        <v>181.0</v>
      </c>
      <c r="B389" s="11" t="s">
        <v>594</v>
      </c>
      <c r="C389" s="10">
        <v>0.0</v>
      </c>
      <c r="D389" s="12"/>
      <c r="E389" s="11" t="s">
        <v>595</v>
      </c>
      <c r="F389" s="12"/>
      <c r="G389" s="11" t="s">
        <v>596</v>
      </c>
      <c r="H389" s="12"/>
      <c r="I389" s="11" t="s">
        <v>433</v>
      </c>
      <c r="J389" s="12"/>
    </row>
    <row r="390" ht="14.25" customHeight="1">
      <c r="A390" s="13">
        <v>182.0</v>
      </c>
      <c r="B390" s="14" t="s">
        <v>597</v>
      </c>
      <c r="C390" s="13">
        <v>1.0</v>
      </c>
      <c r="D390" s="15"/>
      <c r="E390" s="14" t="s">
        <v>598</v>
      </c>
      <c r="F390" s="15"/>
      <c r="G390" s="14" t="s">
        <v>599</v>
      </c>
      <c r="H390" s="15"/>
      <c r="I390" s="14" t="s">
        <v>250</v>
      </c>
      <c r="J390" s="15"/>
    </row>
    <row r="391" ht="14.25" customHeight="1">
      <c r="A391" s="10">
        <v>183.0</v>
      </c>
      <c r="B391" s="11" t="s">
        <v>600</v>
      </c>
      <c r="C391" s="10">
        <v>0.0</v>
      </c>
      <c r="D391" s="12"/>
      <c r="E391" s="11" t="s">
        <v>601</v>
      </c>
      <c r="F391" s="12"/>
      <c r="G391" s="11" t="s">
        <v>602</v>
      </c>
      <c r="H391" s="12"/>
      <c r="I391" s="11" t="s">
        <v>603</v>
      </c>
      <c r="J391" s="12"/>
    </row>
    <row r="392" ht="14.25" customHeight="1">
      <c r="A392" s="13">
        <v>184.0</v>
      </c>
      <c r="B392" s="14" t="s">
        <v>604</v>
      </c>
      <c r="C392" s="13">
        <v>0.0</v>
      </c>
      <c r="D392" s="15"/>
      <c r="E392" s="14" t="s">
        <v>486</v>
      </c>
      <c r="F392" s="15"/>
      <c r="G392" s="14" t="s">
        <v>285</v>
      </c>
      <c r="H392" s="15"/>
      <c r="I392" s="14" t="s">
        <v>250</v>
      </c>
      <c r="J392" s="15"/>
    </row>
    <row r="393" ht="14.25" customHeight="1">
      <c r="A393" s="10">
        <v>185.0</v>
      </c>
      <c r="B393" s="11" t="s">
        <v>605</v>
      </c>
      <c r="C393" s="10">
        <v>0.0</v>
      </c>
      <c r="D393" s="12"/>
      <c r="E393" s="11" t="s">
        <v>606</v>
      </c>
      <c r="F393" s="12"/>
      <c r="G393" s="11" t="s">
        <v>607</v>
      </c>
      <c r="H393" s="12"/>
      <c r="I393" s="11" t="s">
        <v>608</v>
      </c>
      <c r="J393" s="12"/>
    </row>
    <row r="394" ht="14.25" customHeight="1">
      <c r="A394" s="13">
        <v>186.0</v>
      </c>
      <c r="B394" s="14" t="s">
        <v>609</v>
      </c>
      <c r="C394" s="13">
        <v>0.0</v>
      </c>
      <c r="D394" s="15"/>
      <c r="E394" s="14" t="s">
        <v>610</v>
      </c>
      <c r="F394" s="15"/>
      <c r="G394" s="14" t="s">
        <v>611</v>
      </c>
      <c r="H394" s="15"/>
      <c r="I394" s="14" t="s">
        <v>612</v>
      </c>
      <c r="J394" s="15"/>
    </row>
    <row r="395" ht="14.25" customHeight="1">
      <c r="A395" s="10">
        <v>187.0</v>
      </c>
      <c r="B395" s="11" t="s">
        <v>613</v>
      </c>
      <c r="C395" s="10">
        <v>0.0</v>
      </c>
      <c r="D395" s="12"/>
      <c r="E395" s="11" t="s">
        <v>614</v>
      </c>
      <c r="F395" s="12"/>
      <c r="G395" s="11" t="s">
        <v>319</v>
      </c>
      <c r="H395" s="12"/>
      <c r="I395" s="11" t="s">
        <v>456</v>
      </c>
      <c r="J395" s="12"/>
    </row>
    <row r="396" ht="14.25" customHeight="1">
      <c r="A396" s="13">
        <v>188.0</v>
      </c>
      <c r="B396" s="14" t="s">
        <v>615</v>
      </c>
      <c r="C396" s="13">
        <v>1.0</v>
      </c>
      <c r="D396" s="15"/>
      <c r="E396" s="14" t="s">
        <v>616</v>
      </c>
      <c r="F396" s="15"/>
      <c r="G396" s="14" t="s">
        <v>43</v>
      </c>
      <c r="H396" s="15"/>
      <c r="I396" s="14" t="s">
        <v>617</v>
      </c>
      <c r="J396" s="15"/>
    </row>
    <row r="397" ht="14.25" customHeight="1">
      <c r="A397" s="10">
        <v>189.0</v>
      </c>
      <c r="B397" s="11" t="s">
        <v>618</v>
      </c>
      <c r="C397" s="10">
        <v>0.0</v>
      </c>
      <c r="D397" s="12"/>
      <c r="E397" s="11" t="s">
        <v>619</v>
      </c>
      <c r="F397" s="12"/>
      <c r="G397" s="11" t="s">
        <v>620</v>
      </c>
      <c r="H397" s="12"/>
      <c r="I397" s="11" t="s">
        <v>621</v>
      </c>
      <c r="J397" s="12"/>
    </row>
    <row r="398" ht="14.25" customHeight="1">
      <c r="A398" s="13">
        <v>190.0</v>
      </c>
      <c r="B398" s="14" t="s">
        <v>622</v>
      </c>
      <c r="C398" s="13">
        <v>0.0</v>
      </c>
      <c r="D398" s="15"/>
      <c r="E398" s="14" t="s">
        <v>623</v>
      </c>
      <c r="F398" s="15"/>
      <c r="G398" s="14" t="s">
        <v>554</v>
      </c>
      <c r="H398" s="15"/>
      <c r="I398" s="14" t="s">
        <v>555</v>
      </c>
      <c r="J398" s="15"/>
    </row>
    <row r="399" ht="14.25" customHeight="1">
      <c r="A399" s="10">
        <v>191.0</v>
      </c>
      <c r="B399" s="11" t="s">
        <v>624</v>
      </c>
      <c r="C399" s="10">
        <v>0.0</v>
      </c>
      <c r="D399" s="12"/>
      <c r="E399" s="11" t="s">
        <v>549</v>
      </c>
      <c r="F399" s="12"/>
      <c r="G399" s="11" t="s">
        <v>550</v>
      </c>
      <c r="H399" s="12"/>
      <c r="I399" s="11" t="s">
        <v>625</v>
      </c>
      <c r="J399" s="12"/>
    </row>
    <row r="400" ht="14.25" customHeight="1">
      <c r="A400" s="13">
        <v>192.0</v>
      </c>
      <c r="B400" s="14" t="s">
        <v>626</v>
      </c>
      <c r="C400" s="13">
        <v>1.0</v>
      </c>
      <c r="D400" s="15"/>
      <c r="E400" s="14" t="s">
        <v>627</v>
      </c>
      <c r="F400" s="15"/>
      <c r="G400" s="14" t="s">
        <v>572</v>
      </c>
      <c r="H400" s="15"/>
      <c r="I400" s="14" t="s">
        <v>628</v>
      </c>
      <c r="J400" s="15"/>
    </row>
    <row r="401" ht="14.25" customHeight="1">
      <c r="A401" s="10">
        <v>193.0</v>
      </c>
      <c r="B401" s="11" t="s">
        <v>629</v>
      </c>
      <c r="C401" s="10">
        <v>0.0</v>
      </c>
      <c r="D401" s="12"/>
      <c r="E401" s="11" t="s">
        <v>630</v>
      </c>
      <c r="F401" s="12"/>
      <c r="G401" s="11" t="s">
        <v>472</v>
      </c>
      <c r="H401" s="12"/>
      <c r="I401" s="11" t="s">
        <v>631</v>
      </c>
      <c r="J401" s="12"/>
    </row>
    <row r="402" ht="14.25" customHeight="1">
      <c r="A402" s="13">
        <v>194.0</v>
      </c>
      <c r="B402" s="14" t="s">
        <v>632</v>
      </c>
      <c r="C402" s="13">
        <v>1.0</v>
      </c>
      <c r="D402" s="15"/>
      <c r="E402" s="14" t="s">
        <v>488</v>
      </c>
      <c r="F402" s="15"/>
      <c r="G402" s="14" t="s">
        <v>489</v>
      </c>
      <c r="H402" s="15"/>
      <c r="I402" s="14" t="s">
        <v>561</v>
      </c>
      <c r="J402" s="15"/>
    </row>
    <row r="403" ht="14.25" customHeight="1">
      <c r="A403" s="10">
        <v>195.0</v>
      </c>
      <c r="B403" s="11" t="s">
        <v>633</v>
      </c>
      <c r="C403" s="10">
        <v>0.0</v>
      </c>
      <c r="D403" s="12"/>
      <c r="E403" s="11" t="s">
        <v>537</v>
      </c>
      <c r="F403" s="12"/>
      <c r="G403" s="11" t="s">
        <v>285</v>
      </c>
      <c r="H403" s="12"/>
      <c r="I403" s="11" t="s">
        <v>250</v>
      </c>
      <c r="J403" s="12"/>
    </row>
    <row r="404" ht="14.25" customHeight="1">
      <c r="A404" s="13">
        <v>196.0</v>
      </c>
      <c r="B404" s="14" t="s">
        <v>634</v>
      </c>
      <c r="C404" s="13">
        <v>1.0</v>
      </c>
      <c r="D404" s="15"/>
      <c r="E404" s="14" t="s">
        <v>635</v>
      </c>
      <c r="F404" s="15"/>
      <c r="G404" s="14" t="s">
        <v>636</v>
      </c>
      <c r="H404" s="15"/>
      <c r="I404" s="14" t="s">
        <v>637</v>
      </c>
      <c r="J404" s="15"/>
    </row>
    <row r="405" ht="14.25" customHeight="1">
      <c r="A405" s="10">
        <v>197.0</v>
      </c>
      <c r="B405" s="11" t="s">
        <v>638</v>
      </c>
      <c r="C405" s="10">
        <v>0.0</v>
      </c>
      <c r="D405" s="12"/>
      <c r="E405" s="11" t="s">
        <v>639</v>
      </c>
      <c r="F405" s="12"/>
      <c r="G405" s="11" t="s">
        <v>640</v>
      </c>
      <c r="H405" s="12"/>
      <c r="I405" s="11" t="s">
        <v>641</v>
      </c>
      <c r="J405" s="12"/>
    </row>
    <row r="406" ht="14.25" customHeight="1">
      <c r="A406" s="13">
        <v>198.0</v>
      </c>
      <c r="B406" s="14" t="s">
        <v>642</v>
      </c>
      <c r="C406" s="13">
        <v>0.0</v>
      </c>
      <c r="D406" s="15"/>
      <c r="E406" s="14" t="s">
        <v>643</v>
      </c>
      <c r="F406" s="15"/>
      <c r="G406" s="14" t="s">
        <v>550</v>
      </c>
      <c r="H406" s="15"/>
      <c r="I406" s="14" t="s">
        <v>644</v>
      </c>
      <c r="J406" s="15"/>
    </row>
    <row r="407" ht="14.25" customHeight="1">
      <c r="A407" s="10">
        <v>199.0</v>
      </c>
      <c r="B407" s="11" t="s">
        <v>645</v>
      </c>
      <c r="C407" s="10">
        <v>0.0</v>
      </c>
      <c r="D407" s="12"/>
      <c r="E407" s="11" t="s">
        <v>646</v>
      </c>
      <c r="F407" s="12"/>
      <c r="G407" s="11" t="s">
        <v>647</v>
      </c>
      <c r="H407" s="12"/>
      <c r="I407" s="11" t="s">
        <v>648</v>
      </c>
      <c r="J407" s="12"/>
    </row>
    <row r="408" ht="14.25" customHeight="1">
      <c r="A408" s="13">
        <v>200.0</v>
      </c>
      <c r="B408" s="14" t="s">
        <v>649</v>
      </c>
      <c r="C408" s="13">
        <v>0.0</v>
      </c>
      <c r="D408" s="15"/>
      <c r="E408" s="14" t="s">
        <v>650</v>
      </c>
      <c r="F408" s="15"/>
      <c r="G408" s="14" t="s">
        <v>572</v>
      </c>
      <c r="H408" s="15"/>
      <c r="I408" s="14" t="s">
        <v>651</v>
      </c>
      <c r="J408" s="15"/>
    </row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3" width="80.86"/>
    <col customWidth="1" min="4" max="4" width="19.57"/>
    <col customWidth="1" min="5" max="5" width="73.57"/>
    <col customWidth="1" min="6" max="6" width="18.57"/>
    <col customWidth="1" min="7" max="7" width="18.14"/>
    <col customWidth="1" min="8" max="8" width="33.0"/>
    <col customWidth="1" min="9" max="9" width="48.14"/>
    <col customWidth="1" min="10" max="10" width="17.57"/>
    <col customWidth="1" min="11" max="11" width="58.0"/>
    <col customWidth="1" min="12" max="12" width="8.71"/>
    <col customWidth="1" min="13" max="16" width="43.0"/>
    <col customWidth="1" min="1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4">
        <v>1.0</v>
      </c>
      <c r="B2" s="5" t="str">
        <f>IFERROR(__xludf.DUMMYFUNCTION("GOOGLETRANSLATE(H2, ""th"", ""en"")"),"In bullfighting, does each bull need to undergo a health check before the race?")</f>
        <v>In bullfighting, does each bull need to undergo a health check before the race?</v>
      </c>
      <c r="C2" s="5" t="str">
        <f>IFERROR(__xludf.DUMMYFUNCTION("GOOGLETRANSLATE(I2, ""th"", ""en"")"),"A) Must be inspected; B) Not required; C) Depends on the rules of the field; D) Only cows with health problems must be inspected.")</f>
        <v>A) Must be inspected; B) Not required; C) Depends on the rules of the field; D) Only cows with health problems must be inspected.</v>
      </c>
      <c r="D2" s="4" t="str">
        <f>IFERROR(__xludf.DUMMYFUNCTION("GOOGLETRANSLATE(J2, ""th"", ""en"")"),"A) Must be checked.")</f>
        <v>A) Must be checked.</v>
      </c>
      <c r="E2" s="4" t="str">
        <f>IFERROR(__xludf.DUMMYFUNCTION("GOOGLETRANSLATE(K2, ""th"", ""en"")"),"Health checks are important to prevent accidents.")</f>
        <v>Health checks are important to prevent accidents.</v>
      </c>
      <c r="G2" s="6">
        <v>1.0</v>
      </c>
      <c r="H2" s="7" t="s">
        <v>672</v>
      </c>
      <c r="I2" s="7" t="s">
        <v>673</v>
      </c>
      <c r="J2" s="7" t="s">
        <v>674</v>
      </c>
      <c r="K2" s="7" t="s">
        <v>675</v>
      </c>
    </row>
    <row r="3" ht="14.25" customHeight="1">
      <c r="A3" s="4">
        <v>2.0</v>
      </c>
      <c r="B3" s="5" t="str">
        <f>IFERROR(__xludf.DUMMYFUNCTION("GOOGLETRANSLATE(H3, ""th"", ""en"")"),"In the event that a cow becomes sick during a race, can the cow handler treat it?")</f>
        <v>In the event that a cow becomes sick during a race, can the cow handler treat it?</v>
      </c>
      <c r="C3" s="5" t="str">
        <f>IFERROR(__xludf.DUMMYFUNCTION("GOOGLETRANSLATE(I3, ""th"", ""en"")"),"A) No; B) Yes, with permission from the director; C) Yes, without informing the director; D) Can be treated immediately.")</f>
        <v>A) No; B) Yes, with permission from the director; C) Yes, without informing the director; D) Can be treated immediately.</v>
      </c>
      <c r="D3" s="4" t="str">
        <f>IFERROR(__xludf.DUMMYFUNCTION("GOOGLETRANSLATE(J3, ""th"", ""en"")"),"B) Yes, if permission is obtained from the director.")</f>
        <v>B) Yes, if permission is obtained from the director.</v>
      </c>
      <c r="E3" s="4" t="str">
        <f>IFERROR(__xludf.DUMMYFUNCTION("GOOGLETRANSLATE(K3, ""th"", ""en"")"),"Treatment must be approved by the Board of Justice.")</f>
        <v>Treatment must be approved by the Board of Justice.</v>
      </c>
      <c r="G3" s="6">
        <v>2.0</v>
      </c>
      <c r="H3" s="7" t="s">
        <v>676</v>
      </c>
      <c r="I3" s="7" t="s">
        <v>677</v>
      </c>
      <c r="J3" s="7" t="s">
        <v>678</v>
      </c>
      <c r="K3" s="7" t="s">
        <v>679</v>
      </c>
    </row>
    <row r="4" ht="14.25" customHeight="1">
      <c r="A4" s="4">
        <v>3.0</v>
      </c>
      <c r="B4" s="5" t="str">
        <f>IFERROR(__xludf.DUMMYFUNCTION("GOOGLETRANSLATE(H4, ""th"", ""en"")"),"Must a bullfight begin when both bulls are ready?")</f>
        <v>Must a bullfight begin when both bulls are ready?</v>
      </c>
      <c r="C4" s="5" t="str">
        <f>IFERROR(__xludf.DUMMYFUNCTION("GOOGLETRANSLATE(I4, ""th"", ""en"")"),"A) Yes; B) Not necessarily; C) Depends on the time; D) Depends on the situation.")</f>
        <v>A) Yes; B) Not necessarily; C) Depends on the time; D) Depends on the situation.</v>
      </c>
      <c r="D4" s="4" t="str">
        <f>IFERROR(__xludf.DUMMYFUNCTION("GOOGLETRANSLATE(J4, ""th"", ""en"")"),"A) Yes.")</f>
        <v>A) Yes.</v>
      </c>
      <c r="E4" s="4" t="str">
        <f>IFERROR(__xludf.DUMMYFUNCTION("GOOGLETRANSLATE(K4, ""th"", ""en"")"),"The bull must be ready for the race before it starts.")</f>
        <v>The bull must be ready for the race before it starts.</v>
      </c>
      <c r="G4" s="6">
        <v>3.0</v>
      </c>
      <c r="H4" s="7" t="s">
        <v>680</v>
      </c>
      <c r="I4" s="7" t="s">
        <v>681</v>
      </c>
      <c r="J4" s="7" t="s">
        <v>682</v>
      </c>
      <c r="K4" s="7" t="s">
        <v>683</v>
      </c>
    </row>
    <row r="5" ht="14.25" customHeight="1">
      <c r="A5" s="4">
        <v>4.0</v>
      </c>
      <c r="B5" s="5" t="str">
        <f>IFERROR(__xludf.DUMMYFUNCTION("GOOGLETRANSLATE(H5, ""th"", ""en"")"),"What is the penalty for cows that refuse to enter the racetrack?")</f>
        <v>What is the penalty for cows that refuse to enter the racetrack?</v>
      </c>
      <c r="C5" s="5" t="str">
        <f>IFERROR(__xludf.DUMMYFUNCTION("GOOGLETRANSLATE(I5, ""th"", ""en"")"),"A) will be allowed to participate; B) will be fined; C) will be disqualified; D) will be expelled from the field.")</f>
        <v>A) will be allowed to participate; B) will be fined; C) will be disqualified; D) will be expelled from the field.</v>
      </c>
      <c r="D5" s="4" t="str">
        <f>IFERROR(__xludf.DUMMYFUNCTION("GOOGLETRANSLATE(J5, ""th"", ""en"")"),"C) will be disqualified.")</f>
        <v>C) will be disqualified.</v>
      </c>
      <c r="E5" s="4" t="str">
        <f>IFERROR(__xludf.DUMMYFUNCTION("GOOGLETRANSLATE(K5, ""th"", ""en"")"),"Failure to participate makes the competition incomplete.")</f>
        <v>Failure to participate makes the competition incomplete.</v>
      </c>
      <c r="G5" s="6">
        <v>4.0</v>
      </c>
      <c r="H5" s="7" t="s">
        <v>684</v>
      </c>
      <c r="I5" s="7" t="s">
        <v>685</v>
      </c>
      <c r="J5" s="7" t="s">
        <v>686</v>
      </c>
      <c r="K5" s="7" t="s">
        <v>687</v>
      </c>
    </row>
    <row r="6" ht="14.25" customHeight="1">
      <c r="A6" s="4">
        <v>5.0</v>
      </c>
      <c r="B6" s="5" t="str">
        <f>IFERROR(__xludf.DUMMYFUNCTION("GOOGLETRANSLATE(H6, ""th"", ""en"")"),"Is it permissible to use certain chemicals or drugs to enhance performance in bull racing?")</f>
        <v>Is it permissible to use certain chemicals or drugs to enhance performance in bull racing?</v>
      </c>
      <c r="C6" s="5" t="str">
        <f>IFERROR(__xludf.DUMMYFUNCTION("GOOGLETRANSLATE(I6, ""th"", ""en"")"),"A) Allowed; B) Not allowed; C) Depends on the type of chemical; D) Allowed if there is a license.")</f>
        <v>A) Allowed; B) Not allowed; C) Depends on the type of chemical; D) Allowed if there is a license.</v>
      </c>
      <c r="D6" s="4" t="str">
        <f>IFERROR(__xludf.DUMMYFUNCTION("GOOGLETRANSLATE(J6, ""th"", ""en"")"),"B) Not allowed")</f>
        <v>B) Not allowed</v>
      </c>
      <c r="E6" s="4" t="str">
        <f>IFERROR(__xludf.DUMMYFUNCTION("GOOGLETRANSLATE(K6, ""th"", ""en"")"),"The use of illegal chemicals can make competitions unfair.")</f>
        <v>The use of illegal chemicals can make competitions unfair.</v>
      </c>
      <c r="G6" s="6">
        <v>5.0</v>
      </c>
      <c r="H6" s="7" t="s">
        <v>688</v>
      </c>
      <c r="I6" s="7" t="s">
        <v>689</v>
      </c>
      <c r="J6" s="7" t="s">
        <v>690</v>
      </c>
      <c r="K6" s="7" t="s">
        <v>691</v>
      </c>
    </row>
    <row r="7" ht="14.25" customHeight="1">
      <c r="A7" s="4">
        <v>6.0</v>
      </c>
      <c r="B7" s="5" t="str">
        <f>IFERROR(__xludf.DUMMYFUNCTION("GOOGLETRANSLATE(H7, ""th"", ""en"")"),"In a bullfight, does the losing bull need to be treated?")</f>
        <v>In a bullfight, does the losing bull need to be treated?</v>
      </c>
      <c r="C7" s="5" t="str">
        <f>IFERROR(__xludf.DUMMYFUNCTION("GOOGLETRANSLATE(I7, ""th"", ""en"")"),"A) requires immediate treatment; B) can be left to heal on its own; C) depends on the symptoms; D) does not require treatment.")</f>
        <v>A) requires immediate treatment; B) can be left to heal on its own; C) depends on the symptoms; D) does not require treatment.</v>
      </c>
      <c r="D7" s="4" t="str">
        <f>IFERROR(__xludf.DUMMYFUNCTION("GOOGLETRANSLATE(J7, ""th"", ""en"")"),"A) Must be treated immediately.")</f>
        <v>A) Must be treated immediately.</v>
      </c>
      <c r="E7" s="4" t="str">
        <f>IFERROR(__xludf.DUMMYFUNCTION("GOOGLETRANSLATE(K7, ""th"", ""en"")"),"Maintaining the safety and health of the cows after the competition is important.")</f>
        <v>Maintaining the safety and health of the cows after the competition is important.</v>
      </c>
      <c r="G7" s="6">
        <v>6.0</v>
      </c>
      <c r="H7" s="7" t="s">
        <v>692</v>
      </c>
      <c r="I7" s="7" t="s">
        <v>693</v>
      </c>
      <c r="J7" s="7" t="s">
        <v>694</v>
      </c>
      <c r="K7" s="7" t="s">
        <v>695</v>
      </c>
    </row>
    <row r="8" ht="14.25" customHeight="1">
      <c r="A8" s="4">
        <v>7.0</v>
      </c>
      <c r="B8" s="5" t="str">
        <f>IFERROR(__xludf.DUMMYFUNCTION("GOOGLETRANSLATE(H8, ""th"", ""en"")"),"Are cows that are weak or injured allowed to continue competing?")</f>
        <v>Are cows that are weak or injured allowed to continue competing?</v>
      </c>
      <c r="C8" s="5" t="str">
        <f>IFERROR(__xludf.DUMMYFUNCTION("GOOGLETRANSLATE(I8, ""th"", ""en"")"),"A) Yes; B) No; C) It depends on the judges' decision; D) It depends on the cow handler.")</f>
        <v>A) Yes; B) No; C) It depends on the judges' decision; D) It depends on the cow handler.</v>
      </c>
      <c r="D8" s="4" t="str">
        <f>IFERROR(__xludf.DUMMYFUNCTION("GOOGLETRANSLATE(J8, ""th"", ""en"")"),"B) No.")</f>
        <v>B) No.</v>
      </c>
      <c r="E8" s="4" t="str">
        <f>IFERROR(__xludf.DUMMYFUNCTION("GOOGLETRANSLATE(K8, ""th"", ""en"")"),"Continuing to compete in an unprepared condition can be dangerous.")</f>
        <v>Continuing to compete in an unprepared condition can be dangerous.</v>
      </c>
      <c r="G8" s="6">
        <v>7.0</v>
      </c>
      <c r="H8" s="7" t="s">
        <v>696</v>
      </c>
      <c r="I8" s="7" t="s">
        <v>697</v>
      </c>
      <c r="J8" s="7" t="s">
        <v>698</v>
      </c>
      <c r="K8" s="7" t="s">
        <v>699</v>
      </c>
    </row>
    <row r="9" ht="14.25" customHeight="1">
      <c r="A9" s="4">
        <v>8.0</v>
      </c>
      <c r="B9" s="5" t="str">
        <f>IFERROR(__xludf.DUMMYFUNCTION("GOOGLETRANSLATE(H9, ""th"", ""en"")"),"Is it permissible to use a leash to control a bull during a race?")</f>
        <v>Is it permissible to use a leash to control a bull during a race?</v>
      </c>
      <c r="C9" s="5" t="str">
        <f>IFERROR(__xludf.DUMMYFUNCTION("GOOGLETRANSLATE(I9, ""th"", ""en"")"),"A) Allowed; B) Not allowed; C) Allowed only in certain cases; D) Allowed if approved by the board.")</f>
        <v>A) Allowed; B) Not allowed; C) Allowed only in certain cases; D) Allowed if approved by the board.</v>
      </c>
      <c r="D9" s="4" t="str">
        <f>IFERROR(__xludf.DUMMYFUNCTION("GOOGLETRANSLATE(J9, ""th"", ""en"")"),"B) Not allowed")</f>
        <v>B) Not allowed</v>
      </c>
      <c r="E9" s="4" t="str">
        <f>IFERROR(__xludf.DUMMYFUNCTION("GOOGLETRANSLATE(K9, ""th"", ""en"")"),"Cattle control must be done in a safe and fair manner.")</f>
        <v>Cattle control must be done in a safe and fair manner.</v>
      </c>
      <c r="G9" s="6">
        <v>8.0</v>
      </c>
      <c r="H9" s="7" t="s">
        <v>700</v>
      </c>
      <c r="I9" s="7" t="s">
        <v>701</v>
      </c>
      <c r="J9" s="7" t="s">
        <v>690</v>
      </c>
      <c r="K9" s="7" t="s">
        <v>702</v>
      </c>
    </row>
    <row r="10" ht="14.25" customHeight="1">
      <c r="A10" s="4">
        <v>9.0</v>
      </c>
      <c r="B10" s="5" t="str">
        <f>IFERROR(__xludf.DUMMYFUNCTION("GOOGLETRANSLATE(H10, ""th"", ""en"")"),"In bullfighting, can participants use bull-stimulating techniques?")</f>
        <v>In bullfighting, can participants use bull-stimulating techniques?</v>
      </c>
      <c r="C10" s="5" t="str">
        <f>IFERROR(__xludf.DUMMYFUNCTION("GOOGLETRANSLATE(I10, ""th"", ""en"")"),"A) Can; B) Can't; C) Depends on the type of competition; D) Can if permitted by the referee.")</f>
        <v>A) Can; B) Can't; C) Depends on the type of competition; D) Can if permitted by the referee.</v>
      </c>
      <c r="D10" s="4" t="str">
        <f>IFERROR(__xludf.DUMMYFUNCTION("GOOGLETRANSLATE(J10, ""th"", ""en"")"),"B) Can't")</f>
        <v>B) Can't</v>
      </c>
      <c r="E10" s="4" t="str">
        <f>IFERROR(__xludf.DUMMYFUNCTION("GOOGLETRANSLATE(K10, ""th"", ""en"")"),"Improper stimulation is unfair.")</f>
        <v>Improper stimulation is unfair.</v>
      </c>
      <c r="G10" s="6">
        <v>9.0</v>
      </c>
      <c r="H10" s="7" t="s">
        <v>703</v>
      </c>
      <c r="I10" s="7" t="s">
        <v>704</v>
      </c>
      <c r="J10" s="7" t="s">
        <v>705</v>
      </c>
      <c r="K10" s="7" t="s">
        <v>706</v>
      </c>
    </row>
    <row r="11" ht="14.25" customHeight="1">
      <c r="A11" s="4">
        <v>10.0</v>
      </c>
      <c r="B11" s="5" t="str">
        <f>IFERROR(__xludf.DUMMYFUNCTION("GOOGLETRANSLATE(H11, ""th"", ""en"")"),"Is it necessary to install protective equipment for the cows during the competition?")</f>
        <v>Is it necessary to install protective equipment for the cows during the competition?</v>
      </c>
      <c r="C11" s="5" t="str">
        <f>IFERROR(__xludf.DUMMYFUNCTION("GOOGLETRANSLATE(I11, ""th"", ""en"")"),"A) necessary; B) not necessary; C) depending on the rules of the field; D) necessary only in certain cases")</f>
        <v>A) necessary; B) not necessary; C) depending on the rules of the field; D) necessary only in certain cases</v>
      </c>
      <c r="D11" s="4" t="str">
        <f>IFERROR(__xludf.DUMMYFUNCTION("GOOGLETRANSLATE(J11, ""th"", ""en"")"),"A) Necessary")</f>
        <v>A) Necessary</v>
      </c>
      <c r="E11" s="4" t="str">
        <f>IFERROR(__xludf.DUMMYFUNCTION("GOOGLETRANSLATE(K11, ""th"", ""en"")"),"Preventing potential collision hazards is important.")</f>
        <v>Preventing potential collision hazards is important.</v>
      </c>
      <c r="G11" s="6">
        <v>10.0</v>
      </c>
      <c r="H11" s="7" t="s">
        <v>707</v>
      </c>
      <c r="I11" s="7" t="s">
        <v>708</v>
      </c>
      <c r="J11" s="7" t="s">
        <v>709</v>
      </c>
      <c r="K11" s="7" t="s">
        <v>710</v>
      </c>
    </row>
    <row r="12" ht="14.25" customHeight="1">
      <c r="A12" s="4">
        <v>11.0</v>
      </c>
      <c r="B12" s="5" t="str">
        <f>IFERROR(__xludf.DUMMYFUNCTION("GOOGLETRANSLATE(H12, ""th"", ""en"")"),"Will bullfights be stopped if excessive violence is used?")</f>
        <v>Will bullfights be stopped if excessive violence is used?</v>
      </c>
      <c r="C12" s="5" t="str">
        <f>IFERROR(__xludf.DUMMYFUNCTION("GOOGLETRANSLATE(I12, ""th"", ""en"")"),"A) is stopped immediately; B) continues; C) depends on the referee; D) is warned first.")</f>
        <v>A) is stopped immediately; B) continues; C) depends on the referee; D) is warned first.</v>
      </c>
      <c r="D12" s="4" t="str">
        <f>IFERROR(__xludf.DUMMYFUNCTION("GOOGLETRANSLATE(J12, ""th"", ""en"")"),"A) was stopped immediately.")</f>
        <v>A) was stopped immediately.</v>
      </c>
      <c r="E12" s="4" t="str">
        <f>IFERROR(__xludf.DUMMYFUNCTION("GOOGLETRANSLATE(K12, ""th"", ""en"")"),"Stopping the competition helps prevent potential danger.")</f>
        <v>Stopping the competition helps prevent potential danger.</v>
      </c>
      <c r="G12" s="6">
        <v>11.0</v>
      </c>
      <c r="H12" s="7" t="s">
        <v>711</v>
      </c>
      <c r="I12" s="7" t="s">
        <v>712</v>
      </c>
      <c r="J12" s="7" t="s">
        <v>713</v>
      </c>
      <c r="K12" s="7" t="s">
        <v>714</v>
      </c>
    </row>
    <row r="13" ht="14.25" customHeight="1">
      <c r="A13" s="4">
        <v>12.0</v>
      </c>
      <c r="B13" s="5" t="str">
        <f>IFERROR(__xludf.DUMMYFUNCTION("GOOGLETRANSLATE(H13, ""th"", ""en"")"),"If a cow is frightened and unable to compete, will the competition be canceled?")</f>
        <v>If a cow is frightened and unable to compete, will the competition be canceled?</v>
      </c>
      <c r="C13" s="5" t="str">
        <f>IFERROR(__xludf.DUMMYFUNCTION("GOOGLETRANSLATE(I13, ""th"", ""en"")"),"A) The race will be cancelled; B) The race will continue; C) The bull will be rested and the race will continue; D) It depends on the case.")</f>
        <v>A) The race will be cancelled; B) The race will continue; C) The bull will be rested and the race will continue; D) It depends on the case.</v>
      </c>
      <c r="D13" s="4" t="str">
        <f>IFERROR(__xludf.DUMMYFUNCTION("GOOGLETRANSLATE(J13, ""th"", ""en"")"),"A) The competition will be canceled.")</f>
        <v>A) The competition will be canceled.</v>
      </c>
      <c r="E13" s="4" t="str">
        <f>IFERROR(__xludf.DUMMYFUNCTION("GOOGLETRANSLATE(K13, ""th"", ""en"")"),"Protecting the safety of animals is important.")</f>
        <v>Protecting the safety of animals is important.</v>
      </c>
      <c r="G13" s="6">
        <v>12.0</v>
      </c>
      <c r="H13" s="7" t="s">
        <v>715</v>
      </c>
      <c r="I13" s="7" t="s">
        <v>716</v>
      </c>
      <c r="J13" s="7" t="s">
        <v>717</v>
      </c>
      <c r="K13" s="7" t="s">
        <v>718</v>
      </c>
    </row>
    <row r="14" ht="14.25" customHeight="1">
      <c r="A14" s="4">
        <v>13.0</v>
      </c>
      <c r="B14" s="5" t="str">
        <f>IFERROR(__xludf.DUMMYFUNCTION("GOOGLETRANSLATE(H14, ""th"", ""en"")"),"Can the referee decide to change the rules of the competition?")</f>
        <v>Can the referee decide to change the rules of the competition?</v>
      </c>
      <c r="C14" s="5" t="str">
        <f>IFERROR(__xludf.DUMMYFUNCTION("GOOGLETRANSLATE(I14, ""th"", ""en"")"),"A) Can; B) Can't; C) Depends on the situation; D) Depends on the number of viewers.")</f>
        <v>A) Can; B) Can't; C) Depends on the situation; D) Depends on the number of viewers.</v>
      </c>
      <c r="D14" s="4" t="str">
        <f>IFERROR(__xludf.DUMMYFUNCTION("GOOGLETRANSLATE(J14, ""th"", ""en"")"),"A) Can")</f>
        <v>A) Can</v>
      </c>
      <c r="E14" s="4" t="str">
        <f>IFERROR(__xludf.DUMMYFUNCTION("GOOGLETRANSLATE(K14, ""th"", ""en"")"),"The referee has the power to make decisions for fairness during the competition.")</f>
        <v>The referee has the power to make decisions for fairness during the competition.</v>
      </c>
      <c r="G14" s="6">
        <v>13.0</v>
      </c>
      <c r="H14" s="7" t="s">
        <v>719</v>
      </c>
      <c r="I14" s="7" t="s">
        <v>720</v>
      </c>
      <c r="J14" s="7" t="s">
        <v>721</v>
      </c>
      <c r="K14" s="7" t="s">
        <v>722</v>
      </c>
    </row>
    <row r="15" ht="14.25" customHeight="1">
      <c r="A15" s="4">
        <v>14.0</v>
      </c>
      <c r="B15" s="5" t="str">
        <f>IFERROR(__xludf.DUMMYFUNCTION("GOOGLETRANSLATE(H15, ""th"", ""en"")"),"In bullfighting, are bulls that weigh more than their competitors exempt from the rules?")</f>
        <v>In bullfighting, are bulls that weigh more than their competitors exempt from the rules?</v>
      </c>
      <c r="C15" s="5" t="str">
        <f>IFERROR(__xludf.DUMMYFUNCTION("GOOGLETRANSLATE(I15, ""th"", ""en"")"),"A) Not exempt; B) Exempted; C) Subject to the rules of the field; D) Exempted in certain cases.")</f>
        <v>A) Not exempt; B) Exempted; C) Subject to the rules of the field; D) Exempted in certain cases.</v>
      </c>
      <c r="D15" s="4" t="str">
        <f>IFERROR(__xludf.DUMMYFUNCTION("GOOGLETRANSLATE(J15, ""th"", ""en"")"),"A) Not exempted")</f>
        <v>A) Not exempted</v>
      </c>
      <c r="E15" s="4" t="str">
        <f>IFERROR(__xludf.DUMMYFUNCTION("GOOGLETRANSLATE(K15, ""th"", ""en"")"),"Maintaining fairness in competition is important.")</f>
        <v>Maintaining fairness in competition is important.</v>
      </c>
      <c r="G15" s="6">
        <v>14.0</v>
      </c>
      <c r="H15" s="7" t="s">
        <v>723</v>
      </c>
      <c r="I15" s="7" t="s">
        <v>724</v>
      </c>
      <c r="J15" s="7" t="s">
        <v>725</v>
      </c>
      <c r="K15" s="7" t="s">
        <v>726</v>
      </c>
    </row>
    <row r="16" ht="14.25" customHeight="1">
      <c r="A16" s="4">
        <v>15.0</v>
      </c>
      <c r="B16" s="5" t="str">
        <f>IFERROR(__xludf.DUMMYFUNCTION("GOOGLETRANSLATE(H16, ""th"", ""en"")"),"Are cows that have minor injuries during the race allowed to rest?")</f>
        <v>Are cows that have minor injuries during the race allowed to rest?</v>
      </c>
      <c r="C16" s="5" t="str">
        <f>IFERROR(__xludf.DUMMYFUNCTION("GOOGLETRANSLATE(I16, ""th"", ""en"")"),"A) Can rest; B) Can't rest; C) Depends on the symptoms; D) Will be disqualified.")</f>
        <v>A) Can rest; B) Can't rest; C) Depends on the symptoms; D) Will be disqualified.</v>
      </c>
      <c r="D16" s="4" t="str">
        <f>IFERROR(__xludf.DUMMYFUNCTION("GOOGLETRANSLATE(J16, ""th"", ""en"")"),"A) Can rest")</f>
        <v>A) Can rest</v>
      </c>
      <c r="E16" s="4" t="str">
        <f>IFERROR(__xludf.DUMMYFUNCTION("GOOGLETRANSLATE(K16, ""th"", ""en"")"),"Taking care of cattle and protecting them from harm is important.")</f>
        <v>Taking care of cattle and protecting them from harm is important.</v>
      </c>
      <c r="G16" s="6">
        <v>15.0</v>
      </c>
      <c r="H16" s="7" t="s">
        <v>727</v>
      </c>
      <c r="I16" s="7" t="s">
        <v>728</v>
      </c>
      <c r="J16" s="7" t="s">
        <v>729</v>
      </c>
      <c r="K16" s="7" t="s">
        <v>730</v>
      </c>
    </row>
    <row r="17" ht="14.25" customHeight="1">
      <c r="A17" s="4">
        <v>16.0</v>
      </c>
      <c r="B17" s="5" t="str">
        <f>IFERROR(__xludf.DUMMYFUNCTION("GOOGLETRANSLATE(H17, ""th"", ""en"")"),"In bullfighting, how old must a bull be to participate?")</f>
        <v>In bullfighting, how old must a bull be to participate?</v>
      </c>
      <c r="C17" s="5" t="str">
        <f>IFERROR(__xludf.DUMMYFUNCTION("GOOGLETRANSLATE(I17, ""th"", ""en"")"),"A) 2 years; B) 3 years; C) 4 years; D) 5 years")</f>
        <v>A) 2 years; B) 3 years; C) 4 years; D) 5 years</v>
      </c>
      <c r="D17" s="4" t="str">
        <f>IFERROR(__xludf.DUMMYFUNCTION("GOOGLETRANSLATE(J17, ""th"", ""en"")"),"B) 3 years")</f>
        <v>B) 3 years</v>
      </c>
      <c r="E17" s="4" t="str">
        <f>IFERROR(__xludf.DUMMYFUNCTION("GOOGLETRANSLATE(K17, ""th"", ""en"")"),"Age determination helps ensure that the cows are strong and ready for competition.")</f>
        <v>Age determination helps ensure that the cows are strong and ready for competition.</v>
      </c>
      <c r="G17" s="6">
        <v>16.0</v>
      </c>
      <c r="H17" s="7" t="s">
        <v>731</v>
      </c>
      <c r="I17" s="7" t="s">
        <v>732</v>
      </c>
      <c r="J17" s="7" t="s">
        <v>733</v>
      </c>
      <c r="K17" s="7" t="s">
        <v>734</v>
      </c>
    </row>
    <row r="18" ht="14.25" customHeight="1">
      <c r="A18" s="4">
        <v>17.0</v>
      </c>
      <c r="B18" s="5" t="str">
        <f>IFERROR(__xludf.DUMMYFUNCTION("GOOGLETRANSLATE(H18, ""th"", ""en"")"),"Will cows that behave too aggressively be disqualified?")</f>
        <v>Will cows that behave too aggressively be disqualified?</v>
      </c>
      <c r="C18" s="5" t="str">
        <f>IFERROR(__xludf.DUMMYFUNCTION("GOOGLETRANSLATE(I18, ""th"", ""en"")"),"A) Yes; B) No; C) It depends on the judges; D) Behavior can be improved.")</f>
        <v>A) Yes; B) No; C) It depends on the judges; D) Behavior can be improved.</v>
      </c>
      <c r="D18" s="4" t="str">
        <f>IFERROR(__xludf.DUMMYFUNCTION("GOOGLETRANSLATE(J18, ""th"", ""en"")"),"A) Yes.")</f>
        <v>A) Yes.</v>
      </c>
      <c r="E18" s="4" t="str">
        <f>IFERROR(__xludf.DUMMYFUNCTION("GOOGLETRANSLATE(K18, ""th"", ""en"")"),"Controlling the behavior of the bulls is important to ensure fair competition.")</f>
        <v>Controlling the behavior of the bulls is important to ensure fair competition.</v>
      </c>
      <c r="G18" s="6">
        <v>17.0</v>
      </c>
      <c r="H18" s="7" t="s">
        <v>735</v>
      </c>
      <c r="I18" s="7" t="s">
        <v>736</v>
      </c>
      <c r="J18" s="7" t="s">
        <v>737</v>
      </c>
      <c r="K18" s="7" t="s">
        <v>738</v>
      </c>
    </row>
    <row r="19" ht="14.25" customHeight="1">
      <c r="A19" s="4">
        <v>18.0</v>
      </c>
      <c r="B19" s="5" t="str">
        <f>IFERROR(__xludf.DUMMYFUNCTION("GOOGLETRANSLATE(H19, ""th"", ""en"")"),"In the event that a bull is injured during a race, must the race be stopped?")</f>
        <v>In the event that a bull is injured during a race, must the race be stopped?</v>
      </c>
      <c r="C19" s="5" t="str">
        <f>IFERROR(__xludf.DUMMYFUNCTION("GOOGLETRANSLATE(I19, ""th"", ""en"")"),"A) The race must be stopped immediately; B) The race must be continued; C) Stop until the cow recovers; D) Depending on the severity of the injury.")</f>
        <v>A) The race must be stopped immediately; B) The race must be continued; C) Stop until the cow recovers; D) Depending on the severity of the injury.</v>
      </c>
      <c r="D19" s="4" t="str">
        <f>IFERROR(__xludf.DUMMYFUNCTION("GOOGLETRANSLATE(J19, ""th"", ""en"")"),"A) The competition must be stopped immediately.")</f>
        <v>A) The competition must be stopped immediately.</v>
      </c>
      <c r="E19" s="4" t="str">
        <f>IFERROR(__xludf.DUMMYFUNCTION("GOOGLETRANSLATE(K19, ""th"", ""en"")"),"The safety of the cattle and participants is important.")</f>
        <v>The safety of the cattle and participants is important.</v>
      </c>
      <c r="G19" s="6">
        <v>18.0</v>
      </c>
      <c r="H19" s="7" t="s">
        <v>739</v>
      </c>
      <c r="I19" s="7" t="s">
        <v>740</v>
      </c>
      <c r="J19" s="7" t="s">
        <v>741</v>
      </c>
      <c r="K19" s="7" t="s">
        <v>742</v>
      </c>
    </row>
    <row r="20" ht="14.25" customHeight="1">
      <c r="A20" s="4">
        <v>19.0</v>
      </c>
      <c r="B20" s="5" t="str">
        <f>IFERROR(__xludf.DUMMYFUNCTION("GOOGLETRANSLATE(H20, ""th"", ""en"")"),"Will cows that are not properly cared for be disqualified?")</f>
        <v>Will cows that are not properly cared for be disqualified?</v>
      </c>
      <c r="C20" s="5" t="str">
        <f>IFERROR(__xludf.DUMMYFUNCTION("GOOGLETRANSLATE(I20, ""th"", ""en"")"),"A) Yes; B) No; C) It depends on the situation; D) Yes if the referee decides.")</f>
        <v>A) Yes; B) No; C) It depends on the situation; D) Yes if the referee decides.</v>
      </c>
      <c r="D20" s="4" t="str">
        <f>IFERROR(__xludf.DUMMYFUNCTION("GOOGLETRANSLATE(J20, ""th"", ""en"")"),"A) Yes.")</f>
        <v>A) Yes.</v>
      </c>
      <c r="E20" s="4" t="str">
        <f>IFERROR(__xludf.DUMMYFUNCTION("GOOGLETRANSLATE(K20, ""th"", ""en"")"),"Proper care of the cattle ensures fairness in the competition.")</f>
        <v>Proper care of the cattle ensures fairness in the competition.</v>
      </c>
      <c r="G20" s="6">
        <v>19.0</v>
      </c>
      <c r="H20" s="7" t="s">
        <v>743</v>
      </c>
      <c r="I20" s="7" t="s">
        <v>744</v>
      </c>
      <c r="J20" s="7" t="s">
        <v>737</v>
      </c>
      <c r="K20" s="7" t="s">
        <v>745</v>
      </c>
    </row>
    <row r="21" ht="14.25" customHeight="1">
      <c r="A21" s="4">
        <v>20.0</v>
      </c>
      <c r="B21" s="5" t="str">
        <f>IFERROR(__xludf.DUMMYFUNCTION("GOOGLETRANSLATE(H21, ""th"", ""en"")"),"Can participants use tools or accessories to control the cows?")</f>
        <v>Can participants use tools or accessories to control the cows?</v>
      </c>
      <c r="C21" s="5" t="str">
        <f>IFERROR(__xludf.DUMMYFUNCTION("GOOGLETRANSLATE(I21, ""th"", ""en"")"),"A) Yes; B) No; C) It depends on the rules of the field; D) It is allowed in some cases.")</f>
        <v>A) Yes; B) No; C) It depends on the rules of the field; D) It is allowed in some cases.</v>
      </c>
      <c r="D21" s="4" t="str">
        <f>IFERROR(__xludf.DUMMYFUNCTION("GOOGLETRANSLATE(J21, ""th"", ""en"")"),"B) No.")</f>
        <v>B) No.</v>
      </c>
      <c r="E21" s="4" t="str">
        <f>IFERROR(__xludf.DUMMYFUNCTION("GOOGLETRANSLATE(K21, ""th"", ""en"")"),"Using unfair accessories can make the competition unfair.")</f>
        <v>Using unfair accessories can make the competition unfair.</v>
      </c>
      <c r="G21" s="6">
        <v>20.0</v>
      </c>
      <c r="H21" s="7" t="s">
        <v>746</v>
      </c>
      <c r="I21" s="7" t="s">
        <v>747</v>
      </c>
      <c r="J21" s="7" t="s">
        <v>698</v>
      </c>
      <c r="K21" s="7" t="s">
        <v>748</v>
      </c>
    </row>
    <row r="22" ht="14.25" customHeight="1">
      <c r="A22" s="4">
        <v>21.0</v>
      </c>
      <c r="B22" s="5" t="str">
        <f>IFERROR(__xludf.DUMMYFUNCTION("GOOGLETRANSLATE(H22, ""th"", ""en"")"),"In bullfighting, is there a set time limit?")</f>
        <v>In bullfighting, is there a set time limit?</v>
      </c>
      <c r="C22" s="5" t="str">
        <f>IFERROR(__xludf.DUMMYFUNCTION("GOOGLETRANSLATE(I22, ""th"", ""en"")"),"A) It is determined; B) It is not determined; C) It depends on the situation; D) It is determined by agreement.")</f>
        <v>A) It is determined; B) It is not determined; C) It depends on the situation; D) It is determined by agreement.</v>
      </c>
      <c r="D22" s="4" t="str">
        <f>IFERROR(__xludf.DUMMYFUNCTION("GOOGLETRANSLATE(J22, ""th"", ""en"")"),"A) It is specified.")</f>
        <v>A) It is specified.</v>
      </c>
      <c r="E22" s="4" t="str">
        <f>IFERROR(__xludf.DUMMYFUNCTION("GOOGLETRANSLATE(K22, ""th"", ""en"")"),"Having a time limit for the competition helps control and maintain fairness.")</f>
        <v>Having a time limit for the competition helps control and maintain fairness.</v>
      </c>
      <c r="G22" s="6">
        <v>21.0</v>
      </c>
      <c r="H22" s="7" t="s">
        <v>749</v>
      </c>
      <c r="I22" s="7" t="s">
        <v>750</v>
      </c>
      <c r="J22" s="7" t="s">
        <v>751</v>
      </c>
      <c r="K22" s="7" t="s">
        <v>752</v>
      </c>
    </row>
    <row r="23" ht="14.25" customHeight="1">
      <c r="A23" s="4">
        <v>22.0</v>
      </c>
      <c r="B23" s="5" t="str">
        <f>IFERROR(__xludf.DUMMYFUNCTION("GOOGLETRANSLATE(H23, ""th"", ""en"")"),"If a cow is unable to compete due to injury, how will the cow be judged?")</f>
        <v>If a cow is unable to compete due to injury, how will the cow be judged?</v>
      </c>
      <c r="C23" s="5" t="str">
        <f>IFERROR(__xludf.DUMMYFUNCTION("GOOGLETRANSLATE(I23, ""th"", ""en"")"),"A) disqualified; B) suspended; C) match is temporarily suspended; D) depends on the referee.")</f>
        <v>A) disqualified; B) suspended; C) match is temporarily suspended; D) depends on the referee.</v>
      </c>
      <c r="D23" s="4" t="str">
        <f>IFERROR(__xludf.DUMMYFUNCTION("GOOGLETRANSLATE(J23, ""th"", ""en"")"),"A) Disqualified")</f>
        <v>A) Disqualified</v>
      </c>
      <c r="E23" s="4" t="str">
        <f>IFERROR(__xludf.DUMMYFUNCTION("GOOGLETRANSLATE(K23, ""th"", ""en"")"),"The age determination of the bulls helps to ensure fair competition.")</f>
        <v>The age determination of the bulls helps to ensure fair competition.</v>
      </c>
      <c r="G23" s="6">
        <v>22.0</v>
      </c>
      <c r="H23" s="7" t="s">
        <v>753</v>
      </c>
      <c r="I23" s="7" t="s">
        <v>754</v>
      </c>
      <c r="J23" s="7" t="s">
        <v>755</v>
      </c>
      <c r="K23" s="7" t="s">
        <v>756</v>
      </c>
    </row>
    <row r="24" ht="14.25" customHeight="1">
      <c r="A24" s="4">
        <v>23.0</v>
      </c>
      <c r="B24" s="5" t="str">
        <f>IFERROR(__xludf.DUMMYFUNCTION("GOOGLETRANSLATE(H24, ""th"", ""en"")"),"Will a cow that refuses to enter the racetrack be penalized?")</f>
        <v>Will a cow that refuses to enter the racetrack be penalized?</v>
      </c>
      <c r="C24" s="5" t="str">
        <f>IFERROR(__xludf.DUMMYFUNCTION("GOOGLETRANSLATE(I24, ""th"", ""en"")"),"A) will receive a penalty; B) will not receive a penalty; C) will receive a warning; D) will be disqualified.")</f>
        <v>A) will receive a penalty; B) will not receive a penalty; C) will receive a warning; D) will be disqualified.</v>
      </c>
      <c r="D24" s="4" t="str">
        <f>IFERROR(__xludf.DUMMYFUNCTION("GOOGLETRANSLATE(J24, ""th"", ""en"")"),"A) was punished")</f>
        <v>A) was punished</v>
      </c>
      <c r="E24" s="4" t="str">
        <f>IFERROR(__xludf.DUMMYFUNCTION("GOOGLETRANSLATE(K24, ""th"", ""en"")"),"Failure to enter the field makes the competition inconsistent.")</f>
        <v>Failure to enter the field makes the competition inconsistent.</v>
      </c>
      <c r="G24" s="6">
        <v>23.0</v>
      </c>
      <c r="H24" s="7" t="s">
        <v>757</v>
      </c>
      <c r="I24" s="7" t="s">
        <v>758</v>
      </c>
      <c r="J24" s="7" t="s">
        <v>759</v>
      </c>
      <c r="K24" s="7" t="s">
        <v>760</v>
      </c>
    </row>
    <row r="25" ht="14.25" customHeight="1">
      <c r="A25" s="4">
        <v>24.0</v>
      </c>
      <c r="B25" s="5" t="str">
        <f>IFERROR(__xludf.DUMMYFUNCTION("GOOGLETRANSLATE(H25, ""th"", ""en"")"),"Is excessive force used to control a bull during a race permissible?")</f>
        <v>Is excessive force used to control a bull during a race permissible?</v>
      </c>
      <c r="C25" s="5" t="str">
        <f>IFERROR(__xludf.DUMMYFUNCTION("GOOGLETRANSLATE(I25, ""th"", ""en"")"),"A) Allowed; B) Not allowed; C) Allowed only in emergency cases; D) Depends on the director.")</f>
        <v>A) Allowed; B) Not allowed; C) Allowed only in emergency cases; D) Depends on the director.</v>
      </c>
      <c r="D25" s="4" t="str">
        <f>IFERROR(__xludf.DUMMYFUNCTION("GOOGLETRANSLATE(J25, ""th"", ""en"")"),"B) Not allowed")</f>
        <v>B) Not allowed</v>
      </c>
      <c r="E25" s="4" t="str">
        <f>IFERROR(__xludf.DUMMYFUNCTION("GOOGLETRANSLATE(K25, ""th"", ""en"")"),"The use of violence makes the competition unfair.")</f>
        <v>The use of violence makes the competition unfair.</v>
      </c>
      <c r="G25" s="6">
        <v>24.0</v>
      </c>
      <c r="H25" s="7" t="s">
        <v>761</v>
      </c>
      <c r="I25" s="7" t="s">
        <v>762</v>
      </c>
      <c r="J25" s="7" t="s">
        <v>690</v>
      </c>
      <c r="K25" s="7" t="s">
        <v>763</v>
      </c>
    </row>
    <row r="26" ht="14.25" customHeight="1">
      <c r="A26" s="4">
        <v>25.0</v>
      </c>
      <c r="B26" s="5" t="str">
        <f>IFERROR(__xludf.DUMMYFUNCTION("GOOGLETRANSLATE(H26, ""th"", ""en"")"),"In bullfighting, can heavily trained bulls participate?")</f>
        <v>In bullfighting, can heavily trained bulls participate?</v>
      </c>
      <c r="C26" s="5" t="str">
        <f>IFERROR(__xludf.DUMMYFUNCTION("GOOGLETRANSLATE(I26, ""th"", ""en"")"),"A) Can; B) Can't; C) It depends on the judges' decision; D) It depends on the age of the cow.")</f>
        <v>A) Can; B) Can't; C) It depends on the judges' decision; D) It depends on the age of the cow.</v>
      </c>
      <c r="D26" s="4" t="str">
        <f>IFERROR(__xludf.DUMMYFUNCTION("GOOGLETRANSLATE(J26, ""th"", ""en"")"),"A) Can")</f>
        <v>A) Can</v>
      </c>
      <c r="E26" s="4" t="str">
        <f>IFERROR(__xludf.DUMMYFUNCTION("GOOGLETRANSLATE(K26, ""th"", ""en"")"),"Training prepares the cows for competition.")</f>
        <v>Training prepares the cows for competition.</v>
      </c>
      <c r="G26" s="6">
        <v>25.0</v>
      </c>
      <c r="H26" s="7" t="s">
        <v>764</v>
      </c>
      <c r="I26" s="7" t="s">
        <v>765</v>
      </c>
      <c r="J26" s="7" t="s">
        <v>721</v>
      </c>
      <c r="K26" s="7" t="s">
        <v>766</v>
      </c>
    </row>
    <row r="27" ht="14.25" customHeight="1">
      <c r="A27" s="4">
        <v>26.0</v>
      </c>
      <c r="B27" s="5" t="str">
        <f>IFERROR(__xludf.DUMMYFUNCTION("GOOGLETRANSLATE(H27, ""th"", ""en"")"),"Is it permissible to use any means to make a bull scared or anxious during a race?")</f>
        <v>Is it permissible to use any means to make a bull scared or anxious during a race?</v>
      </c>
      <c r="C27" s="5" t="str">
        <f>IFERROR(__xludf.DUMMYFUNCTION("GOOGLETRANSLATE(I27, ""th"", ""en"")"),"A) Allowed; B) Not allowed; C) Allowed only in certain cases; D) Depends on the director.")</f>
        <v>A) Allowed; B) Not allowed; C) Allowed only in certain cases; D) Depends on the director.</v>
      </c>
      <c r="D27" s="4" t="str">
        <f>IFERROR(__xludf.DUMMYFUNCTION("GOOGLETRANSLATE(J27, ""th"", ""en"")"),"B) Not allowed")</f>
        <v>B) Not allowed</v>
      </c>
      <c r="E27" s="4" t="str">
        <f>IFERROR(__xludf.DUMMYFUNCTION("GOOGLETRANSLATE(K27, ""th"", ""en"")"),"Scaring the cows makes the competition unfair.")</f>
        <v>Scaring the cows makes the competition unfair.</v>
      </c>
      <c r="G27" s="6">
        <v>26.0</v>
      </c>
      <c r="H27" s="7" t="s">
        <v>767</v>
      </c>
      <c r="I27" s="7" t="s">
        <v>768</v>
      </c>
      <c r="J27" s="7" t="s">
        <v>690</v>
      </c>
      <c r="K27" s="7" t="s">
        <v>769</v>
      </c>
    </row>
    <row r="28" ht="14.25" customHeight="1">
      <c r="A28" s="4">
        <v>27.0</v>
      </c>
      <c r="B28" s="5" t="str">
        <f>IFERROR(__xludf.DUMMYFUNCTION("GOOGLETRANSLATE(H28, ""th"", ""en"")"),"In the event that a bull is seriously injured during a race, will the race be stopped?")</f>
        <v>In the event that a bull is seriously injured during a race, will the race be stopped?</v>
      </c>
      <c r="C28" s="5" t="str">
        <f>IFERROR(__xludf.DUMMYFUNCTION("GOOGLETRANSLATE(I28, ""th"", ""en"")"),"A) The match will be stopped immediately; B) The match will continue; C) The match will be temporarily suspended; D) It is up to the referee.")</f>
        <v>A) The match will be stopped immediately; B) The match will continue; C) The match will be temporarily suspended; D) It is up to the referee.</v>
      </c>
      <c r="D28" s="4" t="str">
        <f>IFERROR(__xludf.DUMMYFUNCTION("GOOGLETRANSLATE(J28, ""th"", ""en"")"),"A) The competition will be stopped immediately.")</f>
        <v>A) The competition will be stopped immediately.</v>
      </c>
      <c r="E28" s="4" t="str">
        <f>IFERROR(__xludf.DUMMYFUNCTION("GOOGLETRANSLATE(K28, ""th"", ""en"")"),"It is important to stop the race to ensure safety.")</f>
        <v>It is important to stop the race to ensure safety.</v>
      </c>
      <c r="G28" s="6">
        <v>27.0</v>
      </c>
      <c r="H28" s="7" t="s">
        <v>770</v>
      </c>
      <c r="I28" s="7" t="s">
        <v>771</v>
      </c>
      <c r="J28" s="7" t="s">
        <v>772</v>
      </c>
      <c r="K28" s="7" t="s">
        <v>773</v>
      </c>
    </row>
    <row r="29" ht="14.25" customHeight="1">
      <c r="A29" s="4">
        <v>28.0</v>
      </c>
      <c r="B29" s="5" t="str">
        <f>IFERROR(__xludf.DUMMYFUNCTION("GOOGLETRANSLATE(H29, ""th"", ""en"")"),"Can the presence of spectators at a match affect the decision?")</f>
        <v>Can the presence of spectators at a match affect the decision?</v>
      </c>
      <c r="C29" s="5" t="str">
        <f>IFERROR(__xludf.DUMMYFUNCTION("GOOGLETRANSLATE(I29, ""th"", ""en"")"),"A) has no effect; B) may affect the decision; C) depends on the number of viewers; D) depends on popularity.")</f>
        <v>A) has no effect; B) may affect the decision; C) depends on the number of viewers; D) depends on popularity.</v>
      </c>
      <c r="D29" s="4" t="str">
        <f>IFERROR(__xludf.DUMMYFUNCTION("GOOGLETRANSLATE(J29, ""th"", ""en"")"),"B) May affect the decision.")</f>
        <v>B) May affect the decision.</v>
      </c>
      <c r="E29" s="4" t="str">
        <f>IFERROR(__xludf.DUMMYFUNCTION("GOOGLETRANSLATE(K29, ""th"", ""en"")"),"The audience may influence the judges' decisions.")</f>
        <v>The audience may influence the judges' decisions.</v>
      </c>
      <c r="G29" s="6">
        <v>28.0</v>
      </c>
      <c r="H29" s="7" t="s">
        <v>774</v>
      </c>
      <c r="I29" s="7" t="s">
        <v>775</v>
      </c>
      <c r="J29" s="7" t="s">
        <v>776</v>
      </c>
      <c r="K29" s="7" t="s">
        <v>777</v>
      </c>
    </row>
    <row r="30" ht="14.25" customHeight="1">
      <c r="A30" s="4">
        <v>29.0</v>
      </c>
      <c r="B30" s="5" t="str">
        <f>IFERROR(__xludf.DUMMYFUNCTION("GOOGLETRANSLATE(H30, ""th"", ""en"")"),"Do the cows that lose in the race need to be cared for after the race?")</f>
        <v>Do the cows that lose in the race need to be cared for after the race?</v>
      </c>
      <c r="C30" s="5" t="str">
        <f>IFERROR(__xludf.DUMMYFUNCTION("GOOGLETRANSLATE(I30, ""th"", ""en"")"),"A) Must be cared for; B) Does not need to be cared for; C) Depends on the condition of the cow; D) Losing cows will be disqualified.")</f>
        <v>A) Must be cared for; B) Does not need to be cared for; C) Depends on the condition of the cow; D) Losing cows will be disqualified.</v>
      </c>
      <c r="D30" s="4" t="str">
        <f>IFERROR(__xludf.DUMMYFUNCTION("GOOGLETRANSLATE(J30, ""th"", ""en"")"),"A) Must be taken care of.")</f>
        <v>A) Must be taken care of.</v>
      </c>
      <c r="E30" s="4" t="str">
        <f>IFERROR(__xludf.DUMMYFUNCTION("GOOGLETRANSLATE(K30, ""th"", ""en"")"),"Post-race care is important to prevent health problems.")</f>
        <v>Post-race care is important to prevent health problems.</v>
      </c>
      <c r="G30" s="6">
        <v>29.0</v>
      </c>
      <c r="H30" s="7" t="s">
        <v>778</v>
      </c>
      <c r="I30" s="7" t="s">
        <v>779</v>
      </c>
      <c r="J30" s="7" t="s">
        <v>780</v>
      </c>
      <c r="K30" s="7" t="s">
        <v>781</v>
      </c>
    </row>
    <row r="31" ht="14.25" customHeight="1">
      <c r="A31" s="4">
        <v>30.0</v>
      </c>
      <c r="B31" s="5" t="str">
        <f>IFERROR(__xludf.DUMMYFUNCTION("GOOGLETRANSLATE(H31, ""th"", ""en"")"),"Can the cow handler change the position of the cow during the race?")</f>
        <v>Can the cow handler change the position of the cow during the race?</v>
      </c>
      <c r="C31" s="5" t="str">
        <f>IFERROR(__xludf.DUMMYFUNCTION("GOOGLETRANSLATE(I31, ""th"", ""en"")"),"A) Yes; B) No; C) It depends on the rules of the field; D) It depends on the conditions of the competition.")</f>
        <v>A) Yes; B) No; C) It depends on the rules of the field; D) It depends on the conditions of the competition.</v>
      </c>
      <c r="D31" s="4" t="str">
        <f>IFERROR(__xludf.DUMMYFUNCTION("GOOGLETRANSLATE(J31, ""th"", ""en"")"),"B) No.")</f>
        <v>B) No.</v>
      </c>
      <c r="E31" s="4" t="str">
        <f>IFERROR(__xludf.DUMMYFUNCTION("GOOGLETRANSLATE(K31, ""th"", ""en"")"),"Position changes are not allowed to keep the competition fair.")</f>
        <v>Position changes are not allowed to keep the competition fair.</v>
      </c>
      <c r="G31" s="6">
        <v>30.0</v>
      </c>
      <c r="H31" s="7" t="s">
        <v>782</v>
      </c>
      <c r="I31" s="7" t="s">
        <v>783</v>
      </c>
      <c r="J31" s="7" t="s">
        <v>698</v>
      </c>
      <c r="K31" s="7" t="s">
        <v>784</v>
      </c>
    </row>
    <row r="32" ht="14.25" customHeight="1">
      <c r="A32" s="4">
        <v>31.0</v>
      </c>
      <c r="B32" s="5" t="str">
        <f>IFERROR(__xludf.DUMMYFUNCTION("GOOGLETRANSLATE(H32, ""th"", ""en"")"),"In bullfighting, must bulls that behave inappropriately be disqualified?")</f>
        <v>In bullfighting, must bulls that behave inappropriately be disqualified?</v>
      </c>
      <c r="C32" s="5" t="str">
        <f>IFERROR(__xludf.DUMMYFUNCTION("GOOGLETRANSLATE(I32, ""th"", ""en"")"),"A) will be disqualified; B) will not be disqualified; C) will be warned first; D) depends on the case.")</f>
        <v>A) will be disqualified; B) will not be disqualified; C) will be warned first; D) depends on the case.</v>
      </c>
      <c r="D32" s="4" t="str">
        <f>IFERROR(__xludf.DUMMYFUNCTION("GOOGLETRANSLATE(J32, ""th"", ""en"")"),"A) Disqualified")</f>
        <v>A) Disqualified</v>
      </c>
      <c r="E32" s="4" t="str">
        <f>IFERROR(__xludf.DUMMYFUNCTION("GOOGLETRANSLATE(K32, ""th"", ""en"")"),"Inappropriate behavior is unfair.")</f>
        <v>Inappropriate behavior is unfair.</v>
      </c>
      <c r="G32" s="6">
        <v>31.0</v>
      </c>
      <c r="H32" s="7" t="s">
        <v>785</v>
      </c>
      <c r="I32" s="7" t="s">
        <v>786</v>
      </c>
      <c r="J32" s="7" t="s">
        <v>787</v>
      </c>
      <c r="K32" s="7" t="s">
        <v>788</v>
      </c>
    </row>
    <row r="33" ht="14.25" customHeight="1">
      <c r="A33" s="4">
        <v>32.0</v>
      </c>
      <c r="B33" s="5" t="str">
        <f>IFERROR(__xludf.DUMMYFUNCTION("GOOGLETRANSLATE(H33, ""th"", ""en"")"),"In the event that a cow becomes ill during a race, can the handler remove the cow from the race?")</f>
        <v>In the event that a cow becomes ill during a race, can the handler remove the cow from the race?</v>
      </c>
      <c r="C33" s="5" t="str">
        <f>IFERROR(__xludf.DUMMYFUNCTION("GOOGLETRANSLATE(I33, ""th"", ""en"")"),"A) Can; B) Can't; C) Depends on the judge; D) Depends on the symptoms.")</f>
        <v>A) Can; B) Can't; C) Depends on the judge; D) Depends on the symptoms.</v>
      </c>
      <c r="D33" s="4" t="str">
        <f>IFERROR(__xludf.DUMMYFUNCTION("GOOGLETRANSLATE(J33, ""th"", ""en"")"),"A) Can")</f>
        <v>A) Can</v>
      </c>
      <c r="E33" s="4" t="str">
        <f>IFERROR(__xludf.DUMMYFUNCTION("GOOGLETRANSLATE(K33, ""th"", ""en"")"),"Taking care of the cow's health is more important than the competition.")</f>
        <v>Taking care of the cow's health is more important than the competition.</v>
      </c>
      <c r="G33" s="6">
        <v>32.0</v>
      </c>
      <c r="H33" s="7" t="s">
        <v>789</v>
      </c>
      <c r="I33" s="7" t="s">
        <v>790</v>
      </c>
      <c r="J33" s="7" t="s">
        <v>721</v>
      </c>
      <c r="K33" s="7" t="s">
        <v>791</v>
      </c>
    </row>
    <row r="34" ht="14.25" customHeight="1">
      <c r="A34" s="4">
        <v>33.0</v>
      </c>
      <c r="B34" s="5" t="str">
        <f>IFERROR(__xludf.DUMMYFUNCTION("GOOGLETRANSLATE(H34, ""th"", ""en"")"),"Is it permissible to use tools to control the bull such as ropes or sticks during the competition?")</f>
        <v>Is it permissible to use tools to control the bull such as ropes or sticks during the competition?</v>
      </c>
      <c r="C34" s="5" t="str">
        <f>IFERROR(__xludf.DUMMYFUNCTION("GOOGLETRANSLATE(I34, ""th"", ""en"")"),"A) Allowed; B) Not allowed; C) Allowed only in emergency cases; D) Depends on the director.")</f>
        <v>A) Allowed; B) Not allowed; C) Allowed only in emergency cases; D) Depends on the director.</v>
      </c>
      <c r="D34" s="4" t="str">
        <f>IFERROR(__xludf.DUMMYFUNCTION("GOOGLETRANSLATE(J34, ""th"", ""en"")"),"B) Not allowed")</f>
        <v>B) Not allowed</v>
      </c>
      <c r="E34" s="4" t="str">
        <f>IFERROR(__xludf.DUMMYFUNCTION("GOOGLETRANSLATE(K34, ""th"", ""en"")"),"Using unnecessary tools makes the competition unfair.")</f>
        <v>Using unnecessary tools makes the competition unfair.</v>
      </c>
      <c r="G34" s="6">
        <v>33.0</v>
      </c>
      <c r="H34" s="7" t="s">
        <v>792</v>
      </c>
      <c r="I34" s="7" t="s">
        <v>762</v>
      </c>
      <c r="J34" s="7" t="s">
        <v>690</v>
      </c>
      <c r="K34" s="7" t="s">
        <v>793</v>
      </c>
    </row>
    <row r="35" ht="14.25" customHeight="1">
      <c r="A35" s="4">
        <v>34.0</v>
      </c>
      <c r="B35" s="5" t="str">
        <f>IFERROR(__xludf.DUMMYFUNCTION("GOOGLETRANSLATE(H35, ""th"", ""en"")"),"Can bullfights be judged using judges' scoring?")</f>
        <v>Can bullfights be judged using judges' scoring?</v>
      </c>
      <c r="C35" s="5" t="str">
        <f>IFERROR(__xludf.DUMMYFUNCTION("GOOGLETRANSLATE(I35, ""th"", ""en"")"),"A) Can; B) Can't; C) Depends on the type of competition; D) Depends on the number of winners.")</f>
        <v>A) Can; B) Can't; C) Depends on the type of competition; D) Depends on the number of winners.</v>
      </c>
      <c r="D35" s="4" t="str">
        <f>IFERROR(__xludf.DUMMYFUNCTION("GOOGLETRANSLATE(J35, ""th"", ""en"")"),"A) Can")</f>
        <v>A) Can</v>
      </c>
      <c r="E35" s="4" t="str">
        <f>IFERROR(__xludf.DUMMYFUNCTION("GOOGLETRANSLATE(K35, ""th"", ""en"")"),"Using scoring helps keep the competition fair.")</f>
        <v>Using scoring helps keep the competition fair.</v>
      </c>
      <c r="G35" s="6">
        <v>34.0</v>
      </c>
      <c r="H35" s="7" t="s">
        <v>794</v>
      </c>
      <c r="I35" s="7" t="s">
        <v>795</v>
      </c>
      <c r="J35" s="7" t="s">
        <v>721</v>
      </c>
      <c r="K35" s="7" t="s">
        <v>796</v>
      </c>
    </row>
    <row r="36" ht="14.25" customHeight="1">
      <c r="A36" s="4">
        <v>35.0</v>
      </c>
      <c r="B36" s="5" t="str">
        <f>IFERROR(__xludf.DUMMYFUNCTION("GOOGLETRANSLATE(H36, ""th"", ""en"")"),"Can a cow with only minor injuries continue to compete?")</f>
        <v>Can a cow with only minor injuries continue to compete?</v>
      </c>
      <c r="C36" s="5" t="str">
        <f>IFERROR(__xludf.DUMMYFUNCTION("GOOGLETRANSLATE(I36, ""th"", ""en"")"),"A) Yes; B) No; C) It depends on the type of injury; D) It depends on the referee's decision.")</f>
        <v>A) Yes; B) No; C) It depends on the type of injury; D) It depends on the referee's decision.</v>
      </c>
      <c r="D36" s="4" t="str">
        <f>IFERROR(__xludf.DUMMYFUNCTION("GOOGLETRANSLATE(J36, ""th"", ""en"")"),"A) Yes.")</f>
        <v>A) Yes.</v>
      </c>
      <c r="E36" s="4" t="str">
        <f>IFERROR(__xludf.DUMMYFUNCTION("GOOGLETRANSLATE(K36, ""th"", ""en"")"),"Minor injuries should not affect the competition.")</f>
        <v>Minor injuries should not affect the competition.</v>
      </c>
      <c r="G36" s="6">
        <v>35.0</v>
      </c>
      <c r="H36" s="7" t="s">
        <v>797</v>
      </c>
      <c r="I36" s="7" t="s">
        <v>798</v>
      </c>
      <c r="J36" s="7" t="s">
        <v>737</v>
      </c>
      <c r="K36" s="7" t="s">
        <v>799</v>
      </c>
    </row>
    <row r="37" ht="14.25" customHeight="1">
      <c r="A37" s="4">
        <v>36.0</v>
      </c>
      <c r="B37" s="5" t="str">
        <f>IFERROR(__xludf.DUMMYFUNCTION("GOOGLETRANSLATE(H37, ""th"", ""en"")"),"If the judges find out that there is cheating in the competition, what punishment will the cow or the participant receive?")</f>
        <v>If the judges find out that there is cheating in the competition, what punishment will the cow or the participant receive?</v>
      </c>
      <c r="C37" s="5" t="str">
        <f>IFERROR(__xludf.DUMMYFUNCTION("GOOGLETRANSLATE(I37, ""th"", ""en"")"),"A) will be disqualified immediately; B) will be warned; C) will be fined; D) depends on the case.")</f>
        <v>A) will be disqualified immediately; B) will be warned; C) will be fined; D) depends on the case.</v>
      </c>
      <c r="D37" s="4" t="str">
        <f>IFERROR(__xludf.DUMMYFUNCTION("GOOGLETRANSLATE(J37, ""th"", ""en"")"),"A) will be disqualified immediately.")</f>
        <v>A) will be disqualified immediately.</v>
      </c>
      <c r="E37" s="4" t="str">
        <f>IFERROR(__xludf.DUMMYFUNCTION("GOOGLETRANSLATE(K37, ""th"", ""en"")"),"Cheating makes the competition unfair.")</f>
        <v>Cheating makes the competition unfair.</v>
      </c>
      <c r="G37" s="6">
        <v>36.0</v>
      </c>
      <c r="H37" s="7" t="s">
        <v>800</v>
      </c>
      <c r="I37" s="7" t="s">
        <v>801</v>
      </c>
      <c r="J37" s="7" t="s">
        <v>802</v>
      </c>
      <c r="K37" s="7" t="s">
        <v>803</v>
      </c>
    </row>
    <row r="38" ht="14.25" customHeight="1">
      <c r="A38" s="4">
        <v>37.0</v>
      </c>
      <c r="B38" s="5" t="str">
        <f>IFERROR(__xludf.DUMMYFUNCTION("GOOGLETRANSLATE(H38, ""th"", ""en"")"),"Can participants engage in inappropriate behavior such as attracting spectator attention during the competition?")</f>
        <v>Can participants engage in inappropriate behavior such as attracting spectator attention during the competition?</v>
      </c>
      <c r="C38" s="5" t="str">
        <f>IFERROR(__xludf.DUMMYFUNCTION("GOOGLETRANSLATE(I38, ""th"", ""en"")"),"A) Yes; B) No; C) It depends on the type of competition; D) It is allowed in some cases.")</f>
        <v>A) Yes; B) No; C) It depends on the type of competition; D) It is allowed in some cases.</v>
      </c>
      <c r="D38" s="4" t="str">
        <f>IFERROR(__xludf.DUMMYFUNCTION("GOOGLETRANSLATE(J38, ""th"", ""en"")"),"B) No.")</f>
        <v>B) No.</v>
      </c>
      <c r="E38" s="4" t="str">
        <f>IFERROR(__xludf.DUMMYFUNCTION("GOOGLETRANSLATE(K38, ""th"", ""en"")"),"Inappropriate behavior makes the competition unfair.")</f>
        <v>Inappropriate behavior makes the competition unfair.</v>
      </c>
      <c r="G38" s="6">
        <v>37.0</v>
      </c>
      <c r="H38" s="7" t="s">
        <v>804</v>
      </c>
      <c r="I38" s="7" t="s">
        <v>805</v>
      </c>
      <c r="J38" s="7" t="s">
        <v>698</v>
      </c>
      <c r="K38" s="7" t="s">
        <v>806</v>
      </c>
    </row>
    <row r="39" ht="14.25" customHeight="1">
      <c r="A39" s="4">
        <v>38.0</v>
      </c>
      <c r="B39" s="5" t="str">
        <f>IFERROR(__xludf.DUMMYFUNCTION("GOOGLETRANSLATE(H39, ""th"", ""en"")"),"Can cows over 5 years old participate in the competition?")</f>
        <v>Can cows over 5 years old participate in the competition?</v>
      </c>
      <c r="C39" s="5" t="str">
        <f>IFERROR(__xludf.DUMMYFUNCTION("GOOGLETRANSLATE(I39, ""th"", ""en"")"),"A) Yes; B) No; C) It depends on the case; D) It depends on the type of competition.")</f>
        <v>A) Yes; B) No; C) It depends on the case; D) It depends on the type of competition.</v>
      </c>
      <c r="D39" s="4" t="str">
        <f>IFERROR(__xludf.DUMMYFUNCTION("GOOGLETRANSLATE(J39, ""th"", ""en"")"),"B) No.")</f>
        <v>B) No.</v>
      </c>
      <c r="E39" s="4" t="str">
        <f>IFERROR(__xludf.DUMMYFUNCTION("GOOGLETRANSLATE(K39, ""th"", ""en"")"),"Determining the age of the bulls helps ensure fair competition.")</f>
        <v>Determining the age of the bulls helps ensure fair competition.</v>
      </c>
      <c r="G39" s="6">
        <v>38.0</v>
      </c>
      <c r="H39" s="7" t="s">
        <v>807</v>
      </c>
      <c r="I39" s="7" t="s">
        <v>808</v>
      </c>
      <c r="J39" s="7" t="s">
        <v>698</v>
      </c>
      <c r="K39" s="7" t="s">
        <v>809</v>
      </c>
    </row>
    <row r="40" ht="14.25" customHeight="1">
      <c r="A40" s="4">
        <v>39.0</v>
      </c>
      <c r="B40" s="5" t="str">
        <f>IFERROR(__xludf.DUMMYFUNCTION("GOOGLETRANSLATE(H40, ""th"", ""en"")"),"Can a handler decide to let an injured cow continue competing?")</f>
        <v>Can a handler decide to let an injured cow continue competing?</v>
      </c>
      <c r="C40" s="5" t="str">
        <f>IFERROR(__xludf.DUMMYFUNCTION("GOOGLETRANSLATE(I40, ""th"", ""en"")"),"A) Yes; B) No; C) It depends on the referee; D) It depends on the condition of the injury.")</f>
        <v>A) Yes; B) No; C) It depends on the referee; D) It depends on the condition of the injury.</v>
      </c>
      <c r="D40" s="4" t="str">
        <f>IFERROR(__xludf.DUMMYFUNCTION("GOOGLETRANSLATE(J40, ""th"", ""en"")"),"B) No.")</f>
        <v>B) No.</v>
      </c>
      <c r="E40" s="4" t="str">
        <f>IFERROR(__xludf.DUMMYFUNCTION("GOOGLETRANSLATE(K40, ""th"", ""en"")"),"Allowing injured cows to compete can be risky.")</f>
        <v>Allowing injured cows to compete can be risky.</v>
      </c>
      <c r="G40" s="6">
        <v>39.0</v>
      </c>
      <c r="H40" s="7" t="s">
        <v>810</v>
      </c>
      <c r="I40" s="7" t="s">
        <v>811</v>
      </c>
      <c r="J40" s="7" t="s">
        <v>698</v>
      </c>
      <c r="K40" s="7" t="s">
        <v>812</v>
      </c>
    </row>
    <row r="41" ht="14.25" customHeight="1">
      <c r="A41" s="4">
        <v>40.0</v>
      </c>
      <c r="B41" s="5" t="str">
        <f>IFERROR(__xludf.DUMMYFUNCTION("GOOGLETRANSLATE(H41, ""th"", ""en"")"),"If a bull is unable to compete due to illness or injury, will the competition be canceled?")</f>
        <v>If a bull is unable to compete due to illness or injury, will the competition be canceled?</v>
      </c>
      <c r="C41" s="5" t="str">
        <f>IFERROR(__xludf.DUMMYFUNCTION("GOOGLETRANSLATE(I41, ""th"", ""en"")"),"A) The match will be canceled; B) The match will continue; C) The match will be temporarily suspended; D) It is up to the referee.")</f>
        <v>A) The match will be canceled; B) The match will continue; C) The match will be temporarily suspended; D) It is up to the referee.</v>
      </c>
      <c r="D41" s="4" t="str">
        <f>IFERROR(__xludf.DUMMYFUNCTION("GOOGLETRANSLATE(J41, ""th"", ""en"")"),"A) The competition will be canceled.")</f>
        <v>A) The competition will be canceled.</v>
      </c>
      <c r="E41" s="4" t="str">
        <f>IFERROR(__xludf.DUMMYFUNCTION("GOOGLETRANSLATE(K41, ""th"", ""en"")"),"Animal safety is important.")</f>
        <v>Animal safety is important.</v>
      </c>
      <c r="G41" s="6">
        <v>40.0</v>
      </c>
      <c r="H41" s="7" t="s">
        <v>813</v>
      </c>
      <c r="I41" s="7" t="s">
        <v>814</v>
      </c>
      <c r="J41" s="7" t="s">
        <v>717</v>
      </c>
      <c r="K41" s="7" t="s">
        <v>815</v>
      </c>
    </row>
    <row r="42" ht="14.25" customHeight="1">
      <c r="A42" s="4">
        <v>41.0</v>
      </c>
      <c r="B42" s="5" t="str">
        <f>IFERROR(__xludf.DUMMYFUNCTION("GOOGLETRANSLATE(H42, ""th"", ""en"")"),"Can the judges decide that the losing cow should be rescued?")</f>
        <v>Can the judges decide that the losing cow should be rescued?</v>
      </c>
      <c r="C42" s="5" t="str">
        <f>IFERROR(__xludf.DUMMYFUNCTION("GOOGLETRANSLATE(I42, ""th"", ""en"")"),"A) Yes; B) No; C) It depends on the condition of the cow; D) It depends on the judgement of the keeper.")</f>
        <v>A) Yes; B) No; C) It depends on the condition of the cow; D) It depends on the judgement of the keeper.</v>
      </c>
      <c r="D42" s="4" t="str">
        <f>IFERROR(__xludf.DUMMYFUNCTION("GOOGLETRANSLATE(J42, ""th"", ""en"")"),"A) Yes.")</f>
        <v>A) Yes.</v>
      </c>
      <c r="E42" s="4" t="str">
        <f>IFERROR(__xludf.DUMMYFUNCTION("GOOGLETRANSLATE(K42, ""th"", ""en"")"),"It is important to help the cows after the race.")</f>
        <v>It is important to help the cows after the race.</v>
      </c>
      <c r="G42" s="6">
        <v>41.0</v>
      </c>
      <c r="H42" s="7" t="s">
        <v>816</v>
      </c>
      <c r="I42" s="7" t="s">
        <v>817</v>
      </c>
      <c r="J42" s="7" t="s">
        <v>737</v>
      </c>
      <c r="K42" s="7" t="s">
        <v>818</v>
      </c>
    </row>
    <row r="43" ht="14.25" customHeight="1">
      <c r="A43" s="4">
        <v>42.0</v>
      </c>
      <c r="B43" s="5" t="str">
        <f>IFERROR(__xludf.DUMMYFUNCTION("GOOGLETRANSLATE(H43, ""th"", ""en"")"),"Is it permissible to make loud noises or make disturbing sounds during bullfights?")</f>
        <v>Is it permissible to make loud noises or make disturbing sounds during bullfights?</v>
      </c>
      <c r="C43" s="5" t="str">
        <f>IFERROR(__xludf.DUMMYFUNCTION("GOOGLETRANSLATE(I43, ""th"", ""en"")"),"A) Allowed; B) Not allowed; C) Allowed in some cases; D) Depends on the organizer.")</f>
        <v>A) Allowed; B) Not allowed; C) Allowed in some cases; D) Depends on the organizer.</v>
      </c>
      <c r="D43" s="4" t="str">
        <f>IFERROR(__xludf.DUMMYFUNCTION("GOOGLETRANSLATE(J43, ""th"", ""en"")"),"B) Not allowed")</f>
        <v>B) Not allowed</v>
      </c>
      <c r="E43" s="4" t="str">
        <f>IFERROR(__xludf.DUMMYFUNCTION("GOOGLETRANSLATE(K43, ""th"", ""en"")"),"Making noise can affect the concentration of both the cow and the participants.")</f>
        <v>Making noise can affect the concentration of both the cow and the participants.</v>
      </c>
      <c r="G43" s="6">
        <v>42.0</v>
      </c>
      <c r="H43" s="7" t="s">
        <v>819</v>
      </c>
      <c r="I43" s="7" t="s">
        <v>820</v>
      </c>
      <c r="J43" s="7" t="s">
        <v>690</v>
      </c>
      <c r="K43" s="7" t="s">
        <v>821</v>
      </c>
    </row>
    <row r="44" ht="14.25" customHeight="1">
      <c r="A44" s="4">
        <v>43.0</v>
      </c>
      <c r="B44" s="5" t="str">
        <f>IFERROR(__xludf.DUMMYFUNCTION("GOOGLETRANSLATE(H44, ""th"", ""en"")"),"Is there a limit on the number of rounds in bullfighting?")</f>
        <v>Is there a limit on the number of rounds in bullfighting?</v>
      </c>
      <c r="C44" s="5" t="str">
        <f>IFERROR(__xludf.DUMMYFUNCTION("GOOGLETRANSLATE(I44, ""th"", ""en"")"),"A) There is a limit on the number of laps; B) There is no limit on the number of laps; C) It depends on the type of race; D) It depends on the rules of the track.")</f>
        <v>A) There is a limit on the number of laps; B) There is no limit on the number of laps; C) It depends on the type of race; D) It depends on the rules of the track.</v>
      </c>
      <c r="D44" s="4" t="str">
        <f>IFERROR(__xludf.DUMMYFUNCTION("GOOGLETRANSLATE(J44, ""th"", ""en"")"),"A) There is a limit on the number of rounds.")</f>
        <v>A) There is a limit on the number of rounds.</v>
      </c>
      <c r="E44" s="4" t="str">
        <f>IFERROR(__xludf.DUMMYFUNCTION("GOOGLETRANSLATE(K44, ""th"", ""en"")"),"Limiting the number of rounds helps keep the competition organized.")</f>
        <v>Limiting the number of rounds helps keep the competition organized.</v>
      </c>
      <c r="G44" s="6">
        <v>43.0</v>
      </c>
      <c r="H44" s="7" t="s">
        <v>822</v>
      </c>
      <c r="I44" s="7" t="s">
        <v>823</v>
      </c>
      <c r="J44" s="7" t="s">
        <v>824</v>
      </c>
      <c r="K44" s="7" t="s">
        <v>825</v>
      </c>
    </row>
    <row r="45" ht="14.25" customHeight="1">
      <c r="A45" s="4">
        <v>44.0</v>
      </c>
      <c r="B45" s="5" t="str">
        <f>IFERROR(__xludf.DUMMYFUNCTION("GOOGLETRANSLATE(H45, ""th"", ""en"")"),"Are cows with serious health problems allowed to compete?")</f>
        <v>Are cows with serious health problems allowed to compete?</v>
      </c>
      <c r="C45" s="5" t="str">
        <f>IFERROR(__xludf.DUMMYFUNCTION("GOOGLETRANSLATE(I45, ""th"", ""en"")"),"A) Allowed; B) Not allowed; C) Depends on the judge's decision; D) Depends on the type of health problem.")</f>
        <v>A) Allowed; B) Not allowed; C) Depends on the judge's decision; D) Depends on the type of health problem.</v>
      </c>
      <c r="D45" s="4" t="str">
        <f>IFERROR(__xludf.DUMMYFUNCTION("GOOGLETRANSLATE(J45, ""th"", ""en"")"),"B) Not allowed")</f>
        <v>B) Not allowed</v>
      </c>
      <c r="E45" s="4" t="str">
        <f>IFERROR(__xludf.DUMMYFUNCTION("GOOGLETRANSLATE(K45, ""th"", ""en"")"),"Preventing health problems in cattle is important.")</f>
        <v>Preventing health problems in cattle is important.</v>
      </c>
      <c r="G45" s="6">
        <v>44.0</v>
      </c>
      <c r="H45" s="7" t="s">
        <v>826</v>
      </c>
      <c r="I45" s="7" t="s">
        <v>827</v>
      </c>
      <c r="J45" s="7" t="s">
        <v>690</v>
      </c>
      <c r="K45" s="7" t="s">
        <v>828</v>
      </c>
    </row>
    <row r="46" ht="14.25" customHeight="1">
      <c r="A46" s="4">
        <v>45.0</v>
      </c>
      <c r="B46" s="5" t="str">
        <f>IFERROR(__xludf.DUMMYFUNCTION("GOOGLETRANSLATE(H46, ""th"", ""en"")"),"Will cows be punished for their aggressive behavior?")</f>
        <v>Will cows be punished for their aggressive behavior?</v>
      </c>
      <c r="C46" s="5" t="str">
        <f>IFERROR(__xludf.DUMMYFUNCTION("GOOGLETRANSLATE(I46, ""th"", ""en"")"),"A) will be penalized; B) will not be penalized; C) depends on the referee; D) depends on the situation.")</f>
        <v>A) will be penalized; B) will not be penalized; C) depends on the referee; D) depends on the situation.</v>
      </c>
      <c r="D46" s="4" t="str">
        <f>IFERROR(__xludf.DUMMYFUNCTION("GOOGLETRANSLATE(J46, ""th"", ""en"")"),"A) will be punished")</f>
        <v>A) will be punished</v>
      </c>
      <c r="E46" s="4" t="str">
        <f>IFERROR(__xludf.DUMMYFUNCTION("GOOGLETRANSLATE(K46, ""th"", ""en"")"),"Aggressive behavior affects the fairness of the competition.")</f>
        <v>Aggressive behavior affects the fairness of the competition.</v>
      </c>
      <c r="G46" s="6">
        <v>45.0</v>
      </c>
      <c r="H46" s="7" t="s">
        <v>829</v>
      </c>
      <c r="I46" s="7" t="s">
        <v>830</v>
      </c>
      <c r="J46" s="7" t="s">
        <v>831</v>
      </c>
      <c r="K46" s="7" t="s">
        <v>832</v>
      </c>
    </row>
    <row r="47" ht="14.25" customHeight="1">
      <c r="A47" s="4">
        <v>46.0</v>
      </c>
      <c r="B47" s="5" t="str">
        <f>IFERROR(__xludf.DUMMYFUNCTION("GOOGLETRANSLATE(H47, ""th"", ""en"")"),"Is the use of dangerous materials such as iron or sharp objects in bullfighting permitted?")</f>
        <v>Is the use of dangerous materials such as iron or sharp objects in bullfighting permitted?</v>
      </c>
      <c r="C47" s="5" t="str">
        <f>IFERROR(__xludf.DUMMYFUNCTION("GOOGLETRANSLATE(I47, ""th"", ""en"")"),"A) Allowed; B) Not allowed; C) Allowed in some cases; D) Depends on the director.")</f>
        <v>A) Allowed; B) Not allowed; C) Allowed in some cases; D) Depends on the director.</v>
      </c>
      <c r="D47" s="4" t="str">
        <f>IFERROR(__xludf.DUMMYFUNCTION("GOOGLETRANSLATE(J47, ""th"", ""en"")"),"B) Not allowed")</f>
        <v>B) Not allowed</v>
      </c>
      <c r="E47" s="4" t="str">
        <f>IFERROR(__xludf.DUMMYFUNCTION("GOOGLETRANSLATE(K47, ""th"", ""en"")"),"The use of hazardous materials makes the competition unsafe.")</f>
        <v>The use of hazardous materials makes the competition unsafe.</v>
      </c>
      <c r="G47" s="6">
        <v>46.0</v>
      </c>
      <c r="H47" s="7" t="s">
        <v>833</v>
      </c>
      <c r="I47" s="7" t="s">
        <v>834</v>
      </c>
      <c r="J47" s="7" t="s">
        <v>690</v>
      </c>
      <c r="K47" s="7" t="s">
        <v>835</v>
      </c>
    </row>
    <row r="48" ht="14.25" customHeight="1">
      <c r="A48" s="4">
        <v>47.0</v>
      </c>
      <c r="B48" s="5" t="str">
        <f>IFERROR(__xludf.DUMMYFUNCTION("GOOGLETRANSLATE(H48, ""th"", ""en"")"),"Will a cow that shows signs of excitement or behaves unbalanced be stopped from competing?")</f>
        <v>Will a cow that shows signs of excitement or behaves unbalanced be stopped from competing?</v>
      </c>
      <c r="C48" s="5" t="str">
        <f>IFERROR(__xludf.DUMMYFUNCTION("GOOGLETRANSLATE(I48, ""th"", ""en"")"),"A) Yes; B) No; C) It depends on the referee; D) It depends on the competition conditions.")</f>
        <v>A) Yes; B) No; C) It depends on the referee; D) It depends on the competition conditions.</v>
      </c>
      <c r="D48" s="4" t="str">
        <f>IFERROR(__xludf.DUMMYFUNCTION("GOOGLETRANSLATE(J48, ""th"", ""en"")"),"A) Yes.")</f>
        <v>A) Yes.</v>
      </c>
      <c r="E48" s="4" t="str">
        <f>IFERROR(__xludf.DUMMYFUNCTION("GOOGLETRANSLATE(K48, ""th"", ""en"")"),"The stoppage of the race was for the safety of the bulls.")</f>
        <v>The stoppage of the race was for the safety of the bulls.</v>
      </c>
      <c r="G48" s="6">
        <v>47.0</v>
      </c>
      <c r="H48" s="7" t="s">
        <v>836</v>
      </c>
      <c r="I48" s="7" t="s">
        <v>837</v>
      </c>
      <c r="J48" s="7" t="s">
        <v>737</v>
      </c>
      <c r="K48" s="7" t="s">
        <v>838</v>
      </c>
    </row>
    <row r="49" ht="14.25" customHeight="1">
      <c r="A49" s="4">
        <v>48.0</v>
      </c>
      <c r="B49" s="5" t="str">
        <f>IFERROR(__xludf.DUMMYFUNCTION("GOOGLETRANSLATE(H49, ""th"", ""en"")"),"Is it necessary to clean and maintain the playing field before the start of the competition?")</f>
        <v>Is it necessary to clean and maintain the playing field before the start of the competition?</v>
      </c>
      <c r="C49" s="5" t="str">
        <f>IFERROR(__xludf.DUMMYFUNCTION("GOOGLETRANSLATE(I49, ""th"", ""en"")"),"A) Required; B) Not required; C) Depends on field conditions; D) Depends on the type of competition.")</f>
        <v>A) Required; B) Not required; C) Depends on field conditions; D) Depends on the type of competition.</v>
      </c>
      <c r="D49" s="4" t="str">
        <f>IFERROR(__xludf.DUMMYFUNCTION("GOOGLETRANSLATE(J49, ""th"", ""en"")"),"A) Necessary")</f>
        <v>A) Necessary</v>
      </c>
      <c r="E49" s="4" t="str">
        <f>IFERROR(__xludf.DUMMYFUNCTION("GOOGLETRANSLATE(K49, ""th"", ""en"")"),"Keeping the field clean makes the competition safe and fair.")</f>
        <v>Keeping the field clean makes the competition safe and fair.</v>
      </c>
      <c r="G49" s="6">
        <v>48.0</v>
      </c>
      <c r="H49" s="7" t="s">
        <v>839</v>
      </c>
      <c r="I49" s="7" t="s">
        <v>840</v>
      </c>
      <c r="J49" s="7" t="s">
        <v>709</v>
      </c>
      <c r="K49" s="7" t="s">
        <v>841</v>
      </c>
    </row>
    <row r="50" ht="14.25" customHeight="1">
      <c r="A50" s="4">
        <v>49.0</v>
      </c>
      <c r="B50" s="5" t="str">
        <f>IFERROR(__xludf.DUMMYFUNCTION("GOOGLETRANSLATE(H50, ""th"", ""en"")"),"Can participants change their battle plans during the match?")</f>
        <v>Can participants change their battle plans during the match?</v>
      </c>
      <c r="C50" s="5" t="str">
        <f>IFERROR(__xludf.DUMMYFUNCTION("GOOGLETRANSLATE(I50, ""th"", ""en"")"),"A) Yes; B) No; C) It depends on the judges; D) It depends on the situation.")</f>
        <v>A) Yes; B) No; C) It depends on the judges; D) It depends on the situation.</v>
      </c>
      <c r="D50" s="4" t="str">
        <f>IFERROR(__xludf.DUMMYFUNCTION("GOOGLETRANSLATE(J50, ""th"", ""en"")"),"B) No.")</f>
        <v>B) No.</v>
      </c>
      <c r="E50" s="4" t="str">
        <f>IFERROR(__xludf.DUMMYFUNCTION("GOOGLETRANSLATE(K50, ""th"", ""en"")"),"Changing the fight plan during the match can be unfair.")</f>
        <v>Changing the fight plan during the match can be unfair.</v>
      </c>
      <c r="G50" s="6">
        <v>49.0</v>
      </c>
      <c r="H50" s="7" t="s">
        <v>842</v>
      </c>
      <c r="I50" s="7" t="s">
        <v>843</v>
      </c>
      <c r="J50" s="7" t="s">
        <v>698</v>
      </c>
      <c r="K50" s="7" t="s">
        <v>844</v>
      </c>
    </row>
    <row r="51" ht="14.25" customHeight="1">
      <c r="A51" s="4">
        <v>50.0</v>
      </c>
      <c r="B51" s="5" t="str">
        <f>IFERROR(__xludf.DUMMYFUNCTION("GOOGLETRANSLATE(H51, ""th"", ""en"")"),"In the event that a match is cancelled, when will a new match be scheduled?")</f>
        <v>In the event that a match is cancelled, when will a new match be scheduled?</v>
      </c>
      <c r="C51" s="5" t="str">
        <f>IFERROR(__xludf.DUMMYFUNCTION("GOOGLETRANSLATE(I51, ""th"", ""en"")"),"A) Immediately; B) Will be rescheduled after review; C) At the discretion of the judges; D) At the discretion of the organizer.")</f>
        <v>A) Immediately; B) Will be rescheduled after review; C) At the discretion of the judges; D) At the discretion of the organizer.</v>
      </c>
      <c r="D51" s="4" t="str">
        <f>IFERROR(__xludf.DUMMYFUNCTION("GOOGLETRANSLATE(J51, ""th"", ""en"")"),"B) Will be re-determined after the inspection.")</f>
        <v>B) Will be re-determined after the inspection.</v>
      </c>
      <c r="E51" s="4" t="str">
        <f>IFERROR(__xludf.DUMMYFUNCTION("GOOGLETRANSLATE(K51, ""th"", ""en"")"),"Checking the situation before rescheduling the match.")</f>
        <v>Checking the situation before rescheduling the match.</v>
      </c>
      <c r="G51" s="6">
        <v>50.0</v>
      </c>
      <c r="H51" s="7" t="s">
        <v>845</v>
      </c>
      <c r="I51" s="7" t="s">
        <v>846</v>
      </c>
      <c r="J51" s="7" t="s">
        <v>847</v>
      </c>
      <c r="K51" s="7" t="s">
        <v>848</v>
      </c>
    </row>
    <row r="52" ht="14.25" customHeight="1">
      <c r="A52" s="4">
        <v>51.0</v>
      </c>
      <c r="B52" s="5" t="str">
        <f>IFERROR(__xludf.DUMMYFUNCTION("GOOGLETRANSLATE(H52, ""th"", ""en"")"),"Can handlers move cows from the arena during a race?")</f>
        <v>Can handlers move cows from the arena during a race?</v>
      </c>
      <c r="C52" s="5" t="str">
        <f>IFERROR(__xludf.DUMMYFUNCTION("GOOGLETRANSLATE(I52, ""th"", ""en"")"),"A) Yes; B) No; C) It depends on the situation; D) It depends on the referee.")</f>
        <v>A) Yes; B) No; C) It depends on the situation; D) It depends on the referee.</v>
      </c>
      <c r="D52" s="4" t="str">
        <f>IFERROR(__xludf.DUMMYFUNCTION("GOOGLETRANSLATE(J52, ""th"", ""en"")"),"B) No.")</f>
        <v>B) No.</v>
      </c>
      <c r="E52" s="4" t="str">
        <f>IFERROR(__xludf.DUMMYFUNCTION("GOOGLETRANSLATE(K52, ""th"", ""en"")"),"Moving the cows during the race can cause unfairness.")</f>
        <v>Moving the cows during the race can cause unfairness.</v>
      </c>
      <c r="G52" s="6">
        <v>51.0</v>
      </c>
      <c r="H52" s="7" t="s">
        <v>849</v>
      </c>
      <c r="I52" s="7" t="s">
        <v>850</v>
      </c>
      <c r="J52" s="7" t="s">
        <v>698</v>
      </c>
      <c r="K52" s="7" t="s">
        <v>851</v>
      </c>
    </row>
    <row r="53" ht="14.25" customHeight="1">
      <c r="A53" s="4">
        <v>52.0</v>
      </c>
      <c r="B53" s="5" t="str">
        <f>IFERROR(__xludf.DUMMYFUNCTION("GOOGLETRANSLATE(H53, ""th"", ""en"")"),"If the judges find that stimulants or drugs have been used on the cow, will that affect the decision?")</f>
        <v>If the judges find that stimulants or drugs have been used on the cow, will that affect the decision?</v>
      </c>
      <c r="C53" s="5" t="str">
        <f>IFERROR(__xludf.DUMMYFUNCTION("GOOGLETRANSLATE(I53, ""th"", ""en"")"),"A) has an effect; B) has no effect; C) depends on the severity of drug use; D) depends on the director.")</f>
        <v>A) has an effect; B) has no effect; C) depends on the severity of drug use; D) depends on the director.</v>
      </c>
      <c r="D53" s="4" t="str">
        <f>IFERROR(__xludf.DUMMYFUNCTION("GOOGLETRANSLATE(J53, ""th"", ""en"")"),"A) has an impact")</f>
        <v>A) has an impact</v>
      </c>
      <c r="E53" s="4" t="str">
        <f>IFERROR(__xludf.DUMMYFUNCTION("GOOGLETRANSLATE(K53, ""th"", ""en"")"),"The use of stimulants makes competition unfair.")</f>
        <v>The use of stimulants makes competition unfair.</v>
      </c>
      <c r="G53" s="6">
        <v>52.0</v>
      </c>
      <c r="H53" s="7" t="s">
        <v>852</v>
      </c>
      <c r="I53" s="7" t="s">
        <v>853</v>
      </c>
      <c r="J53" s="7" t="s">
        <v>854</v>
      </c>
      <c r="K53" s="7" t="s">
        <v>855</v>
      </c>
    </row>
    <row r="54" ht="14.25" customHeight="1">
      <c r="A54" s="4">
        <v>53.0</v>
      </c>
      <c r="B54" s="5" t="str">
        <f>IFERROR(__xludf.DUMMYFUNCTION("GOOGLETRANSLATE(H54, ""th"", ""en"")"),"If a cow behaves inappropriately during a competition, will it be penalized?")</f>
        <v>If a cow behaves inappropriately during a competition, will it be penalized?</v>
      </c>
      <c r="C54" s="5" t="str">
        <f>IFERROR(__xludf.DUMMYFUNCTION("GOOGLETRANSLATE(I54, ""th"", ""en"")"),"A) is penalized; B) is not penalized; C) depends on the referee; D) depends on the behavior.")</f>
        <v>A) is penalized; B) is not penalized; C) depends on the referee; D) depends on the behavior.</v>
      </c>
      <c r="D54" s="4" t="str">
        <f>IFERROR(__xludf.DUMMYFUNCTION("GOOGLETRANSLATE(J54, ""th"", ""en"")"),"A) was punished")</f>
        <v>A) was punished</v>
      </c>
      <c r="E54" s="4" t="str">
        <f>IFERROR(__xludf.DUMMYFUNCTION("GOOGLETRANSLATE(K54, ""th"", ""en"")"),"Making inappropriate gestures is against the rules.")</f>
        <v>Making inappropriate gestures is against the rules.</v>
      </c>
      <c r="G54" s="6">
        <v>53.0</v>
      </c>
      <c r="H54" s="7" t="s">
        <v>856</v>
      </c>
      <c r="I54" s="7" t="s">
        <v>857</v>
      </c>
      <c r="J54" s="7" t="s">
        <v>759</v>
      </c>
      <c r="K54" s="7" t="s">
        <v>858</v>
      </c>
    </row>
    <row r="55" ht="14.25" customHeight="1">
      <c r="A55" s="4">
        <v>54.0</v>
      </c>
      <c r="B55" s="5" t="str">
        <f>IFERROR(__xludf.DUMMYFUNCTION("GOOGLETRANSLATE(H55, ""th"", ""en"")"),"Can the tournament organizer set special rules for the tournament?")</f>
        <v>Can the tournament organizer set special rules for the tournament?</v>
      </c>
      <c r="C55" s="5" t="str">
        <f>IFERROR(__xludf.DUMMYFUNCTION("GOOGLETRANSLATE(I55, ""th"", ""en"")"),"A) Yes; B) No; C) It depends on the situation; D) It depends on the type of competition.")</f>
        <v>A) Yes; B) No; C) It depends on the situation; D) It depends on the type of competition.</v>
      </c>
      <c r="D55" s="4" t="str">
        <f>IFERROR(__xludf.DUMMYFUNCTION("GOOGLETRANSLATE(J55, ""th"", ""en"")"),"A) Yes.")</f>
        <v>A) Yes.</v>
      </c>
      <c r="E55" s="4" t="str">
        <f>IFERROR(__xludf.DUMMYFUNCTION("GOOGLETRANSLATE(K55, ""th"", ""en"")"),"Organizers can set rules for safety and fairness.")</f>
        <v>Organizers can set rules for safety and fairness.</v>
      </c>
      <c r="G55" s="6">
        <v>54.0</v>
      </c>
      <c r="H55" s="7" t="s">
        <v>859</v>
      </c>
      <c r="I55" s="7" t="s">
        <v>860</v>
      </c>
      <c r="J55" s="7" t="s">
        <v>737</v>
      </c>
      <c r="K55" s="7" t="s">
        <v>861</v>
      </c>
    </row>
    <row r="56" ht="14.25" customHeight="1">
      <c r="A56" s="4">
        <v>55.0</v>
      </c>
      <c r="B56" s="5" t="str">
        <f>IFERROR(__xludf.DUMMYFUNCTION("GOOGLETRANSLATE(H56, ""th"", ""en"")"),"Can handlers use aids to control the cows, such as ropes or whips?")</f>
        <v>Can handlers use aids to control the cows, such as ropes or whips?</v>
      </c>
      <c r="C56" s="5" t="str">
        <f>IFERROR(__xludf.DUMMYFUNCTION("GOOGLETRANSLATE(I56, ""th"", ""en"")"),"A) Yes; B) No; C) Only allowed in emergency; D) Depends on the director.")</f>
        <v>A) Yes; B) No; C) Only allowed in emergency; D) Depends on the director.</v>
      </c>
      <c r="D56" s="4" t="str">
        <f>IFERROR(__xludf.DUMMYFUNCTION("GOOGLETRANSLATE(J56, ""th"", ""en"")"),"B) No.")</f>
        <v>B) No.</v>
      </c>
      <c r="E56" s="4" t="str">
        <f>IFERROR(__xludf.DUMMYFUNCTION("GOOGLETRANSLATE(K56, ""th"", ""en"")"),"The use of additives can make the competition unfair.")</f>
        <v>The use of additives can make the competition unfair.</v>
      </c>
      <c r="G56" s="6">
        <v>55.0</v>
      </c>
      <c r="H56" s="7" t="s">
        <v>862</v>
      </c>
      <c r="I56" s="7" t="s">
        <v>863</v>
      </c>
      <c r="J56" s="7" t="s">
        <v>698</v>
      </c>
      <c r="K56" s="7" t="s">
        <v>864</v>
      </c>
    </row>
    <row r="57" ht="14.25" customHeight="1">
      <c r="A57" s="4">
        <v>56.0</v>
      </c>
      <c r="B57" s="5" t="str">
        <f>IFERROR(__xludf.DUMMYFUNCTION("GOOGLETRANSLATE(H57, ""th"", ""en"")"),"In a bullfight, can the judge decide who is the winner without watching the entire fight?")</f>
        <v>In a bullfight, can the judge decide who is the winner without watching the entire fight?</v>
      </c>
      <c r="C57" s="5" t="str">
        <f>IFERROR(__xludf.DUMMYFUNCTION("GOOGLETRANSLATE(I57, ""th"", ""en"")"),"A) Yes; B) No; C) Depends on the fight; D) Depends on the number of rounds.")</f>
        <v>A) Yes; B) No; C) Depends on the fight; D) Depends on the number of rounds.</v>
      </c>
      <c r="D57" s="4" t="str">
        <f>IFERROR(__xludf.DUMMYFUNCTION("GOOGLETRANSLATE(J57, ""th"", ""en"")"),"B) No.")</f>
        <v>B) No.</v>
      </c>
      <c r="E57" s="4" t="str">
        <f>IFERROR(__xludf.DUMMYFUNCTION("GOOGLETRANSLATE(K57, ""th"", ""en"")"),"The decision must look at the entire fight for justice.")</f>
        <v>The decision must look at the entire fight for justice.</v>
      </c>
      <c r="G57" s="6">
        <v>56.0</v>
      </c>
      <c r="H57" s="7" t="s">
        <v>865</v>
      </c>
      <c r="I57" s="7" t="s">
        <v>866</v>
      </c>
      <c r="J57" s="7" t="s">
        <v>698</v>
      </c>
      <c r="K57" s="7" t="s">
        <v>867</v>
      </c>
    </row>
    <row r="58" ht="14.25" customHeight="1">
      <c r="A58" s="4">
        <v>57.0</v>
      </c>
      <c r="B58" s="5" t="str">
        <f>IFERROR(__xludf.DUMMYFUNCTION("GOOGLETRANSLATE(H58, ""th"", ""en"")"),"In bullfighting, will a bull that does not enter the arena within the designated time be penalized?")</f>
        <v>In bullfighting, will a bull that does not enter the arena within the designated time be penalized?</v>
      </c>
      <c r="C58" s="5" t="str">
        <f>IFERROR(__xludf.DUMMYFUNCTION("GOOGLETRANSLATE(I58, ""th"", ""en"")"),"A) will receive a penalty; B) will not receive a penalty; C) will receive a warning; D) depends on the referee.")</f>
        <v>A) will receive a penalty; B) will not receive a penalty; C) will receive a warning; D) depends on the referee.</v>
      </c>
      <c r="D58" s="4" t="str">
        <f>IFERROR(__xludf.DUMMYFUNCTION("GOOGLETRANSLATE(J58, ""th"", ""en"")"),"A) was punished")</f>
        <v>A) was punished</v>
      </c>
      <c r="E58" s="4" t="str">
        <f>IFERROR(__xludf.DUMMYFUNCTION("GOOGLETRANSLATE(K58, ""th"", ""en"")"),"Failure to participate within the designated time will result in the competition being invalid.")</f>
        <v>Failure to participate within the designated time will result in the competition being invalid.</v>
      </c>
      <c r="G58" s="6">
        <v>57.0</v>
      </c>
      <c r="H58" s="7" t="s">
        <v>868</v>
      </c>
      <c r="I58" s="7" t="s">
        <v>869</v>
      </c>
      <c r="J58" s="7" t="s">
        <v>759</v>
      </c>
      <c r="K58" s="7" t="s">
        <v>870</v>
      </c>
    </row>
    <row r="59" ht="14.25" customHeight="1">
      <c r="A59" s="4">
        <v>58.0</v>
      </c>
      <c r="B59" s="5" t="str">
        <f>IFERROR(__xludf.DUMMYFUNCTION("GOOGLETRANSLATE(H59, ""th"", ""en"")"),"Is it permissible to use methods that make the bull dodge or not fight during the competition?")</f>
        <v>Is it permissible to use methods that make the bull dodge or not fight during the competition?</v>
      </c>
      <c r="C59" s="5" t="str">
        <f>IFERROR(__xludf.DUMMYFUNCTION("GOOGLETRANSLATE(I59, ""th"", ""en"")"),"A) Allowed; B) Not allowed; C) Allowed in some cases; D) Depends on the director.")</f>
        <v>A) Allowed; B) Not allowed; C) Allowed in some cases; D) Depends on the director.</v>
      </c>
      <c r="D59" s="4" t="str">
        <f>IFERROR(__xludf.DUMMYFUNCTION("GOOGLETRANSLATE(J59, ""th"", ""en"")"),"B) Not allowed")</f>
        <v>B) Not allowed</v>
      </c>
      <c r="E59" s="4" t="str">
        <f>IFERROR(__xludf.DUMMYFUNCTION("GOOGLETRANSLATE(K59, ""th"", ""en"")"),"Avoiding fighting makes the competition unfair.")</f>
        <v>Avoiding fighting makes the competition unfair.</v>
      </c>
      <c r="G59" s="6">
        <v>58.0</v>
      </c>
      <c r="H59" s="7" t="s">
        <v>871</v>
      </c>
      <c r="I59" s="7" t="s">
        <v>834</v>
      </c>
      <c r="J59" s="7" t="s">
        <v>690</v>
      </c>
      <c r="K59" s="7" t="s">
        <v>872</v>
      </c>
    </row>
    <row r="60" ht="14.25" customHeight="1">
      <c r="A60" s="4">
        <v>59.0</v>
      </c>
      <c r="B60" s="5" t="str">
        <f>IFERROR(__xludf.DUMMYFUNCTION("GOOGLETRANSLATE(H60, ""th"", ""en"")"),"In a bullfight, can a bull with a minor injury continue to compete?")</f>
        <v>In a bullfight, can a bull with a minor injury continue to compete?</v>
      </c>
      <c r="C60" s="5" t="str">
        <f>IFERROR(__xludf.DUMMYFUNCTION("GOOGLETRANSLATE(I60, ""th"", ""en"")"),"A) Yes; B) No; C) Depends on the injury; D) Depends on the referee.")</f>
        <v>A) Yes; B) No; C) Depends on the injury; D) Depends on the referee.</v>
      </c>
      <c r="D60" s="4" t="str">
        <f>IFERROR(__xludf.DUMMYFUNCTION("GOOGLETRANSLATE(J60, ""th"", ""en"")"),"A) Yes.")</f>
        <v>A) Yes.</v>
      </c>
      <c r="E60" s="4" t="str">
        <f>IFERROR(__xludf.DUMMYFUNCTION("GOOGLETRANSLATE(K60, ""th"", ""en"")"),"Minor injuries should not affect the game.")</f>
        <v>Minor injuries should not affect the game.</v>
      </c>
      <c r="G60" s="6">
        <v>59.0</v>
      </c>
      <c r="H60" s="7" t="s">
        <v>873</v>
      </c>
      <c r="I60" s="7" t="s">
        <v>874</v>
      </c>
      <c r="J60" s="7" t="s">
        <v>737</v>
      </c>
      <c r="K60" s="7" t="s">
        <v>875</v>
      </c>
    </row>
    <row r="61" ht="14.25" customHeight="1">
      <c r="A61" s="4">
        <v>60.0</v>
      </c>
      <c r="B61" s="5" t="str">
        <f>IFERROR(__xludf.DUMMYFUNCTION("GOOGLETRANSLATE(H61, ""th"", ""en"")"),"Is it permissible to have an assistant control the bull during the race?")</f>
        <v>Is it permissible to have an assistant control the bull during the race?</v>
      </c>
      <c r="C61" s="5" t="str">
        <f>IFERROR(__xludf.DUMMYFUNCTION("GOOGLETRANSLATE(I61, ""th"", ""en"")"),"A) allowed; B) not allowed; C) allowed in some cases; D) depending on the situation")</f>
        <v>A) allowed; B) not allowed; C) allowed in some cases; D) depending on the situation</v>
      </c>
      <c r="D61" s="4" t="str">
        <f>IFERROR(__xludf.DUMMYFUNCTION("GOOGLETRANSLATE(J61, ""th"", ""en"")"),"B) Not allowed")</f>
        <v>B) Not allowed</v>
      </c>
      <c r="E61" s="4" t="str">
        <f>IFERROR(__xludf.DUMMYFUNCTION("GOOGLETRANSLATE(K61, ""th"", ""en"")"),"Control of cattle must be the sole responsibility of the caretaker.")</f>
        <v>Control of cattle must be the sole responsibility of the caretaker.</v>
      </c>
      <c r="G61" s="6">
        <v>60.0</v>
      </c>
      <c r="H61" s="7" t="s">
        <v>876</v>
      </c>
      <c r="I61" s="7" t="s">
        <v>877</v>
      </c>
      <c r="J61" s="7" t="s">
        <v>690</v>
      </c>
      <c r="K61" s="7" t="s">
        <v>878</v>
      </c>
    </row>
    <row r="62" ht="14.25" customHeight="1">
      <c r="A62" s="4">
        <v>61.0</v>
      </c>
      <c r="B62" s="5" t="str">
        <f>IFERROR(__xludf.DUMMYFUNCTION("GOOGLETRANSLATE(H62, ""th"", ""en"")"),"If a cow becomes ill during a race, must the race be stopped immediately?")</f>
        <v>If a cow becomes ill during a race, must the race be stopped immediately?</v>
      </c>
      <c r="C62" s="5" t="str">
        <f>IFERROR(__xludf.DUMMYFUNCTION("GOOGLETRANSLATE(I62, ""th"", ""en"")"),"A) must be stopped immediately; B) the race will continue; C) depends on the judges' decision; D) depends on the condition of the bull.")</f>
        <v>A) must be stopped immediately; B) the race will continue; C) depends on the judges' decision; D) depends on the condition of the bull.</v>
      </c>
      <c r="D62" s="4" t="str">
        <f>IFERROR(__xludf.DUMMYFUNCTION("GOOGLETRANSLATE(J62, ""th"", ""en"")"),"A) Must stop immediately.")</f>
        <v>A) Must stop immediately.</v>
      </c>
      <c r="E62" s="4" t="str">
        <f>IFERROR(__xludf.DUMMYFUNCTION("GOOGLETRANSLATE(K62, ""th"", ""en"")"),"It is important to stop the race to protect the cows.")</f>
        <v>It is important to stop the race to protect the cows.</v>
      </c>
      <c r="G62" s="6">
        <v>61.0</v>
      </c>
      <c r="H62" s="7" t="s">
        <v>879</v>
      </c>
      <c r="I62" s="7" t="s">
        <v>880</v>
      </c>
      <c r="J62" s="7" t="s">
        <v>881</v>
      </c>
      <c r="K62" s="7" t="s">
        <v>882</v>
      </c>
    </row>
    <row r="63" ht="14.25" customHeight="1">
      <c r="A63" s="4">
        <v>62.0</v>
      </c>
      <c r="B63" s="5" t="str">
        <f>IFERROR(__xludf.DUMMYFUNCTION("GOOGLETRANSLATE(H63, ""th"", ""en"")"),"Is it necessary to give the cows a break during the race?")</f>
        <v>Is it necessary to give the cows a break during the race?</v>
      </c>
      <c r="C63" s="5" t="str">
        <f>IFERROR(__xludf.DUMMYFUNCTION("GOOGLETRANSLATE(I63, ""th"", ""en"")"),"A) Necessary; B) Not necessary; C) Depends on the situation; D) Depends on the type of competition.")</f>
        <v>A) Necessary; B) Not necessary; C) Depends on the situation; D) Depends on the type of competition.</v>
      </c>
      <c r="D63" s="4" t="str">
        <f>IFERROR(__xludf.DUMMYFUNCTION("GOOGLETRANSLATE(J63, ""th"", ""en"")"),"A) Necessary")</f>
        <v>A) Necessary</v>
      </c>
      <c r="E63" s="4" t="str">
        <f>IFERROR(__xludf.DUMMYFUNCTION("GOOGLETRANSLATE(K63, ""th"", ""en"")"),"Resting helps cows improve their competitive performance.")</f>
        <v>Resting helps cows improve their competitive performance.</v>
      </c>
      <c r="G63" s="6">
        <v>62.0</v>
      </c>
      <c r="H63" s="7" t="s">
        <v>883</v>
      </c>
      <c r="I63" s="7" t="s">
        <v>884</v>
      </c>
      <c r="J63" s="7" t="s">
        <v>709</v>
      </c>
      <c r="K63" s="7" t="s">
        <v>885</v>
      </c>
    </row>
    <row r="64" ht="14.25" customHeight="1">
      <c r="A64" s="4">
        <v>63.0</v>
      </c>
      <c r="B64" s="5" t="str">
        <f>IFERROR(__xludf.DUMMYFUNCTION("GOOGLETRANSLATE(H64, ""th"", ""en"")"),"Do cows that are injured or sick during the race need to be cared for after the race?")</f>
        <v>Do cows that are injured or sick during the race need to be cared for after the race?</v>
      </c>
      <c r="C64" s="5" t="str">
        <f>IFERROR(__xludf.DUMMYFUNCTION("GOOGLETRANSLATE(I64, ""th"", ""en"")"),"A) requires care; B) does not require care; C) depends on the case; D) depends on the symptoms.")</f>
        <v>A) requires care; B) does not require care; C) depends on the case; D) depends on the symptoms.</v>
      </c>
      <c r="D64" s="4" t="str">
        <f>IFERROR(__xludf.DUMMYFUNCTION("GOOGLETRANSLATE(J64, ""th"", ""en"")"),"A) Must be taken care of.")</f>
        <v>A) Must be taken care of.</v>
      </c>
      <c r="E64" s="4" t="str">
        <f>IFERROR(__xludf.DUMMYFUNCTION("GOOGLETRANSLATE(K64, ""th"", ""en"")"),"Post-competition care helps prevent health problems.")</f>
        <v>Post-competition care helps prevent health problems.</v>
      </c>
      <c r="G64" s="6">
        <v>63.0</v>
      </c>
      <c r="H64" s="7" t="s">
        <v>886</v>
      </c>
      <c r="I64" s="7" t="s">
        <v>887</v>
      </c>
      <c r="J64" s="7" t="s">
        <v>780</v>
      </c>
      <c r="K64" s="7" t="s">
        <v>888</v>
      </c>
    </row>
    <row r="65" ht="14.25" customHeight="1">
      <c r="A65" s="4">
        <v>64.0</v>
      </c>
      <c r="B65" s="5" t="str">
        <f>IFERROR(__xludf.DUMMYFUNCTION("GOOGLETRANSLATE(H65, ""th"", ""en"")"),"Can the handler change the cows during the race?")</f>
        <v>Can the handler change the cows during the race?</v>
      </c>
      <c r="C65" s="5" t="str">
        <f>IFERROR(__xludf.DUMMYFUNCTION("GOOGLETRANSLATE(I65, ""th"", ""en"")"),"A) Yes; B) No; C) It depends on the situation; D) It depends on the referee.")</f>
        <v>A) Yes; B) No; C) It depends on the situation; D) It depends on the referee.</v>
      </c>
      <c r="D65" s="4" t="str">
        <f>IFERROR(__xludf.DUMMYFUNCTION("GOOGLETRANSLATE(J65, ""th"", ""en"")"),"B) No.")</f>
        <v>B) No.</v>
      </c>
      <c r="E65" s="4" t="str">
        <f>IFERROR(__xludf.DUMMYFUNCTION("GOOGLETRANSLATE(K65, ""th"", ""en"")"),"Changing the cows makes the competition unfair.")</f>
        <v>Changing the cows makes the competition unfair.</v>
      </c>
      <c r="G65" s="6">
        <v>64.0</v>
      </c>
      <c r="H65" s="7" t="s">
        <v>889</v>
      </c>
      <c r="I65" s="7" t="s">
        <v>850</v>
      </c>
      <c r="J65" s="7" t="s">
        <v>698</v>
      </c>
      <c r="K65" s="7" t="s">
        <v>890</v>
      </c>
    </row>
    <row r="66" ht="14.25" customHeight="1">
      <c r="A66" s="4">
        <v>65.0</v>
      </c>
      <c r="B66" s="5" t="str">
        <f>IFERROR(__xludf.DUMMYFUNCTION("GOOGLETRANSLATE(H66, ""th"", ""en"")"),"In bullfighting, can untrained bulls participate?")</f>
        <v>In bullfighting, can untrained bulls participate?</v>
      </c>
      <c r="C66" s="5" t="str">
        <f>IFERROR(__xludf.DUMMYFUNCTION("GOOGLETRANSLATE(I66, ""th"", ""en"")"),"A) Can; B) Can't; C) Depends on the judges' decision; D) Depends on the type of competition.")</f>
        <v>A) Can; B) Can't; C) Depends on the judges' decision; D) Depends on the type of competition.</v>
      </c>
      <c r="D66" s="4" t="str">
        <f>IFERROR(__xludf.DUMMYFUNCTION("GOOGLETRANSLATE(J66, ""th"", ""en"")"),"B) Can't")</f>
        <v>B) Can't</v>
      </c>
      <c r="E66" s="4" t="str">
        <f>IFERROR(__xludf.DUMMYFUNCTION("GOOGLETRANSLATE(K66, ""th"", ""en"")"),"Training helps the cows prepare for competition.")</f>
        <v>Training helps the cows prepare for competition.</v>
      </c>
      <c r="G66" s="6">
        <v>65.0</v>
      </c>
      <c r="H66" s="7" t="s">
        <v>891</v>
      </c>
      <c r="I66" s="7" t="s">
        <v>892</v>
      </c>
      <c r="J66" s="7" t="s">
        <v>705</v>
      </c>
      <c r="K66" s="7" t="s">
        <v>893</v>
      </c>
    </row>
    <row r="67" ht="14.25" customHeight="1">
      <c r="A67" s="4">
        <v>66.0</v>
      </c>
      <c r="B67" s="5" t="str">
        <f>IFERROR(__xludf.DUMMYFUNCTION("GOOGLETRANSLATE(H67, ""th"", ""en"")"),"In bullfighting, is there a limit on the number of handlers that can be in the ring?")</f>
        <v>In bullfighting, is there a limit on the number of handlers that can be in the ring?</v>
      </c>
      <c r="C67" s="5" t="str">
        <f>IFERROR(__xludf.DUMMYFUNCTION("GOOGLETRANSLATE(I67, ""th"", ""en"")"),"A) There is a limit on the number of players; B) There is no limit on the number of players; C) It depends on the size of the field; D) It depends on the type of competition.")</f>
        <v>A) There is a limit on the number of players; B) There is no limit on the number of players; C) It depends on the size of the field; D) It depends on the type of competition.</v>
      </c>
      <c r="D67" s="4" t="str">
        <f>IFERROR(__xludf.DUMMYFUNCTION("GOOGLETRANSLATE(J67, ""th"", ""en"")"),"A) There is a limit on the number.")</f>
        <v>A) There is a limit on the number.</v>
      </c>
      <c r="E67" s="4" t="str">
        <f>IFERROR(__xludf.DUMMYFUNCTION("GOOGLETRANSLATE(K67, ""th"", ""en"")"),"Limiting the number of moderators helps maintain order.")</f>
        <v>Limiting the number of moderators helps maintain order.</v>
      </c>
      <c r="G67" s="6">
        <v>66.0</v>
      </c>
      <c r="H67" s="7" t="s">
        <v>894</v>
      </c>
      <c r="I67" s="7" t="s">
        <v>895</v>
      </c>
      <c r="J67" s="7" t="s">
        <v>896</v>
      </c>
      <c r="K67" s="7" t="s">
        <v>897</v>
      </c>
    </row>
    <row r="68" ht="14.25" customHeight="1">
      <c r="A68" s="4">
        <v>67.0</v>
      </c>
      <c r="B68" s="5" t="str">
        <f>IFERROR(__xludf.DUMMYFUNCTION("GOOGLETRANSLATE(H68, ""th"", ""en"")"),"In a bullfight, if the bull is unable to fight according to the rules, can the handler ask for the fight to be canceled?")</f>
        <v>In a bullfight, if the bull is unable to fight according to the rules, can the handler ask for the fight to be canceled?</v>
      </c>
      <c r="C68" s="5" t="str">
        <f>IFERROR(__xludf.DUMMYFUNCTION("GOOGLETRANSLATE(I68, ""th"", ""en"")"),"A) Yes; B) No; C) It depends on the judges; D) It depends on the situation.")</f>
        <v>A) Yes; B) No; C) It depends on the judges; D) It depends on the situation.</v>
      </c>
      <c r="D68" s="4" t="str">
        <f>IFERROR(__xludf.DUMMYFUNCTION("GOOGLETRANSLATE(J68, ""th"", ""en"")"),"A) Yes.")</f>
        <v>A) Yes.</v>
      </c>
      <c r="E68" s="4" t="str">
        <f>IFERROR(__xludf.DUMMYFUNCTION("GOOGLETRANSLATE(K68, ""th"", ""en"")"),"The cancellation of the competition allows the competition to be held in accordance with the rules.")</f>
        <v>The cancellation of the competition allows the competition to be held in accordance with the rules.</v>
      </c>
      <c r="G68" s="6">
        <v>67.0</v>
      </c>
      <c r="H68" s="7" t="s">
        <v>898</v>
      </c>
      <c r="I68" s="7" t="s">
        <v>843</v>
      </c>
      <c r="J68" s="7" t="s">
        <v>737</v>
      </c>
      <c r="K68" s="7" t="s">
        <v>899</v>
      </c>
    </row>
    <row r="69" ht="14.25" customHeight="1">
      <c r="A69" s="4">
        <v>68.0</v>
      </c>
      <c r="B69" s="5" t="str">
        <f>IFERROR(__xludf.DUMMYFUNCTION("GOOGLETRANSLATE(H69, ""th"", ""en"")"),"Is it permitted to use any items or equipment that could cause danger during the competition?")</f>
        <v>Is it permitted to use any items or equipment that could cause danger during the competition?</v>
      </c>
      <c r="C69" s="5" t="str">
        <f>IFERROR(__xludf.DUMMYFUNCTION("GOOGLETRANSLATE(I69, ""th"", ""en"")"),"A) Allowed; B) Not allowed; C) Allowed in some cases; D) Depends on the director.")</f>
        <v>A) Allowed; B) Not allowed; C) Allowed in some cases; D) Depends on the director.</v>
      </c>
      <c r="D69" s="4" t="str">
        <f>IFERROR(__xludf.DUMMYFUNCTION("GOOGLETRANSLATE(J69, ""th"", ""en"")"),"B) Not allowed")</f>
        <v>B) Not allowed</v>
      </c>
      <c r="E69" s="4" t="str">
        <f>IFERROR(__xludf.DUMMYFUNCTION("GOOGLETRANSLATE(K69, ""th"", ""en"")"),"The use of dangerous items can make the competition unsafe.")</f>
        <v>The use of dangerous items can make the competition unsafe.</v>
      </c>
      <c r="G69" s="6">
        <v>68.0</v>
      </c>
      <c r="H69" s="7" t="s">
        <v>900</v>
      </c>
      <c r="I69" s="7" t="s">
        <v>834</v>
      </c>
      <c r="J69" s="7" t="s">
        <v>690</v>
      </c>
      <c r="K69" s="7" t="s">
        <v>901</v>
      </c>
    </row>
    <row r="70" ht="14.25" customHeight="1">
      <c r="A70" s="4">
        <v>69.0</v>
      </c>
      <c r="B70" s="5" t="str">
        <f>IFERROR(__xludf.DUMMYFUNCTION("GOOGLETRANSLATE(H70, ""th"", ""en"")"),"Can bullfighting be judged using audience ratings?")</f>
        <v>Can bullfighting be judged using audience ratings?</v>
      </c>
      <c r="C70" s="5" t="str">
        <f>IFERROR(__xludf.DUMMYFUNCTION("GOOGLETRANSLATE(I70, ""th"", ""en"")"),"A) Yes; B) No; C) It depends on the situation; D) It depends on the referee.")</f>
        <v>A) Yes; B) No; C) It depends on the situation; D) It depends on the referee.</v>
      </c>
      <c r="D70" s="4" t="str">
        <f>IFERROR(__xludf.DUMMYFUNCTION("GOOGLETRANSLATE(J70, ""th"", ""en"")"),"B) No.")</f>
        <v>B) No.</v>
      </c>
      <c r="E70" s="4" t="str">
        <f>IFERROR(__xludf.DUMMYFUNCTION("GOOGLETRANSLATE(K70, ""th"", ""en"")"),"The decision must come from the referee to ensure the competition is in accordance with the rules.")</f>
        <v>The decision must come from the referee to ensure the competition is in accordance with the rules.</v>
      </c>
      <c r="G70" s="6">
        <v>69.0</v>
      </c>
      <c r="H70" s="7" t="s">
        <v>902</v>
      </c>
      <c r="I70" s="7" t="s">
        <v>850</v>
      </c>
      <c r="J70" s="7" t="s">
        <v>698</v>
      </c>
      <c r="K70" s="7" t="s">
        <v>903</v>
      </c>
    </row>
    <row r="71" ht="14.25" customHeight="1">
      <c r="A71" s="4">
        <v>70.0</v>
      </c>
      <c r="B71" s="5" t="str">
        <f>IFERROR(__xludf.DUMMYFUNCTION("GOOGLETRANSLATE(H71, ""th"", ""en"")"),"Will an injured cow be considered disqualified from the competition?")</f>
        <v>Will an injured cow be considered disqualified from the competition?</v>
      </c>
      <c r="C71" s="5" t="str">
        <f>IFERROR(__xludf.DUMMYFUNCTION("GOOGLETRANSLATE(I71, ""th"", ""en"")"),"A) Yes; B) No; C) It depends on the type of injury; D) It depends on the referee.")</f>
        <v>A) Yes; B) No; C) It depends on the type of injury; D) It depends on the referee.</v>
      </c>
      <c r="D71" s="4" t="str">
        <f>IFERROR(__xludf.DUMMYFUNCTION("GOOGLETRANSLATE(J71, ""th"", ""en"")"),"A) Yes.")</f>
        <v>A) Yes.</v>
      </c>
      <c r="E71" s="4" t="str">
        <f>IFERROR(__xludf.DUMMYFUNCTION("GOOGLETRANSLATE(K71, ""th"", ""en"")"),"The injury prevented the cow from competing fairly.")</f>
        <v>The injury prevented the cow from competing fairly.</v>
      </c>
      <c r="G71" s="6">
        <v>70.0</v>
      </c>
      <c r="H71" s="7" t="s">
        <v>904</v>
      </c>
      <c r="I71" s="7" t="s">
        <v>905</v>
      </c>
      <c r="J71" s="7" t="s">
        <v>737</v>
      </c>
      <c r="K71" s="7" t="s">
        <v>906</v>
      </c>
    </row>
    <row r="72" ht="14.25" customHeight="1">
      <c r="A72" s="4">
        <v>71.0</v>
      </c>
      <c r="B72" s="5" t="str">
        <f>IFERROR(__xludf.DUMMYFUNCTION("GOOGLETRANSLATE(H72, ""th"", ""en"")"),"Can participants use methods that startle the cows during the competition?")</f>
        <v>Can participants use methods that startle the cows during the competition?</v>
      </c>
      <c r="C72" s="5" t="str">
        <f>IFERROR(__xludf.DUMMYFUNCTION("GOOGLETRANSLATE(I72, ""th"", ""en"")"),"A) Allowed; B) Not allowed; C) Allowed in some cases; D) Depends on the director.")</f>
        <v>A) Allowed; B) Not allowed; C) Allowed in some cases; D) Depends on the director.</v>
      </c>
      <c r="D72" s="4" t="str">
        <f>IFERROR(__xludf.DUMMYFUNCTION("GOOGLETRANSLATE(J72, ""th"", ""en"")"),"B) Not allowed")</f>
        <v>B) Not allowed</v>
      </c>
      <c r="E72" s="4" t="str">
        <f>IFERROR(__xludf.DUMMYFUNCTION("GOOGLETRANSLATE(K72, ""th"", ""en"")"),"Shocking the bull can make the race unfair.")</f>
        <v>Shocking the bull can make the race unfair.</v>
      </c>
      <c r="G72" s="6">
        <v>71.0</v>
      </c>
      <c r="H72" s="7" t="s">
        <v>907</v>
      </c>
      <c r="I72" s="7" t="s">
        <v>834</v>
      </c>
      <c r="J72" s="7" t="s">
        <v>690</v>
      </c>
      <c r="K72" s="7" t="s">
        <v>908</v>
      </c>
    </row>
    <row r="73" ht="14.25" customHeight="1">
      <c r="A73" s="4">
        <v>72.0</v>
      </c>
      <c r="B73" s="5" t="str">
        <f>IFERROR(__xludf.DUMMYFUNCTION("GOOGLETRANSLATE(H73, ""th"", ""en"")"),"Is it necessary to give the cows a break between rounds?")</f>
        <v>Is it necessary to give the cows a break between rounds?</v>
      </c>
      <c r="C73" s="5" t="str">
        <f>IFERROR(__xludf.DUMMYFUNCTION("GOOGLETRANSLATE(I73, ""th"", ""en"")"),"A) Necessary; B) Not necessary; C) Depends on the situation; D) Depends on the type of competition.")</f>
        <v>A) Necessary; B) Not necessary; C) Depends on the situation; D) Depends on the type of competition.</v>
      </c>
      <c r="D73" s="4" t="str">
        <f>IFERROR(__xludf.DUMMYFUNCTION("GOOGLETRANSLATE(J73, ""th"", ""en"")"),"A) Necessary")</f>
        <v>A) Necessary</v>
      </c>
      <c r="E73" s="4" t="str">
        <f>IFERROR(__xludf.DUMMYFUNCTION("GOOGLETRANSLATE(K73, ""th"", ""en"")"),"Rest allows the cow to continue competing in the best condition.")</f>
        <v>Rest allows the cow to continue competing in the best condition.</v>
      </c>
      <c r="G73" s="6">
        <v>72.0</v>
      </c>
      <c r="H73" s="7" t="s">
        <v>909</v>
      </c>
      <c r="I73" s="7" t="s">
        <v>884</v>
      </c>
      <c r="J73" s="7" t="s">
        <v>709</v>
      </c>
      <c r="K73" s="7" t="s">
        <v>910</v>
      </c>
    </row>
    <row r="74" ht="14.25" customHeight="1">
      <c r="A74" s="4">
        <v>73.0</v>
      </c>
      <c r="B74" s="5" t="str">
        <f>IFERROR(__xludf.DUMMYFUNCTION("GOOGLETRANSLATE(H74, ""th"", ""en"")"),"Are cows that show signs of imbalance or misbehavior in competition penalized?")</f>
        <v>Are cows that show signs of imbalance or misbehavior in competition penalized?</v>
      </c>
      <c r="C74" s="5" t="str">
        <f>IFERROR(__xludf.DUMMYFUNCTION("GOOGLETRANSLATE(I74, ""th"", ""en"")"),"A) will be punished; B) will not be punished; C) depends on the referee; D) depends on the judge's discretion.")</f>
        <v>A) will be punished; B) will not be punished; C) depends on the referee; D) depends on the judge's discretion.</v>
      </c>
      <c r="D74" s="4" t="str">
        <f>IFERROR(__xludf.DUMMYFUNCTION("GOOGLETRANSLATE(J74, ""th"", ""en"")"),"A) will be punished")</f>
        <v>A) will be punished</v>
      </c>
      <c r="E74" s="4" t="str">
        <f>IFERROR(__xludf.DUMMYFUNCTION("GOOGLETRANSLATE(K74, ""th"", ""en"")"),"Unbalanced behavior makes the competition unfair.")</f>
        <v>Unbalanced behavior makes the competition unfair.</v>
      </c>
      <c r="G74" s="6">
        <v>73.0</v>
      </c>
      <c r="H74" s="7" t="s">
        <v>911</v>
      </c>
      <c r="I74" s="7" t="s">
        <v>912</v>
      </c>
      <c r="J74" s="7" t="s">
        <v>831</v>
      </c>
      <c r="K74" s="7" t="s">
        <v>913</v>
      </c>
    </row>
    <row r="75" ht="14.25" customHeight="1">
      <c r="A75" s="4">
        <v>74.0</v>
      </c>
      <c r="B75" s="5" t="str">
        <f>IFERROR(__xludf.DUMMYFUNCTION("GOOGLETRANSLATE(H75, ""th"", ""en"")"),"Can the referee cancel the match if an unexpected event occurs?")</f>
        <v>Can the referee cancel the match if an unexpected event occurs?</v>
      </c>
      <c r="C75" s="5" t="str">
        <f>IFERROR(__xludf.DUMMYFUNCTION("GOOGLETRANSLATE(I75, ""th"", ""en"")"),"A) Yes; B) No; C) It depends on the event; D) It depends on the organizer.")</f>
        <v>A) Yes; B) No; C) It depends on the event; D) It depends on the organizer.</v>
      </c>
      <c r="D75" s="4" t="str">
        <f>IFERROR(__xludf.DUMMYFUNCTION("GOOGLETRANSLATE(J75, ""th"", ""en"")"),"A) Yes.")</f>
        <v>A) Yes.</v>
      </c>
      <c r="E75" s="4" t="str">
        <f>IFERROR(__xludf.DUMMYFUNCTION("GOOGLETRANSLATE(K75, ""th"", ""en"")"),"The cancellation of the competition was done for safety and fairness.")</f>
        <v>The cancellation of the competition was done for safety and fairness.</v>
      </c>
      <c r="G75" s="6">
        <v>74.0</v>
      </c>
      <c r="H75" s="7" t="s">
        <v>914</v>
      </c>
      <c r="I75" s="7" t="s">
        <v>915</v>
      </c>
      <c r="J75" s="7" t="s">
        <v>737</v>
      </c>
      <c r="K75" s="7" t="s">
        <v>916</v>
      </c>
    </row>
    <row r="76" ht="14.25" customHeight="1">
      <c r="A76" s="4">
        <v>75.0</v>
      </c>
      <c r="B76" s="5" t="str">
        <f>IFERROR(__xludf.DUMMYFUNCTION("GOOGLETRANSLATE(H76, ""th"", ""en"")"),"Is it permissible to use accessories such as ropes or whips to control the bull during the race?")</f>
        <v>Is it permissible to use accessories such as ropes or whips to control the bull during the race?</v>
      </c>
      <c r="C76" s="5" t="str">
        <f>IFERROR(__xludf.DUMMYFUNCTION("GOOGLETRANSLATE(I76, ""th"", ""en"")"),"A) Allowed; B) Not allowed; C) Allowed in some cases; D) Depends on the director.")</f>
        <v>A) Allowed; B) Not allowed; C) Allowed in some cases; D) Depends on the director.</v>
      </c>
      <c r="D76" s="4" t="str">
        <f>IFERROR(__xludf.DUMMYFUNCTION("GOOGLETRANSLATE(J76, ""th"", ""en"")"),"B) Not allowed")</f>
        <v>B) Not allowed</v>
      </c>
      <c r="E76" s="4" t="str">
        <f>IFERROR(__xludf.DUMMYFUNCTION("GOOGLETRANSLATE(K76, ""th"", ""en"")"),"Using accessories makes the competition unfair.")</f>
        <v>Using accessories makes the competition unfair.</v>
      </c>
      <c r="G76" s="6">
        <v>75.0</v>
      </c>
      <c r="H76" s="7" t="s">
        <v>917</v>
      </c>
      <c r="I76" s="7" t="s">
        <v>834</v>
      </c>
      <c r="J76" s="7" t="s">
        <v>690</v>
      </c>
      <c r="K76" s="7" t="s">
        <v>918</v>
      </c>
    </row>
    <row r="77" ht="14.25" customHeight="1">
      <c r="A77" s="4">
        <v>76.0</v>
      </c>
      <c r="B77" s="5" t="str">
        <f>IFERROR(__xludf.DUMMYFUNCTION("GOOGLETRANSLATE(H77, ""th"", ""en"")"),"Is it permissible to force a bull to fight in the wrong direction?")</f>
        <v>Is it permissible to force a bull to fight in the wrong direction?</v>
      </c>
      <c r="C77" s="5" t="str">
        <f>IFERROR(__xludf.DUMMYFUNCTION("GOOGLETRANSLATE(I77, ""th"", ""en"")"),"A) Can be done; B) Can't be done; C) It depends on the situation; D) It depends on the referee.")</f>
        <v>A) Can be done; B) Can't be done; C) It depends on the situation; D) It depends on the referee.</v>
      </c>
      <c r="D77" s="4" t="str">
        <f>IFERROR(__xludf.DUMMYFUNCTION("GOOGLETRANSLATE(J77, ""th"", ""en"")"),"B) Cannot be done.")</f>
        <v>B) Cannot be done.</v>
      </c>
      <c r="E77" s="4" t="str">
        <f>IFERROR(__xludf.DUMMYFUNCTION("GOOGLETRANSLATE(K77, ""th"", ""en"")"),"Forcing in the wrong direction is unfair.")</f>
        <v>Forcing in the wrong direction is unfair.</v>
      </c>
      <c r="G77" s="6">
        <v>76.0</v>
      </c>
      <c r="H77" s="7" t="s">
        <v>919</v>
      </c>
      <c r="I77" s="7" t="s">
        <v>920</v>
      </c>
      <c r="J77" s="7" t="s">
        <v>921</v>
      </c>
      <c r="K77" s="7" t="s">
        <v>922</v>
      </c>
    </row>
    <row r="78" ht="14.25" customHeight="1">
      <c r="A78" s="4">
        <v>77.0</v>
      </c>
      <c r="B78" s="5" t="str">
        <f>IFERROR(__xludf.DUMMYFUNCTION("GOOGLETRANSLATE(H78, ""th"", ""en"")"),"If an injury occurs during the race, will the cow's insurance cover the cost?")</f>
        <v>If an injury occurs during the race, will the cow's insurance cover the cost?</v>
      </c>
      <c r="C78" s="5" t="str">
        <f>IFERROR(__xludf.DUMMYFUNCTION("GOOGLETRANSLATE(I78, ""th"", ""en"")"),"A) will be compensated; B) will not be compensated; C) depends on the circumstances; D) depends on the type of injury.")</f>
        <v>A) will be compensated; B) will not be compensated; C) depends on the circumstances; D) depends on the type of injury.</v>
      </c>
      <c r="D78" s="4" t="str">
        <f>IFERROR(__xludf.DUMMYFUNCTION("GOOGLETRANSLATE(J78, ""th"", ""en"")"),"A) will be compensated")</f>
        <v>A) will be compensated</v>
      </c>
      <c r="E78" s="4" t="str">
        <f>IFERROR(__xludf.DUMMYFUNCTION("GOOGLETRANSLATE(K78, ""th"", ""en"")"),"Compensation helps keep the competition safe.")</f>
        <v>Compensation helps keep the competition safe.</v>
      </c>
      <c r="G78" s="6">
        <v>77.0</v>
      </c>
      <c r="H78" s="7" t="s">
        <v>923</v>
      </c>
      <c r="I78" s="7" t="s">
        <v>924</v>
      </c>
      <c r="J78" s="7" t="s">
        <v>925</v>
      </c>
      <c r="K78" s="7" t="s">
        <v>926</v>
      </c>
    </row>
    <row r="79" ht="14.25" customHeight="1">
      <c r="A79" s="4">
        <v>78.0</v>
      </c>
      <c r="B79" s="5" t="str">
        <f>IFERROR(__xludf.DUMMYFUNCTION("GOOGLETRANSLATE(H79, ""th"", ""en"")"),"Is it necessary to set up a fighting plan for each bull in each round of the competition?")</f>
        <v>Is it necessary to set up a fighting plan for each bull in each round of the competition?</v>
      </c>
      <c r="C79" s="5" t="str">
        <f>IFERROR(__xludf.DUMMYFUNCTION("GOOGLETRANSLATE(I79, ""th"", ""en"")"),"A) Required; B) Not required; C) Depends on the type of competition; D) Depends on the referee.")</f>
        <v>A) Required; B) Not required; C) Depends on the type of competition; D) Depends on the referee.</v>
      </c>
      <c r="D79" s="4" t="str">
        <f>IFERROR(__xludf.DUMMYFUNCTION("GOOGLETRANSLATE(J79, ""th"", ""en"")"),"A) Necessary")</f>
        <v>A) Necessary</v>
      </c>
      <c r="E79" s="4" t="str">
        <f>IFERROR(__xludf.DUMMYFUNCTION("GOOGLETRANSLATE(K79, ""th"", ""en"")"),"Setting a plan helps the competition run smoothly.")</f>
        <v>Setting a plan helps the competition run smoothly.</v>
      </c>
      <c r="G79" s="6">
        <v>78.0</v>
      </c>
      <c r="H79" s="7" t="s">
        <v>927</v>
      </c>
      <c r="I79" s="7" t="s">
        <v>928</v>
      </c>
      <c r="J79" s="7" t="s">
        <v>709</v>
      </c>
      <c r="K79" s="7" t="s">
        <v>929</v>
      </c>
    </row>
    <row r="80" ht="14.25" customHeight="1">
      <c r="A80" s="4">
        <v>79.0</v>
      </c>
      <c r="B80" s="5" t="str">
        <f>IFERROR(__xludf.DUMMYFUNCTION("GOOGLETRANSLATE(H80, ""th"", ""en"")"),"If the handler is unable to control the cow, what will be the outcome of the competition?")</f>
        <v>If the handler is unable to control the cow, what will be the outcome of the competition?</v>
      </c>
      <c r="C80" s="5" t="str">
        <f>IFERROR(__xludf.DUMMYFUNCTION("GOOGLETRANSLATE(I80, ""th"", ""en"")"),"A) The bull will be judged as defeated; B) The match will be stopped immediately; C) The match will continue; D) It is up to the judges.")</f>
        <v>A) The bull will be judged as defeated; B) The match will be stopped immediately; C) The match will continue; D) It is up to the judges.</v>
      </c>
      <c r="D80" s="4" t="str">
        <f>IFERROR(__xludf.DUMMYFUNCTION("GOOGLETRANSLATE(J80, ""th"", ""en"")"),"A) The cow will be judged to have lost.")</f>
        <v>A) The cow will be judged to have lost.</v>
      </c>
      <c r="E80" s="4" t="str">
        <f>IFERROR(__xludf.DUMMYFUNCTION("GOOGLETRANSLATE(K80, ""th"", ""en"")"),"Bull control is an important part of the competition.")</f>
        <v>Bull control is an important part of the competition.</v>
      </c>
      <c r="G80" s="6">
        <v>79.0</v>
      </c>
      <c r="H80" s="7" t="s">
        <v>930</v>
      </c>
      <c r="I80" s="7" t="s">
        <v>931</v>
      </c>
      <c r="J80" s="7" t="s">
        <v>932</v>
      </c>
      <c r="K80" s="7" t="s">
        <v>933</v>
      </c>
    </row>
    <row r="81" ht="14.25" customHeight="1">
      <c r="A81" s="4">
        <v>80.0</v>
      </c>
      <c r="B81" s="5" t="str">
        <f>IFERROR(__xludf.DUMMYFUNCTION("GOOGLETRANSLATE(H81, ""th"", ""en"")"),"What principles must be used to judge bullfights?")</f>
        <v>What principles must be used to judge bullfights?</v>
      </c>
      <c r="C81" s="5" t="str">
        <f>IFERROR(__xludf.DUMMYFUNCTION("GOOGLETRANSLATE(I81, ""th"", ""en"")"),"A) fairness and safety; B) speed; C) the strength of the bull; D) the skill of the handler.")</f>
        <v>A) fairness and safety; B) speed; C) the strength of the bull; D) the skill of the handler.</v>
      </c>
      <c r="D81" s="4" t="str">
        <f>IFERROR(__xludf.DUMMYFUNCTION("GOOGLETRANSLATE(J81, ""th"", ""en"")"),"A) Justice and safety")</f>
        <v>A) Justice and safety</v>
      </c>
      <c r="E81" s="4" t="str">
        <f>IFERROR(__xludf.DUMMYFUNCTION("GOOGLETRANSLATE(K81, ""th"", ""en"")"),"Judgment must be fair and safe.")</f>
        <v>Judgment must be fair and safe.</v>
      </c>
      <c r="G81" s="6">
        <v>80.0</v>
      </c>
      <c r="H81" s="7" t="s">
        <v>934</v>
      </c>
      <c r="I81" s="7" t="s">
        <v>935</v>
      </c>
      <c r="J81" s="7" t="s">
        <v>936</v>
      </c>
      <c r="K81" s="7" t="s">
        <v>937</v>
      </c>
    </row>
    <row r="82" ht="14.25" customHeight="1">
      <c r="A82" s="4">
        <v>81.0</v>
      </c>
      <c r="B82" s="5" t="str">
        <f>IFERROR(__xludf.DUMMYFUNCTION("GOOGLETRANSLATE(H82, ""th"", ""en"")"),"Is it permissible to use tools or equipment that could cause pain to the cow during the race?")</f>
        <v>Is it permissible to use tools or equipment that could cause pain to the cow during the race?</v>
      </c>
      <c r="C82" s="5" t="str">
        <f>IFERROR(__xludf.DUMMYFUNCTION("GOOGLETRANSLATE(I82, ""th"", ""en"")"),"A) Allowed; B) Not allowed; C) Allowed in some cases; D) Depends on the director.")</f>
        <v>A) Allowed; B) Not allowed; C) Allowed in some cases; D) Depends on the director.</v>
      </c>
      <c r="D82" s="4" t="str">
        <f>IFERROR(__xludf.DUMMYFUNCTION("GOOGLETRANSLATE(J82, ""th"", ""en"")"),"B) Not allowed")</f>
        <v>B) Not allowed</v>
      </c>
      <c r="E82" s="4" t="str">
        <f>IFERROR(__xludf.DUMMYFUNCTION("GOOGLETRANSLATE(K82, ""th"", ""en"")"),"Causing pain to cows is unsafe and unfair.")</f>
        <v>Causing pain to cows is unsafe and unfair.</v>
      </c>
      <c r="G82" s="6">
        <v>81.0</v>
      </c>
      <c r="H82" s="7" t="s">
        <v>938</v>
      </c>
      <c r="I82" s="7" t="s">
        <v>834</v>
      </c>
      <c r="J82" s="7" t="s">
        <v>690</v>
      </c>
      <c r="K82" s="7" t="s">
        <v>939</v>
      </c>
    </row>
    <row r="83" ht="14.25" customHeight="1">
      <c r="A83" s="4">
        <v>82.0</v>
      </c>
      <c r="B83" s="5" t="str">
        <f>IFERROR(__xludf.DUMMYFUNCTION("GOOGLETRANSLATE(H83, ""th"", ""en"")"),"If a bull is injured during a race, can the referee stop the race?")</f>
        <v>If a bull is injured during a race, can the referee stop the race?</v>
      </c>
      <c r="C83" s="5" t="str">
        <f>IFERROR(__xludf.DUMMYFUNCTION("GOOGLETRANSLATE(I83, ""th"", ""en"")"),"A) Yes; B) No; C) Depends on the injury; D) Depends on the situation.")</f>
        <v>A) Yes; B) No; C) Depends on the injury; D) Depends on the situation.</v>
      </c>
      <c r="D83" s="4" t="str">
        <f>IFERROR(__xludf.DUMMYFUNCTION("GOOGLETRANSLATE(J83, ""th"", ""en"")"),"A) Yes.")</f>
        <v>A) Yes.</v>
      </c>
      <c r="E83" s="4" t="str">
        <f>IFERROR(__xludf.DUMMYFUNCTION("GOOGLETRANSLATE(K83, ""th"", ""en"")"),"The race was stopped to protect the safety of the cows.")</f>
        <v>The race was stopped to protect the safety of the cows.</v>
      </c>
      <c r="G83" s="6">
        <v>82.0</v>
      </c>
      <c r="H83" s="7" t="s">
        <v>940</v>
      </c>
      <c r="I83" s="7" t="s">
        <v>941</v>
      </c>
      <c r="J83" s="7" t="s">
        <v>737</v>
      </c>
      <c r="K83" s="7" t="s">
        <v>942</v>
      </c>
    </row>
    <row r="84" ht="14.25" customHeight="1">
      <c r="A84" s="4">
        <v>83.0</v>
      </c>
      <c r="B84" s="5" t="str">
        <f>IFERROR(__xludf.DUMMYFUNCTION("GOOGLETRANSLATE(H84, ""th"", ""en"")"),"In bullfighting, how are bulls that behave unfriendly towards their handlers judged?")</f>
        <v>In bullfighting, how are bulls that behave unfriendly towards their handlers judged?</v>
      </c>
      <c r="C84" s="5" t="str">
        <f>IFERROR(__xludf.DUMMYFUNCTION("GOOGLETRANSLATE(I84, ""th"", ""en"")"),"A) will be disqualified; B) will be warned; C) at the discretion of the referee; D) will be disqualified.")</f>
        <v>A) will be disqualified; B) will be warned; C) at the discretion of the referee; D) will be disqualified.</v>
      </c>
      <c r="D84" s="4" t="str">
        <f>IFERROR(__xludf.DUMMYFUNCTION("GOOGLETRANSLATE(J84, ""th"", ""en"")"),"A) will be judged to lose")</f>
        <v>A) will be judged to lose</v>
      </c>
      <c r="E84" s="4" t="str">
        <f>IFERROR(__xludf.DUMMYFUNCTION("GOOGLETRANSLATE(K84, ""th"", ""en"")"),"Inappropriate behavior makes the competition unfair.")</f>
        <v>Inappropriate behavior makes the competition unfair.</v>
      </c>
      <c r="G84" s="6">
        <v>83.0</v>
      </c>
      <c r="H84" s="7" t="s">
        <v>943</v>
      </c>
      <c r="I84" s="7" t="s">
        <v>944</v>
      </c>
      <c r="J84" s="7" t="s">
        <v>945</v>
      </c>
      <c r="K84" s="7" t="s">
        <v>946</v>
      </c>
    </row>
    <row r="85" ht="14.25" customHeight="1">
      <c r="A85" s="4">
        <v>84.0</v>
      </c>
      <c r="B85" s="5" t="str">
        <f>IFERROR(__xludf.DUMMYFUNCTION("GOOGLETRANSLATE(H85, ""th"", ""en"")"),"What is the main factor in scoring in bullfighting?")</f>
        <v>What is the main factor in scoring in bullfighting?</v>
      </c>
      <c r="C85" s="5" t="str">
        <f>IFERROR(__xludf.DUMMYFUNCTION("GOOGLETRANSLATE(I85, ""th"", ""en"")"),"A) speed; B) strength of the bull; C) fighting behavior; D) size of the bull")</f>
        <v>A) speed; B) strength of the bull; C) fighting behavior; D) size of the bull</v>
      </c>
      <c r="D85" s="4" t="str">
        <f>IFERROR(__xludf.DUMMYFUNCTION("GOOGLETRANSLATE(J85, ""th"", ""en"")"),"C) Combat behavior")</f>
        <v>C) Combat behavior</v>
      </c>
      <c r="E85" s="4" t="str">
        <f>IFERROR(__xludf.DUMMYFUNCTION("GOOGLETRANSLATE(K85, ""th"", ""en"")"),"Behavior determines the fairness of competition.")</f>
        <v>Behavior determines the fairness of competition.</v>
      </c>
      <c r="G85" s="6">
        <v>84.0</v>
      </c>
      <c r="H85" s="7" t="s">
        <v>947</v>
      </c>
      <c r="I85" s="7" t="s">
        <v>948</v>
      </c>
      <c r="J85" s="7" t="s">
        <v>949</v>
      </c>
      <c r="K85" s="7" t="s">
        <v>950</v>
      </c>
    </row>
    <row r="86" ht="14.25" customHeight="1">
      <c r="A86" s="4">
        <v>85.0</v>
      </c>
      <c r="B86" s="5" t="str">
        <f>IFERROR(__xludf.DUMMYFUNCTION("GOOGLETRANSLATE(H86, ""th"", ""en"")"),"Is it permissible to use methods that startle or unbalance a cow?")</f>
        <v>Is it permissible to use methods that startle or unbalance a cow?</v>
      </c>
      <c r="C86" s="5" t="str">
        <f>IFERROR(__xludf.DUMMYFUNCTION("GOOGLETRANSLATE(I86, ""th"", ""en"")"),"A) Allowed; B) Not allowed; C) Allowed in some cases; D) Depends on the director.")</f>
        <v>A) Allowed; B) Not allowed; C) Allowed in some cases; D) Depends on the director.</v>
      </c>
      <c r="D86" s="4" t="str">
        <f>IFERROR(__xludf.DUMMYFUNCTION("GOOGLETRANSLATE(J86, ""th"", ""en"")"),"B) Not allowed")</f>
        <v>B) Not allowed</v>
      </c>
      <c r="E86" s="4" t="str">
        <f>IFERROR(__xludf.DUMMYFUNCTION("GOOGLETRANSLATE(K86, ""th"", ""en"")"),"Shocking the bulls makes the race unfair and unsafe.")</f>
        <v>Shocking the bulls makes the race unfair and unsafe.</v>
      </c>
      <c r="G86" s="6">
        <v>85.0</v>
      </c>
      <c r="H86" s="7" t="s">
        <v>951</v>
      </c>
      <c r="I86" s="7" t="s">
        <v>834</v>
      </c>
      <c r="J86" s="7" t="s">
        <v>690</v>
      </c>
      <c r="K86" s="7" t="s">
        <v>952</v>
      </c>
    </row>
    <row r="87" ht="14.25" customHeight="1">
      <c r="A87" s="4">
        <v>86.0</v>
      </c>
      <c r="B87" s="5" t="str">
        <f>IFERROR(__xludf.DUMMYFUNCTION("GOOGLETRANSLATE(H87, ""th"", ""en"")"),"If the referee determines that an illegal technique has been used, what punishment will the moderator receive?")</f>
        <v>If the referee determines that an illegal technique has been used, what punishment will the moderator receive?</v>
      </c>
      <c r="C87" s="5" t="str">
        <f>IFERROR(__xludf.DUMMYFUNCTION("GOOGLETRANSLATE(I87, ""th"", ""en"")"),"A) will receive a warning; B) will be disqualified; C) will be banned from participating in the next match; D) depends on the referee.")</f>
        <v>A) will receive a warning; B) will be disqualified; C) will be banned from participating in the next match; D) depends on the referee.</v>
      </c>
      <c r="D87" s="4" t="str">
        <f>IFERROR(__xludf.DUMMYFUNCTION("GOOGLETRANSLATE(J87, ""th"", ""en"")"),"B) will be judged to lose.")</f>
        <v>B) will be judged to lose.</v>
      </c>
      <c r="E87" s="4" t="str">
        <f>IFERROR(__xludf.DUMMYFUNCTION("GOOGLETRANSLATE(K87, ""th"", ""en"")"),"The use of illegal techniques makes the competition unfair.")</f>
        <v>The use of illegal techniques makes the competition unfair.</v>
      </c>
      <c r="G87" s="6">
        <v>86.0</v>
      </c>
      <c r="H87" s="7" t="s">
        <v>953</v>
      </c>
      <c r="I87" s="7" t="s">
        <v>954</v>
      </c>
      <c r="J87" s="7" t="s">
        <v>955</v>
      </c>
      <c r="K87" s="7" t="s">
        <v>956</v>
      </c>
    </row>
    <row r="88" ht="14.25" customHeight="1">
      <c r="A88" s="4">
        <v>87.0</v>
      </c>
      <c r="B88" s="5" t="str">
        <f>IFERROR(__xludf.DUMMYFUNCTION("GOOGLETRANSLATE(H88, ""th"", ""en"")"),"If a bull is seriously injured during a race, will the race be canceled?")</f>
        <v>If a bull is seriously injured during a race, will the race be canceled?</v>
      </c>
      <c r="C88" s="5" t="str">
        <f>IFERROR(__xludf.DUMMYFUNCTION("GOOGLETRANSLATE(I88, ""th"", ""en"")"),"A) will be cancelled; B) will be continued; C) depending on the circumstances; D) depending on the decision of the referee.")</f>
        <v>A) will be cancelled; B) will be continued; C) depending on the circumstances; D) depending on the decision of the referee.</v>
      </c>
      <c r="D88" s="4" t="str">
        <f>IFERROR(__xludf.DUMMYFUNCTION("GOOGLETRANSLATE(J88, ""th"", ""en"")"),"A) will be canceled.")</f>
        <v>A) will be canceled.</v>
      </c>
      <c r="E88" s="4" t="str">
        <f>IFERROR(__xludf.DUMMYFUNCTION("GOOGLETRANSLATE(K88, ""th"", ""en"")"),"The cancellation of the competition helps maintain safety.")</f>
        <v>The cancellation of the competition helps maintain safety.</v>
      </c>
      <c r="G88" s="6">
        <v>87.0</v>
      </c>
      <c r="H88" s="7" t="s">
        <v>957</v>
      </c>
      <c r="I88" s="7" t="s">
        <v>958</v>
      </c>
      <c r="J88" s="7" t="s">
        <v>959</v>
      </c>
      <c r="K88" s="7" t="s">
        <v>960</v>
      </c>
    </row>
    <row r="89" ht="14.25" customHeight="1">
      <c r="A89" s="4">
        <v>88.0</v>
      </c>
      <c r="B89" s="5" t="str">
        <f>IFERROR(__xludf.DUMMYFUNCTION("GOOGLETRANSLATE(H89, ""th"", ""en"")"),"Is it permissible to intentionally injure a bull during a race?")</f>
        <v>Is it permissible to intentionally injure a bull during a race?</v>
      </c>
      <c r="C89" s="5" t="str">
        <f>IFERROR(__xludf.DUMMYFUNCTION("GOOGLETRANSLATE(I89, ""th"", ""en"")"),"A) Allowed; B) Not allowed; C) Allowed in some cases; D) Depends on the director.")</f>
        <v>A) Allowed; B) Not allowed; C) Allowed in some cases; D) Depends on the director.</v>
      </c>
      <c r="D89" s="4" t="str">
        <f>IFERROR(__xludf.DUMMYFUNCTION("GOOGLETRANSLATE(J89, ""th"", ""en"")"),"B) Not allowed")</f>
        <v>B) Not allowed</v>
      </c>
      <c r="E89" s="4" t="str">
        <f>IFERROR(__xludf.DUMMYFUNCTION("GOOGLETRANSLATE(K89, ""th"", ""en"")"),"Bullying cows is unsafe and illegal.")</f>
        <v>Bullying cows is unsafe and illegal.</v>
      </c>
      <c r="G89" s="6">
        <v>88.0</v>
      </c>
      <c r="H89" s="7" t="s">
        <v>961</v>
      </c>
      <c r="I89" s="7" t="s">
        <v>834</v>
      </c>
      <c r="J89" s="7" t="s">
        <v>690</v>
      </c>
      <c r="K89" s="7" t="s">
        <v>962</v>
      </c>
    </row>
    <row r="90" ht="14.25" customHeight="1">
      <c r="A90" s="4">
        <v>89.0</v>
      </c>
      <c r="B90" s="5" t="str">
        <f>IFERROR(__xludf.DUMMYFUNCTION("GOOGLETRANSLATE(H90, ""th"", ""en"")"),"Can a cow with inappropriate behavior be disqualified?")</f>
        <v>Can a cow with inappropriate behavior be disqualified?</v>
      </c>
      <c r="C90" s="5" t="str">
        <f>IFERROR(__xludf.DUMMYFUNCTION("GOOGLETRANSLATE(I90, ""th"", ""en"")"),"A) Yes; B) No; C) It depends on the situation; D) It depends on the referee.")</f>
        <v>A) Yes; B) No; C) It depends on the situation; D) It depends on the referee.</v>
      </c>
      <c r="D90" s="4" t="str">
        <f>IFERROR(__xludf.DUMMYFUNCTION("GOOGLETRANSLATE(J90, ""th"", ""en"")"),"A) Yes.")</f>
        <v>A) Yes.</v>
      </c>
      <c r="E90" s="4" t="str">
        <f>IFERROR(__xludf.DUMMYFUNCTION("GOOGLETRANSLATE(K90, ""th"", ""en"")"),"Inappropriate behavior makes the competition unfair.")</f>
        <v>Inappropriate behavior makes the competition unfair.</v>
      </c>
      <c r="G90" s="6">
        <v>89.0</v>
      </c>
      <c r="H90" s="7" t="s">
        <v>963</v>
      </c>
      <c r="I90" s="7" t="s">
        <v>850</v>
      </c>
      <c r="J90" s="7" t="s">
        <v>737</v>
      </c>
      <c r="K90" s="7" t="s">
        <v>946</v>
      </c>
    </row>
    <row r="91" ht="14.25" customHeight="1">
      <c r="A91" s="4">
        <v>90.0</v>
      </c>
      <c r="B91" s="5" t="str">
        <f>IFERROR(__xludf.DUMMYFUNCTION("GOOGLETRANSLATE(H91, ""th"", ""en"")"),"Can referees use special rules to decide a match?")</f>
        <v>Can referees use special rules to decide a match?</v>
      </c>
      <c r="C91" s="5" t="str">
        <f>IFERROR(__xludf.DUMMYFUNCTION("GOOGLETRANSLATE(I91, ""th"", ""en"")"),"A) Yes; B) No; C) It depends on the type of competition; D) It depends on the situation.")</f>
        <v>A) Yes; B) No; C) It depends on the type of competition; D) It depends on the situation.</v>
      </c>
      <c r="D91" s="4" t="str">
        <f>IFERROR(__xludf.DUMMYFUNCTION("GOOGLETRANSLATE(J91, ""th"", ""en"")"),"A) Yes.")</f>
        <v>A) Yes.</v>
      </c>
      <c r="E91" s="4" t="str">
        <f>IFERROR(__xludf.DUMMYFUNCTION("GOOGLETRANSLATE(K91, ""th"", ""en"")"),"The referee may use special rules when necessary to maintain fairness.")</f>
        <v>The referee may use special rules when necessary to maintain fairness.</v>
      </c>
      <c r="G91" s="6">
        <v>90.0</v>
      </c>
      <c r="H91" s="7" t="s">
        <v>964</v>
      </c>
      <c r="I91" s="7" t="s">
        <v>965</v>
      </c>
      <c r="J91" s="7" t="s">
        <v>737</v>
      </c>
      <c r="K91" s="7" t="s">
        <v>966</v>
      </c>
    </row>
    <row r="92" ht="14.25" customHeight="1">
      <c r="A92" s="4">
        <v>91.0</v>
      </c>
      <c r="B92" s="5" t="str">
        <f>IFERROR(__xludf.DUMMYFUNCTION("GOOGLETRANSLATE(H92, ""th"", ""en"")"),"In bullfighting, can handlers use unfair methods to control the bulls?")</f>
        <v>In bullfighting, can handlers use unfair methods to control the bulls?</v>
      </c>
      <c r="C92" s="5" t="str">
        <f>IFERROR(__xludf.DUMMYFUNCTION("GOOGLETRANSLATE(I92, ""th"", ""en"")"),"A) Allowed; B) Not allowed; C) Allowed in some cases; D) Depends on the director.")</f>
        <v>A) Allowed; B) Not allowed; C) Allowed in some cases; D) Depends on the director.</v>
      </c>
      <c r="D92" s="4" t="str">
        <f>IFERROR(__xludf.DUMMYFUNCTION("GOOGLETRANSLATE(J92, ""th"", ""en"")"),"B) Not allowed")</f>
        <v>B) Not allowed</v>
      </c>
      <c r="E92" s="4" t="str">
        <f>IFERROR(__xludf.DUMMYFUNCTION("GOOGLETRANSLATE(K92, ""th"", ""en"")"),"Using unfair methods makes the competition unfair.")</f>
        <v>Using unfair methods makes the competition unfair.</v>
      </c>
      <c r="G92" s="6">
        <v>91.0</v>
      </c>
      <c r="H92" s="7" t="s">
        <v>967</v>
      </c>
      <c r="I92" s="7" t="s">
        <v>834</v>
      </c>
      <c r="J92" s="7" t="s">
        <v>690</v>
      </c>
      <c r="K92" s="7" t="s">
        <v>968</v>
      </c>
    </row>
    <row r="93" ht="14.25" customHeight="1">
      <c r="A93" s="4">
        <v>92.0</v>
      </c>
      <c r="B93" s="5" t="str">
        <f>IFERROR(__xludf.DUMMYFUNCTION("GOOGLETRANSLATE(H93, ""th"", ""en"")"),"If a cow shows any abnormal behavior during a race, can the judges decide to stop the race?")</f>
        <v>If a cow shows any abnormal behavior during a race, can the judges decide to stop the race?</v>
      </c>
      <c r="C93" s="5" t="str">
        <f>IFERROR(__xludf.DUMMYFUNCTION("GOOGLETRANSLATE(I93, ""th"", ""en"")"),"A) Yes; B) No; C) It depends on the symptoms; D) It depends on the situation.")</f>
        <v>A) Yes; B) No; C) It depends on the symptoms; D) It depends on the situation.</v>
      </c>
      <c r="D93" s="4" t="str">
        <f>IFERROR(__xludf.DUMMYFUNCTION("GOOGLETRANSLATE(J93, ""th"", ""en"")"),"A) Yes.")</f>
        <v>A) Yes.</v>
      </c>
      <c r="E93" s="4" t="str">
        <f>IFERROR(__xludf.DUMMYFUNCTION("GOOGLETRANSLATE(K93, ""th"", ""en"")"),"Stopping the race prevents damage to the bull.")</f>
        <v>Stopping the race prevents damage to the bull.</v>
      </c>
      <c r="G93" s="6">
        <v>92.0</v>
      </c>
      <c r="H93" s="7" t="s">
        <v>969</v>
      </c>
      <c r="I93" s="7" t="s">
        <v>970</v>
      </c>
      <c r="J93" s="7" t="s">
        <v>737</v>
      </c>
      <c r="K93" s="7" t="s">
        <v>971</v>
      </c>
    </row>
    <row r="94" ht="14.25" customHeight="1">
      <c r="A94" s="4">
        <v>93.0</v>
      </c>
      <c r="B94" s="5" t="str">
        <f>IFERROR(__xludf.DUMMYFUNCTION("GOOGLETRANSLATE(H94, ""th"", ""en"")"),"In bullfighting, is there a limit to the number of times a bull can rest during the race?")</f>
        <v>In bullfighting, is there a limit to the number of times a bull can rest during the race?</v>
      </c>
      <c r="C94" s="5" t="str">
        <f>IFERROR(__xludf.DUMMYFUNCTION("GOOGLETRANSLATE(I94, ""th"", ""en"")"),"A) There is a limit on the number of times; B) There is no limit; C) It depends on the judges; D) It depends on the type of competition.")</f>
        <v>A) There is a limit on the number of times; B) There is no limit; C) It depends on the judges; D) It depends on the type of competition.</v>
      </c>
      <c r="D94" s="4" t="str">
        <f>IFERROR(__xludf.DUMMYFUNCTION("GOOGLETRANSLATE(J94, ""th"", ""en"")"),"A) There is a limit on the number of times.")</f>
        <v>A) There is a limit on the number of times.</v>
      </c>
      <c r="E94" s="4" t="str">
        <f>IFERROR(__xludf.DUMMYFUNCTION("GOOGLETRANSLATE(K94, ""th"", ""en"")"),"The number of times limit helps the competition to be in line with the rules.")</f>
        <v>The number of times limit helps the competition to be in line with the rules.</v>
      </c>
      <c r="G94" s="6">
        <v>93.0</v>
      </c>
      <c r="H94" s="7" t="s">
        <v>972</v>
      </c>
      <c r="I94" s="7" t="s">
        <v>973</v>
      </c>
      <c r="J94" s="7" t="s">
        <v>974</v>
      </c>
      <c r="K94" s="7" t="s">
        <v>975</v>
      </c>
    </row>
    <row r="95" ht="14.25" customHeight="1">
      <c r="A95" s="4">
        <v>94.0</v>
      </c>
      <c r="B95" s="5" t="str">
        <f>IFERROR(__xludf.DUMMYFUNCTION("GOOGLETRANSLATE(H95, ""th"", ""en"")"),"If the handler is unable to control the bull during the race, what will be the result?")</f>
        <v>If the handler is unable to control the bull during the race, what will be the result?</v>
      </c>
      <c r="C95" s="5" t="str">
        <f>IFERROR(__xludf.DUMMYFUNCTION("GOOGLETRANSLATE(I95, ""th"", ""en"")"),"A) The bull will be judged as defeated; B) The match will be stopped immediately; C) The match will continue; D) It depends on the judges' decision.")</f>
        <v>A) The bull will be judged as defeated; B) The match will be stopped immediately; C) The match will continue; D) It depends on the judges' decision.</v>
      </c>
      <c r="D95" s="4" t="str">
        <f>IFERROR(__xludf.DUMMYFUNCTION("GOOGLETRANSLATE(J95, ""th"", ""en"")"),"A) The cow will be judged to have lost.")</f>
        <v>A) The cow will be judged to have lost.</v>
      </c>
      <c r="E95" s="4" t="str">
        <f>IFERROR(__xludf.DUMMYFUNCTION("GOOGLETRANSLATE(K95, ""th"", ""en"")"),"Bull control is important in competition.")</f>
        <v>Bull control is important in competition.</v>
      </c>
      <c r="G95" s="6">
        <v>94.0</v>
      </c>
      <c r="H95" s="7" t="s">
        <v>976</v>
      </c>
      <c r="I95" s="7" t="s">
        <v>977</v>
      </c>
      <c r="J95" s="7" t="s">
        <v>932</v>
      </c>
      <c r="K95" s="7" t="s">
        <v>978</v>
      </c>
    </row>
    <row r="96" ht="14.25" customHeight="1">
      <c r="A96" s="4">
        <v>95.0</v>
      </c>
      <c r="B96" s="5" t="str">
        <f>IFERROR(__xludf.DUMMYFUNCTION("GOOGLETRANSLATE(H96, ""th"", ""en"")"),"Is it permissible to select a cow with a minor injury to compete?")</f>
        <v>Is it permissible to select a cow with a minor injury to compete?</v>
      </c>
      <c r="C96" s="5" t="str">
        <f>IFERROR(__xludf.DUMMYFUNCTION("GOOGLETRANSLATE(I96, ""th"", ""en"")"),"A) Allowed; B) Not allowed; C) Depends on the situation; D) Depends on the director.")</f>
        <v>A) Allowed; B) Not allowed; C) Depends on the situation; D) Depends on the director.</v>
      </c>
      <c r="D96" s="4" t="str">
        <f>IFERROR(__xludf.DUMMYFUNCTION("GOOGLETRANSLATE(J96, ""th"", ""en"")"),"B) Not allowed")</f>
        <v>B) Not allowed</v>
      </c>
      <c r="E96" s="4" t="str">
        <f>IFERROR(__xludf.DUMMYFUNCTION("GOOGLETRANSLATE(K96, ""th"", ""en"")"),"Selecting injured cows makes the competition unfair.")</f>
        <v>Selecting injured cows makes the competition unfair.</v>
      </c>
      <c r="G96" s="6">
        <v>95.0</v>
      </c>
      <c r="H96" s="7" t="s">
        <v>979</v>
      </c>
      <c r="I96" s="7" t="s">
        <v>980</v>
      </c>
      <c r="J96" s="7" t="s">
        <v>690</v>
      </c>
      <c r="K96" s="7" t="s">
        <v>981</v>
      </c>
    </row>
    <row r="97" ht="14.25" customHeight="1">
      <c r="A97" s="4">
        <v>96.0</v>
      </c>
      <c r="B97" s="5" t="str">
        <f>IFERROR(__xludf.DUMMYFUNCTION("GOOGLETRANSLATE(H97, ""th"", ""en"")"),"If the fight cannot be decided within the allotted time, what should the match be?")</f>
        <v>If the fight cannot be decided within the allotted time, what should the match be?</v>
      </c>
      <c r="C97" s="5" t="str">
        <f>IFERROR(__xludf.DUMMYFUNCTION("GOOGLETRANSLATE(I97, ""th"", ""en"")"),"A) Score based on behavior; B) Order to cancel the match; C) Let the judges decide; D) Depending on the situation.")</f>
        <v>A) Score based on behavior; B) Order to cancel the match; C) Let the judges decide; D) Depending on the situation.</v>
      </c>
      <c r="D97" s="4" t="str">
        <f>IFERROR(__xludf.DUMMYFUNCTION("GOOGLETRANSLATE(J97, ""th"", ""en"")"),"C) Let the judges decide.")</f>
        <v>C) Let the judges decide.</v>
      </c>
      <c r="E97" s="4" t="str">
        <f>IFERROR(__xludf.DUMMYFUNCTION("GOOGLETRANSLATE(K97, ""th"", ""en"")"),"The judges' decisions ensure a fair competition.")</f>
        <v>The judges' decisions ensure a fair competition.</v>
      </c>
      <c r="G97" s="6">
        <v>96.0</v>
      </c>
      <c r="H97" s="7" t="s">
        <v>982</v>
      </c>
      <c r="I97" s="7" t="s">
        <v>983</v>
      </c>
      <c r="J97" s="7" t="s">
        <v>984</v>
      </c>
      <c r="K97" s="7" t="s">
        <v>985</v>
      </c>
    </row>
    <row r="98" ht="14.25" customHeight="1">
      <c r="A98" s="4">
        <v>97.0</v>
      </c>
      <c r="B98" s="5" t="str">
        <f>IFERROR(__xludf.DUMMYFUNCTION("GOOGLETRANSLATE(H98, ""th"", ""en"")"),"If stimulants are used on bulls during competition, will there be a penalty?")</f>
        <v>If stimulants are used on bulls during competition, will there be a penalty?</v>
      </c>
      <c r="C98" s="5" t="str">
        <f>IFERROR(__xludf.DUMMYFUNCTION("GOOGLETRANSLATE(I98, ""th"", ""en"")"),"A) will be punished; B) will not be punished; C) depends on the severity of the substance use; D) depends on the judge.")</f>
        <v>A) will be punished; B) will not be punished; C) depends on the severity of the substance use; D) depends on the judge.</v>
      </c>
      <c r="D98" s="4" t="str">
        <f>IFERROR(__xludf.DUMMYFUNCTION("GOOGLETRANSLATE(J98, ""th"", ""en"")"),"A) will be punished")</f>
        <v>A) will be punished</v>
      </c>
      <c r="E98" s="4" t="str">
        <f>IFERROR(__xludf.DUMMYFUNCTION("GOOGLETRANSLATE(K98, ""th"", ""en"")"),"The use of stimulants makes competition unfair and dangerous.")</f>
        <v>The use of stimulants makes competition unfair and dangerous.</v>
      </c>
      <c r="G98" s="6">
        <v>97.0</v>
      </c>
      <c r="H98" s="7" t="s">
        <v>986</v>
      </c>
      <c r="I98" s="7" t="s">
        <v>987</v>
      </c>
      <c r="J98" s="7" t="s">
        <v>831</v>
      </c>
      <c r="K98" s="7" t="s">
        <v>988</v>
      </c>
    </row>
    <row r="99" ht="14.25" customHeight="1">
      <c r="A99" s="4">
        <v>98.0</v>
      </c>
      <c r="B99" s="5" t="str">
        <f>IFERROR(__xludf.DUMMYFUNCTION("GOOGLETRANSLATE(H99, ""th"", ""en"")"),"Is it permissible to use methods that cause suffering to the cows during the competition?")</f>
        <v>Is it permissible to use methods that cause suffering to the cows during the competition?</v>
      </c>
      <c r="C99" s="5" t="str">
        <f>IFERROR(__xludf.DUMMYFUNCTION("GOOGLETRANSLATE(I99, ""th"", ""en"")"),"A) Allowed; B) Not allowed; C) Allowed in some cases; D) Depends on the director.")</f>
        <v>A) Allowed; B) Not allowed; C) Allowed in some cases; D) Depends on the director.</v>
      </c>
      <c r="D99" s="4" t="str">
        <f>IFERROR(__xludf.DUMMYFUNCTION("GOOGLETRANSLATE(J99, ""th"", ""en"")"),"B) Not allowed")</f>
        <v>B) Not allowed</v>
      </c>
      <c r="E99" s="4" t="str">
        <f>IFERROR(__xludf.DUMMYFUNCTION("GOOGLETRANSLATE(K99, ""th"", ""en"")"),"Making cows suffer is unsafe and unfair.")</f>
        <v>Making cows suffer is unsafe and unfair.</v>
      </c>
      <c r="G99" s="6">
        <v>98.0</v>
      </c>
      <c r="H99" s="7" t="s">
        <v>989</v>
      </c>
      <c r="I99" s="7" t="s">
        <v>834</v>
      </c>
      <c r="J99" s="7" t="s">
        <v>690</v>
      </c>
      <c r="K99" s="7" t="s">
        <v>990</v>
      </c>
    </row>
    <row r="100" ht="14.25" customHeight="1">
      <c r="A100" s="4">
        <v>99.0</v>
      </c>
      <c r="B100" s="5" t="str">
        <f>IFERROR(__xludf.DUMMYFUNCTION("GOOGLETRANSLATE(H100, ""th"", ""en"")"),"In bullfighting, can the referee cancel the match if a rule violation is committed?")</f>
        <v>In bullfighting, can the referee cancel the match if a rule violation is committed?</v>
      </c>
      <c r="C100" s="5" t="str">
        <f>IFERROR(__xludf.DUMMYFUNCTION("GOOGLETRANSLATE(I100, ""th"", ""en"")"),"A) Yes; B) No; C) It depends on the severity of the offense; D) It depends on the organizer.")</f>
        <v>A) Yes; B) No; C) It depends on the severity of the offense; D) It depends on the organizer.</v>
      </c>
      <c r="D100" s="4" t="str">
        <f>IFERROR(__xludf.DUMMYFUNCTION("GOOGLETRANSLATE(J100, ""th"", ""en"")"),"A) Yes.")</f>
        <v>A) Yes.</v>
      </c>
      <c r="E100" s="4" t="str">
        <f>IFERROR(__xludf.DUMMYFUNCTION("GOOGLETRANSLATE(K100, ""th"", ""en"")"),"The cancellation of the competition was done to maintain fairness.")</f>
        <v>The cancellation of the competition was done to maintain fairness.</v>
      </c>
      <c r="G100" s="6">
        <v>99.0</v>
      </c>
      <c r="H100" s="7" t="s">
        <v>991</v>
      </c>
      <c r="I100" s="7" t="s">
        <v>992</v>
      </c>
      <c r="J100" s="7" t="s">
        <v>737</v>
      </c>
      <c r="K100" s="7" t="s">
        <v>993</v>
      </c>
    </row>
    <row r="101" ht="14.25" customHeight="1">
      <c r="A101" s="4">
        <v>100.0</v>
      </c>
      <c r="B101" s="5" t="str">
        <f>IFERROR(__xludf.DUMMYFUNCTION("GOOGLETRANSLATE(H101, ""th"", ""en"")"),"What is the main consideration when scoring bullfights?")</f>
        <v>What is the main consideration when scoring bullfights?</v>
      </c>
      <c r="C101" s="5" t="str">
        <f>IFERROR(__xludf.DUMMYFUNCTION("GOOGLETRANSLATE(I101, ""th"", ""en"")"),"A) fighting behavior; B) the speed of movement of the bull; C) the use of fighting tactics; D) the strength of the bull.")</f>
        <v>A) fighting behavior; B) the speed of movement of the bull; C) the use of fighting tactics; D) the strength of the bull.</v>
      </c>
      <c r="D101" s="4" t="str">
        <f>IFERROR(__xludf.DUMMYFUNCTION("GOOGLETRANSLATE(J101, ""th"", ""en"")"),"A) Fighting behavior")</f>
        <v>A) Fighting behavior</v>
      </c>
      <c r="E101" s="4" t="str">
        <f>IFERROR(__xludf.DUMMYFUNCTION("GOOGLETRANSLATE(K101, ""th"", ""en"")"),"Scoring must be based on the bull's fighting behavior.")</f>
        <v>Scoring must be based on the bull's fighting behavior.</v>
      </c>
      <c r="G101" s="6">
        <v>100.0</v>
      </c>
      <c r="H101" s="7" t="s">
        <v>994</v>
      </c>
      <c r="I101" s="7" t="s">
        <v>995</v>
      </c>
      <c r="J101" s="7" t="s">
        <v>996</v>
      </c>
      <c r="K101" s="7" t="s">
        <v>997</v>
      </c>
    </row>
    <row r="102" ht="14.25" customHeight="1">
      <c r="A102" s="4">
        <v>101.0</v>
      </c>
      <c r="B102" s="5" t="str">
        <f>IFERROR(__xludf.DUMMYFUNCTION("GOOGLETRANSLATE(H102, ""th"", ""en"")"),"Is it permissible to use methods to scare the bull during the race?")</f>
        <v>Is it permissible to use methods to scare the bull during the race?</v>
      </c>
      <c r="C102" s="5" t="str">
        <f>IFERROR(__xludf.DUMMYFUNCTION("GOOGLETRANSLATE(I102, ""th"", ""en"")"),"A) Allowed; B) Not allowed; C) Allowed in some cases; D) Depends on the director.")</f>
        <v>A) Allowed; B) Not allowed; C) Allowed in some cases; D) Depends on the director.</v>
      </c>
      <c r="D102" s="4" t="str">
        <f>IFERROR(__xludf.DUMMYFUNCTION("GOOGLETRANSLATE(J102, ""th"", ""en"")"),"B) Not allowed")</f>
        <v>B) Not allowed</v>
      </c>
      <c r="E102" s="4" t="str">
        <f>IFERROR(__xludf.DUMMYFUNCTION("GOOGLETRANSLATE(K102, ""th"", ""en"")"),"Shocking the bulls makes the race unfair and dangerous.")</f>
        <v>Shocking the bulls makes the race unfair and dangerous.</v>
      </c>
      <c r="G102" s="6">
        <v>101.0</v>
      </c>
      <c r="H102" s="7" t="s">
        <v>998</v>
      </c>
      <c r="I102" s="7" t="s">
        <v>834</v>
      </c>
      <c r="J102" s="7" t="s">
        <v>690</v>
      </c>
      <c r="K102" s="7" t="s">
        <v>999</v>
      </c>
    </row>
    <row r="103" ht="14.25" customHeight="1">
      <c r="A103" s="4">
        <v>102.0</v>
      </c>
      <c r="B103" s="5" t="str">
        <f>IFERROR(__xludf.DUMMYFUNCTION("GOOGLETRANSLATE(H103, ""th"", ""en"")"),"In bullfighting, how should bulls that exhibit uncontrolled behavior be judged?")</f>
        <v>In bullfighting, how should bulls that exhibit uncontrolled behavior be judged?</v>
      </c>
      <c r="C103" s="5" t="str">
        <f>IFERROR(__xludf.DUMMYFUNCTION("GOOGLETRANSLATE(I103, ""th"", ""en"")"),"A) The bull will be judged as a loser; B) The bull will be given a warning; C) The bull will be improved by the handler; D) It is up to the judges.")</f>
        <v>A) The bull will be judged as a loser; B) The bull will be given a warning; C) The bull will be improved by the handler; D) It is up to the judges.</v>
      </c>
      <c r="D103" s="4" t="str">
        <f>IFERROR(__xludf.DUMMYFUNCTION("GOOGLETRANSLATE(J103, ""th"", ""en"")"),"A) The cow will be judged to have lost.")</f>
        <v>A) The cow will be judged to have lost.</v>
      </c>
      <c r="E103" s="4" t="str">
        <f>IFERROR(__xludf.DUMMYFUNCTION("GOOGLETRANSLATE(K103, ""th"", ""en"")"),"Bull control is important in competition.")</f>
        <v>Bull control is important in competition.</v>
      </c>
      <c r="G103" s="6">
        <v>102.0</v>
      </c>
      <c r="H103" s="7" t="s">
        <v>1000</v>
      </c>
      <c r="I103" s="7" t="s">
        <v>1001</v>
      </c>
      <c r="J103" s="7" t="s">
        <v>932</v>
      </c>
      <c r="K103" s="7" t="s">
        <v>978</v>
      </c>
    </row>
    <row r="104" ht="14.25" customHeight="1">
      <c r="A104" s="4">
        <v>103.0</v>
      </c>
      <c r="B104" s="5" t="str">
        <f>IFERROR(__xludf.DUMMYFUNCTION("GOOGLETRANSLATE(H104, ""th"", ""en"")"),"If the handler prevents the bull from fighting at its full potential during the competition, what are the consequences?")</f>
        <v>If the handler prevents the bull from fighting at its full potential during the competition, what are the consequences?</v>
      </c>
      <c r="C104" s="5" t="str">
        <f>IFERROR(__xludf.DUMMYFUNCTION("GOOGLETRANSLATE(I104, ""th"", ""en"")"),"A) The handler will be penalized; B) The bull will be judged as disqualified; C) The race will be canceled; D) It is up to the judges.")</f>
        <v>A) The handler will be penalized; B) The bull will be judged as disqualified; C) The race will be canceled; D) It is up to the judges.</v>
      </c>
      <c r="D104" s="4" t="str">
        <f>IFERROR(__xludf.DUMMYFUNCTION("GOOGLETRANSLATE(J104, ""th"", ""en"")"),"A) The caretaker will be punished.")</f>
        <v>A) The caretaker will be punished.</v>
      </c>
      <c r="E104" s="4" t="str">
        <f>IFERROR(__xludf.DUMMYFUNCTION("GOOGLETRANSLATE(K104, ""th"", ""en"")"),"Making the bull fight less than its full potential makes the competition unfair.")</f>
        <v>Making the bull fight less than its full potential makes the competition unfair.</v>
      </c>
      <c r="G104" s="6">
        <v>103.0</v>
      </c>
      <c r="H104" s="7" t="s">
        <v>1002</v>
      </c>
      <c r="I104" s="7" t="s">
        <v>1003</v>
      </c>
      <c r="J104" s="7" t="s">
        <v>1004</v>
      </c>
      <c r="K104" s="7" t="s">
        <v>1005</v>
      </c>
    </row>
    <row r="105" ht="14.25" customHeight="1">
      <c r="A105" s="4">
        <v>104.0</v>
      </c>
      <c r="B105" s="5" t="str">
        <f>IFERROR(__xludf.DUMMYFUNCTION("GOOGLETRANSLATE(H105, ""th"", ""en"")"),"Is it permissible to use protective equipment in bullfighting?")</f>
        <v>Is it permissible to use protective equipment in bullfighting?</v>
      </c>
      <c r="C105" s="5" t="str">
        <f>IFERROR(__xludf.DUMMYFUNCTION("GOOGLETRANSLATE(I105, ""th"", ""en"")"),"A) Allowed; B) Not allowed; C) Allowed in some cases; D) Depends on the director.")</f>
        <v>A) Allowed; B) Not allowed; C) Allowed in some cases; D) Depends on the director.</v>
      </c>
      <c r="D105" s="4" t="str">
        <f>IFERROR(__xludf.DUMMYFUNCTION("GOOGLETRANSLATE(J105, ""th"", ""en"")"),"B) Not allowed")</f>
        <v>B) Not allowed</v>
      </c>
      <c r="E105" s="4" t="str">
        <f>IFERROR(__xludf.DUMMYFUNCTION("GOOGLETRANSLATE(K105, ""th"", ""en"")"),"Using inappropriate tools makes the competition unfair.")</f>
        <v>Using inappropriate tools makes the competition unfair.</v>
      </c>
      <c r="G105" s="6">
        <v>104.0</v>
      </c>
      <c r="H105" s="7" t="s">
        <v>1006</v>
      </c>
      <c r="I105" s="7" t="s">
        <v>834</v>
      </c>
      <c r="J105" s="7" t="s">
        <v>690</v>
      </c>
      <c r="K105" s="7" t="s">
        <v>1007</v>
      </c>
    </row>
    <row r="106" ht="14.25" customHeight="1">
      <c r="A106" s="4">
        <v>105.0</v>
      </c>
      <c r="B106" s="5" t="str">
        <f>IFERROR(__xludf.DUMMYFUNCTION("GOOGLETRANSLATE(H106, ""th"", ""en"")"),"If an injury occurs during the match, what decision should the referee make?")</f>
        <v>If an injury occurs during the match, what decision should the referee make?</v>
      </c>
      <c r="C106" s="5" t="str">
        <f>IFERROR(__xludf.DUMMYFUNCTION("GOOGLETRANSLATE(I106, ""th"", ""en"")"),"A) The race will be abandoned; B) The injured bull will be treated before judging; C) The race will continue as normal; D) Depending on the severity of the injury.")</f>
        <v>A) The race will be abandoned; B) The injured bull will be treated before judging; C) The race will continue as normal; D) Depending on the severity of the injury.</v>
      </c>
      <c r="D106" s="4" t="str">
        <f>IFERROR(__xludf.DUMMYFUNCTION("GOOGLETRANSLATE(J106, ""th"", ""en"")"),"B) The injured cow will be treated before the judgement.")</f>
        <v>B) The injured cow will be treated before the judgement.</v>
      </c>
      <c r="E106" s="4" t="str">
        <f>IFERROR(__xludf.DUMMYFUNCTION("GOOGLETRANSLATE(K106, ""th"", ""en"")"),"Cow safety comes first.")</f>
        <v>Cow safety comes first.</v>
      </c>
      <c r="G106" s="6">
        <v>105.0</v>
      </c>
      <c r="H106" s="7" t="s">
        <v>1008</v>
      </c>
      <c r="I106" s="7" t="s">
        <v>1009</v>
      </c>
      <c r="J106" s="7" t="s">
        <v>1010</v>
      </c>
      <c r="K106" s="7" t="s">
        <v>1011</v>
      </c>
    </row>
    <row r="107" ht="14.25" customHeight="1">
      <c r="A107" s="4">
        <v>106.0</v>
      </c>
      <c r="B107" s="5" t="str">
        <f>IFERROR(__xludf.DUMMYFUNCTION("GOOGLETRANSLATE(H107, ""th"", ""en"")"),"What is the main factor in deciding whether a cow wins?")</f>
        <v>What is the main factor in deciding whether a cow wins?</v>
      </c>
      <c r="C107" s="5" t="str">
        <f>IFERROR(__xludf.DUMMYFUNCTION("GOOGLETRANSLATE(I107, ""th"", ""en"")"),"A) Speed; B) Strength; C) Fighting Ability; D) Control of the Handler")</f>
        <v>A) Speed; B) Strength; C) Fighting Ability; D) Control of the Handler</v>
      </c>
      <c r="D107" s="4" t="str">
        <f>IFERROR(__xludf.DUMMYFUNCTION("GOOGLETRANSLATE(J107, ""th"", ""en"")"),"C) Fighting ability")</f>
        <v>C) Fighting ability</v>
      </c>
      <c r="E107" s="4" t="str">
        <f>IFERROR(__xludf.DUMMYFUNCTION("GOOGLETRANSLATE(K107, ""th"", ""en"")"),"A good fight determines the winner.")</f>
        <v>A good fight determines the winner.</v>
      </c>
      <c r="G107" s="6">
        <v>106.0</v>
      </c>
      <c r="H107" s="7" t="s">
        <v>1012</v>
      </c>
      <c r="I107" s="7" t="s">
        <v>1013</v>
      </c>
      <c r="J107" s="7" t="s">
        <v>1014</v>
      </c>
      <c r="K107" s="7" t="s">
        <v>1015</v>
      </c>
    </row>
    <row r="108" ht="14.25" customHeight="1">
      <c r="A108" s="4">
        <v>107.0</v>
      </c>
      <c r="B108" s="5" t="str">
        <f>IFERROR(__xludf.DUMMYFUNCTION("GOOGLETRANSLATE(H108, ""th"", ""en"")"),"In bullfighting, if a handler uses excessive force while controlling the bull, will he be penalized?")</f>
        <v>In bullfighting, if a handler uses excessive force while controlling the bull, will he be penalized?</v>
      </c>
      <c r="C108" s="5" t="str">
        <f>IFERROR(__xludf.DUMMYFUNCTION("GOOGLETRANSLATE(I108, ""th"", ""en"")"),"A) will be penalized; B) will not be penalized; C) depends on the circumstances; D) depends on the referee's decision.")</f>
        <v>A) will be penalized; B) will not be penalized; C) depends on the circumstances; D) depends on the referee's decision.</v>
      </c>
      <c r="D108" s="4" t="str">
        <f>IFERROR(__xludf.DUMMYFUNCTION("GOOGLETRANSLATE(J108, ""th"", ""en"")"),"A) will be punished")</f>
        <v>A) will be punished</v>
      </c>
      <c r="E108" s="4" t="str">
        <f>IFERROR(__xludf.DUMMYFUNCTION("GOOGLETRANSLATE(K108, ""th"", ""en"")"),"Excessive use of force makes the competition unfair.")</f>
        <v>Excessive use of force makes the competition unfair.</v>
      </c>
      <c r="G108" s="6">
        <v>107.0</v>
      </c>
      <c r="H108" s="7" t="s">
        <v>1016</v>
      </c>
      <c r="I108" s="7" t="s">
        <v>1017</v>
      </c>
      <c r="J108" s="7" t="s">
        <v>831</v>
      </c>
      <c r="K108" s="7" t="s">
        <v>1018</v>
      </c>
    </row>
    <row r="109" ht="14.25" customHeight="1">
      <c r="A109" s="4">
        <v>108.0</v>
      </c>
      <c r="B109" s="5" t="str">
        <f>IFERROR(__xludf.DUMMYFUNCTION("GOOGLETRANSLATE(H109, ""th"", ""en"")"),"If a bull shows obvious signs of injury during a race, can the referee stop the race?")</f>
        <v>If a bull shows obvious signs of injury during a race, can the referee stop the race?</v>
      </c>
      <c r="C109" s="5" t="str">
        <f>IFERROR(__xludf.DUMMYFUNCTION("GOOGLETRANSLATE(I109, ""th"", ""en"")"),"A) Yes; B) No; C) It depends on the situation; D) It depends on the referee.")</f>
        <v>A) Yes; B) No; C) It depends on the situation; D) It depends on the referee.</v>
      </c>
      <c r="D109" s="4" t="str">
        <f>IFERROR(__xludf.DUMMYFUNCTION("GOOGLETRANSLATE(J109, ""th"", ""en"")"),"A) Yes.")</f>
        <v>A) Yes.</v>
      </c>
      <c r="E109" s="4" t="str">
        <f>IFERROR(__xludf.DUMMYFUNCTION("GOOGLETRANSLATE(K109, ""th"", ""en"")"),"Stopping the competition helps prevent damage.")</f>
        <v>Stopping the competition helps prevent damage.</v>
      </c>
      <c r="G109" s="6">
        <v>108.0</v>
      </c>
      <c r="H109" s="7" t="s">
        <v>1019</v>
      </c>
      <c r="I109" s="7" t="s">
        <v>850</v>
      </c>
      <c r="J109" s="7" t="s">
        <v>737</v>
      </c>
      <c r="K109" s="7" t="s">
        <v>1020</v>
      </c>
    </row>
    <row r="110" ht="14.25" customHeight="1">
      <c r="A110" s="4">
        <v>109.0</v>
      </c>
      <c r="B110" s="5" t="str">
        <f>IFERROR(__xludf.DUMMYFUNCTION("GOOGLETRANSLATE(H110, ""th"", ""en"")"),"Is it permissible to use chemicals or stimulants to enhance the performance of cattle?")</f>
        <v>Is it permissible to use chemicals or stimulants to enhance the performance of cattle?</v>
      </c>
      <c r="C110" s="5" t="str">
        <f>IFERROR(__xludf.DUMMYFUNCTION("GOOGLETRANSLATE(I110, ""th"", ""en"")"),"A) Allowed; B) Not allowed; C) Allowed in some cases; D) Depends on the director.")</f>
        <v>A) Allowed; B) Not allowed; C) Allowed in some cases; D) Depends on the director.</v>
      </c>
      <c r="D110" s="4" t="str">
        <f>IFERROR(__xludf.DUMMYFUNCTION("GOOGLETRANSLATE(J110, ""th"", ""en"")"),"B) Not allowed")</f>
        <v>B) Not allowed</v>
      </c>
      <c r="E110" s="4" t="str">
        <f>IFERROR(__xludf.DUMMYFUNCTION("GOOGLETRANSLATE(K110, ""th"", ""en"")"),"The use of stimulants makes competition unfair.")</f>
        <v>The use of stimulants makes competition unfair.</v>
      </c>
      <c r="G110" s="6">
        <v>109.0</v>
      </c>
      <c r="H110" s="7" t="s">
        <v>1021</v>
      </c>
      <c r="I110" s="7" t="s">
        <v>834</v>
      </c>
      <c r="J110" s="7" t="s">
        <v>690</v>
      </c>
      <c r="K110" s="7" t="s">
        <v>855</v>
      </c>
    </row>
    <row r="111" ht="14.25" customHeight="1">
      <c r="A111" s="4">
        <v>110.0</v>
      </c>
      <c r="B111" s="5" t="str">
        <f>IFERROR(__xludf.DUMMYFUNCTION("GOOGLETRANSLATE(H111, ""th"", ""en"")"),"What should be considered when evaluating a cow's ability to compete?")</f>
        <v>What should be considered when evaluating a cow's ability to compete?</v>
      </c>
      <c r="C111" s="5" t="str">
        <f>IFERROR(__xludf.DUMMYFUNCTION("GOOGLETRANSLATE(I111, ""th"", ""en"")"),"A) the size of the bull; B) its fighting behavior; C) the age of the bull; D) the speed of the bull.")</f>
        <v>A) the size of the bull; B) its fighting behavior; C) the age of the bull; D) the speed of the bull.</v>
      </c>
      <c r="D111" s="4" t="str">
        <f>IFERROR(__xludf.DUMMYFUNCTION("GOOGLETRANSLATE(J111, ""th"", ""en"")"),"B) Fighting behavior")</f>
        <v>B) Fighting behavior</v>
      </c>
      <c r="E111" s="4" t="str">
        <f>IFERROR(__xludf.DUMMYFUNCTION("GOOGLETRANSLATE(K111, ""th"", ""en"")"),"Combat behavior is the main deciding factor.")</f>
        <v>Combat behavior is the main deciding factor.</v>
      </c>
      <c r="G111" s="6">
        <v>110.0</v>
      </c>
      <c r="H111" s="7" t="s">
        <v>1022</v>
      </c>
      <c r="I111" s="7" t="s">
        <v>1023</v>
      </c>
      <c r="J111" s="7" t="s">
        <v>1024</v>
      </c>
      <c r="K111" s="7" t="s">
        <v>1025</v>
      </c>
    </row>
    <row r="112" ht="14.25" customHeight="1">
      <c r="A112" s="4">
        <v>111.0</v>
      </c>
      <c r="B112" s="5" t="str">
        <f>IFERROR(__xludf.DUMMYFUNCTION("GOOGLETRANSLATE(H112, ""th"", ""en"")"),"In bullfighting, can the referee recommend that the fight be stopped if he sees that the bull is not being properly cared for?")</f>
        <v>In bullfighting, can the referee recommend that the fight be stopped if he sees that the bull is not being properly cared for?</v>
      </c>
      <c r="C112" s="5" t="str">
        <f>IFERROR(__xludf.DUMMYFUNCTION("GOOGLETRANSLATE(I112, ""th"", ""en"")"),"A) Yes; B) No; C) It depends on the situation; D) It depends on the judges' decision.")</f>
        <v>A) Yes; B) No; C) It depends on the situation; D) It depends on the judges' decision.</v>
      </c>
      <c r="D112" s="4" t="str">
        <f>IFERROR(__xludf.DUMMYFUNCTION("GOOGLETRANSLATE(J112, ""th"", ""en"")"),"A) Yes.")</f>
        <v>A) Yes.</v>
      </c>
      <c r="E112" s="4" t="str">
        <f>IFERROR(__xludf.DUMMYFUNCTION("GOOGLETRANSLATE(K112, ""th"", ""en"")"),"Proper care of cows is important.")</f>
        <v>Proper care of cows is important.</v>
      </c>
      <c r="G112" s="6">
        <v>111.0</v>
      </c>
      <c r="H112" s="7" t="s">
        <v>1026</v>
      </c>
      <c r="I112" s="7" t="s">
        <v>1027</v>
      </c>
      <c r="J112" s="7" t="s">
        <v>737</v>
      </c>
      <c r="K112" s="7" t="s">
        <v>1028</v>
      </c>
    </row>
    <row r="113" ht="14.25" customHeight="1">
      <c r="A113" s="4">
        <v>112.0</v>
      </c>
      <c r="B113" s="5" t="str">
        <f>IFERROR(__xludf.DUMMYFUNCTION("GOOGLETRANSLATE(H113, ""th"", ""en"")"),"If a cow shows signs of panic during a race, can the handler use methods to calm the cow?")</f>
        <v>If a cow shows signs of panic during a race, can the handler use methods to calm the cow?</v>
      </c>
      <c r="C113" s="5" t="str">
        <f>IFERROR(__xludf.DUMMYFUNCTION("GOOGLETRANSLATE(I113, ""th"", ""en"")"),"A) Allowed; B) Not allowed; C) Allowed in some cases; D) Depends on the director.")</f>
        <v>A) Allowed; B) Not allowed; C) Allowed in some cases; D) Depends on the director.</v>
      </c>
      <c r="D113" s="4" t="str">
        <f>IFERROR(__xludf.DUMMYFUNCTION("GOOGLETRANSLATE(J113, ""th"", ""en"")"),"C) Allowed in some cases.")</f>
        <v>C) Allowed in some cases.</v>
      </c>
      <c r="E113" s="4" t="str">
        <f>IFERROR(__xludf.DUMMYFUNCTION("GOOGLETRANSLATE(K113, ""th"", ""en"")"),"Using the right methods makes the competition safe.")</f>
        <v>Using the right methods makes the competition safe.</v>
      </c>
      <c r="G113" s="6">
        <v>112.0</v>
      </c>
      <c r="H113" s="7" t="s">
        <v>1029</v>
      </c>
      <c r="I113" s="7" t="s">
        <v>834</v>
      </c>
      <c r="J113" s="7" t="s">
        <v>1030</v>
      </c>
      <c r="K113" s="7" t="s">
        <v>1031</v>
      </c>
    </row>
    <row r="114" ht="14.25" customHeight="1">
      <c r="A114" s="4">
        <v>113.0</v>
      </c>
      <c r="B114" s="5" t="str">
        <f>IFERROR(__xludf.DUMMYFUNCTION("GOOGLETRANSLATE(H114, ""th"", ""en"")"),"If a bull behaves unfriendly towards its handler during the race, what will be the decision?")</f>
        <v>If a bull behaves unfriendly towards its handler during the race, what will be the decision?</v>
      </c>
      <c r="C114" s="5" t="str">
        <f>IFERROR(__xludf.DUMMYFUNCTION("GOOGLETRANSLATE(I114, ""th"", ""en"")"),"A) The bull will be judged as a loser; B) The handler will be warned; C) The handler will be penalized; D) It is up to the judges.")</f>
        <v>A) The bull will be judged as a loser; B) The handler will be warned; C) The handler will be penalized; D) It is up to the judges.</v>
      </c>
      <c r="D114" s="4" t="str">
        <f>IFERROR(__xludf.DUMMYFUNCTION("GOOGLETRANSLATE(J114, ""th"", ""en"")"),"A) The cow will be judged to have lost.")</f>
        <v>A) The cow will be judged to have lost.</v>
      </c>
      <c r="E114" s="4" t="str">
        <f>IFERROR(__xludf.DUMMYFUNCTION("GOOGLETRANSLATE(K114, ""th"", ""en"")"),"Inappropriate behavior towards caregivers is unacceptable.")</f>
        <v>Inappropriate behavior towards caregivers is unacceptable.</v>
      </c>
      <c r="G114" s="6">
        <v>113.0</v>
      </c>
      <c r="H114" s="7" t="s">
        <v>1032</v>
      </c>
      <c r="I114" s="7" t="s">
        <v>1033</v>
      </c>
      <c r="J114" s="7" t="s">
        <v>932</v>
      </c>
      <c r="K114" s="7" t="s">
        <v>1034</v>
      </c>
    </row>
    <row r="115" ht="14.25" customHeight="1">
      <c r="A115" s="4">
        <v>114.0</v>
      </c>
      <c r="B115" s="5" t="str">
        <f>IFERROR(__xludf.DUMMYFUNCTION("GOOGLETRANSLATE(H115, ""th"", ""en"")"),"In bullfighting, is it prohibited to use methods that injure the bull?")</f>
        <v>In bullfighting, is it prohibited to use methods that injure the bull?</v>
      </c>
      <c r="C115" s="5" t="str">
        <f>IFERROR(__xludf.DUMMYFUNCTION("GOOGLETRANSLATE(I115, ""th"", ""en"")"),"A) Prohibited; B) Not Prohibited; C) Allowed in some cases; D) Depends on the judge.")</f>
        <v>A) Prohibited; B) Not Prohibited; C) Allowed in some cases; D) Depends on the judge.</v>
      </c>
      <c r="D115" s="4" t="str">
        <f>IFERROR(__xludf.DUMMYFUNCTION("GOOGLETRANSLATE(J115, ""th"", ""en"")"),"A) Prohibited")</f>
        <v>A) Prohibited</v>
      </c>
      <c r="E115" s="4" t="str">
        <f>IFERROR(__xludf.DUMMYFUNCTION("GOOGLETRANSLATE(K115, ""th"", ""en"")"),"Injuring a cow is unsafe and illegal.")</f>
        <v>Injuring a cow is unsafe and illegal.</v>
      </c>
      <c r="G115" s="6">
        <v>114.0</v>
      </c>
      <c r="H115" s="7" t="s">
        <v>1035</v>
      </c>
      <c r="I115" s="7" t="s">
        <v>1036</v>
      </c>
      <c r="J115" s="7" t="s">
        <v>1037</v>
      </c>
      <c r="K115" s="7" t="s">
        <v>1038</v>
      </c>
    </row>
    <row r="116" ht="14.25" customHeight="1">
      <c r="A116" s="4">
        <v>115.0</v>
      </c>
      <c r="B116" s="5" t="str">
        <f>IFERROR(__xludf.DUMMYFUNCTION("GOOGLETRANSLATE(H116, ""th"", ""en"")"),"Is it possible to use nutritional supplements to enhance the performance of cattle during competition?")</f>
        <v>Is it possible to use nutritional supplements to enhance the performance of cattle during competition?</v>
      </c>
      <c r="C116" s="5" t="str">
        <f>IFERROR(__xludf.DUMMYFUNCTION("GOOGLETRANSLATE(I116, ""th"", ""en"")"),"A) Allowed; B) Not allowed; C) Allowed in some cases; D) Depends on the director.")</f>
        <v>A) Allowed; B) Not allowed; C) Allowed in some cases; D) Depends on the director.</v>
      </c>
      <c r="D116" s="4" t="str">
        <f>IFERROR(__xludf.DUMMYFUNCTION("GOOGLETRANSLATE(J116, ""th"", ""en"")"),"B) Not allowed")</f>
        <v>B) Not allowed</v>
      </c>
      <c r="E116" s="4" t="str">
        <f>IFERROR(__xludf.DUMMYFUNCTION("GOOGLETRANSLATE(K116, ""th"", ""en"")"),"The use of nutritional supplements makes the competition unfair.")</f>
        <v>The use of nutritional supplements makes the competition unfair.</v>
      </c>
      <c r="G116" s="6">
        <v>115.0</v>
      </c>
      <c r="H116" s="7" t="s">
        <v>1039</v>
      </c>
      <c r="I116" s="7" t="s">
        <v>834</v>
      </c>
      <c r="J116" s="7" t="s">
        <v>690</v>
      </c>
      <c r="K116" s="7" t="s">
        <v>1040</v>
      </c>
    </row>
    <row r="117" ht="14.25" customHeight="1">
      <c r="A117" s="4">
        <v>116.0</v>
      </c>
      <c r="B117" s="5" t="str">
        <f>IFERROR(__xludf.DUMMYFUNCTION("GOOGLETRANSLATE(H117, ""th"", ""en"")"),"What are the consequences if the caretaker does not follow the rules for controlling the cows?")</f>
        <v>What are the consequences if the caretaker does not follow the rules for controlling the cows?</v>
      </c>
      <c r="C117" s="5" t="str">
        <f>IFERROR(__xludf.DUMMYFUNCTION("GOOGLETRANSLATE(I117, ""th"", ""en"")"),"A) The handler will be penalized; B) The bull will be judged as disqualified; C) The race will be canceled; D) It is up to the judges.")</f>
        <v>A) The handler will be penalized; B) The bull will be judged as disqualified; C) The race will be canceled; D) It is up to the judges.</v>
      </c>
      <c r="D117" s="4" t="str">
        <f>IFERROR(__xludf.DUMMYFUNCTION("GOOGLETRANSLATE(J117, ""th"", ""en"")"),"A) The caretaker will be punished.")</f>
        <v>A) The caretaker will be punished.</v>
      </c>
      <c r="E117" s="4" t="str">
        <f>IFERROR(__xludf.DUMMYFUNCTION("GOOGLETRANSLATE(K117, ""th"", ""en"")"),"Failure to comply with the rules makes the competition unfair.")</f>
        <v>Failure to comply with the rules makes the competition unfair.</v>
      </c>
      <c r="G117" s="6">
        <v>116.0</v>
      </c>
      <c r="H117" s="7" t="s">
        <v>1041</v>
      </c>
      <c r="I117" s="7" t="s">
        <v>1003</v>
      </c>
      <c r="J117" s="7" t="s">
        <v>1004</v>
      </c>
      <c r="K117" s="7" t="s">
        <v>1042</v>
      </c>
    </row>
    <row r="118" ht="14.25" customHeight="1">
      <c r="A118" s="4">
        <v>117.0</v>
      </c>
      <c r="B118" s="5" t="str">
        <f>IFERROR(__xludf.DUMMYFUNCTION("GOOGLETRANSLATE(H118, ""th"", ""en"")"),"Is it permissible to use unfair methods to control the bull during the competition?")</f>
        <v>Is it permissible to use unfair methods to control the bull during the competition?</v>
      </c>
      <c r="C118" s="5" t="str">
        <f>IFERROR(__xludf.DUMMYFUNCTION("GOOGLETRANSLATE(I118, ""th"", ""en"")"),"A) Allowed; B) Not allowed; C) Allowed in some cases; D) Depends on the director.")</f>
        <v>A) Allowed; B) Not allowed; C) Allowed in some cases; D) Depends on the director.</v>
      </c>
      <c r="D118" s="4" t="str">
        <f>IFERROR(__xludf.DUMMYFUNCTION("GOOGLETRANSLATE(J118, ""th"", ""en"")"),"B) Not allowed")</f>
        <v>B) Not allowed</v>
      </c>
      <c r="E118" s="4" t="str">
        <f>IFERROR(__xludf.DUMMYFUNCTION("GOOGLETRANSLATE(K118, ""th"", ""en"")"),"Using unfair methods makes the competition unfair.")</f>
        <v>Using unfair methods makes the competition unfair.</v>
      </c>
      <c r="G118" s="6">
        <v>117.0</v>
      </c>
      <c r="H118" s="7" t="s">
        <v>1043</v>
      </c>
      <c r="I118" s="7" t="s">
        <v>834</v>
      </c>
      <c r="J118" s="7" t="s">
        <v>690</v>
      </c>
      <c r="K118" s="7" t="s">
        <v>1044</v>
      </c>
    </row>
    <row r="119" ht="14.25" customHeight="1">
      <c r="A119" s="4">
        <v>118.0</v>
      </c>
      <c r="B119" s="5" t="str">
        <f>IFERROR(__xludf.DUMMYFUNCTION("GOOGLETRANSLATE(H119, ""th"", ""en"")"),"If the referee sees a violation of the rules, can he decide to cancel the match?")</f>
        <v>If the referee sees a violation of the rules, can he decide to cancel the match?</v>
      </c>
      <c r="C119" s="5" t="str">
        <f>IFERROR(__xludf.DUMMYFUNCTION("GOOGLETRANSLATE(I119, ""th"", ""en"")"),"A) Yes; B) No; C) It depends on the type of violation; D) It depends on the referee's decision.")</f>
        <v>A) Yes; B) No; C) It depends on the type of violation; D) It depends on the referee's decision.</v>
      </c>
      <c r="D119" s="4" t="str">
        <f>IFERROR(__xludf.DUMMYFUNCTION("GOOGLETRANSLATE(J119, ""th"", ""en"")"),"A) Yes.")</f>
        <v>A) Yes.</v>
      </c>
      <c r="E119" s="4" t="str">
        <f>IFERROR(__xludf.DUMMYFUNCTION("GOOGLETRANSLATE(K119, ""th"", ""en"")"),"Cancelling the competition helps maintain fairness.")</f>
        <v>Cancelling the competition helps maintain fairness.</v>
      </c>
      <c r="G119" s="6">
        <v>118.0</v>
      </c>
      <c r="H119" s="7" t="s">
        <v>1045</v>
      </c>
      <c r="I119" s="7" t="s">
        <v>1046</v>
      </c>
      <c r="J119" s="7" t="s">
        <v>737</v>
      </c>
      <c r="K119" s="7" t="s">
        <v>1047</v>
      </c>
    </row>
    <row r="120" ht="14.25" customHeight="1">
      <c r="A120" s="4">
        <v>119.0</v>
      </c>
      <c r="B120" s="5" t="str">
        <f>IFERROR(__xludf.DUMMYFUNCTION("GOOGLETRANSLATE(H120, ""th"", ""en"")"),"Is it permissible to use methods that injure the bull during the race?")</f>
        <v>Is it permissible to use methods that injure the bull during the race?</v>
      </c>
      <c r="C120" s="5" t="str">
        <f>IFERROR(__xludf.DUMMYFUNCTION("GOOGLETRANSLATE(I120, ""th"", ""en"")"),"A) Allowed; B) Not allowed; C) Allowed in some cases; D) Depends on the director.")</f>
        <v>A) Allowed; B) Not allowed; C) Allowed in some cases; D) Depends on the director.</v>
      </c>
      <c r="D120" s="4" t="str">
        <f>IFERROR(__xludf.DUMMYFUNCTION("GOOGLETRANSLATE(J120, ""th"", ""en"")"),"B) Not allowed")</f>
        <v>B) Not allowed</v>
      </c>
      <c r="E120" s="4" t="str">
        <f>IFERROR(__xludf.DUMMYFUNCTION("GOOGLETRANSLATE(K120, ""th"", ""en"")"),"Injuring a cow is unsafe and illegal.")</f>
        <v>Injuring a cow is unsafe and illegal.</v>
      </c>
      <c r="G120" s="6">
        <v>119.0</v>
      </c>
      <c r="H120" s="7" t="s">
        <v>1048</v>
      </c>
      <c r="I120" s="7" t="s">
        <v>834</v>
      </c>
      <c r="J120" s="7" t="s">
        <v>690</v>
      </c>
      <c r="K120" s="7" t="s">
        <v>1038</v>
      </c>
    </row>
    <row r="121" ht="14.25" customHeight="1">
      <c r="A121" s="4">
        <v>120.0</v>
      </c>
      <c r="B121" s="5" t="str">
        <f>IFERROR(__xludf.DUMMYFUNCTION("GOOGLETRANSLATE(H121, ""th"", ""en"")"),"In bullfighting, how are bulls judged if they appear unprepared to fight?")</f>
        <v>In bullfighting, how are bulls judged if they appear unprepared to fight?</v>
      </c>
      <c r="C121" s="5" t="str">
        <f>IFERROR(__xludf.DUMMYFUNCTION("GOOGLETRANSLATE(I121, ""th"", ""en"")"),"A) The bull will be judged as a loser; B) The bull will be given a warning; C) The bull will be improved by the handler; D) It is up to the judges.")</f>
        <v>A) The bull will be judged as a loser; B) The bull will be given a warning; C) The bull will be improved by the handler; D) It is up to the judges.</v>
      </c>
      <c r="D121" s="4" t="str">
        <f>IFERROR(__xludf.DUMMYFUNCTION("GOOGLETRANSLATE(J121, ""th"", ""en"")"),"A) The cow will be judged to have lost.")</f>
        <v>A) The cow will be judged to have lost.</v>
      </c>
      <c r="E121" s="4" t="str">
        <f>IFERROR(__xludf.DUMMYFUNCTION("GOOGLETRANSLATE(K121, ""th"", ""en"")"),"Showing an unprepared attitude makes the competition unfair.")</f>
        <v>Showing an unprepared attitude makes the competition unfair.</v>
      </c>
      <c r="G121" s="6">
        <v>120.0</v>
      </c>
      <c r="H121" s="7" t="s">
        <v>1049</v>
      </c>
      <c r="I121" s="7" t="s">
        <v>1001</v>
      </c>
      <c r="J121" s="7" t="s">
        <v>932</v>
      </c>
      <c r="K121" s="7" t="s">
        <v>1050</v>
      </c>
    </row>
    <row r="122" ht="14.25" customHeight="1">
      <c r="A122" s="4">
        <v>121.0</v>
      </c>
      <c r="B122" s="5" t="str">
        <f>IFERROR(__xludf.DUMMYFUNCTION("GOOGLETRANSLATE(H122, ""th"", ""en"")"),"If a handler uses inappropriate methods to prepare a bull for competition, will he be penalized?")</f>
        <v>If a handler uses inappropriate methods to prepare a bull for competition, will he be penalized?</v>
      </c>
      <c r="C122" s="5" t="str">
        <f>IFERROR(__xludf.DUMMYFUNCTION("GOOGLETRANSLATE(I122, ""th"", ""en"")"),"A) Yes; B) No; C) It depends on the judges; D) It depends on the situation.")</f>
        <v>A) Yes; B) No; C) It depends on the judges; D) It depends on the situation.</v>
      </c>
      <c r="D122" s="4" t="str">
        <f>IFERROR(__xludf.DUMMYFUNCTION("GOOGLETRANSLATE(J122, ""th"", ""en"")"),"A) Yes.")</f>
        <v>A) Yes.</v>
      </c>
      <c r="E122" s="4" t="str">
        <f>IFERROR(__xludf.DUMMYFUNCTION("GOOGLETRANSLATE(K122, ""th"", ""en"")"),"Using inappropriate methods will result in penalties for the caregiver.")</f>
        <v>Using inappropriate methods will result in penalties for the caregiver.</v>
      </c>
      <c r="G122" s="6">
        <v>121.0</v>
      </c>
      <c r="H122" s="7" t="s">
        <v>1051</v>
      </c>
      <c r="I122" s="7" t="s">
        <v>843</v>
      </c>
      <c r="J122" s="7" t="s">
        <v>737</v>
      </c>
      <c r="K122" s="7" t="s">
        <v>1052</v>
      </c>
    </row>
    <row r="123" ht="14.25" customHeight="1">
      <c r="A123" s="4">
        <v>122.0</v>
      </c>
      <c r="B123" s="5" t="str">
        <f>IFERROR(__xludf.DUMMYFUNCTION("GOOGLETRANSLATE(H123, ""th"", ""en"")"),"In bullfighting, are handlers required to wear protective equipment?")</f>
        <v>In bullfighting, are handlers required to wear protective equipment?</v>
      </c>
      <c r="C123" s="5" t="str">
        <f>IFERROR(__xludf.DUMMYFUNCTION("GOOGLETRANSLATE(I123, ""th"", ""en"")"),"A) Must wear; B) Not required; C) Depends on the type of competition; D) Depends on the judges' decision.")</f>
        <v>A) Must wear; B) Not required; C) Depends on the type of competition; D) Depends on the judges' decision.</v>
      </c>
      <c r="D123" s="4" t="str">
        <f>IFERROR(__xludf.DUMMYFUNCTION("GOOGLETRANSLATE(J123, ""th"", ""en"")"),"A) Must wear")</f>
        <v>A) Must wear</v>
      </c>
      <c r="E123" s="4" t="str">
        <f>IFERROR(__xludf.DUMMYFUNCTION("GOOGLETRANSLATE(K123, ""th"", ""en"")"),"Wearing protective gear helps ensure a safe competition.")</f>
        <v>Wearing protective gear helps ensure a safe competition.</v>
      </c>
      <c r="G123" s="6">
        <v>122.0</v>
      </c>
      <c r="H123" s="7" t="s">
        <v>1053</v>
      </c>
      <c r="I123" s="7" t="s">
        <v>1054</v>
      </c>
      <c r="J123" s="7" t="s">
        <v>1055</v>
      </c>
      <c r="K123" s="7" t="s">
        <v>1056</v>
      </c>
    </row>
    <row r="124" ht="14.25" customHeight="1">
      <c r="A124" s="4">
        <v>123.0</v>
      </c>
      <c r="B124" s="5" t="str">
        <f>IFERROR(__xludf.DUMMYFUNCTION("GOOGLETRANSLATE(H124, ""th"", ""en"")"),"If the referee sees that the bull is injured after the race has started, can he stop the race?")</f>
        <v>If the referee sees that the bull is injured after the race has started, can he stop the race?</v>
      </c>
      <c r="C124" s="5" t="str">
        <f>IFERROR(__xludf.DUMMYFUNCTION("GOOGLETRANSLATE(I124, ""th"", ""en"")"),"A) Yes; B) No; C) Depends on the severity of the injury; D) Depends on the referee's decision.")</f>
        <v>A) Yes; B) No; C) Depends on the severity of the injury; D) Depends on the referee's decision.</v>
      </c>
      <c r="D124" s="4" t="str">
        <f>IFERROR(__xludf.DUMMYFUNCTION("GOOGLETRANSLATE(J124, ""th"", ""en"")"),"A) Yes.")</f>
        <v>A) Yes.</v>
      </c>
      <c r="E124" s="4" t="str">
        <f>IFERROR(__xludf.DUMMYFUNCTION("GOOGLETRANSLATE(K124, ""th"", ""en"")"),"Stopping the game will help prevent further injuries.")</f>
        <v>Stopping the game will help prevent further injuries.</v>
      </c>
      <c r="G124" s="6">
        <v>123.0</v>
      </c>
      <c r="H124" s="7" t="s">
        <v>1057</v>
      </c>
      <c r="I124" s="7" t="s">
        <v>1058</v>
      </c>
      <c r="J124" s="7" t="s">
        <v>737</v>
      </c>
      <c r="K124" s="7" t="s">
        <v>1059</v>
      </c>
    </row>
    <row r="125" ht="14.25" customHeight="1">
      <c r="A125" s="4">
        <v>124.0</v>
      </c>
      <c r="B125" s="5" t="str">
        <f>IFERROR(__xludf.DUMMYFUNCTION("GOOGLETRANSLATE(H125, ""th"", ""en"")"),"Can methods that make cows scared or anxious be used during competitions?")</f>
        <v>Can methods that make cows scared or anxious be used during competitions?</v>
      </c>
      <c r="C125" s="5" t="str">
        <f>IFERROR(__xludf.DUMMYFUNCTION("GOOGLETRANSLATE(I125, ""th"", ""en"")"),"A) Allowed; B) Not allowed; C) Allowed in some cases; D) Depends on the director.")</f>
        <v>A) Allowed; B) Not allowed; C) Allowed in some cases; D) Depends on the director.</v>
      </c>
      <c r="D125" s="4" t="str">
        <f>IFERROR(__xludf.DUMMYFUNCTION("GOOGLETRANSLATE(J125, ""th"", ""en"")"),"B) Not allowed")</f>
        <v>B) Not allowed</v>
      </c>
      <c r="E125" s="4" t="str">
        <f>IFERROR(__xludf.DUMMYFUNCTION("GOOGLETRANSLATE(K125, ""th"", ""en"")"),"Scaring the cows makes the competition unfair.")</f>
        <v>Scaring the cows makes the competition unfair.</v>
      </c>
      <c r="G125" s="6">
        <v>124.0</v>
      </c>
      <c r="H125" s="7" t="s">
        <v>1060</v>
      </c>
      <c r="I125" s="7" t="s">
        <v>834</v>
      </c>
      <c r="J125" s="7" t="s">
        <v>690</v>
      </c>
      <c r="K125" s="7" t="s">
        <v>769</v>
      </c>
    </row>
    <row r="126" ht="14.25" customHeight="1">
      <c r="A126" s="4">
        <v>125.0</v>
      </c>
      <c r="B126" s="5" t="str">
        <f>IFERROR(__xludf.DUMMYFUNCTION("GOOGLETRANSLATE(H126, ""th"", ""en"")"),"If a bull is unable to fight due to fatigue, what should the handler do?")</f>
        <v>If a bull is unable to fight due to fatigue, what should the handler do?</v>
      </c>
      <c r="C126" s="5" t="str">
        <f>IFERROR(__xludf.DUMMYFUNCTION("GOOGLETRANSLATE(I126, ""th"", ""en"")"),"A) Let the bull rest and try to continue fighting; B) Stop the fight immediately; C) Change the bull; D) Ask the referee to make a decision.")</f>
        <v>A) Let the bull rest and try to continue fighting; B) Stop the fight immediately; C) Change the bull; D) Ask the referee to make a decision.</v>
      </c>
      <c r="D126" s="4" t="str">
        <f>IFERROR(__xludf.DUMMYFUNCTION("GOOGLETRANSLATE(J126, ""th"", ""en"")"),"B) Stop the competition immediately.")</f>
        <v>B) Stop the competition immediately.</v>
      </c>
      <c r="E126" s="4" t="str">
        <f>IFERROR(__xludf.DUMMYFUNCTION("GOOGLETRANSLATE(K126, ""th"", ""en"")"),"Preventing injuries from fatigue is important.")</f>
        <v>Preventing injuries from fatigue is important.</v>
      </c>
      <c r="G126" s="6">
        <v>125.0</v>
      </c>
      <c r="H126" s="7" t="s">
        <v>1061</v>
      </c>
      <c r="I126" s="7" t="s">
        <v>1062</v>
      </c>
      <c r="J126" s="7" t="s">
        <v>1063</v>
      </c>
      <c r="K126" s="7" t="s">
        <v>1064</v>
      </c>
    </row>
    <row r="127" ht="14.25" customHeight="1">
      <c r="A127" s="4">
        <v>126.0</v>
      </c>
      <c r="B127" s="5" t="str">
        <f>IFERROR(__xludf.DUMMYFUNCTION("GOOGLETRANSLATE(H127, ""th"", ""en"")"),"If chemicals are used to stimulate the performance of cattle during a race, what should the judges do?")</f>
        <v>If chemicals are used to stimulate the performance of cattle during a race, what should the judges do?</v>
      </c>
      <c r="C127" s="5" t="str">
        <f>IFERROR(__xludf.DUMMYFUNCTION("GOOGLETRANSLATE(I127, ""th"", ""en"")"),"A) Punish the handler; B) Cancel the race; C) Decide the bull to lose; D) Depending on the situation.")</f>
        <v>A) Punish the handler; B) Cancel the race; C) Decide the bull to lose; D) Depending on the situation.</v>
      </c>
      <c r="D127" s="4" t="str">
        <f>IFERROR(__xludf.DUMMYFUNCTION("GOOGLETRANSLATE(J127, ""th"", ""en"")"),"A) Punish the caretaker.")</f>
        <v>A) Punish the caretaker.</v>
      </c>
      <c r="E127" s="4" t="str">
        <f>IFERROR(__xludf.DUMMYFUNCTION("GOOGLETRANSLATE(K127, ""th"", ""en"")"),"The use of chemicals is a violation of the law.")</f>
        <v>The use of chemicals is a violation of the law.</v>
      </c>
      <c r="G127" s="6">
        <v>126.0</v>
      </c>
      <c r="H127" s="7" t="s">
        <v>1065</v>
      </c>
      <c r="I127" s="7" t="s">
        <v>1066</v>
      </c>
      <c r="J127" s="7" t="s">
        <v>1067</v>
      </c>
      <c r="K127" s="7" t="s">
        <v>1068</v>
      </c>
    </row>
    <row r="128" ht="14.25" customHeight="1">
      <c r="A128" s="4">
        <v>127.0</v>
      </c>
      <c r="B128" s="5" t="str">
        <f>IFERROR(__xludf.DUMMYFUNCTION("GOOGLETRANSLATE(H128, ""th"", ""en"")"),"If a bull shows excessive aggression during a race, how will it be judged?")</f>
        <v>If a bull shows excessive aggression during a race, how will it be judged?</v>
      </c>
      <c r="C128" s="5" t="str">
        <f>IFERROR(__xludf.DUMMYFUNCTION("GOOGLETRANSLATE(I128, ""th"", ""en"")"),"A) The bull will be judged as a loser; B) The bull will be given a warning; C) The bull will be improved by the handler; D) It is up to the judges.")</f>
        <v>A) The bull will be judged as a loser; B) The bull will be given a warning; C) The bull will be improved by the handler; D) It is up to the judges.</v>
      </c>
      <c r="D128" s="4" t="str">
        <f>IFERROR(__xludf.DUMMYFUNCTION("GOOGLETRANSLATE(J128, ""th"", ""en"")"),"A) The cow will be judged to have lost.")</f>
        <v>A) The cow will be judged to have lost.</v>
      </c>
      <c r="E128" s="4" t="str">
        <f>IFERROR(__xludf.DUMMYFUNCTION("GOOGLETRANSLATE(K128, ""th"", ""en"")"),"Displaying aggressive behavior is not acceptable.")</f>
        <v>Displaying aggressive behavior is not acceptable.</v>
      </c>
      <c r="G128" s="6">
        <v>127.0</v>
      </c>
      <c r="H128" s="7" t="s">
        <v>1069</v>
      </c>
      <c r="I128" s="7" t="s">
        <v>1070</v>
      </c>
      <c r="J128" s="7" t="s">
        <v>932</v>
      </c>
      <c r="K128" s="7" t="s">
        <v>1071</v>
      </c>
    </row>
    <row r="129" ht="14.25" customHeight="1">
      <c r="A129" s="4">
        <v>128.0</v>
      </c>
      <c r="B129" s="5" t="str">
        <f>IFERROR(__xludf.DUMMYFUNCTION("GOOGLETRANSLATE(H129, ""th"", ""en"")"),"In bullfighting, can judges take the time to assess the strength of the bull?")</f>
        <v>In bullfighting, can judges take the time to assess the strength of the bull?</v>
      </c>
      <c r="C129" s="5" t="str">
        <f>IFERROR(__xludf.DUMMYFUNCTION("GOOGLETRANSLATE(I129, ""th"", ""en"")"),"A) Yes; B) No; C) It depends on the type of competition; D) It depends on the judges' decision.")</f>
        <v>A) Yes; B) No; C) It depends on the type of competition; D) It depends on the judges' decision.</v>
      </c>
      <c r="D129" s="4" t="str">
        <f>IFERROR(__xludf.DUMMYFUNCTION("GOOGLETRANSLATE(J129, ""th"", ""en"")"),"A) Yes.")</f>
        <v>A) Yes.</v>
      </c>
      <c r="E129" s="4" t="str">
        <f>IFERROR(__xludf.DUMMYFUNCTION("GOOGLETRANSLATE(K129, ""th"", ""en"")"),"Strength assessment is an important part of decision making.")</f>
        <v>Strength assessment is an important part of decision making.</v>
      </c>
      <c r="G129" s="6">
        <v>128.0</v>
      </c>
      <c r="H129" s="7" t="s">
        <v>1072</v>
      </c>
      <c r="I129" s="7" t="s">
        <v>1073</v>
      </c>
      <c r="J129" s="7" t="s">
        <v>737</v>
      </c>
      <c r="K129" s="7" t="s">
        <v>1074</v>
      </c>
    </row>
    <row r="130" ht="14.25" customHeight="1">
      <c r="A130" s="4">
        <v>129.0</v>
      </c>
      <c r="B130" s="5" t="str">
        <f>IFERROR(__xludf.DUMMYFUNCTION("GOOGLETRANSLATE(H130, ""th"", ""en"")"),"Can a change of handler be made during a bullfight?")</f>
        <v>Can a change of handler be made during a bullfight?</v>
      </c>
      <c r="C130" s="5" t="str">
        <f>IFERROR(__xludf.DUMMYFUNCTION("GOOGLETRANSLATE(I130, ""th"", ""en"")"),"A) Allowed; B) Not allowed; C) Allowed in some cases; D) Depends on the director.")</f>
        <v>A) Allowed; B) Not allowed; C) Allowed in some cases; D) Depends on the director.</v>
      </c>
      <c r="D130" s="4" t="str">
        <f>IFERROR(__xludf.DUMMYFUNCTION("GOOGLETRANSLATE(J130, ""th"", ""en"")"),"B) Not allowed")</f>
        <v>B) Not allowed</v>
      </c>
      <c r="E130" s="4" t="str">
        <f>IFERROR(__xludf.DUMMYFUNCTION("GOOGLETRANSLATE(K130, ""th"", ""en"")"),"Changing the moderator during the match makes the match unfair.")</f>
        <v>Changing the moderator during the match makes the match unfair.</v>
      </c>
      <c r="G130" s="6">
        <v>129.0</v>
      </c>
      <c r="H130" s="7" t="s">
        <v>1075</v>
      </c>
      <c r="I130" s="7" t="s">
        <v>834</v>
      </c>
      <c r="J130" s="7" t="s">
        <v>690</v>
      </c>
      <c r="K130" s="7" t="s">
        <v>1076</v>
      </c>
    </row>
    <row r="131" ht="14.25" customHeight="1">
      <c r="A131" s="4">
        <v>130.0</v>
      </c>
      <c r="B131" s="5" t="str">
        <f>IFERROR(__xludf.DUMMYFUNCTION("GOOGLETRANSLATE(H131, ""th"", ""en"")"),"In a bullfight, if a bull is unable to walk after being hit, what should be done?")</f>
        <v>In a bullfight, if a bull is unable to walk after being hit, what should be done?</v>
      </c>
      <c r="C131" s="5" t="str">
        <f>IFERROR(__xludf.DUMMYFUNCTION("GOOGLETRANSLATE(I131, ""th"", ""en"")"),"A) cancel the fight; B) let the bull rest and continue fighting; C) use a method that helps the bull recover; D) adjudge the bull to be the loser.")</f>
        <v>A) cancel the fight; B) let the bull rest and continue fighting; C) use a method that helps the bull recover; D) adjudge the bull to be the loser.</v>
      </c>
      <c r="D131" s="4" t="str">
        <f>IFERROR(__xludf.DUMMYFUNCTION("GOOGLETRANSLATE(J131, ""th"", ""en"")"),"A) Cancel the competition.")</f>
        <v>A) Cancel the competition.</v>
      </c>
      <c r="E131" s="4" t="str">
        <f>IFERROR(__xludf.DUMMYFUNCTION("GOOGLETRANSLATE(K131, ""th"", ""en"")"),"Cow safety comes first.")</f>
        <v>Cow safety comes first.</v>
      </c>
      <c r="G131" s="6">
        <v>130.0</v>
      </c>
      <c r="H131" s="7" t="s">
        <v>1077</v>
      </c>
      <c r="I131" s="7" t="s">
        <v>1078</v>
      </c>
      <c r="J131" s="7" t="s">
        <v>1079</v>
      </c>
      <c r="K131" s="7" t="s">
        <v>1011</v>
      </c>
    </row>
    <row r="132" ht="14.25" customHeight="1">
      <c r="A132" s="4">
        <v>131.0</v>
      </c>
      <c r="B132" s="5" t="str">
        <f>IFERROR(__xludf.DUMMYFUNCTION("GOOGLETRANSLATE(H132, ""th"", ""en"")"),"Is it permissible to use tools to control the bull during the race?")</f>
        <v>Is it permissible to use tools to control the bull during the race?</v>
      </c>
      <c r="C132" s="5" t="str">
        <f>IFERROR(__xludf.DUMMYFUNCTION("GOOGLETRANSLATE(I132, ""th"", ""en"")"),"A) Allowed; B) Not allowed; C) Allowed in some cases; D) Depends on the director.")</f>
        <v>A) Allowed; B) Not allowed; C) Allowed in some cases; D) Depends on the director.</v>
      </c>
      <c r="D132" s="4" t="str">
        <f>IFERROR(__xludf.DUMMYFUNCTION("GOOGLETRANSLATE(J132, ""th"", ""en"")"),"B) Not allowed")</f>
        <v>B) Not allowed</v>
      </c>
      <c r="E132" s="4" t="str">
        <f>IFERROR(__xludf.DUMMYFUNCTION("GOOGLETRANSLATE(K132, ""th"", ""en"")"),"The use of tools to control the cows makes the competition unfair.")</f>
        <v>The use of tools to control the cows makes the competition unfair.</v>
      </c>
      <c r="G132" s="6">
        <v>131.0</v>
      </c>
      <c r="H132" s="7" t="s">
        <v>1080</v>
      </c>
      <c r="I132" s="7" t="s">
        <v>834</v>
      </c>
      <c r="J132" s="7" t="s">
        <v>690</v>
      </c>
      <c r="K132" s="7" t="s">
        <v>1081</v>
      </c>
    </row>
    <row r="133" ht="14.25" customHeight="1">
      <c r="A133" s="4">
        <v>132.0</v>
      </c>
      <c r="B133" s="5" t="str">
        <f>IFERROR(__xludf.DUMMYFUNCTION("GOOGLETRANSLATE(H133, ""th"", ""en"")"),"If the judges see that the caretaker is not paying attention to the cow's health, can they punish him?")</f>
        <v>If the judges see that the caretaker is not paying attention to the cow's health, can they punish him?</v>
      </c>
      <c r="C133" s="5" t="str">
        <f>IFERROR(__xludf.DUMMYFUNCTION("GOOGLETRANSLATE(I133, ""th"", ""en"")"),"A) Yes; B) No; C) It depends on the situation; D) It depends on the judges' decision.")</f>
        <v>A) Yes; B) No; C) It depends on the situation; D) It depends on the judges' decision.</v>
      </c>
      <c r="D133" s="4" t="str">
        <f>IFERROR(__xludf.DUMMYFUNCTION("GOOGLETRANSLATE(J133, ""th"", ""en"")"),"A) Yes.")</f>
        <v>A) Yes.</v>
      </c>
      <c r="E133" s="4" t="str">
        <f>IFERROR(__xludf.DUMMYFUNCTION("GOOGLETRANSLATE(K133, ""th"", ""en"")"),"Failure to care for the health of the cows is a violation of the law.")</f>
        <v>Failure to care for the health of the cows is a violation of the law.</v>
      </c>
      <c r="G133" s="6">
        <v>132.0</v>
      </c>
      <c r="H133" s="7" t="s">
        <v>1082</v>
      </c>
      <c r="I133" s="7" t="s">
        <v>1027</v>
      </c>
      <c r="J133" s="7" t="s">
        <v>737</v>
      </c>
      <c r="K133" s="7" t="s">
        <v>1083</v>
      </c>
    </row>
    <row r="134" ht="14.25" customHeight="1">
      <c r="A134" s="4">
        <v>133.0</v>
      </c>
      <c r="B134" s="5" t="str">
        <f>IFERROR(__xludf.DUMMYFUNCTION("GOOGLETRANSLATE(H134, ""th"", ""en"")"),"In bullfighting, is it possible to embrace training or develop new methods?")</f>
        <v>In bullfighting, is it possible to embrace training or develop new methods?</v>
      </c>
      <c r="C134" s="5" t="str">
        <f>IFERROR(__xludf.DUMMYFUNCTION("GOOGLETRANSLATE(I134, ""th"", ""en"")"),"A) Allowed; B) Not allowed; C) Allowed in some cases; D) Depends on the director.")</f>
        <v>A) Allowed; B) Not allowed; C) Allowed in some cases; D) Depends on the director.</v>
      </c>
      <c r="D134" s="4" t="str">
        <f>IFERROR(__xludf.DUMMYFUNCTION("GOOGLETRANSLATE(J134, ""th"", ""en"")"),"C) Allowed in some cases.")</f>
        <v>C) Allowed in some cases.</v>
      </c>
      <c r="E134" s="4" t="str">
        <f>IFERROR(__xludf.DUMMYFUNCTION("GOOGLETRANSLATE(K134, ""th"", ""en"")"),"Training to develop skills must be based on rules.")</f>
        <v>Training to develop skills must be based on rules.</v>
      </c>
      <c r="G134" s="6">
        <v>133.0</v>
      </c>
      <c r="H134" s="7" t="s">
        <v>1084</v>
      </c>
      <c r="I134" s="7" t="s">
        <v>834</v>
      </c>
      <c r="J134" s="7" t="s">
        <v>1030</v>
      </c>
      <c r="K134" s="7" t="s">
        <v>1085</v>
      </c>
    </row>
    <row r="135" ht="14.25" customHeight="1">
      <c r="A135" s="4">
        <v>134.0</v>
      </c>
      <c r="B135" s="5" t="str">
        <f>IFERROR(__xludf.DUMMYFUNCTION("GOOGLETRANSLATE(H135, ""th"", ""en"")"),"If there is a violation of the rules in preparing the cow, what should the judge do?")</f>
        <v>If there is a violation of the rules in preparing the cow, what should the judge do?</v>
      </c>
      <c r="C135" s="5" t="str">
        <f>IFERROR(__xludf.DUMMYFUNCTION("GOOGLETRANSLATE(I135, ""th"", ""en"")"),"A) adjudge the bull to be a loser; B) punish the handler; C) cancel the race; D) depending on the type of violation.")</f>
        <v>A) adjudge the bull to be a loser; B) punish the handler; C) cancel the race; D) depending on the type of violation.</v>
      </c>
      <c r="D135" s="4" t="str">
        <f>IFERROR(__xludf.DUMMYFUNCTION("GOOGLETRANSLATE(J135, ""th"", ""en"")"),"B) Punish the caretaker.")</f>
        <v>B) Punish the caretaker.</v>
      </c>
      <c r="E135" s="4" t="str">
        <f>IFERROR(__xludf.DUMMYFUNCTION("GOOGLETRANSLATE(K135, ""th"", ""en"")"),"Violating the rules in preparing the bulls makes the competition unfair.")</f>
        <v>Violating the rules in preparing the bulls makes the competition unfair.</v>
      </c>
      <c r="G135" s="6">
        <v>134.0</v>
      </c>
      <c r="H135" s="7" t="s">
        <v>1086</v>
      </c>
      <c r="I135" s="7" t="s">
        <v>1087</v>
      </c>
      <c r="J135" s="7" t="s">
        <v>1088</v>
      </c>
      <c r="K135" s="7" t="s">
        <v>1089</v>
      </c>
    </row>
    <row r="136" ht="14.25" customHeight="1">
      <c r="A136" s="4">
        <v>135.0</v>
      </c>
      <c r="B136" s="5" t="str">
        <f>IFERROR(__xludf.DUMMYFUNCTION("GOOGLETRANSLATE(H136, ""th"", ""en"")"),"Is it permissible to use excessive force when training cows?")</f>
        <v>Is it permissible to use excessive force when training cows?</v>
      </c>
      <c r="C136" s="5" t="str">
        <f>IFERROR(__xludf.DUMMYFUNCTION("GOOGLETRANSLATE(I136, ""th"", ""en"")"),"A) Allowed; B) Not allowed; C) Allowed in some cases; D) Depends on the director.")</f>
        <v>A) Allowed; B) Not allowed; C) Allowed in some cases; D) Depends on the director.</v>
      </c>
      <c r="D136" s="4" t="str">
        <f>IFERROR(__xludf.DUMMYFUNCTION("GOOGLETRANSLATE(J136, ""th"", ""en"")"),"B) Not allowed")</f>
        <v>B) Not allowed</v>
      </c>
      <c r="E136" s="4" t="str">
        <f>IFERROR(__xludf.DUMMYFUNCTION("GOOGLETRANSLATE(K136, ""th"", ""en"")"),"Using violence in training causes injury to the cows and is unfair.")</f>
        <v>Using violence in training causes injury to the cows and is unfair.</v>
      </c>
      <c r="G136" s="6">
        <v>135.0</v>
      </c>
      <c r="H136" s="7" t="s">
        <v>1090</v>
      </c>
      <c r="I136" s="7" t="s">
        <v>834</v>
      </c>
      <c r="J136" s="7" t="s">
        <v>690</v>
      </c>
      <c r="K136" s="7" t="s">
        <v>1091</v>
      </c>
    </row>
    <row r="137" ht="14.25" customHeight="1">
      <c r="A137" s="4">
        <v>136.0</v>
      </c>
      <c r="B137" s="5" t="str">
        <f>IFERROR(__xludf.DUMMYFUNCTION("GOOGLETRANSLATE(H137, ""th"", ""en"")"),"Is the control of bulls during bullfighting required to be in accordance with the rules?")</f>
        <v>Is the control of bulls during bullfighting required to be in accordance with the rules?</v>
      </c>
      <c r="C137" s="5" t="str">
        <f>IFERROR(__xludf.DUMMYFUNCTION("GOOGLETRANSLATE(I137, ""th"", ""en"")"),"A) must follow the rules; B) must not follow the rules; C) depends on the situation; D) depends on the referee.")</f>
        <v>A) must follow the rules; B) must not follow the rules; C) depends on the situation; D) depends on the referee.</v>
      </c>
      <c r="D137" s="4" t="str">
        <f>IFERROR(__xludf.DUMMYFUNCTION("GOOGLETRANSLATE(J137, ""th"", ""en"")"),"A) Must comply with the rules.")</f>
        <v>A) Must comply with the rules.</v>
      </c>
      <c r="E137" s="4" t="str">
        <f>IFERROR(__xludf.DUMMYFUNCTION("GOOGLETRANSLATE(K137, ""th"", ""en"")"),"Cow control must be done correctly and fairly.")</f>
        <v>Cow control must be done correctly and fairly.</v>
      </c>
      <c r="G137" s="6">
        <v>136.0</v>
      </c>
      <c r="H137" s="7" t="s">
        <v>1092</v>
      </c>
      <c r="I137" s="7" t="s">
        <v>1093</v>
      </c>
      <c r="J137" s="7" t="s">
        <v>1094</v>
      </c>
      <c r="K137" s="7" t="s">
        <v>1095</v>
      </c>
    </row>
    <row r="138" ht="14.25" customHeight="1">
      <c r="A138" s="4">
        <v>137.0</v>
      </c>
      <c r="B138" s="5" t="str">
        <f>IFERROR(__xludf.DUMMYFUNCTION("GOOGLETRANSLATE(H138, ""th"", ""en"")"),"In the event that a cow becomes ill during a race, can the referee stop the race?")</f>
        <v>In the event that a cow becomes ill during a race, can the referee stop the race?</v>
      </c>
      <c r="C138" s="5" t="str">
        <f>IFERROR(__xludf.DUMMYFUNCTION("GOOGLETRANSLATE(I138, ""th"", ""en"")"),"A) Yes; B) No; C) It depends on the severity of the symptoms; D) It depends on the judge's decision.")</f>
        <v>A) Yes; B) No; C) It depends on the severity of the symptoms; D) It depends on the judge's decision.</v>
      </c>
      <c r="D138" s="4" t="str">
        <f>IFERROR(__xludf.DUMMYFUNCTION("GOOGLETRANSLATE(J138, ""th"", ""en"")"),"A) Yes.")</f>
        <v>A) Yes.</v>
      </c>
      <c r="E138" s="4" t="str">
        <f>IFERROR(__xludf.DUMMYFUNCTION("GOOGLETRANSLATE(K138, ""th"", ""en"")"),"The race was stopped to ensure the safety of the bull.")</f>
        <v>The race was stopped to ensure the safety of the bull.</v>
      </c>
      <c r="G138" s="6">
        <v>137.0</v>
      </c>
      <c r="H138" s="7" t="s">
        <v>1096</v>
      </c>
      <c r="I138" s="7" t="s">
        <v>1097</v>
      </c>
      <c r="J138" s="7" t="s">
        <v>737</v>
      </c>
      <c r="K138" s="7" t="s">
        <v>1098</v>
      </c>
    </row>
    <row r="139" ht="14.25" customHeight="1">
      <c r="A139" s="4">
        <v>138.0</v>
      </c>
      <c r="B139" s="5" t="str">
        <f>IFERROR(__xludf.DUMMYFUNCTION("GOOGLETRANSLATE(H139, ""th"", ""en"")"),"If there is any inappropriate behavior during a bullfight, will the handler be punished?")</f>
        <v>If there is any inappropriate behavior during a bullfight, will the handler be punished?</v>
      </c>
      <c r="C139" s="5" t="str">
        <f>IFERROR(__xludf.DUMMYFUNCTION("GOOGLETRANSLATE(I139, ""th"", ""en"")"),"A) Yes; B) No; C) Depends on the type of action; D) Depends on the director.")</f>
        <v>A) Yes; B) No; C) Depends on the type of action; D) Depends on the director.</v>
      </c>
      <c r="D139" s="4" t="str">
        <f>IFERROR(__xludf.DUMMYFUNCTION("GOOGLETRANSLATE(J139, ""th"", ""en"")"),"A) Yes.")</f>
        <v>A) Yes.</v>
      </c>
      <c r="E139" s="4" t="str">
        <f>IFERROR(__xludf.DUMMYFUNCTION("GOOGLETRANSLATE(K139, ""th"", ""en"")"),"Inappropriate actions will be punished.")</f>
        <v>Inappropriate actions will be punished.</v>
      </c>
      <c r="G139" s="6">
        <v>138.0</v>
      </c>
      <c r="H139" s="7" t="s">
        <v>1099</v>
      </c>
      <c r="I139" s="7" t="s">
        <v>1100</v>
      </c>
      <c r="J139" s="7" t="s">
        <v>737</v>
      </c>
      <c r="K139" s="7" t="s">
        <v>1101</v>
      </c>
    </row>
    <row r="140" ht="14.25" customHeight="1">
      <c r="A140" s="4">
        <v>139.0</v>
      </c>
      <c r="B140" s="5" t="str">
        <f>IFERROR(__xludf.DUMMYFUNCTION("GOOGLETRANSLATE(H140, ""th"", ""en"")"),"If a bull shows signs of being unprepared to fight during a competition, what should you do?")</f>
        <v>If a bull shows signs of being unprepared to fight during a competition, what should you do?</v>
      </c>
      <c r="C140" s="5" t="str">
        <f>IFERROR(__xludf.DUMMYFUNCTION("GOOGLETRANSLATE(I140, ""th"", ""en"")"),"A) Stop the race immediately; B) Let the bull rest and then resume the fight; C) Change the bull; D) It is up to the referee.")</f>
        <v>A) Stop the race immediately; B) Let the bull rest and then resume the fight; C) Change the bull; D) It is up to the referee.</v>
      </c>
      <c r="D140" s="4" t="str">
        <f>IFERROR(__xludf.DUMMYFUNCTION("GOOGLETRANSLATE(J140, ""th"", ""en"")"),"A) Stop the competition immediately.")</f>
        <v>A) Stop the competition immediately.</v>
      </c>
      <c r="E140" s="4" t="str">
        <f>IFERROR(__xludf.DUMMYFUNCTION("GOOGLETRANSLATE(K140, ""th"", ""en"")"),"Stopping the race saves the cows.")</f>
        <v>Stopping the race saves the cows.</v>
      </c>
      <c r="G140" s="6">
        <v>139.0</v>
      </c>
      <c r="H140" s="7" t="s">
        <v>1102</v>
      </c>
      <c r="I140" s="7" t="s">
        <v>1103</v>
      </c>
      <c r="J140" s="7" t="s">
        <v>1104</v>
      </c>
      <c r="K140" s="7" t="s">
        <v>1105</v>
      </c>
    </row>
    <row r="141" ht="14.25" customHeight="1">
      <c r="A141" s="4">
        <v>140.0</v>
      </c>
      <c r="B141" s="5" t="str">
        <f>IFERROR(__xludf.DUMMYFUNCTION("GOOGLETRANSLATE(H141, ""th"", ""en"")"),"In bullfighting, how are bulls that are unable to fight due to weakness judged?")</f>
        <v>In bullfighting, how are bulls that are unable to fight due to weakness judged?</v>
      </c>
      <c r="C141" s="5" t="str">
        <f>IFERROR(__xludf.DUMMYFUNCTION("GOOGLETRANSLATE(I141, ""th"", ""en"")"),"A) The bull will be judged to have lost; B) The bull will be given a warning; C) The race will be canceled; D) It is up to the referee.")</f>
        <v>A) The bull will be judged to have lost; B) The bull will be given a warning; C) The race will be canceled; D) It is up to the referee.</v>
      </c>
      <c r="D141" s="4" t="str">
        <f>IFERROR(__xludf.DUMMYFUNCTION("GOOGLETRANSLATE(J141, ""th"", ""en"")"),"A) The cow will be judged to have lost.")</f>
        <v>A) The cow will be judged to have lost.</v>
      </c>
      <c r="E141" s="4" t="str">
        <f>IFERROR(__xludf.DUMMYFUNCTION("GOOGLETRANSLATE(K141, ""th"", ""en"")"),"A half-hearted fight makes the competition unfair.")</f>
        <v>A half-hearted fight makes the competition unfair.</v>
      </c>
      <c r="G141" s="6">
        <v>140.0</v>
      </c>
      <c r="H141" s="7" t="s">
        <v>1106</v>
      </c>
      <c r="I141" s="7" t="s">
        <v>1107</v>
      </c>
      <c r="J141" s="7" t="s">
        <v>932</v>
      </c>
      <c r="K141" s="7" t="s">
        <v>1108</v>
      </c>
    </row>
    <row r="142" ht="14.25" customHeight="1">
      <c r="A142" s="4">
        <v>141.0</v>
      </c>
      <c r="B142" s="5" t="str">
        <f>IFERROR(__xludf.DUMMYFUNCTION("GOOGLETRANSLATE(H142, ""th"", ""en"")"),"If a bull is seriously injured during a race, can the referee stop the race?")</f>
        <v>If a bull is seriously injured during a race, can the referee stop the race?</v>
      </c>
      <c r="C142" s="5" t="str">
        <f>IFERROR(__xludf.DUMMYFUNCTION("GOOGLETRANSLATE(I142, ""th"", ""en"")"),"A) Yes; B) No; C) It depends on the judges' decision; D) It depends on the severity of the symptoms.")</f>
        <v>A) Yes; B) No; C) It depends on the judges' decision; D) It depends on the severity of the symptoms.</v>
      </c>
      <c r="D142" s="4" t="str">
        <f>IFERROR(__xludf.DUMMYFUNCTION("GOOGLETRANSLATE(J142, ""th"", ""en"")"),"A) Yes.")</f>
        <v>A) Yes.</v>
      </c>
      <c r="E142" s="4" t="str">
        <f>IFERROR(__xludf.DUMMYFUNCTION("GOOGLETRANSLATE(K142, ""th"", ""en"")"),"The match was stopped to prevent further injuries.")</f>
        <v>The match was stopped to prevent further injuries.</v>
      </c>
      <c r="G142" s="6">
        <v>141.0</v>
      </c>
      <c r="H142" s="7" t="s">
        <v>1109</v>
      </c>
      <c r="I142" s="7" t="s">
        <v>1110</v>
      </c>
      <c r="J142" s="7" t="s">
        <v>737</v>
      </c>
      <c r="K142" s="7" t="s">
        <v>1111</v>
      </c>
    </row>
    <row r="143" ht="14.25" customHeight="1">
      <c r="A143" s="4">
        <v>142.0</v>
      </c>
      <c r="B143" s="5" t="str">
        <f>IFERROR(__xludf.DUMMYFUNCTION("GOOGLETRANSLATE(H143, ""th"", ""en"")"),"If the handler is unable to control the cow, can the referee punish him?")</f>
        <v>If the handler is unable to control the cow, can the referee punish him?</v>
      </c>
      <c r="C143" s="5" t="str">
        <f>IFERROR(__xludf.DUMMYFUNCTION("GOOGLETRANSLATE(I143, ""th"", ""en"")"),"A) Yes; B) No; C) It depends on the judges' decision; D) It depends on uncontrollable reasons.")</f>
        <v>A) Yes; B) No; C) It depends on the judges' decision; D) It depends on uncontrollable reasons.</v>
      </c>
      <c r="D143" s="4" t="str">
        <f>IFERROR(__xludf.DUMMYFUNCTION("GOOGLETRANSLATE(J143, ""th"", ""en"")"),"A) Yes.")</f>
        <v>A) Yes.</v>
      </c>
      <c r="E143" s="4" t="str">
        <f>IFERROR(__xludf.DUMMYFUNCTION("GOOGLETRANSLATE(K143, ""th"", ""en"")"),"Cow control is the responsibility of the keeper.")</f>
        <v>Cow control is the responsibility of the keeper.</v>
      </c>
      <c r="G143" s="6">
        <v>142.0</v>
      </c>
      <c r="H143" s="7" t="s">
        <v>1112</v>
      </c>
      <c r="I143" s="7" t="s">
        <v>1113</v>
      </c>
      <c r="J143" s="7" t="s">
        <v>737</v>
      </c>
      <c r="K143" s="7" t="s">
        <v>1114</v>
      </c>
    </row>
    <row r="144" ht="14.25" customHeight="1">
      <c r="A144" s="4">
        <v>143.0</v>
      </c>
      <c r="B144" s="5" t="str">
        <f>IFERROR(__xludf.DUMMYFUNCTION("GOOGLETRANSLATE(H144, ""th"", ""en"")"),"Is it permissible to use stimulants to increase the strength of cattle during competition?")</f>
        <v>Is it permissible to use stimulants to increase the strength of cattle during competition?</v>
      </c>
      <c r="C144" s="5" t="str">
        <f>IFERROR(__xludf.DUMMYFUNCTION("GOOGLETRANSLATE(I144, ""th"", ""en"")"),"A) Yes; B) No; C) Allowed in some cases; D) Depends on the judge's decision.")</f>
        <v>A) Yes; B) No; C) Allowed in some cases; D) Depends on the judge's decision.</v>
      </c>
      <c r="D144" s="4" t="str">
        <f>IFERROR(__xludf.DUMMYFUNCTION("GOOGLETRANSLATE(J144, ""th"", ""en"")"),"B) No.")</f>
        <v>B) No.</v>
      </c>
      <c r="E144" s="4" t="str">
        <f>IFERROR(__xludf.DUMMYFUNCTION("GOOGLETRANSLATE(K144, ""th"", ""en"")"),"The use of stimulants makes competition unfair.")</f>
        <v>The use of stimulants makes competition unfair.</v>
      </c>
      <c r="G144" s="6">
        <v>143.0</v>
      </c>
      <c r="H144" s="7" t="s">
        <v>1115</v>
      </c>
      <c r="I144" s="7" t="s">
        <v>1116</v>
      </c>
      <c r="J144" s="7" t="s">
        <v>698</v>
      </c>
      <c r="K144" s="7" t="s">
        <v>855</v>
      </c>
    </row>
    <row r="145" ht="14.25" customHeight="1">
      <c r="A145" s="4">
        <v>144.0</v>
      </c>
      <c r="B145" s="5" t="str">
        <f>IFERROR(__xludf.DUMMYFUNCTION("GOOGLETRANSLATE(H145, ""th"", ""en"")"),"Is it punishable to make a cow feel anxious before a race?")</f>
        <v>Is it punishable to make a cow feel anxious before a race?</v>
      </c>
      <c r="C145" s="5" t="str">
        <f>IFERROR(__xludf.DUMMYFUNCTION("GOOGLETRANSLATE(I145, ""th"", ""en"")"),"A) may be penalized; B) not be penalized; C) depends on the referee; D) depends on the method of doing.")</f>
        <v>A) may be penalized; B) not be penalized; C) depends on the referee; D) depends on the method of doing.</v>
      </c>
      <c r="D145" s="4" t="str">
        <f>IFERROR(__xludf.DUMMYFUNCTION("GOOGLETRANSLATE(J145, ""th"", ""en"")"),"A) May be punished")</f>
        <v>A) May be punished</v>
      </c>
      <c r="E145" s="4" t="str">
        <f>IFERROR(__xludf.DUMMYFUNCTION("GOOGLETRANSLATE(K145, ""th"", ""en"")"),"Making cows anxious is an inappropriate act.")</f>
        <v>Making cows anxious is an inappropriate act.</v>
      </c>
      <c r="G145" s="6">
        <v>144.0</v>
      </c>
      <c r="H145" s="7" t="s">
        <v>1117</v>
      </c>
      <c r="I145" s="7" t="s">
        <v>1118</v>
      </c>
      <c r="J145" s="7" t="s">
        <v>1119</v>
      </c>
      <c r="K145" s="7" t="s">
        <v>1120</v>
      </c>
    </row>
    <row r="146" ht="14.25" customHeight="1">
      <c r="A146" s="4">
        <v>145.0</v>
      </c>
      <c r="B146" s="5" t="str">
        <f>IFERROR(__xludf.DUMMYFUNCTION("GOOGLETRANSLATE(H146, ""th"", ""en"")"),"If a bull leaves the arena during a race, can the referee stop the race?")</f>
        <v>If a bull leaves the arena during a race, can the referee stop the race?</v>
      </c>
      <c r="C146" s="5" t="str">
        <f>IFERROR(__xludf.DUMMYFUNCTION("GOOGLETRANSLATE(I146, ""th"", ""en"")"),"A) Yes; B) No; C) Depends on the reason for leaving the field; D) Depends on the referee's decision.")</f>
        <v>A) Yes; B) No; C) Depends on the reason for leaving the field; D) Depends on the referee's decision.</v>
      </c>
      <c r="D146" s="4" t="str">
        <f>IFERROR(__xludf.DUMMYFUNCTION("GOOGLETRANSLATE(J146, ""th"", ""en"")"),"A) Yes.")</f>
        <v>A) Yes.</v>
      </c>
      <c r="E146" s="4" t="str">
        <f>IFERROR(__xludf.DUMMYFUNCTION("GOOGLETRANSLATE(K146, ""th"", ""en"")"),"Leaving the field during a match makes the match unfair.")</f>
        <v>Leaving the field during a match makes the match unfair.</v>
      </c>
      <c r="G146" s="6">
        <v>145.0</v>
      </c>
      <c r="H146" s="7" t="s">
        <v>1121</v>
      </c>
      <c r="I146" s="7" t="s">
        <v>1122</v>
      </c>
      <c r="J146" s="7" t="s">
        <v>737</v>
      </c>
      <c r="K146" s="7" t="s">
        <v>1123</v>
      </c>
    </row>
    <row r="147" ht="14.25" customHeight="1">
      <c r="A147" s="4">
        <v>146.0</v>
      </c>
      <c r="B147" s="5" t="str">
        <f>IFERROR(__xludf.DUMMYFUNCTION("GOOGLETRANSLATE(H147, ""th"", ""en"")"),"Is it permissible to use tools or equipment that are dangerous to the cow during the competition?")</f>
        <v>Is it permissible to use tools or equipment that are dangerous to the cow during the competition?</v>
      </c>
      <c r="C147" s="5" t="str">
        <f>IFERROR(__xludf.DUMMYFUNCTION("GOOGLETRANSLATE(I147, ""th"", ""en"")"),"A) Allowed; B) Not allowed; C) Allowed in some cases; D) Depends on the director.")</f>
        <v>A) Allowed; B) Not allowed; C) Allowed in some cases; D) Depends on the director.</v>
      </c>
      <c r="D147" s="4" t="str">
        <f>IFERROR(__xludf.DUMMYFUNCTION("GOOGLETRANSLATE(J147, ""th"", ""en"")"),"B) Not allowed")</f>
        <v>B) Not allowed</v>
      </c>
      <c r="E147" s="4" t="str">
        <f>IFERROR(__xludf.DUMMYFUNCTION("GOOGLETRANSLATE(K147, ""th"", ""en"")"),"Using dangerous tools can injure cows and is unfair.")</f>
        <v>Using dangerous tools can injure cows and is unfair.</v>
      </c>
      <c r="G147" s="6">
        <v>146.0</v>
      </c>
      <c r="H147" s="7" t="s">
        <v>1124</v>
      </c>
      <c r="I147" s="7" t="s">
        <v>834</v>
      </c>
      <c r="J147" s="7" t="s">
        <v>690</v>
      </c>
      <c r="K147" s="7" t="s">
        <v>1125</v>
      </c>
    </row>
    <row r="148" ht="14.25" customHeight="1">
      <c r="A148" s="4">
        <v>147.0</v>
      </c>
      <c r="B148" s="5" t="str">
        <f>IFERROR(__xludf.DUMMYFUNCTION("GOOGLETRANSLATE(H148, ""th"", ""en"")"),"Is it permissible to use excessive force to control a bull during a race?")</f>
        <v>Is it permissible to use excessive force to control a bull during a race?</v>
      </c>
      <c r="C148" s="5" t="str">
        <f>IFERROR(__xludf.DUMMYFUNCTION("GOOGLETRANSLATE(I148, ""th"", ""en"")"),"A) Allowed; B) Not allowed; C) Depends on the situation; D) Depends on the director.")</f>
        <v>A) Allowed; B) Not allowed; C) Depends on the situation; D) Depends on the director.</v>
      </c>
      <c r="D148" s="4" t="str">
        <f>IFERROR(__xludf.DUMMYFUNCTION("GOOGLETRANSLATE(J148, ""th"", ""en"")"),"B) Not allowed")</f>
        <v>B) Not allowed</v>
      </c>
      <c r="E148" s="4" t="str">
        <f>IFERROR(__xludf.DUMMYFUNCTION("GOOGLETRANSLATE(K148, ""th"", ""en"")"),"Using too much force can injure the cow.")</f>
        <v>Using too much force can injure the cow.</v>
      </c>
      <c r="G148" s="6">
        <v>147.0</v>
      </c>
      <c r="H148" s="7" t="s">
        <v>1126</v>
      </c>
      <c r="I148" s="7" t="s">
        <v>980</v>
      </c>
      <c r="J148" s="7" t="s">
        <v>690</v>
      </c>
      <c r="K148" s="7" t="s">
        <v>1127</v>
      </c>
    </row>
    <row r="149" ht="14.25" customHeight="1">
      <c r="A149" s="4">
        <v>148.0</v>
      </c>
      <c r="B149" s="5" t="str">
        <f>IFERROR(__xludf.DUMMYFUNCTION("GOOGLETRANSLATE(H149, ""th"", ""en"")"),"If rules regarding the treatment of the bulls are violated during the competition, can the judges punish the handlers?")</f>
        <v>If rules regarding the treatment of the bulls are violated during the competition, can the judges punish the handlers?</v>
      </c>
      <c r="C149" s="5" t="str">
        <f>IFERROR(__xludf.DUMMYFUNCTION("GOOGLETRANSLATE(I149, ""th"", ""en"")"),"A) Yes; B) No; C) It depends on the type of violation; D) It depends on the referee's decision.")</f>
        <v>A) Yes; B) No; C) It depends on the type of violation; D) It depends on the referee's decision.</v>
      </c>
      <c r="D149" s="4" t="str">
        <f>IFERROR(__xludf.DUMMYFUNCTION("GOOGLETRANSLATE(J149, ""th"", ""en"")"),"A) Yes.")</f>
        <v>A) Yes.</v>
      </c>
      <c r="E149" s="4" t="str">
        <f>IFERROR(__xludf.DUMMYFUNCTION("GOOGLETRANSLATE(K149, ""th"", ""en"")"),"Violating the rules will result in punishment by the moderator.")</f>
        <v>Violating the rules will result in punishment by the moderator.</v>
      </c>
      <c r="G149" s="6">
        <v>148.0</v>
      </c>
      <c r="H149" s="7" t="s">
        <v>1128</v>
      </c>
      <c r="I149" s="7" t="s">
        <v>1046</v>
      </c>
      <c r="J149" s="7" t="s">
        <v>737</v>
      </c>
      <c r="K149" s="7" t="s">
        <v>1129</v>
      </c>
    </row>
    <row r="150" ht="14.25" customHeight="1">
      <c r="A150" s="4">
        <v>149.0</v>
      </c>
      <c r="B150" s="5" t="str">
        <f>IFERROR(__xludf.DUMMYFUNCTION("GOOGLETRANSLATE(H150, ""th"", ""en"")"),"In bullfighting, can the referee decide when the game must be stopped?")</f>
        <v>In bullfighting, can the referee decide when the game must be stopped?</v>
      </c>
      <c r="C150" s="5" t="str">
        <f>IFERROR(__xludf.DUMMYFUNCTION("GOOGLETRANSLATE(I150, ""th"", ""en"")"),"A) Yes; B) No; C) It depends on the situation; D) It depends on the intensity of the competition.")</f>
        <v>A) Yes; B) No; C) It depends on the situation; D) It depends on the intensity of the competition.</v>
      </c>
      <c r="D150" s="4" t="str">
        <f>IFERROR(__xludf.DUMMYFUNCTION("GOOGLETRANSLATE(J150, ""th"", ""en"")"),"A) Yes.")</f>
        <v>A) Yes.</v>
      </c>
      <c r="E150" s="4" t="str">
        <f>IFERROR(__xludf.DUMMYFUNCTION("GOOGLETRANSLATE(K150, ""th"", ""en"")"),"The referee has the right to stop the match for safety reasons.")</f>
        <v>The referee has the right to stop the match for safety reasons.</v>
      </c>
      <c r="G150" s="6">
        <v>149.0</v>
      </c>
      <c r="H150" s="7" t="s">
        <v>1130</v>
      </c>
      <c r="I150" s="7" t="s">
        <v>1131</v>
      </c>
      <c r="J150" s="7" t="s">
        <v>737</v>
      </c>
      <c r="K150" s="7" t="s">
        <v>1132</v>
      </c>
    </row>
    <row r="151" ht="14.25" customHeight="1">
      <c r="A151" s="4">
        <v>150.0</v>
      </c>
      <c r="B151" s="5" t="str">
        <f>IFERROR(__xludf.DUMMYFUNCTION("GOOGLETRANSLATE(H151, ""th"", ""en"")"),"Is training bulls for bullfighting required to follow the rules?")</f>
        <v>Is training bulls for bullfighting required to follow the rules?</v>
      </c>
      <c r="C151" s="5" t="str">
        <f>IFERROR(__xludf.DUMMYFUNCTION("GOOGLETRANSLATE(I151, ""th"", ""en"")"),"A) must follow the rules; B) must not follow the rules; C) depends on the judge's decision; D) depends on the situation.")</f>
        <v>A) must follow the rules; B) must not follow the rules; C) depends on the judge's decision; D) depends on the situation.</v>
      </c>
      <c r="D151" s="4" t="str">
        <f>IFERROR(__xludf.DUMMYFUNCTION("GOOGLETRANSLATE(J151, ""th"", ""en"")"),"A) Must comply with the rules.")</f>
        <v>A) Must comply with the rules.</v>
      </c>
      <c r="E151" s="4" t="str">
        <f>IFERROR(__xludf.DUMMYFUNCTION("GOOGLETRANSLATE(K151, ""th"", ""en"")"),"Training must be done according to the rules to ensure fair competition.")</f>
        <v>Training must be done according to the rules to ensure fair competition.</v>
      </c>
      <c r="G151" s="6">
        <v>150.0</v>
      </c>
      <c r="H151" s="7" t="s">
        <v>1133</v>
      </c>
      <c r="I151" s="7" t="s">
        <v>1134</v>
      </c>
      <c r="J151" s="7" t="s">
        <v>1094</v>
      </c>
      <c r="K151" s="7" t="s">
        <v>1135</v>
      </c>
    </row>
    <row r="152" ht="14.25" customHeight="1">
      <c r="A152" s="4">
        <v>151.0</v>
      </c>
      <c r="B152" s="5" t="str">
        <f>IFERROR(__xludf.DUMMYFUNCTION("GOOGLETRANSLATE(H152, ""th"", ""en"")"),"If a cow fails to perform as required in a competition, how will it be judged?")</f>
        <v>If a cow fails to perform as required in a competition, how will it be judged?</v>
      </c>
      <c r="C152" s="5" t="str">
        <f>IFERROR(__xludf.DUMMYFUNCTION("GOOGLETRANSLATE(I152, ""th"", ""en"")"),"A) The bull will be judged to have lost; B) The bull will be given a warning; C) The bull will be given a chance to recover; D) It is up to the referee.")</f>
        <v>A) The bull will be judged to have lost; B) The bull will be given a warning; C) The bull will be given a chance to recover; D) It is up to the referee.</v>
      </c>
      <c r="D152" s="4" t="str">
        <f>IFERROR(__xludf.DUMMYFUNCTION("GOOGLETRANSLATE(J152, ""th"", ""en"")"),"A) The cow will be judged to have lost.")</f>
        <v>A) The cow will be judged to have lost.</v>
      </c>
      <c r="E152" s="4" t="str">
        <f>IFERROR(__xludf.DUMMYFUNCTION("GOOGLETRANSLATE(K152, ""th"", ""en"")"),"The inability to showcase one's skills makes the competition unfair.")</f>
        <v>The inability to showcase one's skills makes the competition unfair.</v>
      </c>
      <c r="G152" s="6">
        <v>151.0</v>
      </c>
      <c r="H152" s="7" t="s">
        <v>1136</v>
      </c>
      <c r="I152" s="7" t="s">
        <v>1137</v>
      </c>
      <c r="J152" s="7" t="s">
        <v>932</v>
      </c>
      <c r="K152" s="7" t="s">
        <v>1138</v>
      </c>
    </row>
    <row r="153" ht="14.25" customHeight="1">
      <c r="A153" s="4">
        <v>152.0</v>
      </c>
      <c r="B153" s="5" t="str">
        <f>IFERROR(__xludf.DUMMYFUNCTION("GOOGLETRANSLATE(H153, ""th"", ""en"")"),"Is it permissible to organize bullfights without any control or permission from the relevant authorities?")</f>
        <v>Is it permissible to organize bullfights without any control or permission from the relevant authorities?</v>
      </c>
      <c r="C153" s="5" t="str">
        <f>IFERROR(__xludf.DUMMYFUNCTION("GOOGLETRANSLATE(I153, ""th"", ""en"")"),"A) Yes; B) No; C) It depends on the situation; D) It depends on the judges' decision.")</f>
        <v>A) Yes; B) No; C) It depends on the situation; D) It depends on the judges' decision.</v>
      </c>
      <c r="D153" s="4" t="str">
        <f>IFERROR(__xludf.DUMMYFUNCTION("GOOGLETRANSLATE(J153, ""th"", ""en"")"),"B) No.")</f>
        <v>B) No.</v>
      </c>
      <c r="E153" s="4" t="str">
        <f>IFERROR(__xludf.DUMMYFUNCTION("GOOGLETRANSLATE(K153, ""th"", ""en"")"),"The competition must be approved by the relevant authorities.")</f>
        <v>The competition must be approved by the relevant authorities.</v>
      </c>
      <c r="G153" s="6">
        <v>152.0</v>
      </c>
      <c r="H153" s="7" t="s">
        <v>1139</v>
      </c>
      <c r="I153" s="7" t="s">
        <v>1027</v>
      </c>
      <c r="J153" s="7" t="s">
        <v>698</v>
      </c>
      <c r="K153" s="7" t="s">
        <v>1140</v>
      </c>
    </row>
    <row r="154" ht="14.25" customHeight="1">
      <c r="A154" s="4">
        <v>153.0</v>
      </c>
      <c r="B154" s="5" t="str">
        <f>IFERROR(__xludf.DUMMYFUNCTION("GOOGLETRANSLATE(H154, ""th"", ""en"")"),"If a cow becomes sick before a race, what should the caretaker do?")</f>
        <v>If a cow becomes sick before a race, what should the caretaker do?</v>
      </c>
      <c r="C154" s="5" t="str">
        <f>IFERROR(__xludf.DUMMYFUNCTION("GOOGLETRANSLATE(I154, ""th"", ""en"")"),"A) Cancel the competition; B) Let the bull participate in the competition as usual; C) Let the bull rest and continue fighting; D) It depends on the judges' decision.")</f>
        <v>A) Cancel the competition; B) Let the bull participate in the competition as usual; C) Let the bull rest and continue fighting; D) It depends on the judges' decision.</v>
      </c>
      <c r="D154" s="4" t="str">
        <f>IFERROR(__xludf.DUMMYFUNCTION("GOOGLETRANSLATE(J154, ""th"", ""en"")"),"A) Cancel the competition.")</f>
        <v>A) Cancel the competition.</v>
      </c>
      <c r="E154" s="4" t="str">
        <f>IFERROR(__xludf.DUMMYFUNCTION("GOOGLETRANSLATE(K154, ""th"", ""en"")"),"It is dangerous to allow cattle to compete when they are sick.")</f>
        <v>It is dangerous to allow cattle to compete when they are sick.</v>
      </c>
      <c r="G154" s="6">
        <v>153.0</v>
      </c>
      <c r="H154" s="7" t="s">
        <v>1141</v>
      </c>
      <c r="I154" s="7" t="s">
        <v>1142</v>
      </c>
      <c r="J154" s="7" t="s">
        <v>1079</v>
      </c>
      <c r="K154" s="7" t="s">
        <v>1143</v>
      </c>
    </row>
    <row r="155" ht="14.25" customHeight="1">
      <c r="A155" s="4">
        <v>154.0</v>
      </c>
      <c r="B155" s="5" t="str">
        <f>IFERROR(__xludf.DUMMYFUNCTION("GOOGLETRANSLATE(H155, ""th"", ""en"")"),"Can aggressive behavior or stressing a bull during a race be punishable?")</f>
        <v>Can aggressive behavior or stressing a bull during a race be punishable?</v>
      </c>
      <c r="C155" s="5" t="str">
        <f>IFERROR(__xludf.DUMMYFUNCTION("GOOGLETRANSLATE(I155, ""th"", ""en"")"),"A) Yes; B) No; C) It depends on the situation; D) It depends on the judges' decision.")</f>
        <v>A) Yes; B) No; C) It depends on the situation; D) It depends on the judges' decision.</v>
      </c>
      <c r="D155" s="4" t="str">
        <f>IFERROR(__xludf.DUMMYFUNCTION("GOOGLETRANSLATE(J155, ""th"", ""en"")"),"A) Yes.")</f>
        <v>A) Yes.</v>
      </c>
      <c r="E155" s="4" t="str">
        <f>IFERROR(__xludf.DUMMYFUNCTION("GOOGLETRANSLATE(K155, ""th"", ""en"")"),"Using behaviors that stress the cow may result in punishment.")</f>
        <v>Using behaviors that stress the cow may result in punishment.</v>
      </c>
      <c r="G155" s="6">
        <v>154.0</v>
      </c>
      <c r="H155" s="7" t="s">
        <v>1144</v>
      </c>
      <c r="I155" s="7" t="s">
        <v>1027</v>
      </c>
      <c r="J155" s="7" t="s">
        <v>737</v>
      </c>
      <c r="K155" s="7" t="s">
        <v>1145</v>
      </c>
    </row>
    <row r="156" ht="14.25" customHeight="1">
      <c r="A156" s="4">
        <v>155.0</v>
      </c>
      <c r="B156" s="5" t="str">
        <f>IFERROR(__xludf.DUMMYFUNCTION("GOOGLETRANSLATE(H156, ""th"", ""en"")"),"If a bull is unable to fight due to fatigue, will the judges decide that the bull loses?")</f>
        <v>If a bull is unable to fight due to fatigue, will the judges decide that the bull loses?</v>
      </c>
      <c r="C156" s="5" t="str">
        <f>IFERROR(__xludf.DUMMYFUNCTION("GOOGLETRANSLATE(I156, ""th"", ""en"")"),"A) Yes; B) No; C) It depends on the situation; D) It depends on the judges' decision.")</f>
        <v>A) Yes; B) No; C) It depends on the situation; D) It depends on the judges' decision.</v>
      </c>
      <c r="D156" s="4" t="str">
        <f>IFERROR(__xludf.DUMMYFUNCTION("GOOGLETRANSLATE(J156, ""th"", ""en"")"),"A) Yes.")</f>
        <v>A) Yes.</v>
      </c>
      <c r="E156" s="4" t="str">
        <f>IFERROR(__xludf.DUMMYFUNCTION("GOOGLETRANSLATE(K156, ""th"", ""en"")"),"Fatigue prevents cows from competing at their full potential.")</f>
        <v>Fatigue prevents cows from competing at their full potential.</v>
      </c>
      <c r="G156" s="6">
        <v>155.0</v>
      </c>
      <c r="H156" s="7" t="s">
        <v>1146</v>
      </c>
      <c r="I156" s="7" t="s">
        <v>1147</v>
      </c>
      <c r="J156" s="7" t="s">
        <v>682</v>
      </c>
      <c r="K156" s="7" t="s">
        <v>1148</v>
      </c>
    </row>
    <row r="157" ht="14.25" customHeight="1">
      <c r="A157" s="4">
        <v>156.0</v>
      </c>
      <c r="B157" s="5" t="str">
        <f>IFERROR(__xludf.DUMMYFUNCTION("GOOGLETRANSLATE(H157, ""th"", ""en"")"),"Is it permissible to use methods that cause wounds to the cow during the race?")</f>
        <v>Is it permissible to use methods that cause wounds to the cow during the race?</v>
      </c>
      <c r="C157" s="5" t="str">
        <f>IFERROR(__xludf.DUMMYFUNCTION("GOOGLETRANSLATE(I157, ""th"", ""en"")"),"A) Allowed; B) Not allowed; C) Depending on the judges' decision; D) Depending on the type of competition.")</f>
        <v>A) Allowed; B) Not allowed; C) Depending on the judges' decision; D) Depending on the type of competition.</v>
      </c>
      <c r="D157" s="4" t="str">
        <f>IFERROR(__xludf.DUMMYFUNCTION("GOOGLETRANSLATE(J157, ""th"", ""en"")"),"B) Not allowed")</f>
        <v>B) Not allowed</v>
      </c>
      <c r="E157" s="4" t="str">
        <f>IFERROR(__xludf.DUMMYFUNCTION("GOOGLETRANSLATE(K157, ""th"", ""en"")"),"Injuring a cow is an unfair act.")</f>
        <v>Injuring a cow is an unfair act.</v>
      </c>
      <c r="G157" s="6">
        <v>156.0</v>
      </c>
      <c r="H157" s="7" t="s">
        <v>1149</v>
      </c>
      <c r="I157" s="7" t="s">
        <v>1150</v>
      </c>
      <c r="J157" s="7" t="s">
        <v>690</v>
      </c>
      <c r="K157" s="7" t="s">
        <v>1151</v>
      </c>
    </row>
    <row r="158" ht="14.25" customHeight="1">
      <c r="A158" s="4">
        <v>157.0</v>
      </c>
      <c r="B158" s="5" t="str">
        <f>IFERROR(__xludf.DUMMYFUNCTION("GOOGLETRANSLATE(H158, ""th"", ""en"")"),"Is it possible to train a bull during a break from fighting?")</f>
        <v>Is it possible to train a bull during a break from fighting?</v>
      </c>
      <c r="C158" s="5" t="str">
        <f>IFERROR(__xludf.DUMMYFUNCTION("GOOGLETRANSLATE(I158, ""th"", ""en"")"),"A) Allowed; B) Not allowed; C) Depending on the situation; D) Depending on the judge's decision.")</f>
        <v>A) Allowed; B) Not allowed; C) Depending on the situation; D) Depending on the judge's decision.</v>
      </c>
      <c r="D158" s="4" t="str">
        <f>IFERROR(__xludf.DUMMYFUNCTION("GOOGLETRANSLATE(J158, ""th"", ""en"")"),"B) Not allowed")</f>
        <v>B) Not allowed</v>
      </c>
      <c r="E158" s="4" t="str">
        <f>IFERROR(__xludf.DUMMYFUNCTION("GOOGLETRANSLATE(K158, ""th"", ""en"")"),"Training a bull during a competition can make the fight unfair.")</f>
        <v>Training a bull during a competition can make the fight unfair.</v>
      </c>
      <c r="G158" s="6">
        <v>157.0</v>
      </c>
      <c r="H158" s="7" t="s">
        <v>1152</v>
      </c>
      <c r="I158" s="7" t="s">
        <v>1153</v>
      </c>
      <c r="J158" s="7" t="s">
        <v>690</v>
      </c>
      <c r="K158" s="7" t="s">
        <v>1154</v>
      </c>
    </row>
    <row r="159" ht="14.25" customHeight="1">
      <c r="A159" s="4">
        <v>158.0</v>
      </c>
      <c r="B159" s="5" t="str">
        <f>IFERROR(__xludf.DUMMYFUNCTION("GOOGLETRANSLATE(H159, ""th"", ""en"")"),"If there is a violation of the rules during the match, can the referee punish the admin?")</f>
        <v>If there is a violation of the rules during the match, can the referee punish the admin?</v>
      </c>
      <c r="C159" s="5" t="str">
        <f>IFERROR(__xludf.DUMMYFUNCTION("GOOGLETRANSLATE(I159, ""th"", ""en"")"),"A) Yes; B) No; C) It depends on the referee's decision; D) It depends on the type of violation.")</f>
        <v>A) Yes; B) No; C) It depends on the referee's decision; D) It depends on the type of violation.</v>
      </c>
      <c r="D159" s="4" t="str">
        <f>IFERROR(__xludf.DUMMYFUNCTION("GOOGLETRANSLATE(J159, ""th"", ""en"")"),"A) Yes.")</f>
        <v>A) Yes.</v>
      </c>
      <c r="E159" s="4" t="str">
        <f>IFERROR(__xludf.DUMMYFUNCTION("GOOGLETRANSLATE(K159, ""th"", ""en"")"),"Violating the rules will result in punishment by the moderator.")</f>
        <v>Violating the rules will result in punishment by the moderator.</v>
      </c>
      <c r="G159" s="6">
        <v>158.0</v>
      </c>
      <c r="H159" s="7" t="s">
        <v>1155</v>
      </c>
      <c r="I159" s="7" t="s">
        <v>1156</v>
      </c>
      <c r="J159" s="7" t="s">
        <v>737</v>
      </c>
      <c r="K159" s="7" t="s">
        <v>1129</v>
      </c>
    </row>
    <row r="160" ht="14.25" customHeight="1">
      <c r="A160" s="4">
        <v>159.0</v>
      </c>
      <c r="B160" s="5" t="str">
        <f>IFERROR(__xludf.DUMMYFUNCTION("GOOGLETRANSLATE(H160, ""th"", ""en"")"),"Can excessive force in cattle training cause harm?")</f>
        <v>Can excessive force in cattle training cause harm?</v>
      </c>
      <c r="C160" s="5" t="str">
        <f>IFERROR(__xludf.DUMMYFUNCTION("GOOGLETRANSLATE(I160, ""th"", ""en"")"),"A) Yes; B) No; C) It depends on the judges' decision; D) It depends on the situation.")</f>
        <v>A) Yes; B) No; C) It depends on the judges' decision; D) It depends on the situation.</v>
      </c>
      <c r="D160" s="4" t="str">
        <f>IFERROR(__xludf.DUMMYFUNCTION("GOOGLETRANSLATE(J160, ""th"", ""en"")"),"A) Yes.")</f>
        <v>A) Yes.</v>
      </c>
      <c r="E160" s="4" t="str">
        <f>IFERROR(__xludf.DUMMYFUNCTION("GOOGLETRANSLATE(K160, ""th"", ""en"")"),"The use of violence in training is an inappropriate act.")</f>
        <v>The use of violence in training is an inappropriate act.</v>
      </c>
      <c r="G160" s="6">
        <v>159.0</v>
      </c>
      <c r="H160" s="7" t="s">
        <v>1157</v>
      </c>
      <c r="I160" s="7" t="s">
        <v>1158</v>
      </c>
      <c r="J160" s="7" t="s">
        <v>737</v>
      </c>
      <c r="K160" s="7" t="s">
        <v>1159</v>
      </c>
    </row>
    <row r="161" ht="14.25" customHeight="1">
      <c r="A161" s="4">
        <v>160.0</v>
      </c>
      <c r="B161" s="5" t="str">
        <f>IFERROR(__xludf.DUMMYFUNCTION("GOOGLETRANSLATE(H161, ""th"", ""en"")"),"Is it right to train a bull in a way that could cause injury during competition?")</f>
        <v>Is it right to train a bull in a way that could cause injury during competition?</v>
      </c>
      <c r="C161" s="5" t="str">
        <f>IFERROR(__xludf.DUMMYFUNCTION("GOOGLETRANSLATE(I161, ""th"", ""en"")"),"A) Correct; B) Incorrect; C) Depends on the situation; D) Depends on the judges' decision.")</f>
        <v>A) Correct; B) Incorrect; C) Depends on the situation; D) Depends on the judges' decision.</v>
      </c>
      <c r="D161" s="4" t="str">
        <f>IFERROR(__xludf.DUMMYFUNCTION("GOOGLETRANSLATE(J161, ""th"", ""en"")"),"B) Incorrect")</f>
        <v>B) Incorrect</v>
      </c>
      <c r="E161" s="4" t="str">
        <f>IFERROR(__xludf.DUMMYFUNCTION("GOOGLETRANSLATE(K161, ""th"", ""en"")"),"Training a cow to injure it is a violation of the law.")</f>
        <v>Training a cow to injure it is a violation of the law.</v>
      </c>
      <c r="G161" s="6">
        <v>160.0</v>
      </c>
      <c r="H161" s="7" t="s">
        <v>1160</v>
      </c>
      <c r="I161" s="7" t="s">
        <v>1161</v>
      </c>
      <c r="J161" s="7" t="s">
        <v>1162</v>
      </c>
      <c r="K161" s="7" t="s">
        <v>1163</v>
      </c>
    </row>
    <row r="162" ht="14.25" customHeight="1">
      <c r="A162" s="4">
        <v>161.0</v>
      </c>
      <c r="B162" s="5" t="str">
        <f>IFERROR(__xludf.DUMMYFUNCTION("GOOGLETRANSLATE(H162, ""th"", ""en"")"),"If a caretaker uses an unauthorized object during a match, can the referee punish them?")</f>
        <v>If a caretaker uses an unauthorized object during a match, can the referee punish them?</v>
      </c>
      <c r="C162" s="5" t="str">
        <f>IFERROR(__xludf.DUMMYFUNCTION("GOOGLETRANSLATE(I162, ""th"", ""en"")"),"A) Yes; B) No; C) It depends on the situation; D) It depends on the judges' decision.")</f>
        <v>A) Yes; B) No; C) It depends on the situation; D) It depends on the judges' decision.</v>
      </c>
      <c r="D162" s="4" t="str">
        <f>IFERROR(__xludf.DUMMYFUNCTION("GOOGLETRANSLATE(J162, ""th"", ""en"")"),"A) Yes.")</f>
        <v>A) Yes.</v>
      </c>
      <c r="E162" s="4" t="str">
        <f>IFERROR(__xludf.DUMMYFUNCTION("GOOGLETRANSLATE(K162, ""th"", ""en"")"),"Using unauthorized objects is a violation of the law.")</f>
        <v>Using unauthorized objects is a violation of the law.</v>
      </c>
      <c r="G162" s="6">
        <v>161.0</v>
      </c>
      <c r="H162" s="7" t="s">
        <v>1164</v>
      </c>
      <c r="I162" s="7" t="s">
        <v>1027</v>
      </c>
      <c r="J162" s="7" t="s">
        <v>737</v>
      </c>
      <c r="K162" s="7" t="s">
        <v>1165</v>
      </c>
    </row>
    <row r="163" ht="14.25" customHeight="1">
      <c r="A163" s="4">
        <v>162.0</v>
      </c>
      <c r="B163" s="5" t="str">
        <f>IFERROR(__xludf.DUMMYFUNCTION("GOOGLETRANSLATE(H163, ""th"", ""en"")"),"Is it possible to force a bull to fight a much larger bull?")</f>
        <v>Is it possible to force a bull to fight a much larger bull?</v>
      </c>
      <c r="C163" s="5" t="str">
        <f>IFERROR(__xludf.DUMMYFUNCTION("GOOGLETRANSLATE(I163, ""th"", ""en"")"),"A) Allowed; B) Not allowed; C) Depending on the judge's decision; D) Depending on the size of the bull.")</f>
        <v>A) Allowed; B) Not allowed; C) Depending on the judge's decision; D) Depending on the size of the bull.</v>
      </c>
      <c r="D163" s="4" t="str">
        <f>IFERROR(__xludf.DUMMYFUNCTION("GOOGLETRANSLATE(J163, ""th"", ""en"")"),"B) Not allowed")</f>
        <v>B) Not allowed</v>
      </c>
      <c r="E163" s="4" t="str">
        <f>IFERROR(__xludf.DUMMYFUNCTION("GOOGLETRANSLATE(K163, ""th"", ""en"")"),"The competition should be fair.")</f>
        <v>The competition should be fair.</v>
      </c>
      <c r="G163" s="6">
        <v>162.0</v>
      </c>
      <c r="H163" s="7" t="s">
        <v>1166</v>
      </c>
      <c r="I163" s="7" t="s">
        <v>1167</v>
      </c>
      <c r="J163" s="7" t="s">
        <v>690</v>
      </c>
      <c r="K163" s="7" t="s">
        <v>1168</v>
      </c>
    </row>
    <row r="164" ht="14.25" customHeight="1">
      <c r="A164" s="4">
        <v>163.0</v>
      </c>
      <c r="B164" s="5" t="str">
        <f>IFERROR(__xludf.DUMMYFUNCTION("GOOGLETRANSLATE(H164, ""th"", ""en"")"),"If a bull is violently attacked and injured during a race, can the referee stop the race?")</f>
        <v>If a bull is violently attacked and injured during a race, can the referee stop the race?</v>
      </c>
      <c r="C164" s="5" t="str">
        <f>IFERROR(__xludf.DUMMYFUNCTION("GOOGLETRANSLATE(I164, ""th"", ""en"")"),"A) Yes; B) No; C) Depends on the injury; D) Depends on the referee's decision.")</f>
        <v>A) Yes; B) No; C) Depends on the injury; D) Depends on the referee's decision.</v>
      </c>
      <c r="D164" s="4" t="str">
        <f>IFERROR(__xludf.DUMMYFUNCTION("GOOGLETRANSLATE(J164, ""th"", ""en"")"),"A) Yes.")</f>
        <v>A) Yes.</v>
      </c>
      <c r="E164" s="4" t="str">
        <f>IFERROR(__xludf.DUMMYFUNCTION("GOOGLETRANSLATE(K164, ""th"", ""en"")"),"The termination of the competition is necessary for safety reasons.")</f>
        <v>The termination of the competition is necessary for safety reasons.</v>
      </c>
      <c r="G164" s="6">
        <v>163.0</v>
      </c>
      <c r="H164" s="7" t="s">
        <v>1169</v>
      </c>
      <c r="I164" s="7" t="s">
        <v>1170</v>
      </c>
      <c r="J164" s="7" t="s">
        <v>737</v>
      </c>
      <c r="K164" s="7" t="s">
        <v>1171</v>
      </c>
    </row>
    <row r="165" ht="14.25" customHeight="1">
      <c r="A165" s="4">
        <v>164.0</v>
      </c>
      <c r="B165" s="5" t="str">
        <f>IFERROR(__xludf.DUMMYFUNCTION("GOOGLETRANSLATE(H165, ""th"", ""en"")"),"Can the cattle handler select cattle that have not passed the standard inspection in the competition?")</f>
        <v>Can the cattle handler select cattle that have not passed the standard inspection in the competition?</v>
      </c>
      <c r="C165" s="5" t="str">
        <f>IFERROR(__xludf.DUMMYFUNCTION("GOOGLETRANSLATE(I165, ""th"", ""en"")"),"A) Yes; B) No; C) It depends on the judges' decision; D) It depends on the situation.")</f>
        <v>A) Yes; B) No; C) It depends on the judges' decision; D) It depends on the situation.</v>
      </c>
      <c r="D165" s="4" t="str">
        <f>IFERROR(__xludf.DUMMYFUNCTION("GOOGLETRANSLATE(J165, ""th"", ""en"")"),"B) No.")</f>
        <v>B) No.</v>
      </c>
      <c r="E165" s="4" t="str">
        <f>IFERROR(__xludf.DUMMYFUNCTION("GOOGLETRANSLATE(K165, ""th"", ""en"")"),"Inspection of the bull is necessary before the competition.")</f>
        <v>Inspection of the bull is necessary before the competition.</v>
      </c>
      <c r="G165" s="6">
        <v>164.0</v>
      </c>
      <c r="H165" s="7" t="s">
        <v>1172</v>
      </c>
      <c r="I165" s="7" t="s">
        <v>1158</v>
      </c>
      <c r="J165" s="7" t="s">
        <v>698</v>
      </c>
      <c r="K165" s="7" t="s">
        <v>1173</v>
      </c>
    </row>
    <row r="166" ht="14.25" customHeight="1">
      <c r="A166" s="4">
        <v>165.0</v>
      </c>
      <c r="B166" s="5" t="str">
        <f>IFERROR(__xludf.DUMMYFUNCTION("GOOGLETRANSLATE(H166, ""th"", ""en"")"),"If a cow makes an inappropriate gesture during a race, can the referee punish the handler?")</f>
        <v>If a cow makes an inappropriate gesture during a race, can the referee punish the handler?</v>
      </c>
      <c r="C166" s="5" t="str">
        <f>IFERROR(__xludf.DUMMYFUNCTION("GOOGLETRANSLATE(I166, ""th"", ""en"")"),"A) Yes; B) No; C) It depends on the cow's posture; D) It depends on the judges' decision.")</f>
        <v>A) Yes; B) No; C) It depends on the cow's posture; D) It depends on the judges' decision.</v>
      </c>
      <c r="D166" s="4" t="str">
        <f>IFERROR(__xludf.DUMMYFUNCTION("GOOGLETRANSLATE(J166, ""th"", ""en"")"),"A) Yes.")</f>
        <v>A) Yes.</v>
      </c>
      <c r="E166" s="4" t="str">
        <f>IFERROR(__xludf.DUMMYFUNCTION("GOOGLETRANSLATE(K166, ""th"", ""en"")"),"Cow control is the responsibility of the caretaker.")</f>
        <v>Cow control is the responsibility of the caretaker.</v>
      </c>
      <c r="G166" s="6">
        <v>165.0</v>
      </c>
      <c r="H166" s="7" t="s">
        <v>1174</v>
      </c>
      <c r="I166" s="7" t="s">
        <v>1175</v>
      </c>
      <c r="J166" s="7" t="s">
        <v>737</v>
      </c>
      <c r="K166" s="7" t="s">
        <v>1176</v>
      </c>
    </row>
    <row r="167" ht="14.25" customHeight="1">
      <c r="A167" s="4">
        <v>166.0</v>
      </c>
      <c r="B167" s="5" t="str">
        <f>IFERROR(__xludf.DUMMYFUNCTION("GOOGLETRANSLATE(H167, ""th"", ""en"")"),"If a caretaker does not follow the referee's instructions during the match, can the referee punish them?")</f>
        <v>If a caretaker does not follow the referee's instructions during the match, can the referee punish them?</v>
      </c>
      <c r="C167" s="5" t="str">
        <f>IFERROR(__xludf.DUMMYFUNCTION("GOOGLETRANSLATE(I167, ""th"", ""en"")"),"A) Yes; B) No; C) Depending on the advice given; D) Depending on the judges' decision.")</f>
        <v>A) Yes; B) No; C) Depending on the advice given; D) Depending on the judges' decision.</v>
      </c>
      <c r="D167" s="4" t="str">
        <f>IFERROR(__xludf.DUMMYFUNCTION("GOOGLETRANSLATE(J167, ""th"", ""en"")"),"A) Yes.")</f>
        <v>A) Yes.</v>
      </c>
      <c r="E167" s="4" t="str">
        <f>IFERROR(__xludf.DUMMYFUNCTION("GOOGLETRANSLATE(K167, ""th"", ""en"")"),"Failure to follow these instructions is a violation of the rules.")</f>
        <v>Failure to follow these instructions is a violation of the rules.</v>
      </c>
      <c r="G167" s="6">
        <v>166.0</v>
      </c>
      <c r="H167" s="7" t="s">
        <v>1177</v>
      </c>
      <c r="I167" s="7" t="s">
        <v>1178</v>
      </c>
      <c r="J167" s="7" t="s">
        <v>737</v>
      </c>
      <c r="K167" s="7" t="s">
        <v>1179</v>
      </c>
    </row>
    <row r="168" ht="14.25" customHeight="1">
      <c r="A168" s="4">
        <v>167.0</v>
      </c>
      <c r="B168" s="5" t="str">
        <f>IFERROR(__xludf.DUMMYFUNCTION("GOOGLETRANSLATE(H168, ""th"", ""en"")"),"Is it permissible to use chemicals to treat cows before competition?")</f>
        <v>Is it permissible to use chemicals to treat cows before competition?</v>
      </c>
      <c r="C168" s="5" t="str">
        <f>IFERROR(__xludf.DUMMYFUNCTION("GOOGLETRANSLATE(I168, ""th"", ""en"")"),"A) Yes; B) No; C) It depends on the type of chemical; D) It depends on the judges' decision.")</f>
        <v>A) Yes; B) No; C) It depends on the type of chemical; D) It depends on the judges' decision.</v>
      </c>
      <c r="D168" s="4" t="str">
        <f>IFERROR(__xludf.DUMMYFUNCTION("GOOGLETRANSLATE(J168, ""th"", ""en"")"),"B) No.")</f>
        <v>B) No.</v>
      </c>
      <c r="E168" s="4" t="str">
        <f>IFERROR(__xludf.DUMMYFUNCTION("GOOGLETRANSLATE(K168, ""th"", ""en"")"),"The use of chemicals can be dangerous and make the competition unfair.")</f>
        <v>The use of chemicals can be dangerous and make the competition unfair.</v>
      </c>
      <c r="G168" s="6">
        <v>167.0</v>
      </c>
      <c r="H168" s="7" t="s">
        <v>1180</v>
      </c>
      <c r="I168" s="7" t="s">
        <v>1181</v>
      </c>
      <c r="J168" s="7" t="s">
        <v>698</v>
      </c>
      <c r="K168" s="7" t="s">
        <v>1182</v>
      </c>
    </row>
    <row r="169" ht="14.25" customHeight="1">
      <c r="A169" s="4">
        <v>168.0</v>
      </c>
      <c r="B169" s="5" t="str">
        <f>IFERROR(__xludf.DUMMYFUNCTION("GOOGLETRANSLATE(H169, ""th"", ""en"")"),"Is it okay to give cows breaks during a race to recover?")</f>
        <v>Is it okay to give cows breaks during a race to recover?</v>
      </c>
      <c r="C169" s="5" t="str">
        <f>IFERROR(__xludf.DUMMYFUNCTION("GOOGLETRANSLATE(I169, ""th"", ""en"")"),"A) Yes; B) No; C) It depends on the time period; D) It depends on the judges' decision.")</f>
        <v>A) Yes; B) No; C) It depends on the time period; D) It depends on the judges' decision.</v>
      </c>
      <c r="D169" s="4" t="str">
        <f>IFERROR(__xludf.DUMMYFUNCTION("GOOGLETRANSLATE(J169, ""th"", ""en"")"),"B) No.")</f>
        <v>B) No.</v>
      </c>
      <c r="E169" s="4" t="str">
        <f>IFERROR(__xludf.DUMMYFUNCTION("GOOGLETRANSLATE(K169, ""th"", ""en"")"),"The break made the competition unfair.")</f>
        <v>The break made the competition unfair.</v>
      </c>
      <c r="G169" s="6">
        <v>168.0</v>
      </c>
      <c r="H169" s="7" t="s">
        <v>1183</v>
      </c>
      <c r="I169" s="7" t="s">
        <v>1184</v>
      </c>
      <c r="J169" s="7" t="s">
        <v>698</v>
      </c>
      <c r="K169" s="7" t="s">
        <v>1185</v>
      </c>
    </row>
    <row r="170" ht="14.25" customHeight="1">
      <c r="A170" s="4">
        <v>169.0</v>
      </c>
      <c r="B170" s="5" t="str">
        <f>IFERROR(__xludf.DUMMYFUNCTION("GOOGLETRANSLATE(H170, ""th"", ""en"")"),"If a bull behaves unexpectedly during a race, can the referee stop the race?")</f>
        <v>If a bull behaves unexpectedly during a race, can the referee stop the race?</v>
      </c>
      <c r="C170" s="5" t="str">
        <f>IFERROR(__xludf.DUMMYFUNCTION("GOOGLETRANSLATE(I170, ""th"", ""en"")"),"A) Yes; B) No; C) It depends on the behavior of the cow; D) It depends on the judges' decision.")</f>
        <v>A) Yes; B) No; C) It depends on the behavior of the cow; D) It depends on the judges' decision.</v>
      </c>
      <c r="D170" s="4" t="str">
        <f>IFERROR(__xludf.DUMMYFUNCTION("GOOGLETRANSLATE(J170, ""th"", ""en"")"),"A) Yes.")</f>
        <v>A) Yes.</v>
      </c>
      <c r="E170" s="4" t="str">
        <f>IFERROR(__xludf.DUMMYFUNCTION("GOOGLETRANSLATE(K170, ""th"", ""en"")"),"Stopping the race helps prevent accidents.")</f>
        <v>Stopping the race helps prevent accidents.</v>
      </c>
      <c r="G170" s="6">
        <v>169.0</v>
      </c>
      <c r="H170" s="7" t="s">
        <v>1186</v>
      </c>
      <c r="I170" s="7" t="s">
        <v>1187</v>
      </c>
      <c r="J170" s="7" t="s">
        <v>737</v>
      </c>
      <c r="K170" s="7" t="s">
        <v>1188</v>
      </c>
    </row>
    <row r="171" ht="14.25" customHeight="1">
      <c r="A171" s="4">
        <v>170.0</v>
      </c>
      <c r="B171" s="5" t="str">
        <f>IFERROR(__xludf.DUMMYFUNCTION("GOOGLETRANSLATE(H171, ""th"", ""en"")"),"If the bull refuses to fight and remains silent, can the judge decide that the bull loses?")</f>
        <v>If the bull refuses to fight and remains silent, can the judge decide that the bull loses?</v>
      </c>
      <c r="C171" s="5" t="str">
        <f>IFERROR(__xludf.DUMMYFUNCTION("GOOGLETRANSLATE(I171, ""th"", ""en"")"),"A) Yes; B) No; C) It depends on the time period; D) It depends on the judges' decision.")</f>
        <v>A) Yes; B) No; C) It depends on the time period; D) It depends on the judges' decision.</v>
      </c>
      <c r="D171" s="4" t="str">
        <f>IFERROR(__xludf.DUMMYFUNCTION("GOOGLETRANSLATE(J171, ""th"", ""en"")"),"A) Yes.")</f>
        <v>A) Yes.</v>
      </c>
      <c r="E171" s="4" t="str">
        <f>IFERROR(__xludf.DUMMYFUNCTION("GOOGLETRANSLATE(K171, ""th"", ""en"")"),"Not fighting causes the bull to lose the race.")</f>
        <v>Not fighting causes the bull to lose the race.</v>
      </c>
      <c r="G171" s="6">
        <v>170.0</v>
      </c>
      <c r="H171" s="7" t="s">
        <v>1189</v>
      </c>
      <c r="I171" s="7" t="s">
        <v>1184</v>
      </c>
      <c r="J171" s="7" t="s">
        <v>737</v>
      </c>
      <c r="K171" s="7" t="s">
        <v>1190</v>
      </c>
    </row>
    <row r="172" ht="14.25" customHeight="1">
      <c r="A172" s="4">
        <v>171.0</v>
      </c>
      <c r="B172" s="5" t="str">
        <f>IFERROR(__xludf.DUMMYFUNCTION("GOOGLETRANSLATE(H172, ""th"", ""en"")"),"Is it permissible to enter a competition with a cow that has not passed the health inspection?")</f>
        <v>Is it permissible to enter a competition with a cow that has not passed the health inspection?</v>
      </c>
      <c r="C172" s="5" t="str">
        <f>IFERROR(__xludf.DUMMYFUNCTION("GOOGLETRANSLATE(I172, ""th"", ""en"")"),"A) Yes; B) No; C) It depends on the judges' decision; D) It depends on the results of the medical examination.")</f>
        <v>A) Yes; B) No; C) It depends on the judges' decision; D) It depends on the results of the medical examination.</v>
      </c>
      <c r="D172" s="4" t="str">
        <f>IFERROR(__xludf.DUMMYFUNCTION("GOOGLETRANSLATE(J172, ""th"", ""en"")"),"B) No.")</f>
        <v>B) No.</v>
      </c>
      <c r="E172" s="4" t="str">
        <f>IFERROR(__xludf.DUMMYFUNCTION("GOOGLETRANSLATE(K172, ""th"", ""en"")"),"Health check-ups are a preventative measure.")</f>
        <v>Health check-ups are a preventative measure.</v>
      </c>
      <c r="G172" s="6">
        <v>171.0</v>
      </c>
      <c r="H172" s="7" t="s">
        <v>1191</v>
      </c>
      <c r="I172" s="7" t="s">
        <v>1192</v>
      </c>
      <c r="J172" s="7" t="s">
        <v>698</v>
      </c>
      <c r="K172" s="7" t="s">
        <v>1193</v>
      </c>
    </row>
    <row r="173" ht="14.25" customHeight="1">
      <c r="A173" s="4">
        <v>172.0</v>
      </c>
      <c r="B173" s="5" t="str">
        <f>IFERROR(__xludf.DUMMYFUNCTION("GOOGLETRANSLATE(H173, ""th"", ""en"")"),"If the handler fails to control the bull during the race, can the referee penalize him?")</f>
        <v>If the handler fails to control the bull during the race, can the referee penalize him?</v>
      </c>
      <c r="C173" s="5" t="str">
        <f>IFERROR(__xludf.DUMMYFUNCTION("GOOGLETRANSLATE(I173, ""th"", ""en"")"),"A) Yes; B) No; C) It depends on the cause; D) It depends on the judges' decision.")</f>
        <v>A) Yes; B) No; C) It depends on the cause; D) It depends on the judges' decision.</v>
      </c>
      <c r="D173" s="4" t="str">
        <f>IFERROR(__xludf.DUMMYFUNCTION("GOOGLETRANSLATE(J173, ""th"", ""en"")"),"A) Yes.")</f>
        <v>A) Yes.</v>
      </c>
      <c r="E173" s="4" t="str">
        <f>IFERROR(__xludf.DUMMYFUNCTION("GOOGLETRANSLATE(K173, ""th"", ""en"")"),"Cow control is the responsibility of the caretaker.")</f>
        <v>Cow control is the responsibility of the caretaker.</v>
      </c>
      <c r="G173" s="6">
        <v>172.0</v>
      </c>
      <c r="H173" s="7" t="s">
        <v>1194</v>
      </c>
      <c r="I173" s="7" t="s">
        <v>1195</v>
      </c>
      <c r="J173" s="7" t="s">
        <v>737</v>
      </c>
      <c r="K173" s="7" t="s">
        <v>1176</v>
      </c>
    </row>
    <row r="174" ht="14.25" customHeight="1">
      <c r="A174" s="4">
        <v>173.0</v>
      </c>
      <c r="B174" s="5" t="str">
        <f>IFERROR(__xludf.DUMMYFUNCTION("GOOGLETRANSLATE(H174, ""th"", ""en"")"),"Is it permissible to behave rudely towards an opponent in a bullfight?")</f>
        <v>Is it permissible to behave rudely towards an opponent in a bullfight?</v>
      </c>
      <c r="C174" s="5" t="str">
        <f>IFERROR(__xludf.DUMMYFUNCTION("GOOGLETRANSLATE(I174, ""th"", ""en"")"),"A) Allowed; B) Not allowed; C) Depending on the situation; D) Depending on the judge's decision.")</f>
        <v>A) Allowed; B) Not allowed; C) Depending on the situation; D) Depending on the judge's decision.</v>
      </c>
      <c r="D174" s="4" t="str">
        <f>IFERROR(__xludf.DUMMYFUNCTION("GOOGLETRANSLATE(J174, ""th"", ""en"")"),"B) Not allowed")</f>
        <v>B) Not allowed</v>
      </c>
      <c r="E174" s="4" t="str">
        <f>IFERROR(__xludf.DUMMYFUNCTION("GOOGLETRANSLATE(K174, ""th"", ""en"")"),"Maintaining good manners is important in competition.")</f>
        <v>Maintaining good manners is important in competition.</v>
      </c>
      <c r="G174" s="6">
        <v>173.0</v>
      </c>
      <c r="H174" s="7" t="s">
        <v>1196</v>
      </c>
      <c r="I174" s="7" t="s">
        <v>1153</v>
      </c>
      <c r="J174" s="7" t="s">
        <v>690</v>
      </c>
      <c r="K174" s="7" t="s">
        <v>1197</v>
      </c>
    </row>
    <row r="175" ht="14.25" customHeight="1">
      <c r="A175" s="4">
        <v>174.0</v>
      </c>
      <c r="B175" s="5" t="str">
        <f>IFERROR(__xludf.DUMMYFUNCTION("GOOGLETRANSLATE(H175, ""th"", ""en"")"),"Is it permissible to use tools that could injure the cow during the race?")</f>
        <v>Is it permissible to use tools that could injure the cow during the race?</v>
      </c>
      <c r="C175" s="5" t="str">
        <f>IFERROR(__xludf.DUMMYFUNCTION("GOOGLETRANSLATE(I175, ""th"", ""en"")"),"A) Allowed; B) Not allowed; C) Depends on the tool; D) Depends on the judge's decision.")</f>
        <v>A) Allowed; B) Not allowed; C) Depends on the tool; D) Depends on the judge's decision.</v>
      </c>
      <c r="D175" s="4" t="str">
        <f>IFERROR(__xludf.DUMMYFUNCTION("GOOGLETRANSLATE(J175, ""th"", ""en"")"),"B) Not allowed")</f>
        <v>B) Not allowed</v>
      </c>
      <c r="E175" s="4" t="str">
        <f>IFERROR(__xludf.DUMMYFUNCTION("GOOGLETRANSLATE(K175, ""th"", ""en"")"),"Using dangerous tools is a violation of the law.")</f>
        <v>Using dangerous tools is a violation of the law.</v>
      </c>
      <c r="G175" s="6">
        <v>174.0</v>
      </c>
      <c r="H175" s="7" t="s">
        <v>1198</v>
      </c>
      <c r="I175" s="7" t="s">
        <v>1199</v>
      </c>
      <c r="J175" s="7" t="s">
        <v>690</v>
      </c>
      <c r="K175" s="7" t="s">
        <v>1200</v>
      </c>
    </row>
    <row r="176" ht="14.25" customHeight="1">
      <c r="A176" s="4">
        <v>175.0</v>
      </c>
      <c r="B176" s="5" t="str">
        <f>IFERROR(__xludf.DUMMYFUNCTION("GOOGLETRANSLATE(H176, ""th"", ""en"")"),"If a bull behaves too aggressively during a race, can the referee stop the race?")</f>
        <v>If a bull behaves too aggressively during a race, can the referee stop the race?</v>
      </c>
      <c r="C176" s="5" t="str">
        <f>IFERROR(__xludf.DUMMYFUNCTION("GOOGLETRANSLATE(I176, ""th"", ""en"")"),"A) Yes; B) No; C) It depends on the severity of the aggression; D) It depends on the judge's decision.")</f>
        <v>A) Yes; B) No; C) It depends on the severity of the aggression; D) It depends on the judge's decision.</v>
      </c>
      <c r="D176" s="4" t="str">
        <f>IFERROR(__xludf.DUMMYFUNCTION("GOOGLETRANSLATE(J176, ""th"", ""en"")"),"A) Yes.")</f>
        <v>A) Yes.</v>
      </c>
      <c r="E176" s="4" t="str">
        <f>IFERROR(__xludf.DUMMYFUNCTION("GOOGLETRANSLATE(K176, ""th"", ""en"")"),"Stopping the game helps prevent injuries.")</f>
        <v>Stopping the game helps prevent injuries.</v>
      </c>
      <c r="G176" s="6">
        <v>175.0</v>
      </c>
      <c r="H176" s="7" t="s">
        <v>1201</v>
      </c>
      <c r="I176" s="7" t="s">
        <v>1202</v>
      </c>
      <c r="J176" s="7" t="s">
        <v>737</v>
      </c>
      <c r="K176" s="7" t="s">
        <v>1203</v>
      </c>
    </row>
    <row r="177" ht="14.25" customHeight="1">
      <c r="A177" s="4">
        <v>176.0</v>
      </c>
      <c r="B177" s="5" t="str">
        <f>IFERROR(__xludf.DUMMYFUNCTION("GOOGLETRANSLATE(H177, ""th"", ""en"")"),"Can handlers use inappropriate behavior with the cows during the race?")</f>
        <v>Can handlers use inappropriate behavior with the cows during the race?</v>
      </c>
      <c r="C177" s="5" t="str">
        <f>IFERROR(__xludf.DUMMYFUNCTION("GOOGLETRANSLATE(I177, ""th"", ""en"")"),"A) Yes; B) No; C) It depends on the behavior; D) It depends on the judges' decision.")</f>
        <v>A) Yes; B) No; C) It depends on the behavior; D) It depends on the judges' decision.</v>
      </c>
      <c r="D177" s="4" t="str">
        <f>IFERROR(__xludf.DUMMYFUNCTION("GOOGLETRANSLATE(J177, ""th"", ""en"")"),"B) No.")</f>
        <v>B) No.</v>
      </c>
      <c r="E177" s="4" t="str">
        <f>IFERROR(__xludf.DUMMYFUNCTION("GOOGLETRANSLATE(K177, ""th"", ""en"")"),"The treatment of cows must be in accordance with the rules.")</f>
        <v>The treatment of cows must be in accordance with the rules.</v>
      </c>
      <c r="G177" s="6">
        <v>176.0</v>
      </c>
      <c r="H177" s="7" t="s">
        <v>1204</v>
      </c>
      <c r="I177" s="7" t="s">
        <v>1205</v>
      </c>
      <c r="J177" s="7" t="s">
        <v>698</v>
      </c>
      <c r="K177" s="7" t="s">
        <v>1206</v>
      </c>
    </row>
    <row r="178" ht="14.25" customHeight="1">
      <c r="A178" s="4">
        <v>177.0</v>
      </c>
      <c r="B178" s="5" t="str">
        <f>IFERROR(__xludf.DUMMYFUNCTION("GOOGLETRANSLATE(H178, ""th"", ""en"")"),"Is it necessary to check the strength of the bull before the competition?")</f>
        <v>Is it necessary to check the strength of the bull before the competition?</v>
      </c>
      <c r="C178" s="5" t="str">
        <f>IFERROR(__xludf.DUMMYFUNCTION("GOOGLETRANSLATE(I178, ""th"", ""en"")"),"A) Required; B) Not required; C) Depends on the type of competition; D) Depends on the judges' decision.")</f>
        <v>A) Required; B) Not required; C) Depends on the type of competition; D) Depends on the judges' decision.</v>
      </c>
      <c r="D178" s="4" t="str">
        <f>IFERROR(__xludf.DUMMYFUNCTION("GOOGLETRANSLATE(J178, ""th"", ""en"")"),"A) Necessary")</f>
        <v>A) Necessary</v>
      </c>
      <c r="E178" s="4" t="str">
        <f>IFERROR(__xludf.DUMMYFUNCTION("GOOGLETRANSLATE(K178, ""th"", ""en"")"),"Strength checks help prevent accidents.")</f>
        <v>Strength checks help prevent accidents.</v>
      </c>
      <c r="G178" s="6">
        <v>177.0</v>
      </c>
      <c r="H178" s="7" t="s">
        <v>1207</v>
      </c>
      <c r="I178" s="7" t="s">
        <v>1208</v>
      </c>
      <c r="J178" s="7" t="s">
        <v>709</v>
      </c>
      <c r="K178" s="7" t="s">
        <v>1209</v>
      </c>
    </row>
    <row r="179" ht="14.25" customHeight="1">
      <c r="A179" s="4">
        <v>178.0</v>
      </c>
      <c r="B179" s="5" t="str">
        <f>IFERROR(__xludf.DUMMYFUNCTION("GOOGLETRANSLATE(H179, ""th"", ""en"")"),"Is it permissible to use violence in training bulls before competition?")</f>
        <v>Is it permissible to use violence in training bulls before competition?</v>
      </c>
      <c r="C179" s="5" t="str">
        <f>IFERROR(__xludf.DUMMYFUNCTION("GOOGLETRANSLATE(I179, ""th"", ""en"")"),"A) Allowed; B) Not allowed; C) Depending on the situation; D) Depending on the judge's decision.")</f>
        <v>A) Allowed; B) Not allowed; C) Depending on the situation; D) Depending on the judge's decision.</v>
      </c>
      <c r="D179" s="4" t="str">
        <f>IFERROR(__xludf.DUMMYFUNCTION("GOOGLETRANSLATE(J179, ""th"", ""en"")"),"B) Not allowed")</f>
        <v>B) Not allowed</v>
      </c>
      <c r="E179" s="4" t="str">
        <f>IFERROR(__xludf.DUMMYFUNCTION("GOOGLETRANSLATE(K179, ""th"", ""en"")"),"The use of violence caused injuries to the cow.")</f>
        <v>The use of violence caused injuries to the cow.</v>
      </c>
      <c r="G179" s="6">
        <v>178.0</v>
      </c>
      <c r="H179" s="7" t="s">
        <v>1210</v>
      </c>
      <c r="I179" s="7" t="s">
        <v>1153</v>
      </c>
      <c r="J179" s="7" t="s">
        <v>690</v>
      </c>
      <c r="K179" s="7" t="s">
        <v>1211</v>
      </c>
    </row>
    <row r="180" ht="14.25" customHeight="1">
      <c r="A180" s="4">
        <v>179.0</v>
      </c>
      <c r="B180" s="5" t="str">
        <f>IFERROR(__xludf.DUMMYFUNCTION("GOOGLETRANSLATE(H180, ""th"", ""en"")"),"Is it right to force a cow to fight when it is not ready or able to fight?")</f>
        <v>Is it right to force a cow to fight when it is not ready or able to fight?</v>
      </c>
      <c r="C180" s="5" t="str">
        <f>IFERROR(__xludf.DUMMYFUNCTION("GOOGLETRANSLATE(I180, ""th"", ""en"")"),"A) Correct; B) Incorrect; C) Depends on the situation; D) Depends on the judges' decision.")</f>
        <v>A) Correct; B) Incorrect; C) Depends on the situation; D) Depends on the judges' decision.</v>
      </c>
      <c r="D180" s="4" t="str">
        <f>IFERROR(__xludf.DUMMYFUNCTION("GOOGLETRANSLATE(J180, ""th"", ""en"")"),"B) Incorrect")</f>
        <v>B) Incorrect</v>
      </c>
      <c r="E180" s="4" t="str">
        <f>IFERROR(__xludf.DUMMYFUNCTION("GOOGLETRANSLATE(K180, ""th"", ""en"")"),"Competition should be fair and safe.")</f>
        <v>Competition should be fair and safe.</v>
      </c>
      <c r="G180" s="6">
        <v>179.0</v>
      </c>
      <c r="H180" s="7" t="s">
        <v>1212</v>
      </c>
      <c r="I180" s="7" t="s">
        <v>1161</v>
      </c>
      <c r="J180" s="7" t="s">
        <v>1162</v>
      </c>
      <c r="K180" s="7" t="s">
        <v>1213</v>
      </c>
    </row>
    <row r="181" ht="14.25" customHeight="1">
      <c r="A181" s="4">
        <v>180.0</v>
      </c>
      <c r="B181" s="5" t="str">
        <f>IFERROR(__xludf.DUMMYFUNCTION("GOOGLETRANSLATE(H181, ""th"", ""en"")"),"Can the referee change the rules during the match?")</f>
        <v>Can the referee change the rules during the match?</v>
      </c>
      <c r="C181" s="5" t="str">
        <f>IFERROR(__xludf.DUMMYFUNCTION("GOOGLETRANSLATE(I181, ""th"", ""en"")"),"A) Yes; B) No; C) It depends on the situation; D) It depends on the judges' decision.")</f>
        <v>A) Yes; B) No; C) It depends on the situation; D) It depends on the judges' decision.</v>
      </c>
      <c r="D181" s="4" t="str">
        <f>IFERROR(__xludf.DUMMYFUNCTION("GOOGLETRANSLATE(J181, ""th"", ""en"")"),"B) No.")</f>
        <v>B) No.</v>
      </c>
      <c r="E181" s="4" t="str">
        <f>IFERROR(__xludf.DUMMYFUNCTION("GOOGLETRANSLATE(K181, ""th"", ""en"")"),"The rules must be followed throughout the competition.")</f>
        <v>The rules must be followed throughout the competition.</v>
      </c>
      <c r="G181" s="6">
        <v>180.0</v>
      </c>
      <c r="H181" s="7" t="s">
        <v>1214</v>
      </c>
      <c r="I181" s="7" t="s">
        <v>1027</v>
      </c>
      <c r="J181" s="7" t="s">
        <v>698</v>
      </c>
      <c r="K181" s="7" t="s">
        <v>1215</v>
      </c>
    </row>
    <row r="182" ht="14.25" customHeight="1">
      <c r="A182" s="4">
        <v>181.0</v>
      </c>
      <c r="B182" s="5" t="str">
        <f>IFERROR(__xludf.DUMMYFUNCTION("GOOGLETRANSLATE(H182, ""th"", ""en"")"),"If there is an unfair attack during the match, can the referee punish the perpetrator?")</f>
        <v>If there is an unfair attack during the match, can the referee punish the perpetrator?</v>
      </c>
      <c r="C182" s="5" t="str">
        <f>IFERROR(__xludf.DUMMYFUNCTION("GOOGLETRANSLATE(I182, ""th"", ""en"")"),"A) Yes; B) No; C) It depends on the severity of the attack; D) It depends on the referee's decision.")</f>
        <v>A) Yes; B) No; C) It depends on the severity of the attack; D) It depends on the referee's decision.</v>
      </c>
      <c r="D182" s="4" t="str">
        <f>IFERROR(__xludf.DUMMYFUNCTION("GOOGLETRANSLATE(J182, ""th"", ""en"")"),"A) Yes.")</f>
        <v>A) Yes.</v>
      </c>
      <c r="E182" s="4" t="str">
        <f>IFERROR(__xludf.DUMMYFUNCTION("GOOGLETRANSLATE(K182, ""th"", ""en"")"),"Unfair attacks are a violation of the rules.")</f>
        <v>Unfair attacks are a violation of the rules.</v>
      </c>
      <c r="G182" s="6">
        <v>181.0</v>
      </c>
      <c r="H182" s="7" t="s">
        <v>1216</v>
      </c>
      <c r="I182" s="7" t="s">
        <v>1217</v>
      </c>
      <c r="J182" s="7" t="s">
        <v>737</v>
      </c>
      <c r="K182" s="7" t="s">
        <v>1218</v>
      </c>
    </row>
    <row r="183" ht="14.25" customHeight="1">
      <c r="A183" s="4">
        <v>182.0</v>
      </c>
      <c r="B183" s="5" t="str">
        <f>IFERROR(__xludf.DUMMYFUNCTION("GOOGLETRANSLATE(H183, ""th"", ""en"")"),"Is it permissible to use materials that cause pain or damage to the cow during the competition?")</f>
        <v>Is it permissible to use materials that cause pain or damage to the cow during the competition?</v>
      </c>
      <c r="C183" s="5" t="str">
        <f>IFERROR(__xludf.DUMMYFUNCTION("GOOGLETRANSLATE(I183, ""th"", ""en"")"),"A) Allowed; B) Not allowed; C) Depending on the materials used; D) Depending on the judges' decision.")</f>
        <v>A) Allowed; B) Not allowed; C) Depending on the materials used; D) Depending on the judges' decision.</v>
      </c>
      <c r="D183" s="4" t="str">
        <f>IFERROR(__xludf.DUMMYFUNCTION("GOOGLETRANSLATE(J183, ""th"", ""en"")"),"B) Not allowed")</f>
        <v>B) Not allowed</v>
      </c>
      <c r="E183" s="4" t="str">
        <f>IFERROR(__xludf.DUMMYFUNCTION("GOOGLETRANSLATE(K183, ""th"", ""en"")"),"Bullying a cow is a violation of the law.")</f>
        <v>Bullying a cow is a violation of the law.</v>
      </c>
      <c r="G183" s="6">
        <v>182.0</v>
      </c>
      <c r="H183" s="7" t="s">
        <v>1219</v>
      </c>
      <c r="I183" s="7" t="s">
        <v>1220</v>
      </c>
      <c r="J183" s="7" t="s">
        <v>690</v>
      </c>
      <c r="K183" s="7" t="s">
        <v>1221</v>
      </c>
    </row>
    <row r="184" ht="14.25" customHeight="1">
      <c r="A184" s="4">
        <v>183.0</v>
      </c>
      <c r="B184" s="5" t="str">
        <f>IFERROR(__xludf.DUMMYFUNCTION("GOOGLETRANSLATE(H184, ""th"", ""en"")"),"Is it permissible for a handler to use illegal training methods to prepare a cow?")</f>
        <v>Is it permissible for a handler to use illegal training methods to prepare a cow?</v>
      </c>
      <c r="C184" s="5" t="str">
        <f>IFERROR(__xludf.DUMMYFUNCTION("GOOGLETRANSLATE(I184, ""th"", ""en"")"),"A) Yes; B) No; C) It depends on the training method; D) It depends on the judges' decision.")</f>
        <v>A) Yes; B) No; C) It depends on the training method; D) It depends on the judges' decision.</v>
      </c>
      <c r="D184" s="4" t="str">
        <f>IFERROR(__xludf.DUMMYFUNCTION("GOOGLETRANSLATE(J184, ""th"", ""en"")"),"B) No.")</f>
        <v>B) No.</v>
      </c>
      <c r="E184" s="4" t="str">
        <f>IFERROR(__xludf.DUMMYFUNCTION("GOOGLETRANSLATE(K184, ""th"", ""en"")"),"Improper training is a violation of the rules.")</f>
        <v>Improper training is a violation of the rules.</v>
      </c>
      <c r="G184" s="6">
        <v>183.0</v>
      </c>
      <c r="H184" s="7" t="s">
        <v>1222</v>
      </c>
      <c r="I184" s="7" t="s">
        <v>1223</v>
      </c>
      <c r="J184" s="7" t="s">
        <v>698</v>
      </c>
      <c r="K184" s="7" t="s">
        <v>1224</v>
      </c>
    </row>
    <row r="185" ht="14.25" customHeight="1">
      <c r="A185" s="4">
        <v>184.0</v>
      </c>
      <c r="B185" s="5" t="str">
        <f>IFERROR(__xludf.DUMMYFUNCTION("GOOGLETRANSLATE(H185, ""th"", ""en"")"),"If a cow is injured by the actions of its handler during a race, can the referee stop the race?")</f>
        <v>If a cow is injured by the actions of its handler during a race, can the referee stop the race?</v>
      </c>
      <c r="C185" s="5" t="str">
        <f>IFERROR(__xludf.DUMMYFUNCTION("GOOGLETRANSLATE(I185, ""th"", ""en"")"),"A) Yes; B) No; C) Depends on the injury; D) Depends on the referee's decision.")</f>
        <v>A) Yes; B) No; C) Depends on the injury; D) Depends on the referee's decision.</v>
      </c>
      <c r="D185" s="4" t="str">
        <f>IFERROR(__xludf.DUMMYFUNCTION("GOOGLETRANSLATE(J185, ""th"", ""en"")"),"A) Yes.")</f>
        <v>A) Yes.</v>
      </c>
      <c r="E185" s="4" t="str">
        <f>IFERROR(__xludf.DUMMYFUNCTION("GOOGLETRANSLATE(K185, ""th"", ""en"")"),"Stopping the game helps prevent injuries.")</f>
        <v>Stopping the game helps prevent injuries.</v>
      </c>
      <c r="G185" s="6">
        <v>184.0</v>
      </c>
      <c r="H185" s="7" t="s">
        <v>1225</v>
      </c>
      <c r="I185" s="7" t="s">
        <v>1226</v>
      </c>
      <c r="J185" s="7" t="s">
        <v>737</v>
      </c>
      <c r="K185" s="7" t="s">
        <v>1203</v>
      </c>
    </row>
    <row r="186" ht="14.25" customHeight="1">
      <c r="A186" s="4">
        <v>185.0</v>
      </c>
      <c r="B186" s="5" t="str">
        <f>IFERROR(__xludf.DUMMYFUNCTION("GOOGLETRANSLATE(H186, ""th"", ""en"")"),"If the handler is unable to control the cow, can the referee punish him?")</f>
        <v>If the handler is unable to control the cow, can the referee punish him?</v>
      </c>
      <c r="C186" s="5" t="str">
        <f>IFERROR(__xludf.DUMMYFUNCTION("GOOGLETRANSLATE(I186, ""th"", ""en"")"),"A) Yes; B) No; C) It depends on the situation; D) It depends on the judges' decision.")</f>
        <v>A) Yes; B) No; C) It depends on the situation; D) It depends on the judges' decision.</v>
      </c>
      <c r="D186" s="4" t="str">
        <f>IFERROR(__xludf.DUMMYFUNCTION("GOOGLETRANSLATE(J186, ""th"", ""en"")"),"A) Yes.")</f>
        <v>A) Yes.</v>
      </c>
      <c r="E186" s="4" t="str">
        <f>IFERROR(__xludf.DUMMYFUNCTION("GOOGLETRANSLATE(K186, ""th"", ""en"")"),"Cow control is the responsibility of the caretaker.")</f>
        <v>Cow control is the responsibility of the caretaker.</v>
      </c>
      <c r="G186" s="6">
        <v>185.0</v>
      </c>
      <c r="H186" s="7" t="s">
        <v>1112</v>
      </c>
      <c r="I186" s="7" t="s">
        <v>1027</v>
      </c>
      <c r="J186" s="7" t="s">
        <v>737</v>
      </c>
      <c r="K186" s="7" t="s">
        <v>1176</v>
      </c>
    </row>
    <row r="187" ht="14.25" customHeight="1">
      <c r="A187" s="4">
        <v>186.0</v>
      </c>
      <c r="B187" s="5" t="str">
        <f>IFERROR(__xludf.DUMMYFUNCTION("GOOGLETRANSLATE(H187, ""th"", ""en"")"),"Is it permissible to use dangerous attacks during bullfights?")</f>
        <v>Is it permissible to use dangerous attacks during bullfights?</v>
      </c>
      <c r="C187" s="5" t="str">
        <f>IFERROR(__xludf.DUMMYFUNCTION("GOOGLETRANSLATE(I187, ""th"", ""en"")"),"A) Yes; B) No; C) It depends on the type of attack; D) It depends on the referee's decision.")</f>
        <v>A) Yes; B) No; C) It depends on the type of attack; D) It depends on the referee's decision.</v>
      </c>
      <c r="D187" s="4" t="str">
        <f>IFERROR(__xludf.DUMMYFUNCTION("GOOGLETRANSLATE(J187, ""th"", ""en"")"),"B) No.")</f>
        <v>B) No.</v>
      </c>
      <c r="E187" s="4" t="str">
        <f>IFERROR(__xludf.DUMMYFUNCTION("GOOGLETRANSLATE(K187, ""th"", ""en"")"),"Malicious attacks cause injustice.")</f>
        <v>Malicious attacks cause injustice.</v>
      </c>
      <c r="G187" s="6">
        <v>186.0</v>
      </c>
      <c r="H187" s="7" t="s">
        <v>1227</v>
      </c>
      <c r="I187" s="7" t="s">
        <v>1228</v>
      </c>
      <c r="J187" s="7" t="s">
        <v>698</v>
      </c>
      <c r="K187" s="7" t="s">
        <v>1229</v>
      </c>
    </row>
    <row r="188" ht="14.25" customHeight="1">
      <c r="A188" s="4">
        <v>187.0</v>
      </c>
      <c r="B188" s="5" t="str">
        <f>IFERROR(__xludf.DUMMYFUNCTION("GOOGLETRANSLATE(H188, ""th"", ""en"")"),"Is it possible to give cows a chance to rest during the race?")</f>
        <v>Is it possible to give cows a chance to rest during the race?</v>
      </c>
      <c r="C188" s="5" t="str">
        <f>IFERROR(__xludf.DUMMYFUNCTION("GOOGLETRANSLATE(I188, ""th"", ""en"")"),"A) Yes; B) No; C) It depends on the duration of the competition; D) It depends on the judges' decision.")</f>
        <v>A) Yes; B) No; C) It depends on the duration of the competition; D) It depends on the judges' decision.</v>
      </c>
      <c r="D188" s="4" t="str">
        <f>IFERROR(__xludf.DUMMYFUNCTION("GOOGLETRANSLATE(J188, ""th"", ""en"")"),"B) No.")</f>
        <v>B) No.</v>
      </c>
      <c r="E188" s="4" t="str">
        <f>IFERROR(__xludf.DUMMYFUNCTION("GOOGLETRANSLATE(K188, ""th"", ""en"")"),"The competition must continue.")</f>
        <v>The competition must continue.</v>
      </c>
      <c r="G188" s="6">
        <v>187.0</v>
      </c>
      <c r="H188" s="7" t="s">
        <v>1230</v>
      </c>
      <c r="I188" s="7" t="s">
        <v>1231</v>
      </c>
      <c r="J188" s="7" t="s">
        <v>698</v>
      </c>
      <c r="K188" s="7" t="s">
        <v>1232</v>
      </c>
    </row>
    <row r="189" ht="14.25" customHeight="1">
      <c r="A189" s="4">
        <v>188.0</v>
      </c>
      <c r="B189" s="5" t="str">
        <f>IFERROR(__xludf.DUMMYFUNCTION("GOOGLETRANSLATE(H189, ""th"", ""en"")"),"Can referees use warnings to prevent misconduct in a match?")</f>
        <v>Can referees use warnings to prevent misconduct in a match?</v>
      </c>
      <c r="C189" s="5" t="str">
        <f>IFERROR(__xludf.DUMMYFUNCTION("GOOGLETRANSLATE(I189, ""th"", ""en"")"),"A) Yes; B) No; C) Depends on the offense; D) Depends on the referee's decision.")</f>
        <v>A) Yes; B) No; C) Depends on the offense; D) Depends on the referee's decision.</v>
      </c>
      <c r="D189" s="4" t="str">
        <f>IFERROR(__xludf.DUMMYFUNCTION("GOOGLETRANSLATE(J189, ""th"", ""en"")"),"A) Yes.")</f>
        <v>A) Yes.</v>
      </c>
      <c r="E189" s="4" t="str">
        <f>IFERROR(__xludf.DUMMYFUNCTION("GOOGLETRANSLATE(K189, ""th"", ""en"")"),"Warnings help prevent future misconduct.")</f>
        <v>Warnings help prevent future misconduct.</v>
      </c>
      <c r="G189" s="6">
        <v>188.0</v>
      </c>
      <c r="H189" s="7" t="s">
        <v>1233</v>
      </c>
      <c r="I189" s="7" t="s">
        <v>1234</v>
      </c>
      <c r="J189" s="7" t="s">
        <v>737</v>
      </c>
      <c r="K189" s="7" t="s">
        <v>1235</v>
      </c>
    </row>
    <row r="190" ht="14.25" customHeight="1">
      <c r="A190" s="4">
        <v>189.0</v>
      </c>
      <c r="B190" s="5" t="str">
        <f>IFERROR(__xludf.DUMMYFUNCTION("GOOGLETRANSLATE(H190, ""th"", ""en"")"),"If a bull fails to comply with the rules of the competition, can the judges decide that the bull loses?")</f>
        <v>If a bull fails to comply with the rules of the competition, can the judges decide that the bull loses?</v>
      </c>
      <c r="C190" s="5" t="str">
        <f>IFERROR(__xludf.DUMMYFUNCTION("GOOGLETRANSLATE(I190, ""th"", ""en"")"),"A) Yes; B) No; C) It depends on the situation; D) It depends on the judges' decision.")</f>
        <v>A) Yes; B) No; C) It depends on the situation; D) It depends on the judges' decision.</v>
      </c>
      <c r="D190" s="4" t="str">
        <f>IFERROR(__xludf.DUMMYFUNCTION("GOOGLETRANSLATE(J190, ""th"", ""en"")"),"A) Yes.")</f>
        <v>A) Yes.</v>
      </c>
      <c r="E190" s="4" t="str">
        <f>IFERROR(__xludf.DUMMYFUNCTION("GOOGLETRANSLATE(K190, ""th"", ""en"")"),"Failure to follow the rules causes the cow to lose.")</f>
        <v>Failure to follow the rules causes the cow to lose.</v>
      </c>
      <c r="G190" s="6">
        <v>189.0</v>
      </c>
      <c r="H190" s="7" t="s">
        <v>1236</v>
      </c>
      <c r="I190" s="7" t="s">
        <v>1027</v>
      </c>
      <c r="J190" s="7" t="s">
        <v>737</v>
      </c>
      <c r="K190" s="7" t="s">
        <v>1237</v>
      </c>
    </row>
    <row r="191" ht="14.25" customHeight="1">
      <c r="A191" s="4">
        <v>190.0</v>
      </c>
      <c r="B191" s="5" t="str">
        <f>IFERROR(__xludf.DUMMYFUNCTION("GOOGLETRANSLATE(H191, ""th"", ""en"")"),"Is it permissible to use actions that make your opponent feel scared or stressed during the match?")</f>
        <v>Is it permissible to use actions that make your opponent feel scared or stressed during the match?</v>
      </c>
      <c r="C191" s="5" t="str">
        <f>IFERROR(__xludf.DUMMYFUNCTION("GOOGLETRANSLATE(I191, ""th"", ""en"")"),"A) Yes; B) No; C) Depends on the action; D) Depends on the judge's decision.")</f>
        <v>A) Yes; B) No; C) Depends on the action; D) Depends on the judge's decision.</v>
      </c>
      <c r="D191" s="4" t="str">
        <f>IFERROR(__xludf.DUMMYFUNCTION("GOOGLETRANSLATE(J191, ""th"", ""en"")"),"B) No.")</f>
        <v>B) No.</v>
      </c>
      <c r="E191" s="4" t="str">
        <f>IFERROR(__xludf.DUMMYFUNCTION("GOOGLETRANSLATE(K191, ""th"", ""en"")"),"Improper actions lead to injustice.")</f>
        <v>Improper actions lead to injustice.</v>
      </c>
      <c r="G191" s="6">
        <v>190.0</v>
      </c>
      <c r="H191" s="7" t="s">
        <v>1238</v>
      </c>
      <c r="I191" s="7" t="s">
        <v>1239</v>
      </c>
      <c r="J191" s="7" t="s">
        <v>698</v>
      </c>
      <c r="K191" s="7" t="s">
        <v>1240</v>
      </c>
    </row>
    <row r="192" ht="14.25" customHeight="1">
      <c r="A192" s="4">
        <v>191.0</v>
      </c>
      <c r="B192" s="5" t="str">
        <f>IFERROR(__xludf.DUMMYFUNCTION("GOOGLETRANSLATE(H192, ""th"", ""en"")"),"If a referee violates the rules during a match, can the referee stop the match?")</f>
        <v>If a referee violates the rules during a match, can the referee stop the match?</v>
      </c>
      <c r="C192" s="5" t="str">
        <f>IFERROR(__xludf.DUMMYFUNCTION("GOOGLETRANSLATE(I192, ""th"", ""en"")"),"A) Yes; B) No; C) Depends on the violation; D) Depends on the referee's decision.")</f>
        <v>A) Yes; B) No; C) Depends on the violation; D) Depends on the referee's decision.</v>
      </c>
      <c r="D192" s="4" t="str">
        <f>IFERROR(__xludf.DUMMYFUNCTION("GOOGLETRANSLATE(J192, ""th"", ""en"")"),"A) Yes.")</f>
        <v>A) Yes.</v>
      </c>
      <c r="E192" s="4" t="str">
        <f>IFERROR(__xludf.DUMMYFUNCTION("GOOGLETRANSLATE(K192, ""th"", ""en"")"),"Ending the competition helps maintain fairness.")</f>
        <v>Ending the competition helps maintain fairness.</v>
      </c>
      <c r="G192" s="6">
        <v>191.0</v>
      </c>
      <c r="H192" s="7" t="s">
        <v>1241</v>
      </c>
      <c r="I192" s="7" t="s">
        <v>1242</v>
      </c>
      <c r="J192" s="7" t="s">
        <v>737</v>
      </c>
      <c r="K192" s="7" t="s">
        <v>1243</v>
      </c>
    </row>
    <row r="193" ht="14.25" customHeight="1">
      <c r="A193" s="4">
        <v>192.0</v>
      </c>
      <c r="B193" s="5" t="str">
        <f>IFERROR(__xludf.DUMMYFUNCTION("GOOGLETRANSLATE(H193, ""th"", ""en"")"),"Can the moderator change the rules of the competition?")</f>
        <v>Can the moderator change the rules of the competition?</v>
      </c>
      <c r="C193" s="5" t="str">
        <f>IFERROR(__xludf.DUMMYFUNCTION("GOOGLETRANSLATE(I193, ""th"", ""en"")"),"A) Yes; B) No; C) It depends on the situation; D) It depends on the judges' decision.")</f>
        <v>A) Yes; B) No; C) It depends on the situation; D) It depends on the judges' decision.</v>
      </c>
      <c r="D193" s="4" t="str">
        <f>IFERROR(__xludf.DUMMYFUNCTION("GOOGLETRANSLATE(J193, ""th"", ""en"")"),"B) No.")</f>
        <v>B) No.</v>
      </c>
      <c r="E193" s="4" t="str">
        <f>IFERROR(__xludf.DUMMYFUNCTION("GOOGLETRANSLATE(K193, ""th"", ""en"")"),"The rules of the competition must be followed.")</f>
        <v>The rules of the competition must be followed.</v>
      </c>
      <c r="G193" s="6">
        <v>192.0</v>
      </c>
      <c r="H193" s="7" t="s">
        <v>1244</v>
      </c>
      <c r="I193" s="7" t="s">
        <v>1027</v>
      </c>
      <c r="J193" s="7" t="s">
        <v>698</v>
      </c>
      <c r="K193" s="7" t="s">
        <v>1245</v>
      </c>
    </row>
    <row r="194" ht="14.25" customHeight="1">
      <c r="A194" s="4">
        <v>193.0</v>
      </c>
      <c r="B194" s="5" t="str">
        <f>IFERROR(__xludf.DUMMYFUNCTION("GOOGLETRANSLATE(H194, ""th"", ""en"")"),"Is it permissible to use chemicals to treat cows before competition?")</f>
        <v>Is it permissible to use chemicals to treat cows before competition?</v>
      </c>
      <c r="C194" s="5" t="str">
        <f>IFERROR(__xludf.DUMMYFUNCTION("GOOGLETRANSLATE(I194, ""th"", ""en"")"),"A) Yes; B) No; C) It depends on the type of chemical; D) It depends on the judges' decision.")</f>
        <v>A) Yes; B) No; C) It depends on the type of chemical; D) It depends on the judges' decision.</v>
      </c>
      <c r="D194" s="4" t="str">
        <f>IFERROR(__xludf.DUMMYFUNCTION("GOOGLETRANSLATE(J194, ""th"", ""en"")"),"B) No.")</f>
        <v>B) No.</v>
      </c>
      <c r="E194" s="4" t="str">
        <f>IFERROR(__xludf.DUMMYFUNCTION("GOOGLETRANSLATE(K194, ""th"", ""en"")"),"Chemicals can harm cows.")</f>
        <v>Chemicals can harm cows.</v>
      </c>
      <c r="G194" s="6">
        <v>193.0</v>
      </c>
      <c r="H194" s="7" t="s">
        <v>1180</v>
      </c>
      <c r="I194" s="7" t="s">
        <v>1246</v>
      </c>
      <c r="J194" s="7" t="s">
        <v>698</v>
      </c>
      <c r="K194" s="7" t="s">
        <v>1247</v>
      </c>
    </row>
    <row r="195" ht="14.25" customHeight="1">
      <c r="A195" s="4">
        <v>194.0</v>
      </c>
      <c r="B195" s="5" t="str">
        <f>IFERROR(__xludf.DUMMYFUNCTION("GOOGLETRANSLATE(H195, ""th"", ""en"")"),"Can the referee change the type of match during the match?")</f>
        <v>Can the referee change the type of match during the match?</v>
      </c>
      <c r="C195" s="5" t="str">
        <f>IFERROR(__xludf.DUMMYFUNCTION("GOOGLETRANSLATE(I195, ""th"", ""en"")"),"A) Yes; B) No; C) It depends on the situation; D) It depends on the judges' decision.")</f>
        <v>A) Yes; B) No; C) It depends on the situation; D) It depends on the judges' decision.</v>
      </c>
      <c r="D195" s="4" t="str">
        <f>IFERROR(__xludf.DUMMYFUNCTION("GOOGLETRANSLATE(J195, ""th"", ""en"")"),"B) No.")</f>
        <v>B) No.</v>
      </c>
      <c r="E195" s="4" t="str">
        <f>IFERROR(__xludf.DUMMYFUNCTION("GOOGLETRANSLATE(K195, ""th"", ""en"")"),"The type of competition must be clear from the beginning.")</f>
        <v>The type of competition must be clear from the beginning.</v>
      </c>
      <c r="G195" s="6">
        <v>194.0</v>
      </c>
      <c r="H195" s="7" t="s">
        <v>1248</v>
      </c>
      <c r="I195" s="7" t="s">
        <v>1027</v>
      </c>
      <c r="J195" s="7" t="s">
        <v>698</v>
      </c>
      <c r="K195" s="7" t="s">
        <v>1249</v>
      </c>
    </row>
    <row r="196" ht="14.25" customHeight="1">
      <c r="A196" s="4">
        <v>195.0</v>
      </c>
      <c r="B196" s="5" t="str">
        <f>IFERROR(__xludf.DUMMYFUNCTION("GOOGLETRANSLATE(H196, ""th"", ""en"")"),"Is it permissible to order a cow to rest during a race?")</f>
        <v>Is it permissible to order a cow to rest during a race?</v>
      </c>
      <c r="C196" s="5" t="str">
        <f>IFERROR(__xludf.DUMMYFUNCTION("GOOGLETRANSLATE(I196, ""th"", ""en"")"),"A) Yes; B) No; C) It depends on the time period; D) It depends on the judges' decision.")</f>
        <v>A) Yes; B) No; C) It depends on the time period; D) It depends on the judges' decision.</v>
      </c>
      <c r="D196" s="4" t="str">
        <f>IFERROR(__xludf.DUMMYFUNCTION("GOOGLETRANSLATE(J196, ""th"", ""en"")"),"B) No.")</f>
        <v>B) No.</v>
      </c>
      <c r="E196" s="4" t="str">
        <f>IFERROR(__xludf.DUMMYFUNCTION("GOOGLETRANSLATE(K196, ""th"", ""en"")"),"The break would make the competition unfair.")</f>
        <v>The break would make the competition unfair.</v>
      </c>
      <c r="G196" s="6">
        <v>195.0</v>
      </c>
      <c r="H196" s="7" t="s">
        <v>1250</v>
      </c>
      <c r="I196" s="7" t="s">
        <v>1184</v>
      </c>
      <c r="J196" s="7" t="s">
        <v>698</v>
      </c>
      <c r="K196" s="7" t="s">
        <v>1251</v>
      </c>
    </row>
    <row r="197" ht="14.25" customHeight="1">
      <c r="A197" s="4">
        <v>196.0</v>
      </c>
      <c r="B197" s="5" t="str">
        <f>IFERROR(__xludf.DUMMYFUNCTION("GOOGLETRANSLATE(H197, ""th"", ""en"")"),"If the handler neglects to inspect the bull before the race, can the referee stop the race?")</f>
        <v>If the handler neglects to inspect the bull before the race, can the referee stop the race?</v>
      </c>
      <c r="C197" s="5" t="str">
        <f>IFERROR(__xludf.DUMMYFUNCTION("GOOGLETRANSLATE(I197, ""th"", ""en"")"),"A) Yes; B) No; C) It depends on the situation; D) It depends on the judges' decision.")</f>
        <v>A) Yes; B) No; C) It depends on the situation; D) It depends on the judges' decision.</v>
      </c>
      <c r="D197" s="4" t="str">
        <f>IFERROR(__xludf.DUMMYFUNCTION("GOOGLETRANSLATE(J197, ""th"", ""en"")"),"A) Yes.")</f>
        <v>A) Yes.</v>
      </c>
      <c r="E197" s="4" t="str">
        <f>IFERROR(__xludf.DUMMYFUNCTION("GOOGLETRANSLATE(K197, ""th"", ""en"")"),"Pre-match inspection is a risk prevention measure.")</f>
        <v>Pre-match inspection is a risk prevention measure.</v>
      </c>
      <c r="G197" s="6">
        <v>196.0</v>
      </c>
      <c r="H197" s="7" t="s">
        <v>1252</v>
      </c>
      <c r="I197" s="7" t="s">
        <v>1027</v>
      </c>
      <c r="J197" s="7" t="s">
        <v>737</v>
      </c>
      <c r="K197" s="7" t="s">
        <v>1253</v>
      </c>
    </row>
    <row r="198" ht="14.25" customHeight="1">
      <c r="A198" s="4">
        <v>197.0</v>
      </c>
      <c r="B198" s="5" t="str">
        <f>IFERROR(__xludf.DUMMYFUNCTION("GOOGLETRANSLATE(H198, ""th"", ""en"")"),"Can administrators use unauthorized tools during the competition?")</f>
        <v>Can administrators use unauthorized tools during the competition?</v>
      </c>
      <c r="C198" s="5" t="str">
        <f>IFERROR(__xludf.DUMMYFUNCTION("GOOGLETRANSLATE(I198, ""th"", ""en"")"),"A) Yes; B) No; C) It depends on the type of instrument; D) It depends on the judges' decision.")</f>
        <v>A) Yes; B) No; C) It depends on the type of instrument; D) It depends on the judges' decision.</v>
      </c>
      <c r="D198" s="4" t="str">
        <f>IFERROR(__xludf.DUMMYFUNCTION("GOOGLETRANSLATE(J198, ""th"", ""en"")"),"B) No.")</f>
        <v>B) No.</v>
      </c>
      <c r="E198" s="4" t="str">
        <f>IFERROR(__xludf.DUMMYFUNCTION("GOOGLETRANSLATE(K198, ""th"", ""en"")"),"Using unauthorized tools is a violation of the rules.")</f>
        <v>Using unauthorized tools is a violation of the rules.</v>
      </c>
      <c r="G198" s="6">
        <v>197.0</v>
      </c>
      <c r="H198" s="7" t="s">
        <v>1254</v>
      </c>
      <c r="I198" s="7" t="s">
        <v>1255</v>
      </c>
      <c r="J198" s="7" t="s">
        <v>698</v>
      </c>
      <c r="K198" s="7" t="s">
        <v>1256</v>
      </c>
    </row>
    <row r="199" ht="14.25" customHeight="1">
      <c r="A199" s="4">
        <v>198.0</v>
      </c>
      <c r="B199" s="5" t="str">
        <f>IFERROR(__xludf.DUMMYFUNCTION("GOOGLETRANSLATE(H199, ""th"", ""en"")"),"If a cow is injured during a race, can the referee provide immediate treatment?")</f>
        <v>If a cow is injured during a race, can the referee provide immediate treatment?</v>
      </c>
      <c r="C199" s="5" t="str">
        <f>IFERROR(__xludf.DUMMYFUNCTION("GOOGLETRANSLATE(I199, ""th"", ""en"")"),"A) Yes; B) No; C) Depends on the injury; D) Depends on the referee's decision.")</f>
        <v>A) Yes; B) No; C) Depends on the injury; D) Depends on the referee's decision.</v>
      </c>
      <c r="D199" s="4" t="str">
        <f>IFERROR(__xludf.DUMMYFUNCTION("GOOGLETRANSLATE(J199, ""th"", ""en"")"),"A) Yes.")</f>
        <v>A) Yes.</v>
      </c>
      <c r="E199" s="4" t="str">
        <f>IFERROR(__xludf.DUMMYFUNCTION("GOOGLETRANSLATE(K199, ""th"", ""en"")"),"Prompt treatment can help prevent potential harm.")</f>
        <v>Prompt treatment can help prevent potential harm.</v>
      </c>
      <c r="G199" s="6">
        <v>198.0</v>
      </c>
      <c r="H199" s="7" t="s">
        <v>1257</v>
      </c>
      <c r="I199" s="7" t="s">
        <v>1258</v>
      </c>
      <c r="J199" s="7" t="s">
        <v>737</v>
      </c>
      <c r="K199" s="7" t="s">
        <v>1259</v>
      </c>
    </row>
    <row r="200" ht="14.25" customHeight="1">
      <c r="A200" s="4">
        <v>199.0</v>
      </c>
      <c r="B200" s="5" t="str">
        <f>IFERROR(__xludf.DUMMYFUNCTION("GOOGLETRANSLATE(H200, ""th"", ""en"")"),"Can the keeper select a cow that has not been inspected by the judges to enter the competition?")</f>
        <v>Can the keeper select a cow that has not been inspected by the judges to enter the competition?</v>
      </c>
      <c r="C200" s="5" t="str">
        <f>IFERROR(__xludf.DUMMYFUNCTION("GOOGLETRANSLATE(I200, ""th"", ""en"")"),"A) Yes; B) No; C) It depends on the review; D) It depends on the judges' decision.")</f>
        <v>A) Yes; B) No; C) It depends on the review; D) It depends on the judges' decision.</v>
      </c>
      <c r="D200" s="4" t="str">
        <f>IFERROR(__xludf.DUMMYFUNCTION("GOOGLETRANSLATE(J200, ""th"", ""en"")"),"B) No.")</f>
        <v>B) No.</v>
      </c>
      <c r="E200" s="4" t="str">
        <f>IFERROR(__xludf.DUMMYFUNCTION("GOOGLETRANSLATE(K200, ""th"", ""en"")"),"Cow inspection is essential.")</f>
        <v>Cow inspection is essential.</v>
      </c>
      <c r="G200" s="6">
        <v>199.0</v>
      </c>
      <c r="H200" s="7" t="s">
        <v>1260</v>
      </c>
      <c r="I200" s="7" t="s">
        <v>1261</v>
      </c>
      <c r="J200" s="7" t="s">
        <v>698</v>
      </c>
      <c r="K200" s="7" t="s">
        <v>1262</v>
      </c>
    </row>
    <row r="201" ht="14.25" customHeight="1">
      <c r="A201" s="4">
        <v>200.0</v>
      </c>
      <c r="B201" s="5" t="str">
        <f>IFERROR(__xludf.DUMMYFUNCTION("GOOGLETRANSLATE(H201, ""th"", ""en"")"),"If cheating occurs during a match, can the referee punish it?")</f>
        <v>If cheating occurs during a match, can the referee punish it?</v>
      </c>
      <c r="C201" s="5" t="str">
        <f>IFERROR(__xludf.DUMMYFUNCTION("GOOGLETRANSLATE(I201, ""th"", ""en"")"),"A) Yes; B) No; C) Depends on cheating; D) Depends on the judges' decision.")</f>
        <v>A) Yes; B) No; C) Depends on cheating; D) Depends on the judges' decision.</v>
      </c>
      <c r="D201" s="4" t="str">
        <f>IFERROR(__xludf.DUMMYFUNCTION("GOOGLETRANSLATE(J201, ""th"", ""en"")"),"A) Yes.")</f>
        <v>A) Yes.</v>
      </c>
      <c r="E201" s="4" t="str">
        <f>IFERROR(__xludf.DUMMYFUNCTION("GOOGLETRANSLATE(K201, ""th"", ""en"")"),"Cheating is a violation of the competition rules.")</f>
        <v>Cheating is a violation of the competition rules.</v>
      </c>
      <c r="G201" s="6">
        <v>200.0</v>
      </c>
      <c r="H201" s="7" t="s">
        <v>1263</v>
      </c>
      <c r="I201" s="7" t="s">
        <v>1264</v>
      </c>
      <c r="J201" s="7" t="s">
        <v>737</v>
      </c>
      <c r="K201" s="7" t="s">
        <v>1265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>
      <c r="A208" s="8"/>
      <c r="B208" s="8" t="s">
        <v>652</v>
      </c>
    </row>
    <row r="209" ht="14.25" customHeight="1">
      <c r="A209" s="9"/>
      <c r="B209" s="9" t="s">
        <v>5</v>
      </c>
      <c r="C209" s="9" t="s">
        <v>1</v>
      </c>
      <c r="D209" s="9" t="s">
        <v>653</v>
      </c>
      <c r="E209" s="9" t="s">
        <v>2</v>
      </c>
      <c r="F209" s="9" t="s">
        <v>655</v>
      </c>
      <c r="G209" s="9" t="s">
        <v>656</v>
      </c>
      <c r="H209" s="9" t="s">
        <v>4</v>
      </c>
      <c r="I209" s="9" t="s">
        <v>657</v>
      </c>
    </row>
    <row r="210" ht="14.25" customHeight="1">
      <c r="A210" s="10"/>
      <c r="B210" s="10">
        <v>1.0</v>
      </c>
      <c r="C210" s="11" t="s">
        <v>672</v>
      </c>
      <c r="D210" s="12"/>
      <c r="E210" s="11" t="s">
        <v>673</v>
      </c>
      <c r="F210" s="12"/>
      <c r="G210" s="12"/>
      <c r="H210" s="11" t="s">
        <v>675</v>
      </c>
      <c r="I210" s="12"/>
    </row>
    <row r="211" ht="14.25" customHeight="1">
      <c r="A211" s="13"/>
      <c r="B211" s="13">
        <v>2.0</v>
      </c>
      <c r="C211" s="14" t="s">
        <v>676</v>
      </c>
      <c r="D211" s="15"/>
      <c r="E211" s="14" t="s">
        <v>677</v>
      </c>
      <c r="F211" s="15"/>
      <c r="G211" s="15"/>
      <c r="H211" s="14" t="s">
        <v>679</v>
      </c>
      <c r="I211" s="15"/>
    </row>
    <row r="212" ht="14.25" customHeight="1">
      <c r="A212" s="10"/>
      <c r="B212" s="10">
        <v>3.0</v>
      </c>
      <c r="C212" s="11" t="s">
        <v>680</v>
      </c>
      <c r="D212" s="12"/>
      <c r="E212" s="11" t="s">
        <v>681</v>
      </c>
      <c r="F212" s="12"/>
      <c r="G212" s="12"/>
      <c r="H212" s="11" t="s">
        <v>683</v>
      </c>
      <c r="I212" s="12"/>
    </row>
    <row r="213" ht="14.25" customHeight="1">
      <c r="A213" s="13"/>
      <c r="B213" s="13">
        <v>4.0</v>
      </c>
      <c r="C213" s="14" t="s">
        <v>684</v>
      </c>
      <c r="D213" s="15"/>
      <c r="E213" s="14" t="s">
        <v>685</v>
      </c>
      <c r="F213" s="15"/>
      <c r="G213" s="15"/>
      <c r="H213" s="14" t="s">
        <v>687</v>
      </c>
      <c r="I213" s="15"/>
    </row>
    <row r="214" ht="14.25" customHeight="1">
      <c r="A214" s="10"/>
      <c r="B214" s="10">
        <v>5.0</v>
      </c>
      <c r="C214" s="11" t="s">
        <v>688</v>
      </c>
      <c r="D214" s="12"/>
      <c r="E214" s="11" t="s">
        <v>689</v>
      </c>
      <c r="F214" s="12"/>
      <c r="G214" s="12"/>
      <c r="H214" s="11" t="s">
        <v>691</v>
      </c>
      <c r="I214" s="12"/>
    </row>
    <row r="215" ht="14.25" customHeight="1">
      <c r="A215" s="13"/>
      <c r="B215" s="13">
        <v>6.0</v>
      </c>
      <c r="C215" s="14" t="s">
        <v>692</v>
      </c>
      <c r="D215" s="15"/>
      <c r="E215" s="14" t="s">
        <v>693</v>
      </c>
      <c r="F215" s="15"/>
      <c r="G215" s="15"/>
      <c r="H215" s="14" t="s">
        <v>695</v>
      </c>
      <c r="I215" s="15"/>
    </row>
    <row r="216" ht="14.25" customHeight="1">
      <c r="A216" s="10"/>
      <c r="B216" s="10">
        <v>7.0</v>
      </c>
      <c r="C216" s="11" t="s">
        <v>696</v>
      </c>
      <c r="D216" s="12"/>
      <c r="E216" s="11" t="s">
        <v>697</v>
      </c>
      <c r="F216" s="12"/>
      <c r="G216" s="12"/>
      <c r="H216" s="11" t="s">
        <v>699</v>
      </c>
      <c r="I216" s="12"/>
    </row>
    <row r="217" ht="14.25" customHeight="1">
      <c r="A217" s="13"/>
      <c r="B217" s="13">
        <v>8.0</v>
      </c>
      <c r="C217" s="14" t="s">
        <v>700</v>
      </c>
      <c r="D217" s="15"/>
      <c r="E217" s="14" t="s">
        <v>701</v>
      </c>
      <c r="F217" s="15"/>
      <c r="G217" s="15"/>
      <c r="H217" s="14" t="s">
        <v>702</v>
      </c>
      <c r="I217" s="15"/>
    </row>
    <row r="218" ht="14.25" customHeight="1">
      <c r="A218" s="10"/>
      <c r="B218" s="10">
        <v>9.0</v>
      </c>
      <c r="C218" s="11" t="s">
        <v>703</v>
      </c>
      <c r="D218" s="12"/>
      <c r="E218" s="11" t="s">
        <v>704</v>
      </c>
      <c r="F218" s="12"/>
      <c r="G218" s="12"/>
      <c r="H218" s="11" t="s">
        <v>706</v>
      </c>
      <c r="I218" s="12"/>
    </row>
    <row r="219" ht="14.25" customHeight="1">
      <c r="A219" s="13"/>
      <c r="B219" s="13">
        <v>10.0</v>
      </c>
      <c r="C219" s="14" t="s">
        <v>707</v>
      </c>
      <c r="D219" s="15"/>
      <c r="E219" s="14" t="s">
        <v>708</v>
      </c>
      <c r="F219" s="15"/>
      <c r="G219" s="15"/>
      <c r="H219" s="14" t="s">
        <v>710</v>
      </c>
      <c r="I219" s="15"/>
    </row>
    <row r="220" ht="14.25" customHeight="1">
      <c r="A220" s="10"/>
      <c r="B220" s="10">
        <v>11.0</v>
      </c>
      <c r="C220" s="11" t="s">
        <v>711</v>
      </c>
      <c r="D220" s="12"/>
      <c r="E220" s="11" t="s">
        <v>712</v>
      </c>
      <c r="F220" s="12"/>
      <c r="G220" s="12"/>
      <c r="H220" s="11" t="s">
        <v>714</v>
      </c>
      <c r="I220" s="12"/>
    </row>
    <row r="221" ht="14.25" customHeight="1">
      <c r="A221" s="13"/>
      <c r="B221" s="13">
        <v>12.0</v>
      </c>
      <c r="C221" s="14" t="s">
        <v>715</v>
      </c>
      <c r="D221" s="15"/>
      <c r="E221" s="14" t="s">
        <v>716</v>
      </c>
      <c r="G221" s="15"/>
      <c r="H221" s="14" t="s">
        <v>718</v>
      </c>
      <c r="I221" s="15"/>
    </row>
    <row r="222" ht="14.25" customHeight="1">
      <c r="A222" s="10"/>
      <c r="B222" s="10">
        <v>13.0</v>
      </c>
      <c r="C222" s="11" t="s">
        <v>719</v>
      </c>
      <c r="D222" s="12"/>
      <c r="E222" s="11" t="s">
        <v>720</v>
      </c>
      <c r="F222" s="12"/>
      <c r="G222" s="12"/>
      <c r="H222" s="11" t="s">
        <v>722</v>
      </c>
      <c r="I222" s="12"/>
    </row>
    <row r="223" ht="14.25" customHeight="1">
      <c r="A223" s="13"/>
      <c r="B223" s="13">
        <v>14.0</v>
      </c>
      <c r="C223" s="14" t="s">
        <v>723</v>
      </c>
      <c r="D223" s="15"/>
      <c r="E223" s="14" t="s">
        <v>724</v>
      </c>
      <c r="F223" s="15"/>
      <c r="G223" s="15"/>
      <c r="H223" s="14" t="s">
        <v>726</v>
      </c>
      <c r="I223" s="15"/>
    </row>
    <row r="224" ht="14.25" customHeight="1">
      <c r="A224" s="10"/>
      <c r="B224" s="10">
        <v>15.0</v>
      </c>
      <c r="C224" s="11" t="s">
        <v>727</v>
      </c>
      <c r="D224" s="12"/>
      <c r="E224" s="11" t="s">
        <v>728</v>
      </c>
      <c r="F224" s="12"/>
      <c r="G224" s="12"/>
      <c r="H224" s="11" t="s">
        <v>730</v>
      </c>
      <c r="I224" s="12"/>
    </row>
    <row r="225" ht="14.25" customHeight="1">
      <c r="A225" s="13"/>
      <c r="B225" s="13">
        <v>16.0</v>
      </c>
      <c r="C225" s="14" t="s">
        <v>731</v>
      </c>
      <c r="D225" s="15"/>
      <c r="E225" s="14" t="s">
        <v>732</v>
      </c>
      <c r="F225" s="15"/>
      <c r="G225" s="15"/>
      <c r="H225" s="14" t="s">
        <v>734</v>
      </c>
      <c r="I225" s="15"/>
    </row>
    <row r="226" ht="14.25" customHeight="1">
      <c r="A226" s="10"/>
      <c r="B226" s="10">
        <v>17.0</v>
      </c>
      <c r="C226" s="11" t="s">
        <v>735</v>
      </c>
      <c r="D226" s="12"/>
      <c r="E226" s="11" t="s">
        <v>736</v>
      </c>
      <c r="F226" s="12"/>
      <c r="G226" s="12"/>
      <c r="H226" s="11" t="s">
        <v>738</v>
      </c>
      <c r="I226" s="12"/>
    </row>
    <row r="227" ht="14.25" customHeight="1">
      <c r="A227" s="13"/>
      <c r="B227" s="13">
        <v>18.0</v>
      </c>
      <c r="C227" s="14" t="s">
        <v>739</v>
      </c>
      <c r="D227" s="15"/>
      <c r="E227" s="14" t="s">
        <v>740</v>
      </c>
      <c r="G227" s="15"/>
      <c r="H227" s="14" t="s">
        <v>742</v>
      </c>
      <c r="I227" s="15"/>
    </row>
    <row r="228" ht="14.25" customHeight="1">
      <c r="A228" s="10"/>
      <c r="B228" s="10">
        <v>19.0</v>
      </c>
      <c r="C228" s="11" t="s">
        <v>743</v>
      </c>
      <c r="D228" s="12"/>
      <c r="E228" s="11" t="s">
        <v>744</v>
      </c>
      <c r="F228" s="12"/>
      <c r="G228" s="12"/>
      <c r="H228" s="11" t="s">
        <v>745</v>
      </c>
      <c r="I228" s="12"/>
    </row>
    <row r="229" ht="14.25" customHeight="1">
      <c r="A229" s="13"/>
      <c r="B229" s="13">
        <v>20.0</v>
      </c>
      <c r="C229" s="14" t="s">
        <v>746</v>
      </c>
      <c r="D229" s="15"/>
      <c r="E229" s="14" t="s">
        <v>747</v>
      </c>
      <c r="F229" s="15"/>
      <c r="G229" s="15"/>
      <c r="H229" s="14" t="s">
        <v>748</v>
      </c>
      <c r="I229" s="15"/>
    </row>
    <row r="230" ht="14.25" customHeight="1">
      <c r="A230" s="10"/>
      <c r="B230" s="10">
        <v>21.0</v>
      </c>
      <c r="C230" s="11" t="s">
        <v>749</v>
      </c>
      <c r="D230" s="12"/>
      <c r="E230" s="11" t="s">
        <v>750</v>
      </c>
      <c r="F230" s="12"/>
      <c r="G230" s="12"/>
      <c r="H230" s="11" t="s">
        <v>752</v>
      </c>
      <c r="I230" s="12"/>
    </row>
    <row r="231" ht="14.25" customHeight="1">
      <c r="A231" s="13"/>
      <c r="B231" s="13">
        <v>22.0</v>
      </c>
      <c r="C231" s="14" t="s">
        <v>753</v>
      </c>
      <c r="D231" s="15"/>
      <c r="E231" s="14" t="s">
        <v>754</v>
      </c>
      <c r="F231" s="15"/>
      <c r="G231" s="15"/>
      <c r="H231" s="14" t="s">
        <v>756</v>
      </c>
      <c r="I231" s="15"/>
    </row>
    <row r="232" ht="14.25" customHeight="1">
      <c r="A232" s="10"/>
      <c r="B232" s="10">
        <v>23.0</v>
      </c>
      <c r="C232" s="11" t="s">
        <v>757</v>
      </c>
      <c r="D232" s="12"/>
      <c r="E232" s="11" t="s">
        <v>758</v>
      </c>
      <c r="F232" s="12"/>
      <c r="G232" s="12"/>
      <c r="H232" s="11" t="s">
        <v>760</v>
      </c>
      <c r="I232" s="12"/>
    </row>
    <row r="233" ht="14.25" customHeight="1">
      <c r="A233" s="13"/>
      <c r="B233" s="13">
        <v>24.0</v>
      </c>
      <c r="C233" s="14" t="s">
        <v>761</v>
      </c>
      <c r="D233" s="15"/>
      <c r="E233" s="14" t="s">
        <v>762</v>
      </c>
      <c r="F233" s="15"/>
      <c r="G233" s="15"/>
      <c r="H233" s="14" t="s">
        <v>763</v>
      </c>
      <c r="I233" s="15"/>
    </row>
    <row r="234" ht="14.25" customHeight="1">
      <c r="A234" s="10"/>
      <c r="B234" s="10">
        <v>25.0</v>
      </c>
      <c r="C234" s="11" t="s">
        <v>764</v>
      </c>
      <c r="D234" s="12"/>
      <c r="E234" s="11" t="s">
        <v>765</v>
      </c>
      <c r="F234" s="12"/>
      <c r="G234" s="12"/>
      <c r="H234" s="11" t="s">
        <v>766</v>
      </c>
      <c r="I234" s="12"/>
    </row>
    <row r="235" ht="14.25" customHeight="1">
      <c r="A235" s="13"/>
      <c r="B235" s="13">
        <v>26.0</v>
      </c>
      <c r="C235" s="14" t="s">
        <v>767</v>
      </c>
      <c r="E235" s="14" t="s">
        <v>768</v>
      </c>
      <c r="F235" s="15"/>
      <c r="G235" s="15"/>
      <c r="H235" s="14" t="s">
        <v>769</v>
      </c>
      <c r="I235" s="15"/>
    </row>
    <row r="236" ht="14.25" customHeight="1">
      <c r="A236" s="10"/>
      <c r="B236" s="10">
        <v>27.0</v>
      </c>
      <c r="C236" s="11" t="s">
        <v>770</v>
      </c>
      <c r="D236" s="12"/>
      <c r="E236" s="11" t="s">
        <v>771</v>
      </c>
      <c r="F236" s="12"/>
      <c r="G236" s="12"/>
      <c r="H236" s="11" t="s">
        <v>773</v>
      </c>
      <c r="I236" s="12"/>
    </row>
    <row r="237" ht="14.25" customHeight="1">
      <c r="A237" s="13"/>
      <c r="B237" s="13">
        <v>28.0</v>
      </c>
      <c r="C237" s="14" t="s">
        <v>774</v>
      </c>
      <c r="D237" s="15"/>
      <c r="E237" s="14" t="s">
        <v>775</v>
      </c>
      <c r="F237" s="15"/>
      <c r="G237" s="15"/>
      <c r="H237" s="14" t="s">
        <v>777</v>
      </c>
      <c r="I237" s="15"/>
    </row>
    <row r="238" ht="14.25" customHeight="1">
      <c r="A238" s="10"/>
      <c r="B238" s="10">
        <v>29.0</v>
      </c>
      <c r="C238" s="11" t="s">
        <v>778</v>
      </c>
      <c r="D238" s="12"/>
      <c r="E238" s="11" t="s">
        <v>779</v>
      </c>
      <c r="F238" s="12"/>
      <c r="G238" s="12"/>
      <c r="H238" s="11" t="s">
        <v>781</v>
      </c>
      <c r="I238" s="12"/>
    </row>
    <row r="239" ht="14.25" customHeight="1">
      <c r="A239" s="13"/>
      <c r="B239" s="13">
        <v>30.0</v>
      </c>
      <c r="C239" s="14" t="s">
        <v>782</v>
      </c>
      <c r="D239" s="15"/>
      <c r="E239" s="14" t="s">
        <v>783</v>
      </c>
      <c r="F239" s="15"/>
      <c r="G239" s="15"/>
      <c r="H239" s="14" t="s">
        <v>784</v>
      </c>
      <c r="I239" s="15"/>
    </row>
    <row r="240" ht="14.25" customHeight="1">
      <c r="A240" s="10"/>
      <c r="B240" s="10">
        <v>31.0</v>
      </c>
      <c r="C240" s="11" t="s">
        <v>785</v>
      </c>
      <c r="D240" s="12"/>
      <c r="E240" s="11" t="s">
        <v>786</v>
      </c>
      <c r="F240" s="12"/>
      <c r="G240" s="12"/>
      <c r="H240" s="11" t="s">
        <v>788</v>
      </c>
      <c r="I240" s="12"/>
    </row>
    <row r="241" ht="14.25" customHeight="1">
      <c r="A241" s="13"/>
      <c r="B241" s="13">
        <v>32.0</v>
      </c>
      <c r="C241" s="14" t="s">
        <v>789</v>
      </c>
      <c r="E241" s="14" t="s">
        <v>790</v>
      </c>
      <c r="F241" s="15"/>
      <c r="G241" s="15"/>
      <c r="H241" s="14" t="s">
        <v>791</v>
      </c>
      <c r="I241" s="15"/>
    </row>
    <row r="242" ht="14.25" customHeight="1">
      <c r="A242" s="10"/>
      <c r="B242" s="10">
        <v>33.0</v>
      </c>
      <c r="C242" s="11" t="s">
        <v>792</v>
      </c>
      <c r="E242" s="11" t="s">
        <v>762</v>
      </c>
      <c r="F242" s="12"/>
      <c r="G242" s="12"/>
      <c r="H242" s="11" t="s">
        <v>793</v>
      </c>
      <c r="I242" s="12"/>
    </row>
    <row r="243" ht="14.25" customHeight="1">
      <c r="A243" s="13"/>
      <c r="B243" s="13">
        <v>34.0</v>
      </c>
      <c r="C243" s="14" t="s">
        <v>794</v>
      </c>
      <c r="D243" s="15"/>
      <c r="E243" s="14" t="s">
        <v>795</v>
      </c>
      <c r="F243" s="15"/>
      <c r="G243" s="15"/>
      <c r="H243" s="14" t="s">
        <v>796</v>
      </c>
      <c r="I243" s="15"/>
    </row>
    <row r="244" ht="14.25" customHeight="1">
      <c r="A244" s="10"/>
      <c r="B244" s="10">
        <v>35.0</v>
      </c>
      <c r="C244" s="11" t="s">
        <v>797</v>
      </c>
      <c r="D244" s="12"/>
      <c r="E244" s="11" t="s">
        <v>798</v>
      </c>
      <c r="F244" s="12"/>
      <c r="G244" s="12"/>
      <c r="H244" s="11" t="s">
        <v>799</v>
      </c>
      <c r="I244" s="12"/>
    </row>
    <row r="245" ht="14.25" customHeight="1">
      <c r="A245" s="13"/>
      <c r="B245" s="13">
        <v>36.0</v>
      </c>
      <c r="C245" s="14" t="s">
        <v>800</v>
      </c>
      <c r="D245" s="15"/>
      <c r="E245" s="14" t="s">
        <v>801</v>
      </c>
      <c r="F245" s="15"/>
      <c r="G245" s="15"/>
      <c r="H245" s="14" t="s">
        <v>803</v>
      </c>
      <c r="I245" s="15"/>
    </row>
    <row r="246" ht="14.25" customHeight="1">
      <c r="A246" s="10"/>
      <c r="B246" s="10">
        <v>37.0</v>
      </c>
      <c r="C246" s="11" t="s">
        <v>804</v>
      </c>
      <c r="E246" s="11" t="s">
        <v>805</v>
      </c>
      <c r="F246" s="12"/>
      <c r="G246" s="12"/>
      <c r="H246" s="11" t="s">
        <v>806</v>
      </c>
      <c r="I246" s="12"/>
    </row>
    <row r="247" ht="14.25" customHeight="1">
      <c r="A247" s="13"/>
      <c r="B247" s="13">
        <v>38.0</v>
      </c>
      <c r="C247" s="14" t="s">
        <v>807</v>
      </c>
      <c r="D247" s="15"/>
      <c r="E247" s="14" t="s">
        <v>808</v>
      </c>
      <c r="F247" s="15"/>
      <c r="G247" s="15"/>
      <c r="H247" s="14" t="s">
        <v>809</v>
      </c>
      <c r="I247" s="15"/>
    </row>
    <row r="248" ht="14.25" customHeight="1">
      <c r="A248" s="10"/>
      <c r="B248" s="10">
        <v>39.0</v>
      </c>
      <c r="C248" s="11" t="s">
        <v>810</v>
      </c>
      <c r="D248" s="12"/>
      <c r="E248" s="11" t="s">
        <v>811</v>
      </c>
      <c r="F248" s="12"/>
      <c r="G248" s="12"/>
      <c r="H248" s="11" t="s">
        <v>812</v>
      </c>
      <c r="I248" s="12"/>
    </row>
    <row r="249" ht="14.25" customHeight="1">
      <c r="A249" s="13"/>
      <c r="B249" s="13">
        <v>40.0</v>
      </c>
      <c r="C249" s="14" t="s">
        <v>813</v>
      </c>
      <c r="E249" s="14" t="s">
        <v>814</v>
      </c>
      <c r="F249" s="15"/>
      <c r="G249" s="15"/>
      <c r="H249" s="14" t="s">
        <v>815</v>
      </c>
      <c r="I249" s="15"/>
    </row>
    <row r="250" ht="14.25" customHeight="1">
      <c r="A250" s="10"/>
      <c r="B250" s="10">
        <v>41.0</v>
      </c>
      <c r="C250" s="11" t="s">
        <v>816</v>
      </c>
      <c r="D250" s="12"/>
      <c r="E250" s="11" t="s">
        <v>817</v>
      </c>
      <c r="F250" s="12"/>
      <c r="G250" s="12"/>
      <c r="H250" s="11" t="s">
        <v>818</v>
      </c>
      <c r="I250" s="12"/>
    </row>
    <row r="251" ht="14.25" customHeight="1">
      <c r="A251" s="13"/>
      <c r="B251" s="13">
        <v>42.0</v>
      </c>
      <c r="C251" s="14" t="s">
        <v>819</v>
      </c>
      <c r="D251" s="15"/>
      <c r="E251" s="14" t="s">
        <v>820</v>
      </c>
      <c r="F251" s="15"/>
      <c r="G251" s="15"/>
      <c r="H251" s="14" t="s">
        <v>821</v>
      </c>
      <c r="I251" s="15"/>
    </row>
    <row r="252" ht="14.25" customHeight="1">
      <c r="A252" s="10"/>
      <c r="B252" s="10">
        <v>43.0</v>
      </c>
      <c r="C252" s="11" t="s">
        <v>822</v>
      </c>
      <c r="D252" s="12"/>
      <c r="E252" s="11" t="s">
        <v>823</v>
      </c>
      <c r="G252" s="12"/>
      <c r="H252" s="11" t="s">
        <v>825</v>
      </c>
      <c r="I252" s="12"/>
    </row>
    <row r="253" ht="14.25" customHeight="1">
      <c r="A253" s="13"/>
      <c r="B253" s="13">
        <v>44.0</v>
      </c>
      <c r="C253" s="14" t="s">
        <v>826</v>
      </c>
      <c r="D253" s="15"/>
      <c r="E253" s="14" t="s">
        <v>827</v>
      </c>
      <c r="F253" s="15"/>
      <c r="G253" s="15"/>
      <c r="H253" s="14" t="s">
        <v>828</v>
      </c>
      <c r="I253" s="15"/>
    </row>
    <row r="254" ht="14.25" customHeight="1">
      <c r="A254" s="10"/>
      <c r="B254" s="10">
        <v>45.0</v>
      </c>
      <c r="C254" s="11" t="s">
        <v>829</v>
      </c>
      <c r="D254" s="12"/>
      <c r="E254" s="11" t="s">
        <v>830</v>
      </c>
      <c r="F254" s="12"/>
      <c r="G254" s="12"/>
      <c r="H254" s="11" t="s">
        <v>832</v>
      </c>
      <c r="I254" s="12"/>
    </row>
    <row r="255" ht="14.25" customHeight="1">
      <c r="A255" s="13"/>
      <c r="B255" s="13">
        <v>46.0</v>
      </c>
      <c r="C255" s="14" t="s">
        <v>833</v>
      </c>
      <c r="E255" s="14" t="s">
        <v>834</v>
      </c>
      <c r="F255" s="15"/>
      <c r="G255" s="15"/>
      <c r="H255" s="14" t="s">
        <v>835</v>
      </c>
      <c r="I255" s="15"/>
    </row>
    <row r="256" ht="14.25" customHeight="1">
      <c r="A256" s="10"/>
      <c r="B256" s="10">
        <v>47.0</v>
      </c>
      <c r="C256" s="11" t="s">
        <v>836</v>
      </c>
      <c r="D256" s="12"/>
      <c r="E256" s="11" t="s">
        <v>837</v>
      </c>
      <c r="F256" s="12"/>
      <c r="G256" s="12"/>
      <c r="H256" s="11" t="s">
        <v>838</v>
      </c>
      <c r="I256" s="12"/>
    </row>
    <row r="257" ht="14.25" customHeight="1">
      <c r="A257" s="13"/>
      <c r="B257" s="13">
        <v>48.0</v>
      </c>
      <c r="C257" s="14" t="s">
        <v>839</v>
      </c>
      <c r="D257" s="15"/>
      <c r="E257" s="14" t="s">
        <v>840</v>
      </c>
      <c r="F257" s="15"/>
      <c r="G257" s="15"/>
      <c r="H257" s="14" t="s">
        <v>841</v>
      </c>
      <c r="I257" s="15"/>
    </row>
    <row r="258" ht="14.25" customHeight="1">
      <c r="A258" s="10"/>
      <c r="B258" s="10">
        <v>49.0</v>
      </c>
      <c r="C258" s="11" t="s">
        <v>842</v>
      </c>
      <c r="D258" s="12"/>
      <c r="E258" s="11" t="s">
        <v>843</v>
      </c>
      <c r="F258" s="12"/>
      <c r="G258" s="12"/>
      <c r="H258" s="11" t="s">
        <v>844</v>
      </c>
      <c r="I258" s="12"/>
    </row>
    <row r="259" ht="14.25" customHeight="1">
      <c r="A259" s="13"/>
      <c r="B259" s="13">
        <v>50.0</v>
      </c>
      <c r="C259" s="14" t="s">
        <v>845</v>
      </c>
      <c r="D259" s="15"/>
      <c r="E259" s="14" t="s">
        <v>846</v>
      </c>
      <c r="G259" s="15"/>
      <c r="H259" s="14" t="s">
        <v>848</v>
      </c>
      <c r="I259" s="15"/>
    </row>
    <row r="260" ht="14.25" customHeight="1">
      <c r="A260" s="10"/>
      <c r="B260" s="10">
        <v>51.0</v>
      </c>
      <c r="C260" s="11" t="s">
        <v>849</v>
      </c>
      <c r="D260" s="12"/>
      <c r="E260" s="11" t="s">
        <v>850</v>
      </c>
      <c r="F260" s="12"/>
      <c r="G260" s="12"/>
      <c r="H260" s="11" t="s">
        <v>851</v>
      </c>
      <c r="I260" s="12"/>
    </row>
    <row r="261" ht="14.25" customHeight="1">
      <c r="A261" s="13"/>
      <c r="B261" s="13">
        <v>52.0</v>
      </c>
      <c r="C261" s="14" t="s">
        <v>852</v>
      </c>
      <c r="E261" s="14" t="s">
        <v>853</v>
      </c>
      <c r="F261" s="15"/>
      <c r="G261" s="15"/>
      <c r="H261" s="14" t="s">
        <v>855</v>
      </c>
      <c r="I261" s="15"/>
    </row>
    <row r="262" ht="14.25" customHeight="1">
      <c r="A262" s="10"/>
      <c r="B262" s="10">
        <v>53.0</v>
      </c>
      <c r="C262" s="11" t="s">
        <v>856</v>
      </c>
      <c r="D262" s="12"/>
      <c r="E262" s="11" t="s">
        <v>857</v>
      </c>
      <c r="F262" s="12"/>
      <c r="G262" s="12"/>
      <c r="H262" s="11" t="s">
        <v>858</v>
      </c>
      <c r="I262" s="12"/>
    </row>
    <row r="263" ht="14.25" customHeight="1">
      <c r="A263" s="13"/>
      <c r="B263" s="13">
        <v>54.0</v>
      </c>
      <c r="C263" s="14" t="s">
        <v>859</v>
      </c>
      <c r="D263" s="15"/>
      <c r="E263" s="14" t="s">
        <v>860</v>
      </c>
      <c r="F263" s="15"/>
      <c r="G263" s="15"/>
      <c r="H263" s="14" t="s">
        <v>861</v>
      </c>
      <c r="I263" s="15"/>
    </row>
    <row r="264" ht="14.25" customHeight="1">
      <c r="A264" s="10"/>
      <c r="B264" s="10">
        <v>55.0</v>
      </c>
      <c r="C264" s="11" t="s">
        <v>862</v>
      </c>
      <c r="D264" s="12"/>
      <c r="E264" s="11" t="s">
        <v>863</v>
      </c>
      <c r="F264" s="12"/>
      <c r="G264" s="12"/>
      <c r="H264" s="11" t="s">
        <v>864</v>
      </c>
      <c r="I264" s="12"/>
    </row>
    <row r="265" ht="14.25" customHeight="1">
      <c r="A265" s="13"/>
      <c r="B265" s="13">
        <v>56.0</v>
      </c>
      <c r="C265" s="14" t="s">
        <v>865</v>
      </c>
      <c r="E265" s="14" t="s">
        <v>866</v>
      </c>
      <c r="F265" s="15"/>
      <c r="G265" s="15"/>
      <c r="H265" s="14" t="s">
        <v>867</v>
      </c>
      <c r="I265" s="15"/>
    </row>
    <row r="266" ht="14.25" customHeight="1">
      <c r="A266" s="10"/>
      <c r="B266" s="10">
        <v>57.0</v>
      </c>
      <c r="C266" s="11" t="s">
        <v>868</v>
      </c>
      <c r="D266" s="12"/>
      <c r="E266" s="11" t="s">
        <v>869</v>
      </c>
      <c r="F266" s="12"/>
      <c r="G266" s="12"/>
      <c r="H266" s="11" t="s">
        <v>870</v>
      </c>
      <c r="I266" s="12"/>
    </row>
    <row r="267" ht="14.25" customHeight="1">
      <c r="A267" s="13"/>
      <c r="B267" s="13">
        <v>58.0</v>
      </c>
      <c r="C267" s="14" t="s">
        <v>871</v>
      </c>
      <c r="D267" s="15"/>
      <c r="E267" s="14" t="s">
        <v>834</v>
      </c>
      <c r="F267" s="15"/>
      <c r="G267" s="15"/>
      <c r="H267" s="14" t="s">
        <v>872</v>
      </c>
      <c r="I267" s="15"/>
    </row>
    <row r="268" ht="14.25" customHeight="1">
      <c r="A268" s="10"/>
      <c r="B268" s="10">
        <v>59.0</v>
      </c>
      <c r="C268" s="11" t="s">
        <v>873</v>
      </c>
      <c r="D268" s="12"/>
      <c r="E268" s="11" t="s">
        <v>874</v>
      </c>
      <c r="F268" s="12"/>
      <c r="G268" s="12"/>
      <c r="H268" s="11" t="s">
        <v>875</v>
      </c>
      <c r="I268" s="12"/>
    </row>
    <row r="269" ht="14.25" customHeight="1">
      <c r="A269" s="13"/>
      <c r="B269" s="13">
        <v>60.0</v>
      </c>
      <c r="C269" s="14" t="s">
        <v>876</v>
      </c>
      <c r="D269" s="15"/>
      <c r="E269" s="14" t="s">
        <v>877</v>
      </c>
      <c r="F269" s="15"/>
      <c r="G269" s="15"/>
      <c r="H269" s="14" t="s">
        <v>878</v>
      </c>
      <c r="I269" s="15"/>
    </row>
    <row r="270" ht="14.25" customHeight="1">
      <c r="A270" s="10"/>
      <c r="B270" s="10">
        <v>61.0</v>
      </c>
      <c r="C270" s="11" t="s">
        <v>879</v>
      </c>
      <c r="D270" s="12"/>
      <c r="E270" s="11" t="s">
        <v>880</v>
      </c>
      <c r="F270" s="12"/>
      <c r="G270" s="12"/>
      <c r="H270" s="11" t="s">
        <v>882</v>
      </c>
      <c r="I270" s="12"/>
    </row>
    <row r="271" ht="14.25" customHeight="1">
      <c r="A271" s="13"/>
      <c r="B271" s="13">
        <v>62.0</v>
      </c>
      <c r="C271" s="14" t="s">
        <v>883</v>
      </c>
      <c r="D271" s="15"/>
      <c r="E271" s="14" t="s">
        <v>884</v>
      </c>
      <c r="F271" s="15"/>
      <c r="G271" s="15"/>
      <c r="H271" s="14" t="s">
        <v>885</v>
      </c>
      <c r="I271" s="15"/>
    </row>
    <row r="272" ht="14.25" customHeight="1">
      <c r="A272" s="10"/>
      <c r="B272" s="10">
        <v>63.0</v>
      </c>
      <c r="C272" s="11" t="s">
        <v>886</v>
      </c>
      <c r="E272" s="11" t="s">
        <v>887</v>
      </c>
      <c r="F272" s="12"/>
      <c r="G272" s="12"/>
      <c r="H272" s="11" t="s">
        <v>888</v>
      </c>
      <c r="I272" s="12"/>
    </row>
    <row r="273" ht="14.25" customHeight="1">
      <c r="A273" s="13"/>
      <c r="B273" s="13">
        <v>64.0</v>
      </c>
      <c r="C273" s="14" t="s">
        <v>889</v>
      </c>
      <c r="D273" s="15"/>
      <c r="E273" s="14" t="s">
        <v>850</v>
      </c>
      <c r="F273" s="15"/>
      <c r="G273" s="15"/>
      <c r="H273" s="14" t="s">
        <v>890</v>
      </c>
      <c r="I273" s="15"/>
    </row>
    <row r="274" ht="14.25" customHeight="1">
      <c r="A274" s="10"/>
      <c r="B274" s="10">
        <v>65.0</v>
      </c>
      <c r="C274" s="11" t="s">
        <v>891</v>
      </c>
      <c r="D274" s="12"/>
      <c r="E274" s="11" t="s">
        <v>892</v>
      </c>
      <c r="F274" s="12"/>
      <c r="G274" s="12"/>
      <c r="H274" s="11" t="s">
        <v>893</v>
      </c>
      <c r="I274" s="12"/>
    </row>
    <row r="275" ht="14.25" customHeight="1">
      <c r="A275" s="13"/>
      <c r="B275" s="13">
        <v>66.0</v>
      </c>
      <c r="C275" s="14" t="s">
        <v>894</v>
      </c>
      <c r="D275" s="15"/>
      <c r="E275" s="14" t="s">
        <v>895</v>
      </c>
      <c r="F275" s="15"/>
      <c r="G275" s="15"/>
      <c r="H275" s="14" t="s">
        <v>897</v>
      </c>
      <c r="I275" s="15"/>
    </row>
    <row r="276" ht="14.25" customHeight="1">
      <c r="A276" s="10"/>
      <c r="B276" s="10">
        <v>67.0</v>
      </c>
      <c r="C276" s="11" t="s">
        <v>898</v>
      </c>
      <c r="E276" s="11" t="s">
        <v>843</v>
      </c>
      <c r="F276" s="12"/>
      <c r="G276" s="12"/>
      <c r="H276" s="11" t="s">
        <v>899</v>
      </c>
      <c r="I276" s="12"/>
    </row>
    <row r="277" ht="14.25" customHeight="1">
      <c r="A277" s="13"/>
      <c r="B277" s="13">
        <v>68.0</v>
      </c>
      <c r="C277" s="14" t="s">
        <v>900</v>
      </c>
      <c r="E277" s="14" t="s">
        <v>834</v>
      </c>
      <c r="F277" s="15"/>
      <c r="G277" s="15"/>
      <c r="H277" s="14" t="s">
        <v>901</v>
      </c>
      <c r="I277" s="15"/>
    </row>
    <row r="278" ht="14.25" customHeight="1">
      <c r="A278" s="10"/>
      <c r="B278" s="10">
        <v>69.0</v>
      </c>
      <c r="C278" s="11" t="s">
        <v>902</v>
      </c>
      <c r="D278" s="12"/>
      <c r="E278" s="11" t="s">
        <v>850</v>
      </c>
      <c r="F278" s="12"/>
      <c r="G278" s="12"/>
      <c r="H278" s="11" t="s">
        <v>903</v>
      </c>
      <c r="I278" s="12"/>
    </row>
    <row r="279" ht="14.25" customHeight="1">
      <c r="A279" s="13"/>
      <c r="B279" s="13">
        <v>70.0</v>
      </c>
      <c r="C279" s="14" t="s">
        <v>904</v>
      </c>
      <c r="D279" s="15"/>
      <c r="E279" s="14" t="s">
        <v>905</v>
      </c>
      <c r="F279" s="15"/>
      <c r="G279" s="15"/>
      <c r="H279" s="14" t="s">
        <v>906</v>
      </c>
      <c r="I279" s="15"/>
    </row>
    <row r="280" ht="14.25" customHeight="1">
      <c r="A280" s="10"/>
      <c r="B280" s="10">
        <v>71.0</v>
      </c>
      <c r="C280" s="11" t="s">
        <v>907</v>
      </c>
      <c r="D280" s="12"/>
      <c r="E280" s="11" t="s">
        <v>834</v>
      </c>
      <c r="F280" s="12"/>
      <c r="G280" s="12"/>
      <c r="H280" s="11" t="s">
        <v>908</v>
      </c>
      <c r="I280" s="12"/>
    </row>
    <row r="281" ht="14.25" customHeight="1">
      <c r="A281" s="13"/>
      <c r="B281" s="13">
        <v>72.0</v>
      </c>
      <c r="C281" s="14" t="s">
        <v>909</v>
      </c>
      <c r="D281" s="15"/>
      <c r="E281" s="14" t="s">
        <v>884</v>
      </c>
      <c r="F281" s="15"/>
      <c r="G281" s="15"/>
      <c r="H281" s="14" t="s">
        <v>910</v>
      </c>
      <c r="I281" s="15"/>
    </row>
    <row r="282" ht="14.25" customHeight="1">
      <c r="A282" s="10"/>
      <c r="B282" s="10">
        <v>73.0</v>
      </c>
      <c r="C282" s="11" t="s">
        <v>911</v>
      </c>
      <c r="D282" s="12"/>
      <c r="E282" s="11" t="s">
        <v>912</v>
      </c>
      <c r="F282" s="12"/>
      <c r="G282" s="12"/>
      <c r="H282" s="11" t="s">
        <v>913</v>
      </c>
      <c r="I282" s="12"/>
    </row>
    <row r="283" ht="14.25" customHeight="1">
      <c r="A283" s="13"/>
      <c r="B283" s="13">
        <v>74.0</v>
      </c>
      <c r="C283" s="14" t="s">
        <v>914</v>
      </c>
      <c r="D283" s="15"/>
      <c r="E283" s="14" t="s">
        <v>915</v>
      </c>
      <c r="F283" s="15"/>
      <c r="G283" s="15"/>
      <c r="H283" s="14" t="s">
        <v>916</v>
      </c>
      <c r="I283" s="15"/>
    </row>
    <row r="284" ht="14.25" customHeight="1">
      <c r="A284" s="10"/>
      <c r="B284" s="10">
        <v>75.0</v>
      </c>
      <c r="C284" s="11" t="s">
        <v>917</v>
      </c>
      <c r="E284" s="11" t="s">
        <v>834</v>
      </c>
      <c r="F284" s="12"/>
      <c r="G284" s="12"/>
      <c r="H284" s="11" t="s">
        <v>918</v>
      </c>
      <c r="I284" s="12"/>
    </row>
    <row r="285" ht="14.25" customHeight="1">
      <c r="A285" s="13"/>
      <c r="B285" s="13">
        <v>76.0</v>
      </c>
      <c r="C285" s="14" t="s">
        <v>919</v>
      </c>
      <c r="D285" s="15"/>
      <c r="E285" s="14" t="s">
        <v>920</v>
      </c>
      <c r="F285" s="15"/>
      <c r="G285" s="15"/>
      <c r="H285" s="14" t="s">
        <v>922</v>
      </c>
      <c r="I285" s="15"/>
    </row>
    <row r="286" ht="14.25" customHeight="1">
      <c r="A286" s="10"/>
      <c r="B286" s="10">
        <v>77.0</v>
      </c>
      <c r="C286" s="11" t="s">
        <v>923</v>
      </c>
      <c r="E286" s="11" t="s">
        <v>924</v>
      </c>
      <c r="F286" s="12"/>
      <c r="G286" s="12"/>
      <c r="H286" s="11" t="s">
        <v>926</v>
      </c>
      <c r="I286" s="12"/>
    </row>
    <row r="287" ht="14.25" customHeight="1">
      <c r="A287" s="13"/>
      <c r="B287" s="13">
        <v>78.0</v>
      </c>
      <c r="C287" s="14" t="s">
        <v>927</v>
      </c>
      <c r="D287" s="15"/>
      <c r="E287" s="14" t="s">
        <v>928</v>
      </c>
      <c r="F287" s="15"/>
      <c r="G287" s="15"/>
      <c r="H287" s="14" t="s">
        <v>929</v>
      </c>
      <c r="I287" s="15"/>
    </row>
    <row r="288" ht="14.25" customHeight="1">
      <c r="A288" s="10"/>
      <c r="B288" s="10">
        <v>79.0</v>
      </c>
      <c r="C288" s="11" t="s">
        <v>930</v>
      </c>
      <c r="D288" s="12"/>
      <c r="E288" s="11" t="s">
        <v>931</v>
      </c>
      <c r="F288" s="12"/>
      <c r="G288" s="12"/>
      <c r="H288" s="11" t="s">
        <v>933</v>
      </c>
      <c r="I288" s="12"/>
    </row>
    <row r="289" ht="14.25" customHeight="1">
      <c r="A289" s="13"/>
      <c r="B289" s="13">
        <v>80.0</v>
      </c>
      <c r="C289" s="14" t="s">
        <v>934</v>
      </c>
      <c r="D289" s="15"/>
      <c r="E289" s="14" t="s">
        <v>935</v>
      </c>
      <c r="F289" s="15"/>
      <c r="G289" s="15"/>
      <c r="H289" s="14" t="s">
        <v>1266</v>
      </c>
      <c r="I289" s="15"/>
    </row>
    <row r="290" ht="14.25" customHeight="1">
      <c r="A290" s="10"/>
      <c r="B290" s="10">
        <v>81.0</v>
      </c>
      <c r="C290" s="11" t="s">
        <v>938</v>
      </c>
      <c r="E290" s="11" t="s">
        <v>834</v>
      </c>
      <c r="F290" s="12"/>
      <c r="G290" s="12"/>
      <c r="H290" s="11" t="s">
        <v>939</v>
      </c>
      <c r="I290" s="12"/>
    </row>
    <row r="291" ht="14.25" customHeight="1">
      <c r="A291" s="13"/>
      <c r="B291" s="13">
        <v>82.0</v>
      </c>
      <c r="C291" s="14" t="s">
        <v>940</v>
      </c>
      <c r="D291" s="15"/>
      <c r="E291" s="14" t="s">
        <v>941</v>
      </c>
      <c r="F291" s="15"/>
      <c r="G291" s="15"/>
      <c r="H291" s="14" t="s">
        <v>942</v>
      </c>
      <c r="I291" s="15"/>
    </row>
    <row r="292" ht="14.25" customHeight="1">
      <c r="A292" s="10"/>
      <c r="B292" s="10">
        <v>83.0</v>
      </c>
      <c r="C292" s="11" t="s">
        <v>943</v>
      </c>
      <c r="D292" s="12"/>
      <c r="E292" s="11" t="s">
        <v>944</v>
      </c>
      <c r="G292" s="12"/>
      <c r="H292" s="11" t="s">
        <v>946</v>
      </c>
      <c r="I292" s="12"/>
    </row>
    <row r="293" ht="14.25" customHeight="1">
      <c r="A293" s="13"/>
      <c r="B293" s="13">
        <v>84.0</v>
      </c>
      <c r="C293" s="14" t="s">
        <v>947</v>
      </c>
      <c r="D293" s="15"/>
      <c r="E293" s="14" t="s">
        <v>948</v>
      </c>
      <c r="F293" s="15"/>
      <c r="G293" s="15"/>
      <c r="H293" s="14" t="s">
        <v>950</v>
      </c>
      <c r="I293" s="15"/>
    </row>
    <row r="294" ht="14.25" customHeight="1">
      <c r="A294" s="10"/>
      <c r="B294" s="10">
        <v>85.0</v>
      </c>
      <c r="C294" s="11" t="s">
        <v>951</v>
      </c>
      <c r="D294" s="12"/>
      <c r="E294" s="11" t="s">
        <v>834</v>
      </c>
      <c r="F294" s="12"/>
      <c r="G294" s="12"/>
      <c r="H294" s="11" t="s">
        <v>952</v>
      </c>
      <c r="I294" s="12"/>
    </row>
    <row r="295" ht="14.25" customHeight="1">
      <c r="A295" s="13"/>
      <c r="B295" s="13">
        <v>86.0</v>
      </c>
      <c r="C295" s="14" t="s">
        <v>953</v>
      </c>
      <c r="D295" s="15"/>
      <c r="E295" s="14" t="s">
        <v>954</v>
      </c>
      <c r="F295" s="15"/>
      <c r="G295" s="15"/>
      <c r="H295" s="14" t="s">
        <v>956</v>
      </c>
      <c r="I295" s="15"/>
    </row>
    <row r="296" ht="14.25" customHeight="1">
      <c r="A296" s="10"/>
      <c r="B296" s="10">
        <v>87.0</v>
      </c>
      <c r="C296" s="11" t="s">
        <v>957</v>
      </c>
      <c r="D296" s="12"/>
      <c r="E296" s="11" t="s">
        <v>958</v>
      </c>
      <c r="F296" s="12"/>
      <c r="G296" s="12"/>
      <c r="H296" s="11" t="s">
        <v>960</v>
      </c>
      <c r="I296" s="12"/>
    </row>
    <row r="297" ht="14.25" customHeight="1">
      <c r="A297" s="13"/>
      <c r="B297" s="13">
        <v>88.0</v>
      </c>
      <c r="C297" s="14" t="s">
        <v>961</v>
      </c>
      <c r="D297" s="15"/>
      <c r="E297" s="14" t="s">
        <v>834</v>
      </c>
      <c r="F297" s="15"/>
      <c r="G297" s="15"/>
      <c r="H297" s="14" t="s">
        <v>962</v>
      </c>
      <c r="I297" s="15"/>
    </row>
    <row r="298" ht="14.25" customHeight="1">
      <c r="A298" s="10"/>
      <c r="B298" s="10">
        <v>89.0</v>
      </c>
      <c r="C298" s="11" t="s">
        <v>963</v>
      </c>
      <c r="D298" s="12"/>
      <c r="E298" s="11" t="s">
        <v>850</v>
      </c>
      <c r="F298" s="12"/>
      <c r="G298" s="12"/>
      <c r="H298" s="11" t="s">
        <v>946</v>
      </c>
      <c r="I298" s="12"/>
    </row>
    <row r="299" ht="14.25" customHeight="1">
      <c r="A299" s="13"/>
      <c r="B299" s="13">
        <v>90.0</v>
      </c>
      <c r="C299" s="14" t="s">
        <v>964</v>
      </c>
      <c r="D299" s="15"/>
      <c r="E299" s="14" t="s">
        <v>965</v>
      </c>
      <c r="F299" s="15"/>
      <c r="G299" s="15"/>
      <c r="H299" s="14" t="s">
        <v>966</v>
      </c>
      <c r="I299" s="15"/>
    </row>
    <row r="300" ht="14.25" customHeight="1">
      <c r="A300" s="10"/>
      <c r="B300" s="10">
        <v>91.0</v>
      </c>
      <c r="C300" s="11" t="s">
        <v>967</v>
      </c>
      <c r="D300" s="12"/>
      <c r="E300" s="11" t="s">
        <v>834</v>
      </c>
      <c r="F300" s="12"/>
      <c r="G300" s="12"/>
      <c r="H300" s="11" t="s">
        <v>968</v>
      </c>
      <c r="I300" s="12"/>
    </row>
    <row r="301" ht="14.25" customHeight="1">
      <c r="A301" s="13"/>
      <c r="B301" s="13">
        <v>92.0</v>
      </c>
      <c r="C301" s="14" t="s">
        <v>969</v>
      </c>
      <c r="E301" s="14" t="s">
        <v>970</v>
      </c>
      <c r="F301" s="15"/>
      <c r="G301" s="15"/>
      <c r="H301" s="14" t="s">
        <v>971</v>
      </c>
      <c r="I301" s="15"/>
    </row>
    <row r="302" ht="14.25" customHeight="1">
      <c r="A302" s="10"/>
      <c r="B302" s="10">
        <v>93.0</v>
      </c>
      <c r="C302" s="11" t="s">
        <v>972</v>
      </c>
      <c r="D302" s="12"/>
      <c r="E302" s="11" t="s">
        <v>973</v>
      </c>
      <c r="F302" s="12"/>
      <c r="G302" s="12"/>
      <c r="H302" s="11" t="s">
        <v>975</v>
      </c>
      <c r="I302" s="12"/>
    </row>
    <row r="303" ht="14.25" customHeight="1">
      <c r="A303" s="13"/>
      <c r="B303" s="13">
        <v>94.0</v>
      </c>
      <c r="C303" s="14" t="s">
        <v>976</v>
      </c>
      <c r="D303" s="15"/>
      <c r="E303" s="14" t="s">
        <v>977</v>
      </c>
      <c r="G303" s="15"/>
      <c r="H303" s="14" t="s">
        <v>978</v>
      </c>
      <c r="I303" s="15"/>
    </row>
    <row r="304" ht="14.25" customHeight="1">
      <c r="A304" s="10"/>
      <c r="B304" s="10">
        <v>95.0</v>
      </c>
      <c r="C304" s="11" t="s">
        <v>979</v>
      </c>
      <c r="D304" s="12"/>
      <c r="E304" s="11" t="s">
        <v>980</v>
      </c>
      <c r="F304" s="12"/>
      <c r="G304" s="12"/>
      <c r="H304" s="11" t="s">
        <v>981</v>
      </c>
      <c r="I304" s="12"/>
    </row>
    <row r="305" ht="14.25" customHeight="1">
      <c r="A305" s="13"/>
      <c r="B305" s="13">
        <v>96.0</v>
      </c>
      <c r="C305" s="14" t="s">
        <v>982</v>
      </c>
      <c r="D305" s="15"/>
      <c r="E305" s="14" t="s">
        <v>983</v>
      </c>
      <c r="F305" s="15"/>
      <c r="G305" s="15"/>
      <c r="H305" s="14" t="s">
        <v>985</v>
      </c>
      <c r="I305" s="15"/>
    </row>
    <row r="306" ht="14.25" customHeight="1">
      <c r="A306" s="10"/>
      <c r="B306" s="10">
        <v>97.0</v>
      </c>
      <c r="C306" s="11" t="s">
        <v>986</v>
      </c>
      <c r="D306" s="12"/>
      <c r="E306" s="11" t="s">
        <v>987</v>
      </c>
      <c r="F306" s="12"/>
      <c r="G306" s="12"/>
      <c r="H306" s="11" t="s">
        <v>988</v>
      </c>
      <c r="I306" s="12"/>
    </row>
    <row r="307" ht="14.25" customHeight="1">
      <c r="A307" s="13"/>
      <c r="B307" s="13">
        <v>98.0</v>
      </c>
      <c r="C307" s="14" t="s">
        <v>989</v>
      </c>
      <c r="D307" s="15"/>
      <c r="E307" s="14" t="s">
        <v>834</v>
      </c>
      <c r="F307" s="15"/>
      <c r="G307" s="15"/>
      <c r="H307" s="14" t="s">
        <v>990</v>
      </c>
      <c r="I307" s="15"/>
    </row>
    <row r="308" ht="14.25" customHeight="1">
      <c r="A308" s="10"/>
      <c r="B308" s="10">
        <v>99.0</v>
      </c>
      <c r="C308" s="11" t="s">
        <v>991</v>
      </c>
      <c r="D308" s="12"/>
      <c r="E308" s="11" t="s">
        <v>992</v>
      </c>
      <c r="F308" s="12"/>
      <c r="G308" s="12"/>
      <c r="H308" s="11" t="s">
        <v>993</v>
      </c>
      <c r="I308" s="12"/>
    </row>
    <row r="309" ht="14.25" customHeight="1">
      <c r="A309" s="13"/>
      <c r="B309" s="13">
        <v>100.0</v>
      </c>
      <c r="C309" s="14" t="s">
        <v>994</v>
      </c>
      <c r="D309" s="15"/>
      <c r="E309" s="14" t="s">
        <v>995</v>
      </c>
      <c r="F309" s="15"/>
      <c r="G309" s="15"/>
      <c r="H309" s="14" t="s">
        <v>997</v>
      </c>
      <c r="I309" s="15"/>
    </row>
    <row r="310" ht="14.25" customHeight="1">
      <c r="A310" s="10"/>
      <c r="B310" s="10">
        <v>101.0</v>
      </c>
      <c r="C310" s="11" t="s">
        <v>998</v>
      </c>
      <c r="D310" s="12"/>
      <c r="E310" s="11" t="s">
        <v>834</v>
      </c>
      <c r="F310" s="12"/>
      <c r="G310" s="12"/>
      <c r="H310" s="11" t="s">
        <v>999</v>
      </c>
      <c r="I310" s="12"/>
    </row>
    <row r="311" ht="14.25" customHeight="1">
      <c r="A311" s="13"/>
      <c r="B311" s="13">
        <v>102.0</v>
      </c>
      <c r="C311" s="14" t="s">
        <v>1000</v>
      </c>
      <c r="D311" s="15"/>
      <c r="E311" s="14" t="s">
        <v>1001</v>
      </c>
      <c r="F311" s="15"/>
      <c r="G311" s="15"/>
      <c r="H311" s="14" t="s">
        <v>978</v>
      </c>
      <c r="I311" s="15"/>
    </row>
    <row r="312" ht="14.25" customHeight="1">
      <c r="A312" s="10"/>
      <c r="B312" s="10">
        <v>103.0</v>
      </c>
      <c r="C312" s="11" t="s">
        <v>1002</v>
      </c>
      <c r="D312" s="12"/>
      <c r="E312" s="11" t="s">
        <v>1003</v>
      </c>
      <c r="F312" s="12"/>
      <c r="G312" s="12"/>
      <c r="H312" s="11" t="s">
        <v>1005</v>
      </c>
      <c r="I312" s="12"/>
    </row>
    <row r="313" ht="14.25" customHeight="1">
      <c r="A313" s="13"/>
      <c r="B313" s="13">
        <v>104.0</v>
      </c>
      <c r="C313" s="14" t="s">
        <v>1006</v>
      </c>
      <c r="D313" s="15"/>
      <c r="E313" s="14" t="s">
        <v>834</v>
      </c>
      <c r="F313" s="15"/>
      <c r="G313" s="15"/>
      <c r="H313" s="14" t="s">
        <v>1007</v>
      </c>
      <c r="I313" s="15"/>
    </row>
    <row r="314" ht="14.25" customHeight="1">
      <c r="A314" s="10"/>
      <c r="B314" s="10">
        <v>105.0</v>
      </c>
      <c r="C314" s="11" t="s">
        <v>1008</v>
      </c>
      <c r="D314" s="12"/>
      <c r="E314" s="11" t="s">
        <v>1009</v>
      </c>
      <c r="G314" s="12"/>
      <c r="H314" s="11" t="s">
        <v>1011</v>
      </c>
      <c r="I314" s="12"/>
    </row>
    <row r="315" ht="14.25" customHeight="1">
      <c r="A315" s="13"/>
      <c r="B315" s="13">
        <v>106.0</v>
      </c>
      <c r="C315" s="14" t="s">
        <v>1012</v>
      </c>
      <c r="D315" s="15"/>
      <c r="E315" s="14" t="s">
        <v>1013</v>
      </c>
      <c r="F315" s="15"/>
      <c r="G315" s="15"/>
      <c r="H315" s="14" t="s">
        <v>1015</v>
      </c>
      <c r="I315" s="15"/>
    </row>
    <row r="316" ht="14.25" customHeight="1">
      <c r="A316" s="10"/>
      <c r="B316" s="10">
        <v>107.0</v>
      </c>
      <c r="C316" s="11" t="s">
        <v>1016</v>
      </c>
      <c r="E316" s="11" t="s">
        <v>1017</v>
      </c>
      <c r="F316" s="12"/>
      <c r="G316" s="12"/>
      <c r="H316" s="11" t="s">
        <v>1018</v>
      </c>
      <c r="I316" s="12"/>
    </row>
    <row r="317" ht="14.25" customHeight="1">
      <c r="A317" s="13"/>
      <c r="B317" s="13">
        <v>108.0</v>
      </c>
      <c r="C317" s="14" t="s">
        <v>1019</v>
      </c>
      <c r="E317" s="14" t="s">
        <v>850</v>
      </c>
      <c r="F317" s="15"/>
      <c r="G317" s="15"/>
      <c r="H317" s="14" t="s">
        <v>1020</v>
      </c>
      <c r="I317" s="15"/>
    </row>
    <row r="318" ht="14.25" customHeight="1">
      <c r="A318" s="10"/>
      <c r="B318" s="10">
        <v>109.0</v>
      </c>
      <c r="C318" s="11" t="s">
        <v>1021</v>
      </c>
      <c r="D318" s="12"/>
      <c r="E318" s="11" t="s">
        <v>834</v>
      </c>
      <c r="F318" s="12"/>
      <c r="G318" s="12"/>
      <c r="H318" s="11" t="s">
        <v>855</v>
      </c>
      <c r="I318" s="12"/>
    </row>
    <row r="319" ht="14.25" customHeight="1">
      <c r="A319" s="13"/>
      <c r="B319" s="13">
        <v>110.0</v>
      </c>
      <c r="C319" s="14" t="s">
        <v>1022</v>
      </c>
      <c r="D319" s="15"/>
      <c r="E319" s="14" t="s">
        <v>1023</v>
      </c>
      <c r="F319" s="15"/>
      <c r="G319" s="15"/>
      <c r="H319" s="14" t="s">
        <v>1025</v>
      </c>
      <c r="I319" s="15"/>
    </row>
    <row r="320" ht="14.25" customHeight="1">
      <c r="A320" s="10"/>
      <c r="B320" s="10">
        <v>111.0</v>
      </c>
      <c r="C320" s="11" t="s">
        <v>1026</v>
      </c>
      <c r="E320" s="11" t="s">
        <v>1027</v>
      </c>
      <c r="F320" s="12"/>
      <c r="G320" s="12"/>
      <c r="H320" s="11" t="s">
        <v>1028</v>
      </c>
      <c r="I320" s="12"/>
    </row>
    <row r="321" ht="14.25" customHeight="1">
      <c r="A321" s="13"/>
      <c r="B321" s="13">
        <v>112.0</v>
      </c>
      <c r="C321" s="14" t="s">
        <v>1029</v>
      </c>
      <c r="E321" s="14" t="s">
        <v>834</v>
      </c>
      <c r="F321" s="15"/>
      <c r="G321" s="15"/>
      <c r="H321" s="14" t="s">
        <v>1031</v>
      </c>
      <c r="I321" s="15"/>
    </row>
    <row r="322" ht="14.25" customHeight="1">
      <c r="A322" s="10"/>
      <c r="B322" s="10">
        <v>113.0</v>
      </c>
      <c r="C322" s="11" t="s">
        <v>1032</v>
      </c>
      <c r="D322" s="12"/>
      <c r="E322" s="11" t="s">
        <v>1033</v>
      </c>
      <c r="F322" s="12"/>
      <c r="G322" s="12"/>
      <c r="H322" s="11" t="s">
        <v>1034</v>
      </c>
      <c r="I322" s="12"/>
    </row>
    <row r="323" ht="14.25" customHeight="1">
      <c r="A323" s="13"/>
      <c r="B323" s="13">
        <v>114.0</v>
      </c>
      <c r="C323" s="14" t="s">
        <v>1035</v>
      </c>
      <c r="D323" s="15"/>
      <c r="E323" s="14" t="s">
        <v>1036</v>
      </c>
      <c r="F323" s="15"/>
      <c r="G323" s="15"/>
      <c r="H323" s="14" t="s">
        <v>1038</v>
      </c>
      <c r="I323" s="15"/>
    </row>
    <row r="324" ht="14.25" customHeight="1">
      <c r="A324" s="10"/>
      <c r="B324" s="10">
        <v>115.0</v>
      </c>
      <c r="C324" s="11" t="s">
        <v>1039</v>
      </c>
      <c r="E324" s="11" t="s">
        <v>834</v>
      </c>
      <c r="F324" s="12"/>
      <c r="G324" s="12"/>
      <c r="H324" s="11" t="s">
        <v>1040</v>
      </c>
      <c r="I324" s="12"/>
    </row>
    <row r="325" ht="14.25" customHeight="1">
      <c r="A325" s="13"/>
      <c r="B325" s="13">
        <v>116.0</v>
      </c>
      <c r="C325" s="14" t="s">
        <v>1041</v>
      </c>
      <c r="D325" s="15"/>
      <c r="E325" s="14" t="s">
        <v>1003</v>
      </c>
      <c r="F325" s="15"/>
      <c r="G325" s="15"/>
      <c r="H325" s="14" t="s">
        <v>1042</v>
      </c>
      <c r="I325" s="15"/>
    </row>
    <row r="326" ht="14.25" customHeight="1">
      <c r="A326" s="10"/>
      <c r="B326" s="10">
        <v>117.0</v>
      </c>
      <c r="C326" s="11" t="s">
        <v>1043</v>
      </c>
      <c r="D326" s="12"/>
      <c r="E326" s="11" t="s">
        <v>834</v>
      </c>
      <c r="F326" s="12"/>
      <c r="G326" s="12"/>
      <c r="H326" s="11" t="s">
        <v>1044</v>
      </c>
      <c r="I326" s="12"/>
    </row>
    <row r="327" ht="14.25" customHeight="1">
      <c r="A327" s="13"/>
      <c r="B327" s="13">
        <v>118.0</v>
      </c>
      <c r="C327" s="14" t="s">
        <v>1045</v>
      </c>
      <c r="D327" s="15"/>
      <c r="E327" s="14" t="s">
        <v>1046</v>
      </c>
      <c r="F327" s="15"/>
      <c r="G327" s="15"/>
      <c r="H327" s="14" t="s">
        <v>1047</v>
      </c>
      <c r="I327" s="15"/>
    </row>
    <row r="328" ht="14.25" customHeight="1">
      <c r="A328" s="10"/>
      <c r="B328" s="10">
        <v>119.0</v>
      </c>
      <c r="C328" s="11" t="s">
        <v>1048</v>
      </c>
      <c r="D328" s="12"/>
      <c r="E328" s="11" t="s">
        <v>834</v>
      </c>
      <c r="F328" s="12"/>
      <c r="G328" s="12"/>
      <c r="H328" s="11" t="s">
        <v>1038</v>
      </c>
      <c r="I328" s="12"/>
    </row>
    <row r="329" ht="14.25" customHeight="1">
      <c r="A329" s="13"/>
      <c r="B329" s="13">
        <v>120.0</v>
      </c>
      <c r="C329" s="14" t="s">
        <v>1049</v>
      </c>
      <c r="D329" s="15"/>
      <c r="E329" s="14" t="s">
        <v>1001</v>
      </c>
      <c r="F329" s="15"/>
      <c r="G329" s="15"/>
      <c r="H329" s="14" t="s">
        <v>1050</v>
      </c>
      <c r="I329" s="15"/>
    </row>
    <row r="330" ht="14.25" customHeight="1">
      <c r="A330" s="10"/>
      <c r="B330" s="10">
        <v>121.0</v>
      </c>
      <c r="C330" s="11" t="s">
        <v>1051</v>
      </c>
      <c r="D330" s="12"/>
      <c r="E330" s="11" t="s">
        <v>843</v>
      </c>
      <c r="F330" s="12"/>
      <c r="G330" s="12"/>
      <c r="H330" s="11" t="s">
        <v>1052</v>
      </c>
      <c r="I330" s="12"/>
    </row>
    <row r="331" ht="14.25" customHeight="1">
      <c r="A331" s="13"/>
      <c r="B331" s="13">
        <v>122.0</v>
      </c>
      <c r="C331" s="14" t="s">
        <v>1053</v>
      </c>
      <c r="D331" s="15"/>
      <c r="E331" s="14" t="s">
        <v>1054</v>
      </c>
      <c r="F331" s="15"/>
      <c r="G331" s="15"/>
      <c r="H331" s="14" t="s">
        <v>1056</v>
      </c>
      <c r="I331" s="15"/>
    </row>
    <row r="332" ht="14.25" customHeight="1">
      <c r="A332" s="10"/>
      <c r="B332" s="10">
        <v>123.0</v>
      </c>
      <c r="C332" s="11" t="s">
        <v>1057</v>
      </c>
      <c r="E332" s="11" t="s">
        <v>1058</v>
      </c>
      <c r="F332" s="12"/>
      <c r="G332" s="12"/>
      <c r="H332" s="11" t="s">
        <v>1059</v>
      </c>
      <c r="I332" s="12"/>
    </row>
    <row r="333" ht="14.25" customHeight="1">
      <c r="A333" s="13"/>
      <c r="B333" s="13">
        <v>124.0</v>
      </c>
      <c r="C333" s="14" t="s">
        <v>1060</v>
      </c>
      <c r="D333" s="15"/>
      <c r="E333" s="14" t="s">
        <v>834</v>
      </c>
      <c r="F333" s="15"/>
      <c r="G333" s="15"/>
      <c r="H333" s="14" t="s">
        <v>769</v>
      </c>
      <c r="I333" s="15"/>
    </row>
    <row r="334" ht="14.25" customHeight="1">
      <c r="A334" s="10"/>
      <c r="B334" s="10">
        <v>125.0</v>
      </c>
      <c r="C334" s="11" t="s">
        <v>1061</v>
      </c>
      <c r="D334" s="12"/>
      <c r="E334" s="11" t="s">
        <v>1062</v>
      </c>
      <c r="F334" s="12"/>
      <c r="G334" s="12"/>
      <c r="H334" s="11" t="s">
        <v>1064</v>
      </c>
      <c r="I334" s="12"/>
    </row>
    <row r="335" ht="14.25" customHeight="1">
      <c r="A335" s="13"/>
      <c r="B335" s="13">
        <v>126.0</v>
      </c>
      <c r="C335" s="14" t="s">
        <v>1065</v>
      </c>
      <c r="E335" s="14" t="s">
        <v>1066</v>
      </c>
      <c r="F335" s="15"/>
      <c r="G335" s="15"/>
      <c r="H335" s="14" t="s">
        <v>1068</v>
      </c>
      <c r="I335" s="15"/>
    </row>
    <row r="336" ht="14.25" customHeight="1">
      <c r="A336" s="10"/>
      <c r="B336" s="10">
        <v>127.0</v>
      </c>
      <c r="C336" s="11" t="s">
        <v>1069</v>
      </c>
      <c r="D336" s="12"/>
      <c r="E336" s="11" t="s">
        <v>1070</v>
      </c>
      <c r="F336" s="12"/>
      <c r="G336" s="12"/>
      <c r="H336" s="11" t="s">
        <v>1071</v>
      </c>
      <c r="I336" s="12"/>
    </row>
    <row r="337" ht="14.25" customHeight="1">
      <c r="A337" s="13"/>
      <c r="B337" s="13">
        <v>128.0</v>
      </c>
      <c r="C337" s="14" t="s">
        <v>1072</v>
      </c>
      <c r="D337" s="15"/>
      <c r="E337" s="14" t="s">
        <v>1073</v>
      </c>
      <c r="F337" s="15"/>
      <c r="G337" s="15"/>
      <c r="H337" s="14" t="s">
        <v>1074</v>
      </c>
      <c r="I337" s="15"/>
    </row>
    <row r="338" ht="14.25" customHeight="1">
      <c r="A338" s="10"/>
      <c r="B338" s="10">
        <v>129.0</v>
      </c>
      <c r="C338" s="11" t="s">
        <v>1075</v>
      </c>
      <c r="D338" s="12"/>
      <c r="E338" s="11" t="s">
        <v>834</v>
      </c>
      <c r="F338" s="12"/>
      <c r="G338" s="12"/>
      <c r="H338" s="11" t="s">
        <v>1076</v>
      </c>
      <c r="I338" s="12"/>
    </row>
    <row r="339" ht="14.25" customHeight="1">
      <c r="A339" s="13"/>
      <c r="B339" s="13">
        <v>130.0</v>
      </c>
      <c r="C339" s="14" t="s">
        <v>1077</v>
      </c>
      <c r="E339" s="14" t="s">
        <v>1078</v>
      </c>
      <c r="F339" s="15"/>
      <c r="G339" s="15"/>
      <c r="H339" s="14" t="s">
        <v>1011</v>
      </c>
      <c r="I339" s="15"/>
    </row>
    <row r="340" ht="14.25" customHeight="1">
      <c r="A340" s="10"/>
      <c r="B340" s="10">
        <v>131.0</v>
      </c>
      <c r="C340" s="11" t="s">
        <v>1080</v>
      </c>
      <c r="D340" s="12"/>
      <c r="E340" s="11" t="s">
        <v>834</v>
      </c>
      <c r="F340" s="12"/>
      <c r="G340" s="12"/>
      <c r="H340" s="11" t="s">
        <v>1081</v>
      </c>
      <c r="I340" s="12"/>
    </row>
    <row r="341" ht="14.25" customHeight="1">
      <c r="A341" s="13"/>
      <c r="B341" s="13">
        <v>132.0</v>
      </c>
      <c r="C341" s="14" t="s">
        <v>1082</v>
      </c>
      <c r="E341" s="14" t="s">
        <v>1027</v>
      </c>
      <c r="F341" s="15"/>
      <c r="G341" s="15"/>
      <c r="H341" s="14" t="s">
        <v>1083</v>
      </c>
      <c r="I341" s="15"/>
    </row>
    <row r="342" ht="14.25" customHeight="1">
      <c r="A342" s="10"/>
      <c r="B342" s="10">
        <v>133.0</v>
      </c>
      <c r="C342" s="11" t="s">
        <v>1084</v>
      </c>
      <c r="E342" s="11" t="s">
        <v>834</v>
      </c>
      <c r="F342" s="12"/>
      <c r="G342" s="12"/>
      <c r="H342" s="11" t="s">
        <v>1085</v>
      </c>
      <c r="I342" s="12"/>
    </row>
    <row r="343" ht="14.25" customHeight="1">
      <c r="A343" s="13"/>
      <c r="B343" s="13">
        <v>134.0</v>
      </c>
      <c r="C343" s="14" t="s">
        <v>1086</v>
      </c>
      <c r="D343" s="15"/>
      <c r="E343" s="14" t="s">
        <v>1087</v>
      </c>
      <c r="F343" s="15"/>
      <c r="G343" s="15"/>
      <c r="H343" s="14" t="s">
        <v>1089</v>
      </c>
      <c r="I343" s="15"/>
    </row>
    <row r="344" ht="14.25" customHeight="1">
      <c r="A344" s="10"/>
      <c r="B344" s="10">
        <v>135.0</v>
      </c>
      <c r="C344" s="11" t="s">
        <v>1090</v>
      </c>
      <c r="D344" s="12"/>
      <c r="E344" s="11" t="s">
        <v>834</v>
      </c>
      <c r="F344" s="12"/>
      <c r="G344" s="12"/>
      <c r="H344" s="11" t="s">
        <v>1091</v>
      </c>
      <c r="I344" s="12"/>
    </row>
    <row r="345" ht="14.25" customHeight="1">
      <c r="A345" s="13"/>
      <c r="B345" s="13">
        <v>136.0</v>
      </c>
      <c r="C345" s="14" t="s">
        <v>1092</v>
      </c>
      <c r="D345" s="15"/>
      <c r="E345" s="14" t="s">
        <v>1093</v>
      </c>
      <c r="F345" s="15"/>
      <c r="G345" s="15"/>
      <c r="H345" s="14" t="s">
        <v>1095</v>
      </c>
      <c r="I345" s="15"/>
    </row>
    <row r="346" ht="14.25" customHeight="1">
      <c r="A346" s="10"/>
      <c r="B346" s="10">
        <v>137.0</v>
      </c>
      <c r="C346" s="11" t="s">
        <v>1096</v>
      </c>
      <c r="D346" s="12"/>
      <c r="E346" s="11" t="s">
        <v>1097</v>
      </c>
      <c r="F346" s="12"/>
      <c r="G346" s="12"/>
      <c r="H346" s="11" t="s">
        <v>1098</v>
      </c>
      <c r="I346" s="12"/>
    </row>
    <row r="347" ht="14.25" customHeight="1">
      <c r="A347" s="13"/>
      <c r="B347" s="13">
        <v>138.0</v>
      </c>
      <c r="C347" s="14" t="s">
        <v>1099</v>
      </c>
      <c r="D347" s="15"/>
      <c r="E347" s="14" t="s">
        <v>1100</v>
      </c>
      <c r="F347" s="15"/>
      <c r="G347" s="15"/>
      <c r="H347" s="14" t="s">
        <v>1101</v>
      </c>
      <c r="I347" s="15"/>
    </row>
    <row r="348" ht="14.25" customHeight="1">
      <c r="A348" s="10"/>
      <c r="B348" s="10">
        <v>139.0</v>
      </c>
      <c r="C348" s="11" t="s">
        <v>1102</v>
      </c>
      <c r="D348" s="12"/>
      <c r="E348" s="11" t="s">
        <v>1103</v>
      </c>
      <c r="F348" s="12"/>
      <c r="G348" s="12"/>
      <c r="H348" s="11" t="s">
        <v>1105</v>
      </c>
      <c r="I348" s="12"/>
    </row>
    <row r="349" ht="14.25" customHeight="1">
      <c r="A349" s="13"/>
      <c r="B349" s="13">
        <v>140.0</v>
      </c>
      <c r="C349" s="14" t="s">
        <v>1106</v>
      </c>
      <c r="E349" s="14" t="s">
        <v>1107</v>
      </c>
      <c r="F349" s="15"/>
      <c r="G349" s="15"/>
      <c r="H349" s="14" t="s">
        <v>1108</v>
      </c>
      <c r="I349" s="15"/>
    </row>
    <row r="350" ht="14.25" customHeight="1">
      <c r="A350" s="10"/>
      <c r="B350" s="10">
        <v>141.0</v>
      </c>
      <c r="C350" s="11" t="s">
        <v>1109</v>
      </c>
      <c r="E350" s="11" t="s">
        <v>1110</v>
      </c>
      <c r="F350" s="12"/>
      <c r="G350" s="12"/>
      <c r="H350" s="11" t="s">
        <v>1111</v>
      </c>
      <c r="I350" s="12"/>
    </row>
    <row r="351" ht="14.25" customHeight="1">
      <c r="A351" s="13"/>
      <c r="B351" s="13">
        <v>142.0</v>
      </c>
      <c r="C351" s="14" t="s">
        <v>1112</v>
      </c>
      <c r="D351" s="15"/>
      <c r="E351" s="14" t="s">
        <v>1113</v>
      </c>
      <c r="F351" s="15"/>
      <c r="G351" s="15"/>
      <c r="H351" s="14" t="s">
        <v>1114</v>
      </c>
      <c r="I351" s="15"/>
    </row>
    <row r="352" ht="14.25" customHeight="1">
      <c r="A352" s="10"/>
      <c r="B352" s="10">
        <v>143.0</v>
      </c>
      <c r="C352" s="11" t="s">
        <v>1115</v>
      </c>
      <c r="D352" s="12"/>
      <c r="E352" s="11" t="s">
        <v>1116</v>
      </c>
      <c r="F352" s="12"/>
      <c r="G352" s="12"/>
      <c r="H352" s="11" t="s">
        <v>855</v>
      </c>
      <c r="I352" s="12"/>
    </row>
    <row r="353" ht="14.25" customHeight="1">
      <c r="A353" s="13"/>
      <c r="B353" s="13">
        <v>144.0</v>
      </c>
      <c r="C353" s="14" t="s">
        <v>1117</v>
      </c>
      <c r="D353" s="15"/>
      <c r="E353" s="14" t="s">
        <v>1118</v>
      </c>
      <c r="F353" s="15"/>
      <c r="G353" s="15"/>
      <c r="H353" s="14" t="s">
        <v>1120</v>
      </c>
      <c r="I353" s="15"/>
    </row>
    <row r="354" ht="14.25" customHeight="1">
      <c r="A354" s="10"/>
      <c r="B354" s="10">
        <v>145.0</v>
      </c>
      <c r="C354" s="11" t="s">
        <v>1121</v>
      </c>
      <c r="E354" s="11" t="s">
        <v>1122</v>
      </c>
      <c r="F354" s="12"/>
      <c r="G354" s="12"/>
      <c r="H354" s="11" t="s">
        <v>1123</v>
      </c>
      <c r="I354" s="12"/>
    </row>
    <row r="355" ht="14.25" customHeight="1">
      <c r="A355" s="13"/>
      <c r="B355" s="13">
        <v>146.0</v>
      </c>
      <c r="C355" s="14" t="s">
        <v>1124</v>
      </c>
      <c r="D355" s="15"/>
      <c r="E355" s="14" t="s">
        <v>834</v>
      </c>
      <c r="F355" s="15"/>
      <c r="G355" s="15"/>
      <c r="H355" s="14" t="s">
        <v>1125</v>
      </c>
      <c r="I355" s="15"/>
    </row>
    <row r="356" ht="14.25" customHeight="1">
      <c r="A356" s="10"/>
      <c r="B356" s="10">
        <v>147.0</v>
      </c>
      <c r="C356" s="11" t="s">
        <v>1126</v>
      </c>
      <c r="D356" s="12"/>
      <c r="E356" s="11" t="s">
        <v>980</v>
      </c>
      <c r="F356" s="12"/>
      <c r="G356" s="12"/>
      <c r="H356" s="11" t="s">
        <v>1127</v>
      </c>
      <c r="I356" s="12"/>
    </row>
    <row r="357" ht="14.25" customHeight="1">
      <c r="A357" s="13"/>
      <c r="B357" s="13">
        <v>148.0</v>
      </c>
      <c r="C357" s="14" t="s">
        <v>1128</v>
      </c>
      <c r="E357" s="14" t="s">
        <v>1046</v>
      </c>
      <c r="F357" s="15"/>
      <c r="G357" s="15"/>
      <c r="H357" s="14" t="s">
        <v>1129</v>
      </c>
      <c r="I357" s="15"/>
    </row>
    <row r="358" ht="14.25" customHeight="1">
      <c r="A358" s="10"/>
      <c r="B358" s="10">
        <v>149.0</v>
      </c>
      <c r="C358" s="11" t="s">
        <v>1130</v>
      </c>
      <c r="D358" s="12"/>
      <c r="E358" s="11" t="s">
        <v>1131</v>
      </c>
      <c r="F358" s="12"/>
      <c r="G358" s="12"/>
      <c r="H358" s="11" t="s">
        <v>1132</v>
      </c>
      <c r="I358" s="12"/>
    </row>
    <row r="359" ht="14.25" customHeight="1">
      <c r="A359" s="13"/>
      <c r="B359" s="13">
        <v>150.0</v>
      </c>
      <c r="C359" s="14" t="s">
        <v>1133</v>
      </c>
      <c r="D359" s="15"/>
      <c r="E359" s="14" t="s">
        <v>1134</v>
      </c>
      <c r="F359" s="15"/>
      <c r="G359" s="15"/>
      <c r="H359" s="14" t="s">
        <v>1135</v>
      </c>
      <c r="I359" s="15"/>
    </row>
    <row r="360" ht="14.25" customHeight="1">
      <c r="A360" s="10"/>
      <c r="B360" s="10">
        <v>151.0</v>
      </c>
      <c r="C360" s="11" t="s">
        <v>1136</v>
      </c>
      <c r="D360" s="12"/>
      <c r="E360" s="11" t="s">
        <v>1137</v>
      </c>
      <c r="F360" s="12"/>
      <c r="G360" s="12"/>
      <c r="H360" s="11" t="s">
        <v>1138</v>
      </c>
      <c r="I360" s="12"/>
    </row>
    <row r="361" ht="14.25" customHeight="1">
      <c r="A361" s="13"/>
      <c r="B361" s="13">
        <v>152.0</v>
      </c>
      <c r="C361" s="14" t="s">
        <v>1139</v>
      </c>
      <c r="E361" s="14" t="s">
        <v>1027</v>
      </c>
      <c r="F361" s="15"/>
      <c r="G361" s="15"/>
      <c r="H361" s="14" t="s">
        <v>1140</v>
      </c>
      <c r="I361" s="15"/>
    </row>
    <row r="362" ht="14.25" customHeight="1">
      <c r="A362" s="10"/>
      <c r="B362" s="10">
        <v>153.0</v>
      </c>
      <c r="C362" s="11" t="s">
        <v>1141</v>
      </c>
      <c r="D362" s="12"/>
      <c r="E362" s="11" t="s">
        <v>1142</v>
      </c>
      <c r="G362" s="12"/>
      <c r="H362" s="11" t="s">
        <v>1143</v>
      </c>
      <c r="I362" s="12"/>
    </row>
    <row r="363" ht="14.25" customHeight="1">
      <c r="A363" s="13"/>
      <c r="B363" s="13">
        <v>154.0</v>
      </c>
      <c r="C363" s="14" t="s">
        <v>1144</v>
      </c>
      <c r="E363" s="14" t="s">
        <v>1027</v>
      </c>
      <c r="F363" s="15"/>
      <c r="G363" s="15"/>
      <c r="H363" s="14" t="s">
        <v>1145</v>
      </c>
      <c r="I363" s="15"/>
    </row>
    <row r="364" ht="14.25" customHeight="1">
      <c r="A364" s="10"/>
      <c r="B364" s="10">
        <v>155.0</v>
      </c>
      <c r="C364" s="11" t="s">
        <v>1146</v>
      </c>
      <c r="D364" s="12"/>
      <c r="E364" s="11" t="s">
        <v>1147</v>
      </c>
      <c r="F364" s="12"/>
      <c r="G364" s="12"/>
      <c r="H364" s="11" t="s">
        <v>1148</v>
      </c>
      <c r="I364" s="12"/>
    </row>
    <row r="365" ht="14.25" customHeight="1">
      <c r="A365" s="13"/>
      <c r="B365" s="13">
        <v>156.0</v>
      </c>
      <c r="C365" s="14" t="s">
        <v>1149</v>
      </c>
      <c r="D365" s="15"/>
      <c r="E365" s="14" t="s">
        <v>1150</v>
      </c>
      <c r="F365" s="15"/>
      <c r="G365" s="15"/>
      <c r="H365" s="14" t="s">
        <v>1151</v>
      </c>
      <c r="I365" s="15"/>
    </row>
    <row r="366" ht="14.25" customHeight="1">
      <c r="A366" s="10"/>
      <c r="B366" s="10">
        <v>157.0</v>
      </c>
      <c r="C366" s="11" t="s">
        <v>1152</v>
      </c>
      <c r="D366" s="12"/>
      <c r="E366" s="11" t="s">
        <v>1153</v>
      </c>
      <c r="F366" s="12"/>
      <c r="G366" s="12"/>
      <c r="H366" s="11" t="s">
        <v>1154</v>
      </c>
      <c r="I366" s="12"/>
    </row>
    <row r="367" ht="14.25" customHeight="1">
      <c r="A367" s="13"/>
      <c r="B367" s="13">
        <v>158.0</v>
      </c>
      <c r="C367" s="14" t="s">
        <v>1155</v>
      </c>
      <c r="D367" s="15"/>
      <c r="E367" s="14" t="s">
        <v>1156</v>
      </c>
      <c r="F367" s="15"/>
      <c r="G367" s="15"/>
      <c r="H367" s="14" t="s">
        <v>1129</v>
      </c>
      <c r="I367" s="15"/>
    </row>
    <row r="368" ht="14.25" customHeight="1">
      <c r="A368" s="10"/>
      <c r="B368" s="10">
        <v>159.0</v>
      </c>
      <c r="C368" s="11" t="s">
        <v>1157</v>
      </c>
      <c r="D368" s="12"/>
      <c r="E368" s="11" t="s">
        <v>1158</v>
      </c>
      <c r="F368" s="12"/>
      <c r="G368" s="12"/>
      <c r="H368" s="11" t="s">
        <v>1159</v>
      </c>
      <c r="I368" s="12"/>
    </row>
    <row r="369" ht="14.25" customHeight="1">
      <c r="A369" s="13"/>
      <c r="B369" s="13">
        <v>160.0</v>
      </c>
      <c r="C369" s="14" t="s">
        <v>1160</v>
      </c>
      <c r="E369" s="14" t="s">
        <v>1161</v>
      </c>
      <c r="F369" s="15"/>
      <c r="G369" s="15"/>
      <c r="H369" s="14" t="s">
        <v>1163</v>
      </c>
      <c r="I369" s="15"/>
    </row>
    <row r="370" ht="14.25" customHeight="1">
      <c r="A370" s="10"/>
      <c r="B370" s="10">
        <v>161.0</v>
      </c>
      <c r="C370" s="11" t="s">
        <v>1164</v>
      </c>
      <c r="E370" s="11" t="s">
        <v>1027</v>
      </c>
      <c r="F370" s="12"/>
      <c r="G370" s="12"/>
      <c r="H370" s="11" t="s">
        <v>1165</v>
      </c>
      <c r="I370" s="12"/>
    </row>
    <row r="371" ht="14.25" customHeight="1">
      <c r="A371" s="13"/>
      <c r="B371" s="13">
        <v>162.0</v>
      </c>
      <c r="C371" s="14" t="s">
        <v>1166</v>
      </c>
      <c r="D371" s="15"/>
      <c r="E371" s="14" t="s">
        <v>1167</v>
      </c>
      <c r="F371" s="15"/>
      <c r="G371" s="15"/>
      <c r="H371" s="14" t="s">
        <v>1168</v>
      </c>
      <c r="I371" s="15"/>
    </row>
    <row r="372" ht="14.25" customHeight="1">
      <c r="A372" s="10"/>
      <c r="B372" s="10">
        <v>163.0</v>
      </c>
      <c r="C372" s="11" t="s">
        <v>1169</v>
      </c>
      <c r="E372" s="11" t="s">
        <v>1170</v>
      </c>
      <c r="F372" s="12"/>
      <c r="G372" s="12"/>
      <c r="H372" s="11" t="s">
        <v>1171</v>
      </c>
      <c r="I372" s="12"/>
    </row>
    <row r="373" ht="14.25" customHeight="1">
      <c r="A373" s="13"/>
      <c r="B373" s="13">
        <v>164.0</v>
      </c>
      <c r="C373" s="14" t="s">
        <v>1172</v>
      </c>
      <c r="D373" s="15"/>
      <c r="E373" s="14" t="s">
        <v>1158</v>
      </c>
      <c r="F373" s="15"/>
      <c r="G373" s="15"/>
      <c r="H373" s="14" t="s">
        <v>1173</v>
      </c>
      <c r="I373" s="15"/>
    </row>
    <row r="374" ht="14.25" customHeight="1">
      <c r="A374" s="10"/>
      <c r="B374" s="10">
        <v>165.0</v>
      </c>
      <c r="C374" s="11" t="s">
        <v>1174</v>
      </c>
      <c r="E374" s="11" t="s">
        <v>1175</v>
      </c>
      <c r="F374" s="12"/>
      <c r="G374" s="12"/>
      <c r="H374" s="11" t="s">
        <v>1176</v>
      </c>
      <c r="I374" s="12"/>
    </row>
    <row r="375" ht="14.25" customHeight="1">
      <c r="A375" s="13"/>
      <c r="B375" s="13">
        <v>166.0</v>
      </c>
      <c r="C375" s="14" t="s">
        <v>1177</v>
      </c>
      <c r="E375" s="14" t="s">
        <v>1178</v>
      </c>
      <c r="F375" s="15"/>
      <c r="G375" s="15"/>
      <c r="H375" s="14" t="s">
        <v>1179</v>
      </c>
      <c r="I375" s="15"/>
    </row>
    <row r="376" ht="14.25" customHeight="1">
      <c r="A376" s="10"/>
      <c r="B376" s="10">
        <v>167.0</v>
      </c>
      <c r="C376" s="11" t="s">
        <v>1180</v>
      </c>
      <c r="D376" s="12"/>
      <c r="E376" s="11" t="s">
        <v>1181</v>
      </c>
      <c r="F376" s="12"/>
      <c r="G376" s="12"/>
      <c r="H376" s="11" t="s">
        <v>1182</v>
      </c>
      <c r="I376" s="12"/>
    </row>
    <row r="377" ht="14.25" customHeight="1">
      <c r="A377" s="13"/>
      <c r="B377" s="13">
        <v>168.0</v>
      </c>
      <c r="C377" s="14" t="s">
        <v>1183</v>
      </c>
      <c r="D377" s="15"/>
      <c r="E377" s="14" t="s">
        <v>1184</v>
      </c>
      <c r="F377" s="15"/>
      <c r="G377" s="15"/>
      <c r="H377" s="14" t="s">
        <v>1185</v>
      </c>
      <c r="I377" s="15"/>
    </row>
    <row r="378" ht="14.25" customHeight="1">
      <c r="A378" s="10"/>
      <c r="B378" s="10">
        <v>169.0</v>
      </c>
      <c r="C378" s="11" t="s">
        <v>1186</v>
      </c>
      <c r="E378" s="11" t="s">
        <v>1187</v>
      </c>
      <c r="F378" s="12"/>
      <c r="G378" s="12"/>
      <c r="H378" s="11" t="s">
        <v>1188</v>
      </c>
      <c r="I378" s="12"/>
    </row>
    <row r="379" ht="14.25" customHeight="1">
      <c r="A379" s="13"/>
      <c r="B379" s="13">
        <v>170.0</v>
      </c>
      <c r="C379" s="14" t="s">
        <v>1189</v>
      </c>
      <c r="D379" s="15"/>
      <c r="E379" s="14" t="s">
        <v>1184</v>
      </c>
      <c r="F379" s="15"/>
      <c r="G379" s="15"/>
      <c r="H379" s="14" t="s">
        <v>1190</v>
      </c>
      <c r="I379" s="15"/>
    </row>
    <row r="380" ht="14.25" customHeight="1">
      <c r="A380" s="10"/>
      <c r="B380" s="10">
        <v>171.0</v>
      </c>
      <c r="C380" s="11" t="s">
        <v>1191</v>
      </c>
      <c r="D380" s="12"/>
      <c r="E380" s="11" t="s">
        <v>1192</v>
      </c>
      <c r="F380" s="12"/>
      <c r="G380" s="12"/>
      <c r="H380" s="11" t="s">
        <v>1193</v>
      </c>
      <c r="I380" s="12"/>
    </row>
    <row r="381" ht="14.25" customHeight="1">
      <c r="A381" s="13"/>
      <c r="B381" s="13">
        <v>172.0</v>
      </c>
      <c r="C381" s="14" t="s">
        <v>1194</v>
      </c>
      <c r="D381" s="15"/>
      <c r="E381" s="14" t="s">
        <v>1195</v>
      </c>
      <c r="F381" s="15"/>
      <c r="G381" s="15"/>
      <c r="H381" s="14" t="s">
        <v>1176</v>
      </c>
      <c r="I381" s="15"/>
    </row>
    <row r="382" ht="14.25" customHeight="1">
      <c r="A382" s="10"/>
      <c r="B382" s="10">
        <v>173.0</v>
      </c>
      <c r="C382" s="11" t="s">
        <v>1196</v>
      </c>
      <c r="D382" s="12"/>
      <c r="E382" s="11" t="s">
        <v>1153</v>
      </c>
      <c r="F382" s="12"/>
      <c r="G382" s="12"/>
      <c r="H382" s="11" t="s">
        <v>1197</v>
      </c>
      <c r="I382" s="12"/>
    </row>
    <row r="383" ht="14.25" customHeight="1">
      <c r="A383" s="13"/>
      <c r="B383" s="13">
        <v>174.0</v>
      </c>
      <c r="C383" s="14" t="s">
        <v>1198</v>
      </c>
      <c r="D383" s="15"/>
      <c r="E383" s="14" t="s">
        <v>1199</v>
      </c>
      <c r="F383" s="15"/>
      <c r="G383" s="15"/>
      <c r="H383" s="14" t="s">
        <v>1200</v>
      </c>
      <c r="I383" s="15"/>
    </row>
    <row r="384" ht="14.25" customHeight="1">
      <c r="A384" s="10"/>
      <c r="B384" s="10">
        <v>175.0</v>
      </c>
      <c r="C384" s="11" t="s">
        <v>1201</v>
      </c>
      <c r="E384" s="11" t="s">
        <v>1202</v>
      </c>
      <c r="F384" s="12"/>
      <c r="G384" s="12"/>
      <c r="H384" s="11" t="s">
        <v>1203</v>
      </c>
      <c r="I384" s="12"/>
    </row>
    <row r="385" ht="14.25" customHeight="1">
      <c r="A385" s="13"/>
      <c r="B385" s="13">
        <v>176.0</v>
      </c>
      <c r="C385" s="14" t="s">
        <v>1204</v>
      </c>
      <c r="D385" s="15"/>
      <c r="E385" s="14" t="s">
        <v>1205</v>
      </c>
      <c r="F385" s="15"/>
      <c r="G385" s="15"/>
      <c r="H385" s="14" t="s">
        <v>1206</v>
      </c>
      <c r="I385" s="15"/>
    </row>
    <row r="386" ht="14.25" customHeight="1">
      <c r="A386" s="10"/>
      <c r="B386" s="10">
        <v>177.0</v>
      </c>
      <c r="C386" s="11" t="s">
        <v>1207</v>
      </c>
      <c r="D386" s="12"/>
      <c r="E386" s="11" t="s">
        <v>1208</v>
      </c>
      <c r="F386" s="12"/>
      <c r="G386" s="12"/>
      <c r="H386" s="11" t="s">
        <v>1209</v>
      </c>
      <c r="I386" s="12"/>
    </row>
    <row r="387" ht="14.25" customHeight="1">
      <c r="A387" s="13"/>
      <c r="B387" s="13">
        <v>178.0</v>
      </c>
      <c r="C387" s="14" t="s">
        <v>1210</v>
      </c>
      <c r="D387" s="15"/>
      <c r="E387" s="14" t="s">
        <v>1153</v>
      </c>
      <c r="F387" s="15"/>
      <c r="G387" s="15"/>
      <c r="H387" s="14" t="s">
        <v>1211</v>
      </c>
      <c r="I387" s="15"/>
    </row>
    <row r="388" ht="14.25" customHeight="1">
      <c r="A388" s="10"/>
      <c r="B388" s="10">
        <v>179.0</v>
      </c>
      <c r="C388" s="11" t="s">
        <v>1212</v>
      </c>
      <c r="D388" s="12"/>
      <c r="E388" s="11" t="s">
        <v>1161</v>
      </c>
      <c r="F388" s="12"/>
      <c r="G388" s="12"/>
      <c r="H388" s="11" t="s">
        <v>1213</v>
      </c>
      <c r="I388" s="12"/>
    </row>
    <row r="389" ht="14.25" customHeight="1">
      <c r="A389" s="13"/>
      <c r="B389" s="13">
        <v>180.0</v>
      </c>
      <c r="C389" s="14" t="s">
        <v>1214</v>
      </c>
      <c r="D389" s="15"/>
      <c r="E389" s="14" t="s">
        <v>1027</v>
      </c>
      <c r="F389" s="15"/>
      <c r="G389" s="15"/>
      <c r="H389" s="14" t="s">
        <v>1215</v>
      </c>
      <c r="I389" s="15"/>
    </row>
    <row r="390" ht="14.25" customHeight="1">
      <c r="A390" s="10"/>
      <c r="B390" s="10">
        <v>181.0</v>
      </c>
      <c r="C390" s="11" t="s">
        <v>1216</v>
      </c>
      <c r="E390" s="11" t="s">
        <v>1217</v>
      </c>
      <c r="F390" s="12"/>
      <c r="G390" s="12"/>
      <c r="H390" s="11" t="s">
        <v>1218</v>
      </c>
      <c r="I390" s="12"/>
    </row>
    <row r="391" ht="14.25" customHeight="1">
      <c r="A391" s="13"/>
      <c r="B391" s="13">
        <v>182.0</v>
      </c>
      <c r="C391" s="14" t="s">
        <v>1219</v>
      </c>
      <c r="D391" s="15"/>
      <c r="E391" s="14" t="s">
        <v>1220</v>
      </c>
      <c r="F391" s="15"/>
      <c r="G391" s="15"/>
      <c r="H391" s="14" t="s">
        <v>1221</v>
      </c>
      <c r="I391" s="15"/>
    </row>
    <row r="392" ht="14.25" customHeight="1">
      <c r="A392" s="10"/>
      <c r="B392" s="10">
        <v>183.0</v>
      </c>
      <c r="C392" s="11" t="s">
        <v>1222</v>
      </c>
      <c r="D392" s="12"/>
      <c r="E392" s="11" t="s">
        <v>1223</v>
      </c>
      <c r="F392" s="12"/>
      <c r="G392" s="12"/>
      <c r="H392" s="11" t="s">
        <v>1224</v>
      </c>
      <c r="I392" s="12"/>
    </row>
    <row r="393" ht="14.25" customHeight="1">
      <c r="A393" s="13"/>
      <c r="B393" s="13">
        <v>184.0</v>
      </c>
      <c r="C393" s="14" t="s">
        <v>1225</v>
      </c>
      <c r="E393" s="14" t="s">
        <v>1226</v>
      </c>
      <c r="F393" s="15"/>
      <c r="G393" s="15"/>
      <c r="H393" s="14" t="s">
        <v>1203</v>
      </c>
      <c r="I393" s="15"/>
    </row>
    <row r="394" ht="14.25" customHeight="1">
      <c r="A394" s="10"/>
      <c r="B394" s="10">
        <v>185.0</v>
      </c>
      <c r="C394" s="11" t="s">
        <v>1112</v>
      </c>
      <c r="D394" s="12"/>
      <c r="E394" s="11" t="s">
        <v>1027</v>
      </c>
      <c r="F394" s="12"/>
      <c r="G394" s="12"/>
      <c r="H394" s="11" t="s">
        <v>1176</v>
      </c>
      <c r="I394" s="12"/>
    </row>
    <row r="395" ht="14.25" customHeight="1">
      <c r="A395" s="13"/>
      <c r="B395" s="13">
        <v>186.0</v>
      </c>
      <c r="C395" s="14" t="s">
        <v>1227</v>
      </c>
      <c r="D395" s="15"/>
      <c r="E395" s="14" t="s">
        <v>1228</v>
      </c>
      <c r="F395" s="15"/>
      <c r="G395" s="15"/>
      <c r="H395" s="14" t="s">
        <v>1229</v>
      </c>
      <c r="I395" s="15"/>
    </row>
    <row r="396" ht="14.25" customHeight="1">
      <c r="A396" s="10"/>
      <c r="B396" s="10">
        <v>187.0</v>
      </c>
      <c r="C396" s="11" t="s">
        <v>1230</v>
      </c>
      <c r="D396" s="12"/>
      <c r="E396" s="11" t="s">
        <v>1231</v>
      </c>
      <c r="F396" s="12"/>
      <c r="G396" s="12"/>
      <c r="H396" s="11" t="s">
        <v>1232</v>
      </c>
      <c r="I396" s="12"/>
    </row>
    <row r="397" ht="14.25" customHeight="1">
      <c r="A397" s="13"/>
      <c r="B397" s="13">
        <v>188.0</v>
      </c>
      <c r="C397" s="14" t="s">
        <v>1233</v>
      </c>
      <c r="D397" s="15"/>
      <c r="E397" s="14" t="s">
        <v>1234</v>
      </c>
      <c r="F397" s="15"/>
      <c r="G397" s="15"/>
      <c r="H397" s="14" t="s">
        <v>1235</v>
      </c>
      <c r="I397" s="15"/>
    </row>
    <row r="398" ht="14.25" customHeight="1">
      <c r="A398" s="10"/>
      <c r="B398" s="10">
        <v>189.0</v>
      </c>
      <c r="C398" s="11" t="s">
        <v>1236</v>
      </c>
      <c r="D398" s="12"/>
      <c r="E398" s="11" t="s">
        <v>1027</v>
      </c>
      <c r="F398" s="12"/>
      <c r="G398" s="12"/>
      <c r="H398" s="11" t="s">
        <v>1237</v>
      </c>
      <c r="I398" s="12"/>
    </row>
    <row r="399" ht="14.25" customHeight="1">
      <c r="A399" s="13"/>
      <c r="B399" s="13">
        <v>190.0</v>
      </c>
      <c r="C399" s="14" t="s">
        <v>1238</v>
      </c>
      <c r="E399" s="14" t="s">
        <v>1239</v>
      </c>
      <c r="F399" s="15"/>
      <c r="G399" s="15"/>
      <c r="H399" s="14" t="s">
        <v>1240</v>
      </c>
      <c r="I399" s="15"/>
    </row>
    <row r="400" ht="14.25" customHeight="1">
      <c r="A400" s="10"/>
      <c r="B400" s="10">
        <v>191.0</v>
      </c>
      <c r="C400" s="11" t="s">
        <v>1241</v>
      </c>
      <c r="D400" s="12"/>
      <c r="E400" s="11" t="s">
        <v>1242</v>
      </c>
      <c r="F400" s="12"/>
      <c r="G400" s="12"/>
      <c r="H400" s="11" t="s">
        <v>1243</v>
      </c>
      <c r="I400" s="12"/>
    </row>
    <row r="401" ht="14.25" customHeight="1">
      <c r="A401" s="13"/>
      <c r="B401" s="13">
        <v>192.0</v>
      </c>
      <c r="C401" s="14" t="s">
        <v>1244</v>
      </c>
      <c r="D401" s="15"/>
      <c r="E401" s="14" t="s">
        <v>1027</v>
      </c>
      <c r="F401" s="15"/>
      <c r="G401" s="15"/>
      <c r="H401" s="14" t="s">
        <v>1245</v>
      </c>
      <c r="I401" s="15"/>
    </row>
    <row r="402" ht="14.25" customHeight="1">
      <c r="A402" s="10"/>
      <c r="B402" s="10">
        <v>193.0</v>
      </c>
      <c r="C402" s="11" t="s">
        <v>1180</v>
      </c>
      <c r="D402" s="12"/>
      <c r="E402" s="11" t="s">
        <v>1246</v>
      </c>
      <c r="F402" s="12"/>
      <c r="G402" s="12"/>
      <c r="H402" s="11" t="s">
        <v>1247</v>
      </c>
      <c r="I402" s="12"/>
    </row>
    <row r="403" ht="14.25" customHeight="1">
      <c r="A403" s="13"/>
      <c r="B403" s="13">
        <v>194.0</v>
      </c>
      <c r="C403" s="14" t="s">
        <v>1248</v>
      </c>
      <c r="D403" s="15"/>
      <c r="E403" s="14" t="s">
        <v>1027</v>
      </c>
      <c r="F403" s="15"/>
      <c r="G403" s="15"/>
      <c r="H403" s="14" t="s">
        <v>1249</v>
      </c>
      <c r="I403" s="15"/>
    </row>
    <row r="404" ht="14.25" customHeight="1">
      <c r="A404" s="10"/>
      <c r="B404" s="10">
        <v>195.0</v>
      </c>
      <c r="C404" s="11" t="s">
        <v>1250</v>
      </c>
      <c r="D404" s="12"/>
      <c r="E404" s="11" t="s">
        <v>1184</v>
      </c>
      <c r="F404" s="12"/>
      <c r="G404" s="12"/>
      <c r="H404" s="11" t="s">
        <v>1251</v>
      </c>
      <c r="I404" s="12"/>
    </row>
    <row r="405" ht="14.25" customHeight="1">
      <c r="A405" s="13"/>
      <c r="B405" s="13">
        <v>196.0</v>
      </c>
      <c r="C405" s="14" t="s">
        <v>1252</v>
      </c>
      <c r="E405" s="14" t="s">
        <v>1027</v>
      </c>
      <c r="F405" s="15"/>
      <c r="G405" s="15"/>
      <c r="H405" s="14" t="s">
        <v>1253</v>
      </c>
      <c r="I405" s="15"/>
    </row>
    <row r="406" ht="14.25" customHeight="1">
      <c r="A406" s="10"/>
      <c r="B406" s="10">
        <v>197.0</v>
      </c>
      <c r="C406" s="11" t="s">
        <v>1254</v>
      </c>
      <c r="D406" s="12"/>
      <c r="E406" s="11" t="s">
        <v>1255</v>
      </c>
      <c r="F406" s="12"/>
      <c r="G406" s="12"/>
      <c r="H406" s="11" t="s">
        <v>1256</v>
      </c>
      <c r="I406" s="12"/>
    </row>
    <row r="407" ht="14.25" customHeight="1">
      <c r="A407" s="13"/>
      <c r="B407" s="13">
        <v>198.0</v>
      </c>
      <c r="C407" s="14" t="s">
        <v>1257</v>
      </c>
      <c r="D407" s="15"/>
      <c r="E407" s="14" t="s">
        <v>1258</v>
      </c>
      <c r="F407" s="15"/>
      <c r="G407" s="15"/>
      <c r="H407" s="14" t="s">
        <v>1259</v>
      </c>
      <c r="I407" s="15"/>
    </row>
    <row r="408" ht="14.25" customHeight="1">
      <c r="A408" s="10"/>
      <c r="B408" s="10">
        <v>199.0</v>
      </c>
      <c r="C408" s="11" t="s">
        <v>1260</v>
      </c>
      <c r="D408" s="12"/>
      <c r="E408" s="11" t="s">
        <v>1261</v>
      </c>
      <c r="F408" s="12"/>
      <c r="G408" s="12"/>
      <c r="H408" s="11" t="s">
        <v>1262</v>
      </c>
      <c r="I408" s="12"/>
    </row>
    <row r="409" ht="14.25" customHeight="1">
      <c r="A409" s="13"/>
      <c r="B409" s="13">
        <v>200.0</v>
      </c>
      <c r="C409" s="14" t="s">
        <v>1263</v>
      </c>
      <c r="D409" s="15"/>
      <c r="E409" s="14" t="s">
        <v>1264</v>
      </c>
      <c r="F409" s="15"/>
      <c r="G409" s="15"/>
      <c r="H409" s="14" t="s">
        <v>1265</v>
      </c>
      <c r="I409" s="15"/>
    </row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0">
    <mergeCell ref="C249:D249"/>
    <mergeCell ref="C255:D255"/>
    <mergeCell ref="E221:F221"/>
    <mergeCell ref="E227:F227"/>
    <mergeCell ref="C235:D235"/>
    <mergeCell ref="C241:D241"/>
    <mergeCell ref="C242:D242"/>
    <mergeCell ref="C246:D246"/>
    <mergeCell ref="E252:F252"/>
    <mergeCell ref="E259:F259"/>
    <mergeCell ref="C261:D261"/>
    <mergeCell ref="C265:D265"/>
    <mergeCell ref="C272:D272"/>
    <mergeCell ref="C276:D276"/>
    <mergeCell ref="C277:D277"/>
    <mergeCell ref="C284:D284"/>
    <mergeCell ref="C286:D286"/>
    <mergeCell ref="C290:D290"/>
    <mergeCell ref="E292:F292"/>
    <mergeCell ref="C301:D301"/>
    <mergeCell ref="E303:F303"/>
    <mergeCell ref="E314:F314"/>
    <mergeCell ref="C316:D316"/>
    <mergeCell ref="C317:D317"/>
    <mergeCell ref="C320:D320"/>
    <mergeCell ref="C321:D321"/>
    <mergeCell ref="C324:D324"/>
    <mergeCell ref="C332:D332"/>
    <mergeCell ref="C335:D335"/>
    <mergeCell ref="C339:D339"/>
    <mergeCell ref="C341:D341"/>
    <mergeCell ref="C342:D342"/>
    <mergeCell ref="C349:D349"/>
    <mergeCell ref="C350:D350"/>
    <mergeCell ref="C354:D354"/>
    <mergeCell ref="C357:D357"/>
    <mergeCell ref="E362:F362"/>
    <mergeCell ref="C378:D378"/>
    <mergeCell ref="C384:D384"/>
    <mergeCell ref="C390:D390"/>
    <mergeCell ref="C393:D393"/>
    <mergeCell ref="C399:D399"/>
    <mergeCell ref="C405:D405"/>
    <mergeCell ref="C361:D361"/>
    <mergeCell ref="C363:D363"/>
    <mergeCell ref="C369:D369"/>
    <mergeCell ref="C370:D370"/>
    <mergeCell ref="C372:D372"/>
    <mergeCell ref="C374:D374"/>
    <mergeCell ref="C375:D375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3" width="80.86"/>
    <col customWidth="1" min="4" max="4" width="35.57"/>
    <col customWidth="1" min="5" max="5" width="62.14"/>
    <col customWidth="1" min="6" max="6" width="8.71"/>
    <col customWidth="1" min="7" max="7" width="17.57"/>
    <col customWidth="1" min="8" max="8" width="31.43"/>
    <col customWidth="1" min="9" max="9" width="33.43"/>
    <col customWidth="1" min="10" max="10" width="20.14"/>
    <col customWidth="1" min="11" max="11" width="47.0"/>
    <col customWidth="1" min="12" max="15" width="43.0"/>
    <col customWidth="1" min="16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4">
        <v>1.0</v>
      </c>
      <c r="B2" s="5" t="str">
        <f>IFERROR(__xludf.DUMMYFUNCTION("GOOGLETRANSLATE(H2, ""th"", ""en"")"),"Before starting the Chonlenwao competition, what should you check in your kite?")</f>
        <v>Before starting the Chonlenwao competition, what should you check in your kite?</v>
      </c>
      <c r="C2" s="5" t="str">
        <f>IFERROR(__xludf.DUMMYFUNCTION("GOOGLETRANSLATE(I2, ""th"", ""en"")"),"A) the balance of the kite; B) the size of the kite; C) the color of the kite; D) the strength of the rope.")</f>
        <v>A) the balance of the kite; B) the size of the kite; C) the color of the kite; D) the strength of the rope.</v>
      </c>
      <c r="D2" s="5" t="str">
        <f>IFERROR(__xludf.DUMMYFUNCTION("GOOGLETRANSLATE(J2, ""th"", ""en"")"),"A) Kite balance")</f>
        <v>A) Kite balance</v>
      </c>
      <c r="E2" s="5" t="str">
        <f>IFERROR(__xludf.DUMMYFUNCTION("GOOGLETRANSLATE(K2, ""th"", ""en"")"),"Checking balance helps keep the kite in the right position for flight.")</f>
        <v>Checking balance helps keep the kite in the right position for flight.</v>
      </c>
      <c r="G2" s="6">
        <v>1.0</v>
      </c>
      <c r="H2" s="7" t="s">
        <v>1267</v>
      </c>
      <c r="I2" s="7" t="s">
        <v>1268</v>
      </c>
      <c r="J2" s="7" t="s">
        <v>1269</v>
      </c>
      <c r="K2" s="7" t="s">
        <v>1270</v>
      </c>
    </row>
    <row r="3" ht="14.25" customHeight="1">
      <c r="A3" s="4">
        <v>2.0</v>
      </c>
      <c r="B3" s="5" t="str">
        <f>IFERROR(__xludf.DUMMYFUNCTION("GOOGLETRANSLATE(H3, ""th"", ""en"")"),"During a race, if your kite collides with your opponent, what will you do?")</f>
        <v>During a race, if your kite collides with your opponent, what will you do?</v>
      </c>
      <c r="C3" s="5" t="str">
        <f>IFERROR(__xludf.DUMMYFUNCTION("GOOGLETRANSLATE(I3, ""th"", ""en"")"),"A) Continue flying; B) Notify the referee; C) Adjust direction; D) Stop the race.")</f>
        <v>A) Continue flying; B) Notify the referee; C) Adjust direction; D) Stop the race.</v>
      </c>
      <c r="D3" s="5" t="str">
        <f>IFERROR(__xludf.DUMMYFUNCTION("GOOGLETRANSLATE(J3, ""th"", ""en"")"),"B) Inform the committee.")</f>
        <v>B) Inform the committee.</v>
      </c>
      <c r="E3" s="5" t="str">
        <f>IFERROR(__xludf.DUMMYFUNCTION("GOOGLETRANSLATE(K3, ""th"", ""en"")"),"The referee must check the kite collision according to the competition rules.")</f>
        <v>The referee must check the kite collision according to the competition rules.</v>
      </c>
      <c r="G3" s="6">
        <v>2.0</v>
      </c>
      <c r="H3" s="7" t="s">
        <v>1271</v>
      </c>
      <c r="I3" s="7" t="s">
        <v>1272</v>
      </c>
      <c r="J3" s="7" t="s">
        <v>24</v>
      </c>
      <c r="K3" s="7" t="s">
        <v>1273</v>
      </c>
    </row>
    <row r="4" ht="14.25" customHeight="1">
      <c r="A4" s="4">
        <v>3.0</v>
      </c>
      <c r="B4" s="5" t="str">
        <f>IFERROR(__xludf.DUMMYFUNCTION("GOOGLETRANSLATE(H4, ""th"", ""en"")"),"If the kite string breaks during the race, what will you do?")</f>
        <v>If the kite string breaks during the race, what will you do?</v>
      </c>
      <c r="C4" s="5" t="str">
        <f>IFERROR(__xludf.DUMMYFUNCTION("GOOGLETRANSLATE(I4, ""th"", ""en"")"),"A) Stop immediately; B) Notify the referee; C) Change the kite; D) Find a way to lengthen the rope.")</f>
        <v>A) Stop immediately; B) Notify the referee; C) Change the kite; D) Find a way to lengthen the rope.</v>
      </c>
      <c r="D4" s="5" t="str">
        <f>IFERROR(__xludf.DUMMYFUNCTION("GOOGLETRANSLATE(J4, ""th"", ""en"")"),"A) Stop immediately.")</f>
        <v>A) Stop immediately.</v>
      </c>
      <c r="E4" s="5" t="str">
        <f>IFERROR(__xludf.DUMMYFUNCTION("GOOGLETRANSLATE(K4, ""th"", ""en"")"),"The lack of rope made it impossible to continue the competition.")</f>
        <v>The lack of rope made it impossible to continue the competition.</v>
      </c>
      <c r="G4" s="6">
        <v>3.0</v>
      </c>
      <c r="H4" s="7" t="s">
        <v>1274</v>
      </c>
      <c r="I4" s="7" t="s">
        <v>1275</v>
      </c>
      <c r="J4" s="7" t="s">
        <v>1276</v>
      </c>
      <c r="K4" s="7" t="s">
        <v>1277</v>
      </c>
    </row>
    <row r="5" ht="14.25" customHeight="1">
      <c r="A5" s="4">
        <v>4.0</v>
      </c>
      <c r="B5" s="5" t="str">
        <f>IFERROR(__xludf.DUMMYFUNCTION("GOOGLETRANSLATE(H5, ""th"", ""en"")"),"Is it prohibited to fold the kite before the competition?")</f>
        <v>Is it prohibited to fold the kite before the competition?</v>
      </c>
      <c r="C5" s="5" t="str">
        <f>IFERROR(__xludf.DUMMYFUNCTION("GOOGLETRANSLATE(I5, ""th"", ""en"")"),"A) There are contraindications; B) There are no contraindications.")</f>
        <v>A) There are contraindications; B) There are no contraindications.</v>
      </c>
      <c r="D5" s="5" t="str">
        <f>IFERROR(__xludf.DUMMYFUNCTION("GOOGLETRANSLATE(J5, ""th"", ""en"")"),"A) There are prohibitions.")</f>
        <v>A) There are prohibitions.</v>
      </c>
      <c r="E5" s="5" t="str">
        <f>IFERROR(__xludf.DUMMYFUNCTION("GOOGLETRANSLATE(K5, ""th"", ""en"")"),"Folding the kite may impair its flight performance.")</f>
        <v>Folding the kite may impair its flight performance.</v>
      </c>
      <c r="G5" s="6">
        <v>4.0</v>
      </c>
      <c r="H5" s="7" t="s">
        <v>1278</v>
      </c>
      <c r="I5" s="7" t="s">
        <v>1279</v>
      </c>
      <c r="J5" s="7" t="s">
        <v>1280</v>
      </c>
      <c r="K5" s="7" t="s">
        <v>1281</v>
      </c>
    </row>
    <row r="6" ht="14.25" customHeight="1">
      <c r="A6" s="4">
        <v>5.0</v>
      </c>
      <c r="B6" s="5" t="str">
        <f>IFERROR(__xludf.DUMMYFUNCTION("GOOGLETRANSLATE(H6, ""th"", ""en"")"),"What materials can players use to create a kite?")</f>
        <v>What materials can players use to create a kite?</v>
      </c>
      <c r="C6" s="5" t="str">
        <f>IFERROR(__xludf.DUMMYFUNCTION("GOOGLETRANSLATE(I6, ""th"", ""en"")"),"A) wood and cloth; B) steel and plastic; C) paper and rope; D) fiberglass and aluminum.")</f>
        <v>A) wood and cloth; B) steel and plastic; C) paper and rope; D) fiberglass and aluminum.</v>
      </c>
      <c r="D6" s="5" t="str">
        <f>IFERROR(__xludf.DUMMYFUNCTION("GOOGLETRANSLATE(J6, ""th"", ""en"")"),"A) Wood and cloth")</f>
        <v>A) Wood and cloth</v>
      </c>
      <c r="E6" s="5" t="str">
        <f>IFERROR(__xludf.DUMMYFUNCTION("GOOGLETRANSLATE(K6, ""th"", ""en"")"),"The right material will help your kite fly well.")</f>
        <v>The right material will help your kite fly well.</v>
      </c>
      <c r="G6" s="6">
        <v>5.0</v>
      </c>
      <c r="H6" s="7" t="s">
        <v>1282</v>
      </c>
      <c r="I6" s="7" t="s">
        <v>1283</v>
      </c>
      <c r="J6" s="7" t="s">
        <v>1284</v>
      </c>
      <c r="K6" s="7" t="s">
        <v>1285</v>
      </c>
    </row>
    <row r="7" ht="14.25" customHeight="1">
      <c r="A7" s="4">
        <v>6.0</v>
      </c>
      <c r="B7" s="5" t="str">
        <f>IFERROR(__xludf.DUMMYFUNCTION("GOOGLETRANSLATE(H7, ""th"", ""en"")"),"Is it illegal to fly a kite in strong winds?")</f>
        <v>Is it illegal to fly a kite in strong winds?</v>
      </c>
      <c r="C7" s="5" t="str">
        <f>IFERROR(__xludf.DUMMYFUNCTION("GOOGLETRANSLATE(I7, ""th"", ""en"")"),"A) Illegal; B) Not illegal")</f>
        <v>A) Illegal; B) Not illegal</v>
      </c>
      <c r="D7" s="5" t="str">
        <f>IFERROR(__xludf.DUMMYFUNCTION("GOOGLETRANSLATE(J7, ""th"", ""en"")"),"A) Breaking the rules")</f>
        <v>A) Breaking the rules</v>
      </c>
      <c r="E7" s="5" t="str">
        <f>IFERROR(__xludf.DUMMYFUNCTION("GOOGLETRANSLATE(K7, ""th"", ""en"")"),"Too strong a wind can cause the kite to become uncontrollable.")</f>
        <v>Too strong a wind can cause the kite to become uncontrollable.</v>
      </c>
      <c r="G7" s="6">
        <v>6.0</v>
      </c>
      <c r="H7" s="7" t="s">
        <v>1286</v>
      </c>
      <c r="I7" s="7" t="s">
        <v>1287</v>
      </c>
      <c r="J7" s="7" t="s">
        <v>1288</v>
      </c>
      <c r="K7" s="7" t="s">
        <v>1289</v>
      </c>
    </row>
    <row r="8" ht="14.25" customHeight="1">
      <c r="A8" s="4">
        <v>7.0</v>
      </c>
      <c r="B8" s="5" t="str">
        <f>IFERROR(__xludf.DUMMYFUNCTION("GOOGLETRANSLATE(H8, ""th"", ""en"")"),"In a kite fighting competition, what methods of controlling a kite are prohibited?")</f>
        <v>In a kite fighting competition, what methods of controlling a kite are prohibited?</v>
      </c>
      <c r="C8" s="5" t="str">
        <f>IFERROR(__xludf.DUMMYFUNCTION("GOOGLETRANSLATE(I8, ""th"", ""en"")"),"A) Use reinforced rope; B) Use engine; C) Use hand control; D) Use control panel.")</f>
        <v>A) Use reinforced rope; B) Use engine; C) Use hand control; D) Use control panel.</v>
      </c>
      <c r="D8" s="5" t="str">
        <f>IFERROR(__xludf.DUMMYFUNCTION("GOOGLETRANSLATE(J8, ""th"", ""en"")"),"B) Use an engine")</f>
        <v>B) Use an engine</v>
      </c>
      <c r="E8" s="5" t="str">
        <f>IFERROR(__xludf.DUMMYFUNCTION("GOOGLETRANSLATE(K8, ""th"", ""en"")"),"Using an engine in a kite is considered cheating.")</f>
        <v>Using an engine in a kite is considered cheating.</v>
      </c>
      <c r="G8" s="6">
        <v>7.0</v>
      </c>
      <c r="H8" s="7" t="s">
        <v>1290</v>
      </c>
      <c r="I8" s="7" t="s">
        <v>1291</v>
      </c>
      <c r="J8" s="7" t="s">
        <v>1292</v>
      </c>
      <c r="K8" s="7" t="s">
        <v>1293</v>
      </c>
    </row>
    <row r="9" ht="14.25" customHeight="1">
      <c r="A9" s="4">
        <v>8.0</v>
      </c>
      <c r="B9" s="5" t="str">
        <f>IFERROR(__xludf.DUMMYFUNCTION("GOOGLETRANSLATE(H9, ""th"", ""en"")"),"If your kite flies out of the competition area, what should you do?")</f>
        <v>If your kite flies out of the competition area, what should you do?</v>
      </c>
      <c r="C9" s="5" t="str">
        <f>IFERROR(__xludf.DUMMYFUNCTION("GOOGLETRANSLATE(I9, ""th"", ""en"")"),"A) Notify the referee; B) Continue the race; C) Pull the kite back; D) Stop the race.")</f>
        <v>A) Notify the referee; B) Continue the race; C) Pull the kite back; D) Stop the race.</v>
      </c>
      <c r="D9" s="5" t="str">
        <f>IFERROR(__xludf.DUMMYFUNCTION("GOOGLETRANSLATE(J9, ""th"", ""en"")"),"A) Inform the committee.")</f>
        <v>A) Inform the committee.</v>
      </c>
      <c r="E9" s="5" t="str">
        <f>IFERROR(__xludf.DUMMYFUNCTION("GOOGLETRANSLATE(K9, ""th"", ""en"")"),"The committee will consider according to the relevant rules.")</f>
        <v>The committee will consider according to the relevant rules.</v>
      </c>
      <c r="G9" s="6">
        <v>8.0</v>
      </c>
      <c r="H9" s="7" t="s">
        <v>1294</v>
      </c>
      <c r="I9" s="7" t="s">
        <v>1295</v>
      </c>
      <c r="J9" s="7" t="s">
        <v>20</v>
      </c>
      <c r="K9" s="7" t="s">
        <v>1296</v>
      </c>
    </row>
    <row r="10" ht="14.25" customHeight="1">
      <c r="A10" s="4">
        <v>9.0</v>
      </c>
      <c r="B10" s="5" t="str">
        <f>IFERROR(__xludf.DUMMYFUNCTION("GOOGLETRANSLATE(H10, ""th"", ""en"")"),"During the match, can players change kites?")</f>
        <v>During the match, can players change kites?</v>
      </c>
      <c r="C10" s="5" t="str">
        <f>IFERROR(__xludf.DUMMYFUNCTION("GOOGLETRANSLATE(I10, ""th"", ""en"")"),"A) Changeable; B) Non-changeable")</f>
        <v>A) Changeable; B) Non-changeable</v>
      </c>
      <c r="D10" s="5" t="str">
        <f>IFERROR(__xludf.DUMMYFUNCTION("GOOGLETRANSLATE(J10, ""th"", ""en"")"),"B) Cannot be changed")</f>
        <v>B) Cannot be changed</v>
      </c>
      <c r="E10" s="5" t="str">
        <f>IFERROR(__xludf.DUMMYFUNCTION("GOOGLETRANSLATE(K10, ""th"", ""en"")"),"Players must use only registered kites.")</f>
        <v>Players must use only registered kites.</v>
      </c>
      <c r="G10" s="6">
        <v>9.0</v>
      </c>
      <c r="H10" s="7" t="s">
        <v>1297</v>
      </c>
      <c r="I10" s="7" t="s">
        <v>1298</v>
      </c>
      <c r="J10" s="7" t="s">
        <v>1299</v>
      </c>
      <c r="K10" s="7" t="s">
        <v>1300</v>
      </c>
    </row>
    <row r="11" ht="14.25" customHeight="1">
      <c r="A11" s="4">
        <v>10.0</v>
      </c>
      <c r="B11" s="5" t="str">
        <f>IFERROR(__xludf.DUMMYFUNCTION("GOOGLETRANSLATE(H11, ""th"", ""en"")"),"In a kite fighting competition, what are the game ending rules?")</f>
        <v>In a kite fighting competition, what are the game ending rules?</v>
      </c>
      <c r="C11" s="5" t="str">
        <f>IFERROR(__xludf.DUMMYFUNCTION("GOOGLETRANSLATE(I11, ""th"", ""en"")"),"A) When a competitor's kite falls; B) When one's own kite falls; C) When the rope breaks; D) When the time limit is exceeded.")</f>
        <v>A) When a competitor's kite falls; B) When one's own kite falls; C) When the rope breaks; D) When the time limit is exceeded.</v>
      </c>
      <c r="D11" s="5" t="str">
        <f>IFERROR(__xludf.DUMMYFUNCTION("GOOGLETRANSLATE(J11, ""th"", ""en"")"),"A) When the competitor's kite falls.")</f>
        <v>A) When the competitor's kite falls.</v>
      </c>
      <c r="E11" s="5" t="str">
        <f>IFERROR(__xludf.DUMMYFUNCTION("GOOGLETRANSLATE(K11, ""th"", ""en"")"),"The falling of an opponent's kite is considered a loss.")</f>
        <v>The falling of an opponent's kite is considered a loss.</v>
      </c>
      <c r="G11" s="6">
        <v>10.0</v>
      </c>
      <c r="H11" s="7" t="s">
        <v>1301</v>
      </c>
      <c r="I11" s="7" t="s">
        <v>1302</v>
      </c>
      <c r="J11" s="7" t="s">
        <v>1303</v>
      </c>
      <c r="K11" s="7" t="s">
        <v>1304</v>
      </c>
    </row>
    <row r="12" ht="14.25" customHeight="1">
      <c r="A12" s="4">
        <v>11.0</v>
      </c>
      <c r="B12" s="5" t="str">
        <f>IFERROR(__xludf.DUMMYFUNCTION("GOOGLETRANSLATE(H12, ""th"", ""en"")"),"If a player uses a rope that is too long, what are the consequences?")</f>
        <v>If a player uses a rope that is too long, what are the consequences?</v>
      </c>
      <c r="C12" s="5" t="str">
        <f>IFERROR(__xludf.DUMMYFUNCTION("GOOGLETRANSLATE(I12, ""th"", ""en"")"),"A) has no effect; B) may cause the kite to fly out of the competition area; C) may help the kite fly higher; D) may be penalized.")</f>
        <v>A) has no effect; B) may cause the kite to fly out of the competition area; C) may help the kite fly higher; D) may be penalized.</v>
      </c>
      <c r="D12" s="5" t="str">
        <f>IFERROR(__xludf.DUMMYFUNCTION("GOOGLETRANSLATE(J12, ""th"", ""en"")"),"B) May cause the kite to fly out of the competition area.")</f>
        <v>B) May cause the kite to fly out of the competition area.</v>
      </c>
      <c r="E12" s="5" t="str">
        <f>IFERROR(__xludf.DUMMYFUNCTION("GOOGLETRANSLATE(K12, ""th"", ""en"")"),"Using a rope that is too long can cause loss of control.")</f>
        <v>Using a rope that is too long can cause loss of control.</v>
      </c>
      <c r="G12" s="6">
        <v>11.0</v>
      </c>
      <c r="H12" s="7" t="s">
        <v>1305</v>
      </c>
      <c r="I12" s="7" t="s">
        <v>1306</v>
      </c>
      <c r="J12" s="7" t="s">
        <v>1307</v>
      </c>
      <c r="K12" s="7" t="s">
        <v>1308</v>
      </c>
    </row>
    <row r="13" ht="14.25" customHeight="1">
      <c r="A13" s="4">
        <v>12.0</v>
      </c>
      <c r="B13" s="5" t="str">
        <f>IFERROR(__xludf.DUMMYFUNCTION("GOOGLETRANSLATE(H13, ""th"", ""en"")"),"If the referee cannot make a decision, what will you do?")</f>
        <v>If the referee cannot make a decision, what will you do?</v>
      </c>
      <c r="C13" s="5" t="str">
        <f>IFERROR(__xludf.DUMMYFUNCTION("GOOGLETRANSLATE(I13, ""th"", ""en"")"),"A) Stop the match; B) Notify the match manager; C) Argue with your opponent; D) Take a vote.")</f>
        <v>A) Stop the match; B) Notify the match manager; C) Argue with your opponent; D) Take a vote.</v>
      </c>
      <c r="D13" s="5" t="str">
        <f>IFERROR(__xludf.DUMMYFUNCTION("GOOGLETRANSLATE(J13, ""th"", ""en"")"),"B) Inform the competition organizer.")</f>
        <v>B) Inform the competition organizer.</v>
      </c>
      <c r="E13" s="5" t="str">
        <f>IFERROR(__xludf.DUMMYFUNCTION("GOOGLETRANSLATE(K13, ""th"", ""en"")"),"The organizer will have the final decision.")</f>
        <v>The organizer will have the final decision.</v>
      </c>
      <c r="G13" s="6">
        <v>12.0</v>
      </c>
      <c r="H13" s="7" t="s">
        <v>1309</v>
      </c>
      <c r="I13" s="7" t="s">
        <v>1310</v>
      </c>
      <c r="J13" s="7" t="s">
        <v>1311</v>
      </c>
      <c r="K13" s="7" t="s">
        <v>1312</v>
      </c>
    </row>
    <row r="14" ht="14.25" customHeight="1">
      <c r="A14" s="4">
        <v>13.0</v>
      </c>
      <c r="B14" s="5" t="str">
        <f>IFERROR(__xludf.DUMMYFUNCTION("GOOGLETRANSLATE(H14, ""th"", ""en"")"),"While competing, can players receive advice from staff or assistants?")</f>
        <v>While competing, can players receive advice from staff or assistants?</v>
      </c>
      <c r="C14" s="5" t="str">
        <f>IFERROR(__xludf.DUMMYFUNCTION("GOOGLETRANSLATE(I14, ""th"", ""en"")"),"A) Yes; B) No")</f>
        <v>A) Yes; B) No</v>
      </c>
      <c r="D14" s="5" t="str">
        <f>IFERROR(__xludf.DUMMYFUNCTION("GOOGLETRANSLATE(J14, ""th"", ""en"")"),"B) No.")</f>
        <v>B) No.</v>
      </c>
      <c r="E14" s="5" t="str">
        <f>IFERROR(__xludf.DUMMYFUNCTION("GOOGLETRANSLATE(K14, ""th"", ""en"")"),"The competition must be a showcase of the skills of a single player.")</f>
        <v>The competition must be a showcase of the skills of a single player.</v>
      </c>
      <c r="G14" s="6">
        <v>13.0</v>
      </c>
      <c r="H14" s="7" t="s">
        <v>1313</v>
      </c>
      <c r="I14" s="7" t="s">
        <v>1314</v>
      </c>
      <c r="J14" s="7" t="s">
        <v>698</v>
      </c>
      <c r="K14" s="7" t="s">
        <v>1315</v>
      </c>
    </row>
    <row r="15" ht="14.25" customHeight="1">
      <c r="A15" s="4">
        <v>14.0</v>
      </c>
      <c r="B15" s="5" t="str">
        <f>IFERROR(__xludf.DUMMYFUNCTION("GOOGLETRANSLATE(H15, ""th"", ""en"")"),"Is it permissible to change ropes during a race?")</f>
        <v>Is it permissible to change ropes during a race?</v>
      </c>
      <c r="C15" s="5" t="str">
        <f>IFERROR(__xludf.DUMMYFUNCTION("GOOGLETRANSLATE(I15, ""th"", ""en"")"),"A) Can do; B) Can't do")</f>
        <v>A) Can do; B) Can't do</v>
      </c>
      <c r="D15" s="5" t="str">
        <f>IFERROR(__xludf.DUMMYFUNCTION("GOOGLETRANSLATE(J15, ""th"", ""en"")"),"B) Can't do it.")</f>
        <v>B) Can't do it.</v>
      </c>
      <c r="E15" s="5" t="str">
        <f>IFERROR(__xludf.DUMMYFUNCTION("GOOGLETRANSLATE(K15, ""th"", ""en"")"),"Changing the rope will cause unfairness in the competition.")</f>
        <v>Changing the rope will cause unfairness in the competition.</v>
      </c>
      <c r="G15" s="6">
        <v>14.0</v>
      </c>
      <c r="H15" s="7" t="s">
        <v>1316</v>
      </c>
      <c r="I15" s="7" t="s">
        <v>1317</v>
      </c>
      <c r="J15" s="7" t="s">
        <v>1318</v>
      </c>
      <c r="K15" s="7" t="s">
        <v>1319</v>
      </c>
    </row>
    <row r="16" ht="14.25" customHeight="1">
      <c r="A16" s="4">
        <v>15.0</v>
      </c>
      <c r="B16" s="5" t="str">
        <f>IFERROR(__xludf.DUMMYFUNCTION("GOOGLETRANSLATE(H16, ""th"", ""en"")"),"Can players make their kite into any shape or size they want?")</f>
        <v>Can players make their kite into any shape or size they want?</v>
      </c>
      <c r="C16" s="5" t="str">
        <f>IFERROR(__xludf.DUMMYFUNCTION("GOOGLETRANSLATE(I16, ""th"", ""en"")"),"A) Yes; B) No")</f>
        <v>A) Yes; B) No</v>
      </c>
      <c r="D16" s="5" t="str">
        <f>IFERROR(__xludf.DUMMYFUNCTION("GOOGLETRANSLATE(J16, ""th"", ""en"")"),"A) Yes.")</f>
        <v>A) Yes.</v>
      </c>
      <c r="E16" s="5" t="str">
        <f>IFERROR(__xludf.DUMMYFUNCTION("GOOGLETRANSLATE(K16, ""th"", ""en"")"),"But it must comply with the rules regarding size and shape.")</f>
        <v>But it must comply with the rules regarding size and shape.</v>
      </c>
      <c r="G16" s="6">
        <v>15.0</v>
      </c>
      <c r="H16" s="7" t="s">
        <v>1320</v>
      </c>
      <c r="I16" s="7" t="s">
        <v>1314</v>
      </c>
      <c r="J16" s="7" t="s">
        <v>737</v>
      </c>
      <c r="K16" s="7" t="s">
        <v>1321</v>
      </c>
    </row>
    <row r="17" ht="14.25" customHeight="1">
      <c r="A17" s="4">
        <v>16.0</v>
      </c>
      <c r="B17" s="5" t="str">
        <f>IFERROR(__xludf.DUMMYFUNCTION("GOOGLETRANSLATE(H17, ""th"", ""en"")"),"If your kite breaks during a race, can you come back and compete again?")</f>
        <v>If your kite breaks during a race, can you come back and compete again?</v>
      </c>
      <c r="C17" s="5" t="str">
        <f>IFERROR(__xludf.DUMMYFUNCTION("GOOGLETRANSLATE(I17, ""th"", ""en"")"),"A) Yes; B) No")</f>
        <v>A) Yes; B) No</v>
      </c>
      <c r="D17" s="5" t="str">
        <f>IFERROR(__xludf.DUMMYFUNCTION("GOOGLETRANSLATE(J17, ""th"", ""en"")"),"B) No.")</f>
        <v>B) No.</v>
      </c>
      <c r="E17" s="5" t="str">
        <f>IFERROR(__xludf.DUMMYFUNCTION("GOOGLETRANSLATE(K17, ""th"", ""en"")"),"The loss of the kite meant the end of the race.")</f>
        <v>The loss of the kite meant the end of the race.</v>
      </c>
      <c r="G17" s="6">
        <v>16.0</v>
      </c>
      <c r="H17" s="7" t="s">
        <v>1322</v>
      </c>
      <c r="I17" s="7" t="s">
        <v>1314</v>
      </c>
      <c r="J17" s="7" t="s">
        <v>698</v>
      </c>
      <c r="K17" s="7" t="s">
        <v>1323</v>
      </c>
    </row>
    <row r="18" ht="14.25" customHeight="1">
      <c r="A18" s="4">
        <v>17.0</v>
      </c>
      <c r="B18" s="5" t="str">
        <f>IFERROR(__xludf.DUMMYFUNCTION("GOOGLETRANSLATE(H18, ""th"", ""en"")"),"During a race, if your kite is pulled by your opponent, what will you do?")</f>
        <v>During a race, if your kite is pulled by your opponent, what will you do?</v>
      </c>
      <c r="C18" s="5" t="str">
        <f>IFERROR(__xludf.DUMMYFUNCTION("GOOGLETRANSLATE(I18, ""th"", ""en"")"),"A) Notify the referee; B) Continue fighting; C) Stop immediately; D) Drag the kite back.")</f>
        <v>A) Notify the referee; B) Continue fighting; C) Stop immediately; D) Drag the kite back.</v>
      </c>
      <c r="D18" s="5" t="str">
        <f>IFERROR(__xludf.DUMMYFUNCTION("GOOGLETRANSLATE(J18, ""th"", ""en"")"),"A) Inform the committee.")</f>
        <v>A) Inform the committee.</v>
      </c>
      <c r="E18" s="5" t="str">
        <f>IFERROR(__xludf.DUMMYFUNCTION("GOOGLETRANSLATE(K18, ""th"", ""en"")"),"The judges will review and decide according to the rules.")</f>
        <v>The judges will review and decide according to the rules.</v>
      </c>
      <c r="G18" s="6">
        <v>17.0</v>
      </c>
      <c r="H18" s="7" t="s">
        <v>1324</v>
      </c>
      <c r="I18" s="7" t="s">
        <v>1325</v>
      </c>
      <c r="J18" s="7" t="s">
        <v>20</v>
      </c>
      <c r="K18" s="7" t="s">
        <v>1326</v>
      </c>
    </row>
    <row r="19" ht="14.25" customHeight="1">
      <c r="A19" s="4">
        <v>18.0</v>
      </c>
      <c r="B19" s="5" t="str">
        <f>IFERROR(__xludf.DUMMYFUNCTION("GOOGLETRANSLATE(H19, ""th"", ""en"")"),"Is there a penalty for using illegal flying techniques in kite fighting?")</f>
        <v>Is there a penalty for using illegal flying techniques in kite fighting?</v>
      </c>
      <c r="C19" s="5" t="str">
        <f>IFERROR(__xludf.DUMMYFUNCTION("GOOGLETRANSLATE(I19, ""th"", ""en"")"),"A) No penalty; B) There is a penalty.")</f>
        <v>A) No penalty; B) There is a penalty.</v>
      </c>
      <c r="D19" s="5" t="str">
        <f>IFERROR(__xludf.DUMMYFUNCTION("GOOGLETRANSLATE(J19, ""th"", ""en"")"),"B) There is a penalty.")</f>
        <v>B) There is a penalty.</v>
      </c>
      <c r="E19" s="5" t="str">
        <f>IFERROR(__xludf.DUMMYFUNCTION("GOOGLETRANSLATE(K19, ""th"", ""en"")"),"Using illegal techniques may result in disqualification.")</f>
        <v>Using illegal techniques may result in disqualification.</v>
      </c>
      <c r="G19" s="6">
        <v>18.0</v>
      </c>
      <c r="H19" s="7" t="s">
        <v>1327</v>
      </c>
      <c r="I19" s="7" t="s">
        <v>1328</v>
      </c>
      <c r="J19" s="7" t="s">
        <v>1329</v>
      </c>
      <c r="K19" s="7" t="s">
        <v>1330</v>
      </c>
    </row>
    <row r="20" ht="14.25" customHeight="1">
      <c r="A20" s="4">
        <v>19.0</v>
      </c>
      <c r="B20" s="5" t="str">
        <f>IFERROR(__xludf.DUMMYFUNCTION("GOOGLETRANSLATE(H20, ""th"", ""en"")"),"How long does a kite fighting competition last?")</f>
        <v>How long does a kite fighting competition last?</v>
      </c>
      <c r="C20" s="5" t="str">
        <f>IFERROR(__xludf.DUMMYFUNCTION("GOOGLETRANSLATE(I20, ""th"", ""en"")"),"A) 1 hour; B) 30 minutes; C) until either side's kite falls; D) 2 hours.")</f>
        <v>A) 1 hour; B) 30 minutes; C) until either side's kite falls; D) 2 hours.</v>
      </c>
      <c r="D20" s="5" t="str">
        <f>IFERROR(__xludf.DUMMYFUNCTION("GOOGLETRANSLATE(J20, ""th"", ""en"")"),"C) Until one side's kite falls.")</f>
        <v>C) Until one side's kite falls.</v>
      </c>
      <c r="E20" s="5" t="str">
        <f>IFERROR(__xludf.DUMMYFUNCTION("GOOGLETRANSLATE(K20, ""th"", ""en"")"),"The match ends when there is a loser.")</f>
        <v>The match ends when there is a loser.</v>
      </c>
      <c r="G20" s="6">
        <v>19.0</v>
      </c>
      <c r="H20" s="7" t="s">
        <v>1331</v>
      </c>
      <c r="I20" s="7" t="s">
        <v>1332</v>
      </c>
      <c r="J20" s="7" t="s">
        <v>1333</v>
      </c>
      <c r="K20" s="7" t="s">
        <v>1334</v>
      </c>
    </row>
    <row r="21" ht="14.25" customHeight="1">
      <c r="A21" s="4">
        <v>20.0</v>
      </c>
      <c r="B21" s="5" t="str">
        <f>IFERROR(__xludf.DUMMYFUNCTION("GOOGLETRANSLATE(H21, ""th"", ""en"")"),"Can players use the knife to cut their opponent's rope?")</f>
        <v>Can players use the knife to cut their opponent's rope?</v>
      </c>
      <c r="C21" s="5" t="str">
        <f>IFERROR(__xludf.DUMMYFUNCTION("GOOGLETRANSLATE(I21, ""th"", ""en"")"),"A) Yes; B) No")</f>
        <v>A) Yes; B) No</v>
      </c>
      <c r="D21" s="5" t="str">
        <f>IFERROR(__xludf.DUMMYFUNCTION("GOOGLETRANSLATE(J21, ""th"", ""en"")"),"B) No.")</f>
        <v>B) No.</v>
      </c>
      <c r="E21" s="5" t="str">
        <f>IFERROR(__xludf.DUMMYFUNCTION("GOOGLETRANSLATE(K21, ""th"", ""en"")"),"Using a sharp knife is considered cheating.")</f>
        <v>Using a sharp knife is considered cheating.</v>
      </c>
      <c r="G21" s="6">
        <v>20.0</v>
      </c>
      <c r="H21" s="7" t="s">
        <v>1335</v>
      </c>
      <c r="I21" s="7" t="s">
        <v>1314</v>
      </c>
      <c r="J21" s="7" t="s">
        <v>698</v>
      </c>
      <c r="K21" s="7" t="s">
        <v>1336</v>
      </c>
    </row>
    <row r="22" ht="14.25" customHeight="1">
      <c r="A22" s="4">
        <v>21.0</v>
      </c>
      <c r="B22" s="5" t="str">
        <f>IFERROR(__xludf.DUMMYFUNCTION("GOOGLETRANSLATE(H22, ""th"", ""en"")"),"In the event that the referee orders a stoppage of the match, can the players challenge the order?")</f>
        <v>In the event that the referee orders a stoppage of the match, can the players challenge the order?</v>
      </c>
      <c r="C22" s="5" t="str">
        <f>IFERROR(__xludf.DUMMYFUNCTION("GOOGLETRANSLATE(I22, ""th"", ""en"")"),"A) Yes; B) No")</f>
        <v>A) Yes; B) No</v>
      </c>
      <c r="D22" s="5" t="str">
        <f>IFERROR(__xludf.DUMMYFUNCTION("GOOGLETRANSLATE(J22, ""th"", ""en"")"),"B) No.")</f>
        <v>B) No.</v>
      </c>
      <c r="E22" s="5" t="str">
        <f>IFERROR(__xludf.DUMMYFUNCTION("GOOGLETRANSLATE(K22, ""th"", ""en"")"),"Any stoppage of the match by order of the referee must be in accordance with the rules.")</f>
        <v>Any stoppage of the match by order of the referee must be in accordance with the rules.</v>
      </c>
      <c r="G22" s="6">
        <v>21.0</v>
      </c>
      <c r="H22" s="7" t="s">
        <v>1337</v>
      </c>
      <c r="I22" s="7" t="s">
        <v>1314</v>
      </c>
      <c r="J22" s="7" t="s">
        <v>698</v>
      </c>
      <c r="K22" s="7" t="s">
        <v>1338</v>
      </c>
    </row>
    <row r="23" ht="14.25" customHeight="1">
      <c r="A23" s="4">
        <v>22.0</v>
      </c>
      <c r="B23" s="5" t="str">
        <f>IFERROR(__xludf.DUMMYFUNCTION("GOOGLETRANSLATE(H23, ""th"", ""en"")"),"Can players practice flying kites before the competition?")</f>
        <v>Can players practice flying kites before the competition?</v>
      </c>
      <c r="C23" s="5" t="str">
        <f>IFERROR(__xludf.DUMMYFUNCTION("GOOGLETRANSLATE(I23, ""th"", ""en"")"),"A) Yes; B) No")</f>
        <v>A) Yes; B) No</v>
      </c>
      <c r="D23" s="5" t="str">
        <f>IFERROR(__xludf.DUMMYFUNCTION("GOOGLETRANSLATE(J23, ""th"", ""en"")"),"A) Yes.")</f>
        <v>A) Yes.</v>
      </c>
      <c r="E23" s="5" t="str">
        <f>IFERROR(__xludf.DUMMYFUNCTION("GOOGLETRANSLATE(K23, ""th"", ""en"")"),"Pre-practice improves competitive skills.")</f>
        <v>Pre-practice improves competitive skills.</v>
      </c>
      <c r="G23" s="6">
        <v>22.0</v>
      </c>
      <c r="H23" s="7" t="s">
        <v>1339</v>
      </c>
      <c r="I23" s="7" t="s">
        <v>1314</v>
      </c>
      <c r="J23" s="7" t="s">
        <v>737</v>
      </c>
      <c r="K23" s="7" t="s">
        <v>1340</v>
      </c>
    </row>
    <row r="24" ht="14.25" customHeight="1">
      <c r="A24" s="4">
        <v>23.0</v>
      </c>
      <c r="B24" s="5" t="str">
        <f>IFERROR(__xludf.DUMMYFUNCTION("GOOGLETRANSLATE(H24, ""th"", ""en"")"),"Is it permissible to use kite control aids such as electronic controls?")</f>
        <v>Is it permissible to use kite control aids such as electronic controls?</v>
      </c>
      <c r="C24" s="5" t="str">
        <f>IFERROR(__xludf.DUMMYFUNCTION("GOOGLETRANSLATE(I24, ""th"", ""en"")"),"A) Allowed; B) Not allowed")</f>
        <v>A) Allowed; B) Not allowed</v>
      </c>
      <c r="D24" s="5" t="str">
        <f>IFERROR(__xludf.DUMMYFUNCTION("GOOGLETRANSLATE(J24, ""th"", ""en"")"),"B) Not allowed")</f>
        <v>B) Not allowed</v>
      </c>
      <c r="E24" s="5" t="str">
        <f>IFERROR(__xludf.DUMMYFUNCTION("GOOGLETRANSLATE(K24, ""th"", ""en"")"),"Using unnatural tools is cheating.")</f>
        <v>Using unnatural tools is cheating.</v>
      </c>
      <c r="G24" s="6">
        <v>23.0</v>
      </c>
      <c r="H24" s="7" t="s">
        <v>1341</v>
      </c>
      <c r="I24" s="7" t="s">
        <v>1342</v>
      </c>
      <c r="J24" s="7" t="s">
        <v>690</v>
      </c>
      <c r="K24" s="7" t="s">
        <v>1343</v>
      </c>
    </row>
    <row r="25" ht="14.25" customHeight="1">
      <c r="A25" s="4">
        <v>24.0</v>
      </c>
      <c r="B25" s="5" t="str">
        <f>IFERROR(__xludf.DUMMYFUNCTION("GOOGLETRANSLATE(H25, ""th"", ""en"")"),"Can players use multiple ropes to control the kite?")</f>
        <v>Can players use multiple ropes to control the kite?</v>
      </c>
      <c r="C25" s="5" t="str">
        <f>IFERROR(__xludf.DUMMYFUNCTION("GOOGLETRANSLATE(I25, ""th"", ""en"")"),"A) Yes; B) No")</f>
        <v>A) Yes; B) No</v>
      </c>
      <c r="D25" s="5" t="str">
        <f>IFERROR(__xludf.DUMMYFUNCTION("GOOGLETRANSLATE(J25, ""th"", ""en"")"),"B) No.")</f>
        <v>B) No.</v>
      </c>
      <c r="E25" s="5" t="str">
        <f>IFERROR(__xludf.DUMMYFUNCTION("GOOGLETRANSLATE(K25, ""th"", ""en"")"),"Players must use a single rope.")</f>
        <v>Players must use a single rope.</v>
      </c>
      <c r="G25" s="6">
        <v>24.0</v>
      </c>
      <c r="H25" s="7" t="s">
        <v>1344</v>
      </c>
      <c r="I25" s="7" t="s">
        <v>1314</v>
      </c>
      <c r="J25" s="7" t="s">
        <v>698</v>
      </c>
      <c r="K25" s="7" t="s">
        <v>1345</v>
      </c>
    </row>
    <row r="26" ht="14.25" customHeight="1">
      <c r="A26" s="4">
        <v>25.0</v>
      </c>
      <c r="B26" s="5" t="str">
        <f>IFERROR(__xludf.DUMMYFUNCTION("GOOGLETRANSLATE(H26, ""th"", ""en"")"),"When the opponent's kite is cut off, what should the remaining players do?")</f>
        <v>When the opponent's kite is cut off, what should the remaining players do?</v>
      </c>
      <c r="C26" s="5" t="str">
        <f>IFERROR(__xludf.DUMMYFUNCTION("GOOGLETRANSLATE(I26, ""th"", ""en"")"),"A) Notify the referee; B) Continue playing; C) Stop the game; D) Raise your hand to stop.")</f>
        <v>A) Notify the referee; B) Continue playing; C) Stop the game; D) Raise your hand to stop.</v>
      </c>
      <c r="D26" s="5" t="str">
        <f>IFERROR(__xludf.DUMMYFUNCTION("GOOGLETRANSLATE(J26, ""th"", ""en"")"),"B) Continue the race.")</f>
        <v>B) Continue the race.</v>
      </c>
      <c r="E26" s="5" t="str">
        <f>IFERROR(__xludf.DUMMYFUNCTION("GOOGLETRANSLATE(K26, ""th"", ""en"")"),"The opponent's cut of the rope is not a reason to stop the game.")</f>
        <v>The opponent's cut of the rope is not a reason to stop the game.</v>
      </c>
      <c r="G26" s="6">
        <v>25.0</v>
      </c>
      <c r="H26" s="7" t="s">
        <v>1346</v>
      </c>
      <c r="I26" s="7" t="s">
        <v>1347</v>
      </c>
      <c r="J26" s="7" t="s">
        <v>665</v>
      </c>
      <c r="K26" s="7" t="s">
        <v>1348</v>
      </c>
    </row>
    <row r="27" ht="14.25" customHeight="1">
      <c r="A27" s="4">
        <v>26.0</v>
      </c>
      <c r="B27" s="5" t="str">
        <f>IFERROR(__xludf.DUMMYFUNCTION("GOOGLETRANSLATE(H27, ""th"", ""en"")"),"In the competition, can players choose to use an unregistered kite?")</f>
        <v>In the competition, can players choose to use an unregistered kite?</v>
      </c>
      <c r="C27" s="5" t="str">
        <f>IFERROR(__xludf.DUMMYFUNCTION("GOOGLETRANSLATE(I27, ""th"", ""en"")"),"A) Yes; B) No")</f>
        <v>A) Yes; B) No</v>
      </c>
      <c r="D27" s="5" t="str">
        <f>IFERROR(__xludf.DUMMYFUNCTION("GOOGLETRANSLATE(J27, ""th"", ""en"")"),"B) No.")</f>
        <v>B) No.</v>
      </c>
      <c r="E27" s="5" t="str">
        <f>IFERROR(__xludf.DUMMYFUNCTION("GOOGLETRANSLATE(K27, ""th"", ""en"")"),"Players must use a registered kite.")</f>
        <v>Players must use a registered kite.</v>
      </c>
      <c r="G27" s="6">
        <v>26.0</v>
      </c>
      <c r="H27" s="7" t="s">
        <v>1349</v>
      </c>
      <c r="I27" s="7" t="s">
        <v>1314</v>
      </c>
      <c r="J27" s="7" t="s">
        <v>698</v>
      </c>
      <c r="K27" s="7" t="s">
        <v>1350</v>
      </c>
    </row>
    <row r="28" ht="14.25" customHeight="1">
      <c r="A28" s="4">
        <v>27.0</v>
      </c>
      <c r="B28" s="5" t="str">
        <f>IFERROR(__xludf.DUMMYFUNCTION("GOOGLETRANSLATE(H28, ""th"", ""en"")"),"If it rains during the match, will the match be stopped?")</f>
        <v>If it rains during the match, will the match be stopped?</v>
      </c>
      <c r="C28" s="5" t="str">
        <f>IFERROR(__xludf.DUMMYFUNCTION("GOOGLETRANSLATE(I28, ""th"", ""en"")"),"A) Yes; B) No")</f>
        <v>A) Yes; B) No</v>
      </c>
      <c r="D28" s="5" t="str">
        <f>IFERROR(__xludf.DUMMYFUNCTION("GOOGLETRANSLATE(J28, ""th"", ""en"")"),"A) Yes")</f>
        <v>A) Yes</v>
      </c>
      <c r="E28" s="5" t="str">
        <f>IFERROR(__xludf.DUMMYFUNCTION("GOOGLETRANSLATE(K28, ""th"", ""en"")"),"The race was stopped due to inclement weather conditions.")</f>
        <v>The race was stopped due to inclement weather conditions.</v>
      </c>
      <c r="G28" s="6">
        <v>27.0</v>
      </c>
      <c r="H28" s="7" t="s">
        <v>1351</v>
      </c>
      <c r="I28" s="7" t="s">
        <v>1352</v>
      </c>
      <c r="J28" s="7" t="s">
        <v>1353</v>
      </c>
      <c r="K28" s="7" t="s">
        <v>1354</v>
      </c>
    </row>
    <row r="29" ht="14.25" customHeight="1">
      <c r="A29" s="4">
        <v>28.0</v>
      </c>
      <c r="B29" s="5" t="str">
        <f>IFERROR(__xludf.DUMMYFUNCTION("GOOGLETRANSLATE(H29, ""th"", ""en"")"),"In a kite fighting competition, if your kite flies too high, what effects might it have?")</f>
        <v>In a kite fighting competition, if your kite flies too high, what effects might it have?</v>
      </c>
      <c r="C29" s="5" t="str">
        <f>IFERROR(__xludf.DUMMYFUNCTION("GOOGLETRANSLATE(I29, ""th"", ""en"")"),"A) has no effect; B) may cause loss of control; C) makes it easier to control your opponent; D) makes your kite faster.")</f>
        <v>A) has no effect; B) may cause loss of control; C) makes it easier to control your opponent; D) makes your kite faster.</v>
      </c>
      <c r="D29" s="5" t="str">
        <f>IFERROR(__xludf.DUMMYFUNCTION("GOOGLETRANSLATE(J29, ""th"", ""en"")"),"B) May cause loss of control.")</f>
        <v>B) May cause loss of control.</v>
      </c>
      <c r="E29" s="5" t="str">
        <f>IFERROR(__xludf.DUMMYFUNCTION("GOOGLETRANSLATE(K29, ""th"", ""en"")"),"Flying too high can cause the kite to lose its way.")</f>
        <v>Flying too high can cause the kite to lose its way.</v>
      </c>
      <c r="G29" s="6">
        <v>28.0</v>
      </c>
      <c r="H29" s="7" t="s">
        <v>1355</v>
      </c>
      <c r="I29" s="7" t="s">
        <v>1356</v>
      </c>
      <c r="J29" s="7" t="s">
        <v>1357</v>
      </c>
      <c r="K29" s="7" t="s">
        <v>1358</v>
      </c>
    </row>
    <row r="30" ht="14.25" customHeight="1">
      <c r="A30" s="4">
        <v>29.0</v>
      </c>
      <c r="B30" s="5" t="str">
        <f>IFERROR(__xludf.DUMMYFUNCTION("GOOGLETRANSLATE(H30, ""th"", ""en"")"),"During the match, if spectators enter the competition area, what should the players do?")</f>
        <v>During the match, if spectators enter the competition area, what should the players do?</v>
      </c>
      <c r="C30" s="5" t="str">
        <f>IFERROR(__xludf.DUMMYFUNCTION("GOOGLETRANSLATE(I30, ""th"", ""en"")"),"A) Notify the referee; B) Stop the match; C) Delay the match; D) Notify the organizer.")</f>
        <v>A) Notify the referee; B) Stop the match; C) Delay the match; D) Notify the organizer.</v>
      </c>
      <c r="D30" s="5" t="str">
        <f>IFERROR(__xludf.DUMMYFUNCTION("GOOGLETRANSLATE(J30, ""th"", ""en"")"),"A) Inform the committee.")</f>
        <v>A) Inform the committee.</v>
      </c>
      <c r="E30" s="5" t="str">
        <f>IFERROR(__xludf.DUMMYFUNCTION("GOOGLETRANSLATE(K30, ""th"", ""en"")"),"The referee must handle inappropriate situations.")</f>
        <v>The referee must handle inappropriate situations.</v>
      </c>
      <c r="G30" s="6">
        <v>29.0</v>
      </c>
      <c r="H30" s="7" t="s">
        <v>1359</v>
      </c>
      <c r="I30" s="7" t="s">
        <v>1360</v>
      </c>
      <c r="J30" s="7" t="s">
        <v>20</v>
      </c>
      <c r="K30" s="7" t="s">
        <v>1361</v>
      </c>
    </row>
    <row r="31" ht="14.25" customHeight="1">
      <c r="A31" s="4">
        <v>30.0</v>
      </c>
      <c r="B31" s="5" t="str">
        <f>IFERROR(__xludf.DUMMYFUNCTION("GOOGLETRANSLATE(H31, ""th"", ""en"")"),"If a player cheats during a match, how will the referee punish him?")</f>
        <v>If a player cheats during a match, how will the referee punish him?</v>
      </c>
      <c r="C31" s="5" t="str">
        <f>IFERROR(__xludf.DUMMYFUNCTION("GOOGLETRANSLATE(I31, ""th"", ""en"")"),"A) Warning; B) Point adjustment; C) Disqualification; D) Team change")</f>
        <v>A) Warning; B) Point adjustment; C) Disqualification; D) Team change</v>
      </c>
      <c r="D31" s="5" t="str">
        <f>IFERROR(__xludf.DUMMYFUNCTION("GOOGLETRANSLATE(J31, ""th"", ""en"")"),"C) Disqualification")</f>
        <v>C) Disqualification</v>
      </c>
      <c r="E31" s="5" t="str">
        <f>IFERROR(__xludf.DUMMYFUNCTION("GOOGLETRANSLATE(K31, ""th"", ""en"")"),"Corruption is a violation of the law.")</f>
        <v>Corruption is a violation of the law.</v>
      </c>
      <c r="G31" s="6">
        <v>30.0</v>
      </c>
      <c r="H31" s="7" t="s">
        <v>1362</v>
      </c>
      <c r="I31" s="7" t="s">
        <v>1363</v>
      </c>
      <c r="J31" s="7" t="s">
        <v>1364</v>
      </c>
      <c r="K31" s="7" t="s">
        <v>1365</v>
      </c>
    </row>
    <row r="32" ht="14.25" customHeight="1">
      <c r="A32" s="4">
        <v>31.0</v>
      </c>
      <c r="B32" s="5" t="str">
        <f>IFERROR(__xludf.DUMMYFUNCTION("GOOGLETRANSLATE(H32, ""th"", ""en"")"),"In kite fighting competitions, how old must players be to participate?")</f>
        <v>In kite fighting competitions, how old must players be to participate?</v>
      </c>
      <c r="C32" s="5" t="str">
        <f>IFERROR(__xludf.DUMMYFUNCTION("GOOGLETRANSLATE(I32, ""th"", ""en"")"),"A) 18 years old; B) 15 years old; C) 21 years old; D) no limit")</f>
        <v>A) 18 years old; B) 15 years old; C) 21 years old; D) no limit</v>
      </c>
      <c r="D32" s="5" t="str">
        <f>IFERROR(__xludf.DUMMYFUNCTION("GOOGLETRANSLATE(J32, ""th"", ""en"")"),"D) No restrictions")</f>
        <v>D) No restrictions</v>
      </c>
      <c r="E32" s="5" t="str">
        <f>IFERROR(__xludf.DUMMYFUNCTION("GOOGLETRANSLATE(K32, ""th"", ""en"")"),"Players can participate in the competition without any age restrictions.")</f>
        <v>Players can participate in the competition without any age restrictions.</v>
      </c>
      <c r="G32" s="6">
        <v>31.0</v>
      </c>
      <c r="H32" s="7" t="s">
        <v>1366</v>
      </c>
      <c r="I32" s="7" t="s">
        <v>1367</v>
      </c>
      <c r="J32" s="7" t="s">
        <v>1368</v>
      </c>
      <c r="K32" s="7" t="s">
        <v>1369</v>
      </c>
    </row>
    <row r="33" ht="14.25" customHeight="1">
      <c r="A33" s="4">
        <v>32.0</v>
      </c>
      <c r="B33" s="5" t="str">
        <f>IFERROR(__xludf.DUMMYFUNCTION("GOOGLETRANSLATE(H33, ""th"", ""en"")"),"What materials can players use to make a kite?")</f>
        <v>What materials can players use to make a kite?</v>
      </c>
      <c r="C33" s="5" t="str">
        <f>IFERROR(__xludf.DUMMYFUNCTION("GOOGLETRANSLATE(I33, ""th"", ""en"")"),"A) plastic; B) paper; C) metal; D) wood and cloth")</f>
        <v>A) plastic; B) paper; C) metal; D) wood and cloth</v>
      </c>
      <c r="D33" s="5" t="str">
        <f>IFERROR(__xludf.DUMMYFUNCTION("GOOGLETRANSLATE(J33, ""th"", ""en"")"),"D) Wood and cloth")</f>
        <v>D) Wood and cloth</v>
      </c>
      <c r="E33" s="5" t="str">
        <f>IFERROR(__xludf.DUMMYFUNCTION("GOOGLETRANSLATE(K33, ""th"", ""en"")"),"Natural materials help the kite fly well and be durable.")</f>
        <v>Natural materials help the kite fly well and be durable.</v>
      </c>
      <c r="G33" s="6">
        <v>32.0</v>
      </c>
      <c r="H33" s="7" t="s">
        <v>1370</v>
      </c>
      <c r="I33" s="7" t="s">
        <v>1371</v>
      </c>
      <c r="J33" s="7" t="s">
        <v>1372</v>
      </c>
      <c r="K33" s="7" t="s">
        <v>1373</v>
      </c>
    </row>
    <row r="34" ht="14.25" customHeight="1">
      <c r="A34" s="4">
        <v>33.0</v>
      </c>
      <c r="B34" s="5" t="str">
        <f>IFERROR(__xludf.DUMMYFUNCTION("GOOGLETRANSLATE(H34, ""th"", ""en"")"),"Is it permissible to change the kite rope during the race?")</f>
        <v>Is it permissible to change the kite rope during the race?</v>
      </c>
      <c r="C34" s="5" t="str">
        <f>IFERROR(__xludf.DUMMYFUNCTION("GOOGLETRANSLATE(I34, ""th"", ""en"")"),"A) Yes; B) No")</f>
        <v>A) Yes; B) No</v>
      </c>
      <c r="D34" s="5" t="str">
        <f>IFERROR(__xludf.DUMMYFUNCTION("GOOGLETRANSLATE(J34, ""th"", ""en"")"),"B) No.")</f>
        <v>B) No.</v>
      </c>
      <c r="E34" s="5" t="str">
        <f>IFERROR(__xludf.DUMMYFUNCTION("GOOGLETRANSLATE(K34, ""th"", ""en"")"),"Changing the rope mid-race is a violation of the rules.")</f>
        <v>Changing the rope mid-race is a violation of the rules.</v>
      </c>
      <c r="G34" s="6">
        <v>33.0</v>
      </c>
      <c r="H34" s="7" t="s">
        <v>1374</v>
      </c>
      <c r="I34" s="7" t="s">
        <v>1314</v>
      </c>
      <c r="J34" s="7" t="s">
        <v>698</v>
      </c>
      <c r="K34" s="7" t="s">
        <v>1375</v>
      </c>
    </row>
    <row r="35" ht="14.25" customHeight="1">
      <c r="A35" s="4">
        <v>34.0</v>
      </c>
      <c r="B35" s="5" t="str">
        <f>IFERROR(__xludf.DUMMYFUNCTION("GOOGLETRANSLATE(H35, ""th"", ""en"")"),"If your kite flies out of the competition area, can you fly it back?")</f>
        <v>If your kite flies out of the competition area, can you fly it back?</v>
      </c>
      <c r="C35" s="5" t="str">
        <f>IFERROR(__xludf.DUMMYFUNCTION("GOOGLETRANSLATE(I35, ""th"", ""en"")"),"A) Yes; B) No")</f>
        <v>A) Yes; B) No</v>
      </c>
      <c r="D35" s="5" t="str">
        <f>IFERROR(__xludf.DUMMYFUNCTION("GOOGLETRANSLATE(J35, ""th"", ""en"")"),"B) No.")</f>
        <v>B) No.</v>
      </c>
      <c r="E35" s="5" t="str">
        <f>IFERROR(__xludf.DUMMYFUNCTION("GOOGLETRANSLATE(K35, ""th"", ""en"")"),"When the kite leaves the competition area, it is considered a loss.")</f>
        <v>When the kite leaves the competition area, it is considered a loss.</v>
      </c>
      <c r="G35" s="6">
        <v>34.0</v>
      </c>
      <c r="H35" s="7" t="s">
        <v>1376</v>
      </c>
      <c r="I35" s="7" t="s">
        <v>1314</v>
      </c>
      <c r="J35" s="7" t="s">
        <v>698</v>
      </c>
      <c r="K35" s="7" t="s">
        <v>1377</v>
      </c>
    </row>
    <row r="36" ht="14.25" customHeight="1">
      <c r="A36" s="4">
        <v>35.0</v>
      </c>
      <c r="B36" s="5" t="str">
        <f>IFERROR(__xludf.DUMMYFUNCTION("GOOGLETRANSLATE(H36, ""th"", ""en"")"),"Can players use rope boosters to increase speed?")</f>
        <v>Can players use rope boosters to increase speed?</v>
      </c>
      <c r="C36" s="5" t="str">
        <f>IFERROR(__xludf.DUMMYFUNCTION("GOOGLETRANSLATE(I36, ""th"", ""en"")"),"A) Yes; B) No")</f>
        <v>A) Yes; B) No</v>
      </c>
      <c r="D36" s="5" t="str">
        <f>IFERROR(__xludf.DUMMYFUNCTION("GOOGLETRANSLATE(J36, ""th"", ""en"")"),"B) No.")</f>
        <v>B) No.</v>
      </c>
      <c r="E36" s="5" t="str">
        <f>IFERROR(__xludf.DUMMYFUNCTION("GOOGLETRANSLATE(K36, ""th"", ""en"")"),"Using the help tool is a violation of the rules.")</f>
        <v>Using the help tool is a violation of the rules.</v>
      </c>
      <c r="G36" s="6">
        <v>35.0</v>
      </c>
      <c r="H36" s="7" t="s">
        <v>1378</v>
      </c>
      <c r="I36" s="7" t="s">
        <v>1314</v>
      </c>
      <c r="J36" s="7" t="s">
        <v>698</v>
      </c>
      <c r="K36" s="7" t="s">
        <v>1379</v>
      </c>
    </row>
    <row r="37" ht="14.25" customHeight="1">
      <c r="A37" s="4">
        <v>36.0</v>
      </c>
      <c r="B37" s="5" t="str">
        <f>IFERROR(__xludf.DUMMYFUNCTION("GOOGLETRANSLATE(H37, ""th"", ""en"")"),"Is it permissible to fly a kite in light winds?")</f>
        <v>Is it permissible to fly a kite in light winds?</v>
      </c>
      <c r="C37" s="5" t="str">
        <f>IFERROR(__xludf.DUMMYFUNCTION("GOOGLETRANSLATE(I37, ""th"", ""en"")"),"A) Allowed; B) Not allowed")</f>
        <v>A) Allowed; B) Not allowed</v>
      </c>
      <c r="D37" s="5" t="str">
        <f>IFERROR(__xludf.DUMMYFUNCTION("GOOGLETRANSLATE(J37, ""th"", ""en"")"),"A) Allowed")</f>
        <v>A) Allowed</v>
      </c>
      <c r="E37" s="5" t="str">
        <f>IFERROR(__xludf.DUMMYFUNCTION("GOOGLETRANSLATE(K37, ""th"", ""en"")"),"Light winds may prevent the kite from flying well, but it is not against the rules.")</f>
        <v>Light winds may prevent the kite from flying well, but it is not against the rules.</v>
      </c>
      <c r="G37" s="6">
        <v>36.0</v>
      </c>
      <c r="H37" s="7" t="s">
        <v>1380</v>
      </c>
      <c r="I37" s="7" t="s">
        <v>1342</v>
      </c>
      <c r="J37" s="7" t="s">
        <v>1381</v>
      </c>
      <c r="K37" s="7" t="s">
        <v>1382</v>
      </c>
    </row>
    <row r="38" ht="14.25" customHeight="1">
      <c r="A38" s="4">
        <v>37.0</v>
      </c>
      <c r="B38" s="5" t="str">
        <f>IFERROR(__xludf.DUMMYFUNCTION("GOOGLETRANSLATE(H38, ""th"", ""en"")"),"Can players fly their damaged kites again?")</f>
        <v>Can players fly their damaged kites again?</v>
      </c>
      <c r="C38" s="5" t="str">
        <f>IFERROR(__xludf.DUMMYFUNCTION("GOOGLETRANSLATE(I38, ""th"", ""en"")"),"A) Yes; B) No")</f>
        <v>A) Yes; B) No</v>
      </c>
      <c r="D38" s="5" t="str">
        <f>IFERROR(__xludf.DUMMYFUNCTION("GOOGLETRANSLATE(J38, ""th"", ""en"")"),"B) No.")</f>
        <v>B) No.</v>
      </c>
      <c r="E38" s="5" t="str">
        <f>IFERROR(__xludf.DUMMYFUNCTION("GOOGLETRANSLATE(K38, ""th"", ""en"")"),"A damaged kite must be removed from the competition.")</f>
        <v>A damaged kite must be removed from the competition.</v>
      </c>
      <c r="G38" s="6">
        <v>37.0</v>
      </c>
      <c r="H38" s="7" t="s">
        <v>1383</v>
      </c>
      <c r="I38" s="7" t="s">
        <v>1314</v>
      </c>
      <c r="J38" s="7" t="s">
        <v>698</v>
      </c>
      <c r="K38" s="7" t="s">
        <v>1384</v>
      </c>
    </row>
    <row r="39" ht="14.25" customHeight="1">
      <c r="A39" s="4">
        <v>38.0</v>
      </c>
      <c r="B39" s="5" t="str">
        <f>IFERROR(__xludf.DUMMYFUNCTION("GOOGLETRANSLATE(H39, ""th"", ""en"")"),"Can the referee change the rules during the match?")</f>
        <v>Can the referee change the rules during the match?</v>
      </c>
      <c r="C39" s="5" t="str">
        <f>IFERROR(__xludf.DUMMYFUNCTION("GOOGLETRANSLATE(I39, ""th"", ""en"")"),"A) Yes; B) No")</f>
        <v>A) Yes; B) No</v>
      </c>
      <c r="D39" s="5" t="str">
        <f>IFERROR(__xludf.DUMMYFUNCTION("GOOGLETRANSLATE(J39, ""th"", ""en"")"),"B) No.")</f>
        <v>B) No.</v>
      </c>
      <c r="E39" s="5" t="str">
        <f>IFERROR(__xludf.DUMMYFUNCTION("GOOGLETRANSLATE(K39, ""th"", ""en"")"),"The rules of the competition must be as specified in advance.")</f>
        <v>The rules of the competition must be as specified in advance.</v>
      </c>
      <c r="G39" s="6">
        <v>38.0</v>
      </c>
      <c r="H39" s="7" t="s">
        <v>1385</v>
      </c>
      <c r="I39" s="7" t="s">
        <v>1314</v>
      </c>
      <c r="J39" s="7" t="s">
        <v>698</v>
      </c>
      <c r="K39" s="7" t="s">
        <v>1386</v>
      </c>
    </row>
    <row r="40" ht="14.25" customHeight="1">
      <c r="A40" s="4">
        <v>39.0</v>
      </c>
      <c r="B40" s="5" t="str">
        <f>IFERROR(__xludf.DUMMYFUNCTION("GOOGLETRANSLATE(H40, ""th"", ""en"")"),"In the event of a collision between two kites, can players re-enter the race?")</f>
        <v>In the event of a collision between two kites, can players re-enter the race?</v>
      </c>
      <c r="C40" s="5" t="str">
        <f>IFERROR(__xludf.DUMMYFUNCTION("GOOGLETRANSLATE(I40, ""th"", ""en"")"),"A) Yes; B) No")</f>
        <v>A) Yes; B) No</v>
      </c>
      <c r="D40" s="5" t="str">
        <f>IFERROR(__xludf.DUMMYFUNCTION("GOOGLETRANSLATE(J40, ""th"", ""en"")"),"B) No.")</f>
        <v>B) No.</v>
      </c>
      <c r="E40" s="5" t="str">
        <f>IFERROR(__xludf.DUMMYFUNCTION("GOOGLETRANSLATE(K40, ""th"", ""en"")"),"When a collision occurs, it is considered a loss.")</f>
        <v>When a collision occurs, it is considered a loss.</v>
      </c>
      <c r="G40" s="6">
        <v>39.0</v>
      </c>
      <c r="H40" s="7" t="s">
        <v>1387</v>
      </c>
      <c r="I40" s="7" t="s">
        <v>1314</v>
      </c>
      <c r="J40" s="7" t="s">
        <v>698</v>
      </c>
      <c r="K40" s="7" t="s">
        <v>1388</v>
      </c>
    </row>
    <row r="41" ht="14.25" customHeight="1">
      <c r="A41" s="4">
        <v>40.0</v>
      </c>
      <c r="B41" s="5" t="str">
        <f>IFERROR(__xludf.DUMMYFUNCTION("GOOGLETRANSLATE(H41, ""th"", ""en"")"),"Can players use special flying techniques in the competition?")</f>
        <v>Can players use special flying techniques in the competition?</v>
      </c>
      <c r="C41" s="5" t="str">
        <f>IFERROR(__xludf.DUMMYFUNCTION("GOOGLETRANSLATE(I41, ""th"", ""en"")"),"A) Yes; B) No")</f>
        <v>A) Yes; B) No</v>
      </c>
      <c r="D41" s="5" t="str">
        <f>IFERROR(__xludf.DUMMYFUNCTION("GOOGLETRANSLATE(J41, ""th"", ""en"")"),"B) No.")</f>
        <v>B) No.</v>
      </c>
      <c r="E41" s="5" t="str">
        <f>IFERROR(__xludf.DUMMYFUNCTION("GOOGLETRANSLATE(K41, ""th"", ""en"")"),"Special techniques that do not comply with the rules will be considered invalid.")</f>
        <v>Special techniques that do not comply with the rules will be considered invalid.</v>
      </c>
      <c r="G41" s="6">
        <v>40.0</v>
      </c>
      <c r="H41" s="7" t="s">
        <v>1389</v>
      </c>
      <c r="I41" s="7" t="s">
        <v>1314</v>
      </c>
      <c r="J41" s="7" t="s">
        <v>698</v>
      </c>
      <c r="K41" s="7" t="s">
        <v>1390</v>
      </c>
    </row>
    <row r="42" ht="14.25" customHeight="1">
      <c r="A42" s="4">
        <v>41.0</v>
      </c>
      <c r="B42" s="5" t="str">
        <f>IFERROR(__xludf.DUMMYFUNCTION("GOOGLETRANSLATE(H42, ""th"", ""en"")"),"Is it illegal to fly a kite in an area with high-voltage power lines?")</f>
        <v>Is it illegal to fly a kite in an area with high-voltage power lines?</v>
      </c>
      <c r="C42" s="5" t="str">
        <f>IFERROR(__xludf.DUMMYFUNCTION("GOOGLETRANSLATE(I42, ""th"", ""en"")"),"A) Illegal; B) Not illegal")</f>
        <v>A) Illegal; B) Not illegal</v>
      </c>
      <c r="D42" s="5" t="str">
        <f>IFERROR(__xludf.DUMMYFUNCTION("GOOGLETRANSLATE(J42, ""th"", ""en"")"),"A) Breaking the rules")</f>
        <v>A) Breaking the rules</v>
      </c>
      <c r="E42" s="5" t="str">
        <f>IFERROR(__xludf.DUMMYFUNCTION("GOOGLETRANSLATE(K42, ""th"", ""en"")"),"Flying near power lines can be dangerous.")</f>
        <v>Flying near power lines can be dangerous.</v>
      </c>
      <c r="G42" s="6">
        <v>41.0</v>
      </c>
      <c r="H42" s="7" t="s">
        <v>1391</v>
      </c>
      <c r="I42" s="7" t="s">
        <v>1287</v>
      </c>
      <c r="J42" s="7" t="s">
        <v>1288</v>
      </c>
      <c r="K42" s="7" t="s">
        <v>1392</v>
      </c>
    </row>
    <row r="43" ht="14.25" customHeight="1">
      <c r="A43" s="4">
        <v>42.0</v>
      </c>
      <c r="B43" s="5" t="str">
        <f>IFERROR(__xludf.DUMMYFUNCTION("GOOGLETRANSLATE(H43, ""th"", ""en"")"),"Can players use accessories to control the kite, such as a balancer?")</f>
        <v>Can players use accessories to control the kite, such as a balancer?</v>
      </c>
      <c r="C43" s="5" t="str">
        <f>IFERROR(__xludf.DUMMYFUNCTION("GOOGLETRANSLATE(I43, ""th"", ""en"")"),"A) Yes; B) No")</f>
        <v>A) Yes; B) No</v>
      </c>
      <c r="D43" s="5" t="str">
        <f>IFERROR(__xludf.DUMMYFUNCTION("GOOGLETRANSLATE(J43, ""th"", ""en"")"),"B) No.")</f>
        <v>B) No.</v>
      </c>
      <c r="E43" s="5" t="str">
        <f>IFERROR(__xludf.DUMMYFUNCTION("GOOGLETRANSLATE(K43, ""th"", ""en"")"),"Incorrect accessories are a violation of the rules.")</f>
        <v>Incorrect accessories are a violation of the rules.</v>
      </c>
      <c r="G43" s="6">
        <v>42.0</v>
      </c>
      <c r="H43" s="7" t="s">
        <v>1393</v>
      </c>
      <c r="I43" s="7" t="s">
        <v>1314</v>
      </c>
      <c r="J43" s="7" t="s">
        <v>698</v>
      </c>
      <c r="K43" s="7" t="s">
        <v>1394</v>
      </c>
    </row>
    <row r="44" ht="14.25" customHeight="1">
      <c r="A44" s="4">
        <v>43.0</v>
      </c>
      <c r="B44" s="5" t="str">
        <f>IFERROR(__xludf.DUMMYFUNCTION("GOOGLETRANSLATE(H44, ""th"", ""en"")"),"In a competition, if your kite is attacked by your opponent's kite, what should you do?")</f>
        <v>In a competition, if your kite is attacked by your opponent's kite, what should you do?</v>
      </c>
      <c r="C44" s="5" t="str">
        <f>IFERROR(__xludf.DUMMYFUNCTION("GOOGLETRANSLATE(I44, ""th"", ""en"")"),"A) Inform the referee; B) Continue fighting; C) Stop the game; D) Surrender.")</f>
        <v>A) Inform the referee; B) Continue fighting; C) Stop the game; D) Surrender.</v>
      </c>
      <c r="D44" s="5" t="str">
        <f>IFERROR(__xludf.DUMMYFUNCTION("GOOGLETRANSLATE(J44, ""th"", ""en"")"),"A) Inform the committee.")</f>
        <v>A) Inform the committee.</v>
      </c>
      <c r="E44" s="5" t="str">
        <f>IFERROR(__xludf.DUMMYFUNCTION("GOOGLETRANSLATE(K44, ""th"", ""en"")"),"The referee will consider the violation according to the rules.")</f>
        <v>The referee will consider the violation according to the rules.</v>
      </c>
      <c r="G44" s="6">
        <v>43.0</v>
      </c>
      <c r="H44" s="7" t="s">
        <v>1395</v>
      </c>
      <c r="I44" s="7" t="s">
        <v>1396</v>
      </c>
      <c r="J44" s="7" t="s">
        <v>20</v>
      </c>
      <c r="K44" s="7" t="s">
        <v>1397</v>
      </c>
    </row>
    <row r="45" ht="14.25" customHeight="1">
      <c r="A45" s="4">
        <v>44.0</v>
      </c>
      <c r="B45" s="5" t="str">
        <f>IFERROR(__xludf.DUMMYFUNCTION("GOOGLETRANSLATE(H45, ""th"", ""en"")"),"Can players fly their kite in a direction that is not in line with the wind?")</f>
        <v>Can players fly their kite in a direction that is not in line with the wind?</v>
      </c>
      <c r="C45" s="5" t="str">
        <f>IFERROR(__xludf.DUMMYFUNCTION("GOOGLETRANSLATE(I45, ""th"", ""en"")"),"A) Yes; B) No")</f>
        <v>A) Yes; B) No</v>
      </c>
      <c r="D45" s="5" t="str">
        <f>IFERROR(__xludf.DUMMYFUNCTION("GOOGLETRANSLATE(J45, ""th"", ""en"")"),"A) Yes.")</f>
        <v>A) Yes.</v>
      </c>
      <c r="E45" s="5" t="str">
        <f>IFERROR(__xludf.DUMMYFUNCTION("GOOGLETRANSLATE(K45, ""th"", ""en"")"),"Flying a kite in different directions is possible, but caution is required.")</f>
        <v>Flying a kite in different directions is possible, but caution is required.</v>
      </c>
      <c r="G45" s="6">
        <v>44.0</v>
      </c>
      <c r="H45" s="7" t="s">
        <v>1398</v>
      </c>
      <c r="I45" s="7" t="s">
        <v>1314</v>
      </c>
      <c r="J45" s="7" t="s">
        <v>737</v>
      </c>
      <c r="K45" s="7" t="s">
        <v>1399</v>
      </c>
    </row>
    <row r="46" ht="14.25" customHeight="1">
      <c r="A46" s="4">
        <v>45.0</v>
      </c>
      <c r="B46" s="5" t="str">
        <f>IFERROR(__xludf.DUMMYFUNCTION("GOOGLETRANSLATE(H46, ""th"", ""en"")"),"If a player drops their kite on the ground, is it considered a loss?")</f>
        <v>If a player drops their kite on the ground, is it considered a loss?</v>
      </c>
      <c r="C46" s="5" t="str">
        <f>IFERROR(__xludf.DUMMYFUNCTION("GOOGLETRANSLATE(I46, ""th"", ""en"")"),"A) considered a loss; B) not considered a loss")</f>
        <v>A) considered a loss; B) not considered a loss</v>
      </c>
      <c r="D46" s="5" t="str">
        <f>IFERROR(__xludf.DUMMYFUNCTION("GOOGLETRANSLATE(J46, ""th"", ""en"")"),"A) Considered a loss")</f>
        <v>A) Considered a loss</v>
      </c>
      <c r="E46" s="5" t="str">
        <f>IFERROR(__xludf.DUMMYFUNCTION("GOOGLETRANSLATE(K46, ""th"", ""en"")"),"The kite's fall means the end of the game.")</f>
        <v>The kite's fall means the end of the game.</v>
      </c>
      <c r="G46" s="6">
        <v>45.0</v>
      </c>
      <c r="H46" s="7" t="s">
        <v>1400</v>
      </c>
      <c r="I46" s="7" t="s">
        <v>1401</v>
      </c>
      <c r="J46" s="7" t="s">
        <v>1402</v>
      </c>
      <c r="K46" s="7" t="s">
        <v>1403</v>
      </c>
    </row>
    <row r="47" ht="14.25" customHeight="1">
      <c r="A47" s="4">
        <v>46.0</v>
      </c>
      <c r="B47" s="5" t="str">
        <f>IFERROR(__xludf.DUMMYFUNCTION("GOOGLETRANSLATE(H47, ""th"", ""en"")"),"Can players fly kites in rainy weather?")</f>
        <v>Can players fly kites in rainy weather?</v>
      </c>
      <c r="C47" s="5" t="str">
        <f>IFERROR(__xludf.DUMMYFUNCTION("GOOGLETRANSLATE(I47, ""th"", ""en"")"),"A) Yes; B) No")</f>
        <v>A) Yes; B) No</v>
      </c>
      <c r="D47" s="5" t="str">
        <f>IFERROR(__xludf.DUMMYFUNCTION("GOOGLETRANSLATE(J47, ""th"", ""en"")"),"B) No.")</f>
        <v>B) No.</v>
      </c>
      <c r="E47" s="5" t="str">
        <f>IFERROR(__xludf.DUMMYFUNCTION("GOOGLETRANSLATE(K47, ""th"", ""en"")"),"Flying a kite in rainy weather is considered unsafe.")</f>
        <v>Flying a kite in rainy weather is considered unsafe.</v>
      </c>
      <c r="G47" s="6">
        <v>46.0</v>
      </c>
      <c r="H47" s="7" t="s">
        <v>1404</v>
      </c>
      <c r="I47" s="7" t="s">
        <v>1314</v>
      </c>
      <c r="J47" s="7" t="s">
        <v>698</v>
      </c>
      <c r="K47" s="7" t="s">
        <v>1405</v>
      </c>
    </row>
    <row r="48" ht="14.25" customHeight="1">
      <c r="A48" s="4">
        <v>47.0</v>
      </c>
      <c r="B48" s="5" t="str">
        <f>IFERROR(__xludf.DUMMYFUNCTION("GOOGLETRANSLATE(H48, ""th"", ""en"")"),"Is it illegal to use a kite that has been modified to reach excessive speed?")</f>
        <v>Is it illegal to use a kite that has been modified to reach excessive speed?</v>
      </c>
      <c r="C48" s="5" t="str">
        <f>IFERROR(__xludf.DUMMYFUNCTION("GOOGLETRANSLATE(I48, ""th"", ""en"")"),"A) Illegal; B) Not illegal")</f>
        <v>A) Illegal; B) Not illegal</v>
      </c>
      <c r="D48" s="5" t="str">
        <f>IFERROR(__xludf.DUMMYFUNCTION("GOOGLETRANSLATE(J48, ""th"", ""en"")"),"A) Breaking the rules")</f>
        <v>A) Breaking the rules</v>
      </c>
      <c r="E48" s="5" t="str">
        <f>IFERROR(__xludf.DUMMYFUNCTION("GOOGLETRANSLATE(K48, ""th"", ""en"")"),"Modifying a kite to increase speed excessively is considered cheating.")</f>
        <v>Modifying a kite to increase speed excessively is considered cheating.</v>
      </c>
      <c r="G48" s="6">
        <v>47.0</v>
      </c>
      <c r="H48" s="7" t="s">
        <v>1406</v>
      </c>
      <c r="I48" s="7" t="s">
        <v>1287</v>
      </c>
      <c r="J48" s="7" t="s">
        <v>1288</v>
      </c>
      <c r="K48" s="7" t="s">
        <v>1407</v>
      </c>
    </row>
    <row r="49" ht="14.25" customHeight="1">
      <c r="A49" s="4">
        <v>48.0</v>
      </c>
      <c r="B49" s="5" t="str">
        <f>IFERROR(__xludf.DUMMYFUNCTION("GOOGLETRANSLATE(H49, ""th"", ""en"")"),"Can players use ropes longer than the specified length in the competition?")</f>
        <v>Can players use ropes longer than the specified length in the competition?</v>
      </c>
      <c r="C49" s="5" t="str">
        <f>IFERROR(__xludf.DUMMYFUNCTION("GOOGLETRANSLATE(I49, ""th"", ""en"")"),"A) Yes; B) No")</f>
        <v>A) Yes; B) No</v>
      </c>
      <c r="D49" s="5" t="str">
        <f>IFERROR(__xludf.DUMMYFUNCTION("GOOGLETRANSLATE(J49, ""th"", ""en"")"),"B) No.")</f>
        <v>B) No.</v>
      </c>
      <c r="E49" s="5" t="str">
        <f>IFERROR(__xludf.DUMMYFUNCTION("GOOGLETRANSLATE(K49, ""th"", ""en"")"),"A rope that is longer than the rules may cause loss of control.")</f>
        <v>A rope that is longer than the rules may cause loss of control.</v>
      </c>
      <c r="G49" s="6">
        <v>48.0</v>
      </c>
      <c r="H49" s="7" t="s">
        <v>1408</v>
      </c>
      <c r="I49" s="7" t="s">
        <v>1314</v>
      </c>
      <c r="J49" s="7" t="s">
        <v>698</v>
      </c>
      <c r="K49" s="7" t="s">
        <v>1409</v>
      </c>
    </row>
    <row r="50" ht="14.25" customHeight="1">
      <c r="A50" s="4">
        <v>49.0</v>
      </c>
      <c r="B50" s="5" t="str">
        <f>IFERROR(__xludf.DUMMYFUNCTION("GOOGLETRANSLATE(H50, ""th"", ""en"")"),"If a kite is used that is too large, will the player be penalized?")</f>
        <v>If a kite is used that is too large, will the player be penalized?</v>
      </c>
      <c r="C50" s="5" t="str">
        <f>IFERROR(__xludf.DUMMYFUNCTION("GOOGLETRANSLATE(I50, ""th"", ""en"")"),"A) punished; B) not punished")</f>
        <v>A) punished; B) not punished</v>
      </c>
      <c r="D50" s="5" t="str">
        <f>IFERROR(__xludf.DUMMYFUNCTION("GOOGLETRANSLATE(J50, ""th"", ""en"")"),"A) was punished")</f>
        <v>A) was punished</v>
      </c>
      <c r="E50" s="5" t="str">
        <f>IFERROR(__xludf.DUMMYFUNCTION("GOOGLETRANSLATE(K50, ""th"", ""en"")"),"A kite that is too large can cause loss of balance.")</f>
        <v>A kite that is too large can cause loss of balance.</v>
      </c>
      <c r="G50" s="6">
        <v>49.0</v>
      </c>
      <c r="H50" s="7" t="s">
        <v>1410</v>
      </c>
      <c r="I50" s="7" t="s">
        <v>1411</v>
      </c>
      <c r="J50" s="7" t="s">
        <v>1412</v>
      </c>
      <c r="K50" s="7" t="s">
        <v>1413</v>
      </c>
    </row>
    <row r="51" ht="14.25" customHeight="1">
      <c r="A51" s="4">
        <v>50.0</v>
      </c>
      <c r="B51" s="5" t="str">
        <f>IFERROR(__xludf.DUMMYFUNCTION("GOOGLETRANSLATE(H51, ""th"", ""en"")"),"Can players use a rope that looks like a strap?")</f>
        <v>Can players use a rope that looks like a strap?</v>
      </c>
      <c r="C51" s="5" t="str">
        <f>IFERROR(__xludf.DUMMYFUNCTION("GOOGLETRANSLATE(I51, ""th"", ""en"")"),"A) Yes; B) No")</f>
        <v>A) Yes; B) No</v>
      </c>
      <c r="D51" s="5" t="str">
        <f>IFERROR(__xludf.DUMMYFUNCTION("GOOGLETRANSLATE(J51, ""th"", ""en"")"),"B) No.")</f>
        <v>B) No.</v>
      </c>
      <c r="E51" s="5" t="str">
        <f>IFERROR(__xludf.DUMMYFUNCTION("GOOGLETRANSLATE(K51, ""th"", ""en"")"),"The rope must be of the appropriate type according to the competition rules.")</f>
        <v>The rope must be of the appropriate type according to the competition rules.</v>
      </c>
      <c r="G51" s="6">
        <v>50.0</v>
      </c>
      <c r="H51" s="7" t="s">
        <v>1414</v>
      </c>
      <c r="I51" s="7" t="s">
        <v>1314</v>
      </c>
      <c r="J51" s="7" t="s">
        <v>698</v>
      </c>
      <c r="K51" s="7" t="s">
        <v>1415</v>
      </c>
    </row>
    <row r="52" ht="14.25" customHeight="1">
      <c r="A52" s="4">
        <v>51.0</v>
      </c>
      <c r="B52" s="5" t="str">
        <f>IFERROR(__xludf.DUMMYFUNCTION("GOOGLETRANSLATE(H52, ""th"", ""en"")"),"Is it permissible to use a kite in advance practice?")</f>
        <v>Is it permissible to use a kite in advance practice?</v>
      </c>
      <c r="C52" s="5" t="str">
        <f>IFERROR(__xludf.DUMMYFUNCTION("GOOGLETRANSLATE(I52, ""th"", ""en"")"),"A) Allowed; B) Not allowed")</f>
        <v>A) Allowed; B) Not allowed</v>
      </c>
      <c r="D52" s="5" t="str">
        <f>IFERROR(__xludf.DUMMYFUNCTION("GOOGLETRANSLATE(J52, ""th"", ""en"")"),"A) Allowed")</f>
        <v>A) Allowed</v>
      </c>
      <c r="E52" s="5" t="str">
        <f>IFERROR(__xludf.DUMMYFUNCTION("GOOGLETRANSLATE(K52, ""th"", ""en"")"),"Pre-practice improves proficiency.")</f>
        <v>Pre-practice improves proficiency.</v>
      </c>
      <c r="G52" s="6">
        <v>51.0</v>
      </c>
      <c r="H52" s="7" t="s">
        <v>1416</v>
      </c>
      <c r="I52" s="7" t="s">
        <v>1342</v>
      </c>
      <c r="J52" s="7" t="s">
        <v>1381</v>
      </c>
      <c r="K52" s="7" t="s">
        <v>1417</v>
      </c>
    </row>
    <row r="53" ht="14.25" customHeight="1">
      <c r="A53" s="4">
        <v>52.0</v>
      </c>
      <c r="B53" s="5" t="str">
        <f>IFERROR(__xludf.DUMMYFUNCTION("GOOGLETRANSLATE(H53, ""th"", ""en"")"),"If your kite breaks during the race, can you use another kite?")</f>
        <v>If your kite breaks during the race, can you use another kite?</v>
      </c>
      <c r="C53" s="5" t="str">
        <f>IFERROR(__xludf.DUMMYFUNCTION("GOOGLETRANSLATE(I53, ""th"", ""en"")"),"A) Yes; B) No")</f>
        <v>A) Yes; B) No</v>
      </c>
      <c r="D53" s="5" t="str">
        <f>IFERROR(__xludf.DUMMYFUNCTION("GOOGLETRANSLATE(J53, ""th"", ""en"")"),"B) No.")</f>
        <v>B) No.</v>
      </c>
      <c r="E53" s="5" t="str">
        <f>IFERROR(__xludf.DUMMYFUNCTION("GOOGLETRANSLATE(K53, ""th"", ""en"")"),"Players must use the same kite throughout the match.")</f>
        <v>Players must use the same kite throughout the match.</v>
      </c>
      <c r="G53" s="6">
        <v>52.0</v>
      </c>
      <c r="H53" s="7" t="s">
        <v>1418</v>
      </c>
      <c r="I53" s="7" t="s">
        <v>1314</v>
      </c>
      <c r="J53" s="7" t="s">
        <v>698</v>
      </c>
      <c r="K53" s="7" t="s">
        <v>1419</v>
      </c>
    </row>
    <row r="54" ht="14.25" customHeight="1">
      <c r="A54" s="4">
        <v>53.0</v>
      </c>
      <c r="B54" s="5" t="str">
        <f>IFERROR(__xludf.DUMMYFUNCTION("GOOGLETRANSLATE(H54, ""th"", ""en"")"),"In the competition, can players choose any kite flying method?")</f>
        <v>In the competition, can players choose any kite flying method?</v>
      </c>
      <c r="C54" s="5" t="str">
        <f>IFERROR(__xludf.DUMMYFUNCTION("GOOGLETRANSLATE(I54, ""th"", ""en"")"),"A) Yes; B) No")</f>
        <v>A) Yes; B) No</v>
      </c>
      <c r="D54" s="5" t="str">
        <f>IFERROR(__xludf.DUMMYFUNCTION("GOOGLETRANSLATE(J54, ""th"", ""en"")"),"B) No.")</f>
        <v>B) No.</v>
      </c>
      <c r="E54" s="5" t="str">
        <f>IFERROR(__xludf.DUMMYFUNCTION("GOOGLETRANSLATE(K54, ""th"", ""en"")"),"Players must follow the prescribed flight rules.")</f>
        <v>Players must follow the prescribed flight rules.</v>
      </c>
      <c r="G54" s="6">
        <v>53.0</v>
      </c>
      <c r="H54" s="7" t="s">
        <v>1420</v>
      </c>
      <c r="I54" s="7" t="s">
        <v>1314</v>
      </c>
      <c r="J54" s="7" t="s">
        <v>698</v>
      </c>
      <c r="K54" s="7" t="s">
        <v>1421</v>
      </c>
    </row>
    <row r="55" ht="14.25" customHeight="1">
      <c r="A55" s="4">
        <v>54.0</v>
      </c>
      <c r="B55" s="5" t="str">
        <f>IFERROR(__xludf.DUMMYFUNCTION("GOOGLETRANSLATE(H55, ""th"", ""en"")"),"If the referee orders a stoppage of play during a game, what can the players do?")</f>
        <v>If the referee orders a stoppage of play during a game, what can the players do?</v>
      </c>
      <c r="C55" s="5" t="str">
        <f>IFERROR(__xludf.DUMMYFUNCTION("GOOGLETRANSLATE(I55, ""th"", ""en"")"),"A) Dispute; B) Stop and wait for new commands; C) Restart the game; D) Withdraw.")</f>
        <v>A) Dispute; B) Stop and wait for new commands; C) Restart the game; D) Withdraw.</v>
      </c>
      <c r="D55" s="5" t="str">
        <f>IFERROR(__xludf.DUMMYFUNCTION("GOOGLETRANSLATE(J55, ""th"", ""en"")"),"B) Stop and wait for new commands.")</f>
        <v>B) Stop and wait for new commands.</v>
      </c>
      <c r="E55" s="5" t="str">
        <f>IFERROR(__xludf.DUMMYFUNCTION("GOOGLETRANSLATE(K55, ""th"", ""en"")"),"Players must follow the referee's orders.")</f>
        <v>Players must follow the referee's orders.</v>
      </c>
      <c r="G55" s="6">
        <v>54.0</v>
      </c>
      <c r="H55" s="7" t="s">
        <v>1422</v>
      </c>
      <c r="I55" s="7" t="s">
        <v>1423</v>
      </c>
      <c r="J55" s="7" t="s">
        <v>1424</v>
      </c>
      <c r="K55" s="7" t="s">
        <v>1425</v>
      </c>
    </row>
    <row r="56" ht="14.25" customHeight="1">
      <c r="A56" s="4">
        <v>55.0</v>
      </c>
      <c r="B56" s="5" t="str">
        <f>IFERROR(__xludf.DUMMYFUNCTION("GOOGLETRANSLATE(H56, ""th"", ""en"")"),"In a kite fighting competition, can you fly a kite on uneven surfaces?")</f>
        <v>In a kite fighting competition, can you fly a kite on uneven surfaces?</v>
      </c>
      <c r="C56" s="5" t="str">
        <f>IFERROR(__xludf.DUMMYFUNCTION("GOOGLETRANSLATE(I56, ""th"", ""en"")"),"A) Yes; B) No")</f>
        <v>A) Yes; B) No</v>
      </c>
      <c r="D56" s="5" t="str">
        <f>IFERROR(__xludf.DUMMYFUNCTION("GOOGLETRANSLATE(J56, ""th"", ""en"")"),"B) No.")</f>
        <v>B) No.</v>
      </c>
      <c r="E56" s="5" t="str">
        <f>IFERROR(__xludf.DUMMYFUNCTION("GOOGLETRANSLATE(K56, ""th"", ""en"")"),"Flying on uneven surfaces can prevent the kite from flying well.")</f>
        <v>Flying on uneven surfaces can prevent the kite from flying well.</v>
      </c>
      <c r="G56" s="6">
        <v>55.0</v>
      </c>
      <c r="H56" s="7" t="s">
        <v>1426</v>
      </c>
      <c r="I56" s="7" t="s">
        <v>1314</v>
      </c>
      <c r="J56" s="7" t="s">
        <v>698</v>
      </c>
      <c r="K56" s="7" t="s">
        <v>1427</v>
      </c>
    </row>
    <row r="57" ht="14.25" customHeight="1">
      <c r="A57" s="4">
        <v>56.0</v>
      </c>
      <c r="B57" s="5" t="str">
        <f>IFERROR(__xludf.DUMMYFUNCTION("GOOGLETRANSLATE(H57, ""th"", ""en"")"),"Can players have assistants to help them fly their kites?")</f>
        <v>Can players have assistants to help them fly their kites?</v>
      </c>
      <c r="C57" s="5" t="str">
        <f>IFERROR(__xludf.DUMMYFUNCTION("GOOGLETRANSLATE(I57, ""th"", ""en"")"),"A) Yes; B) No")</f>
        <v>A) Yes; B) No</v>
      </c>
      <c r="D57" s="5" t="str">
        <f>IFERROR(__xludf.DUMMYFUNCTION("GOOGLETRANSLATE(J57, ""th"", ""en"")"),"B) No.")</f>
        <v>B) No.</v>
      </c>
      <c r="E57" s="5" t="str">
        <f>IFERROR(__xludf.DUMMYFUNCTION("GOOGLETRANSLATE(K57, ""th"", ""en"")"),"The competition must be a showcase of the abilities of a single player.")</f>
        <v>The competition must be a showcase of the abilities of a single player.</v>
      </c>
      <c r="G57" s="6">
        <v>56.0</v>
      </c>
      <c r="H57" s="7" t="s">
        <v>1428</v>
      </c>
      <c r="I57" s="7" t="s">
        <v>1314</v>
      </c>
      <c r="J57" s="7" t="s">
        <v>698</v>
      </c>
      <c r="K57" s="7" t="s">
        <v>1429</v>
      </c>
    </row>
    <row r="58" ht="14.25" customHeight="1">
      <c r="A58" s="4">
        <v>57.0</v>
      </c>
      <c r="B58" s="5" t="str">
        <f>IFERROR(__xludf.DUMMYFUNCTION("GOOGLETRANSLATE(H58, ""th"", ""en"")"),"In the event of a flight malfunction, can the player repair the kite?")</f>
        <v>In the event of a flight malfunction, can the player repair the kite?</v>
      </c>
      <c r="C58" s="5" t="str">
        <f>IFERROR(__xludf.DUMMYFUNCTION("GOOGLETRANSLATE(I58, ""th"", ""en"")"),"A) Yes; B) No")</f>
        <v>A) Yes; B) No</v>
      </c>
      <c r="D58" s="5" t="str">
        <f>IFERROR(__xludf.DUMMYFUNCTION("GOOGLETRANSLATE(J58, ""th"", ""en"")"),"B) No.")</f>
        <v>B) No.</v>
      </c>
      <c r="E58" s="5" t="str">
        <f>IFERROR(__xludf.DUMMYFUNCTION("GOOGLETRANSLATE(K58, ""th"", ""en"")"),"Repairs during the competition are a violation of the rules.")</f>
        <v>Repairs during the competition are a violation of the rules.</v>
      </c>
      <c r="G58" s="6">
        <v>57.0</v>
      </c>
      <c r="H58" s="7" t="s">
        <v>1430</v>
      </c>
      <c r="I58" s="7" t="s">
        <v>1314</v>
      </c>
      <c r="J58" s="7" t="s">
        <v>698</v>
      </c>
      <c r="K58" s="7" t="s">
        <v>1431</v>
      </c>
    </row>
    <row r="59" ht="14.25" customHeight="1">
      <c r="A59" s="4">
        <v>58.0</v>
      </c>
      <c r="B59" s="5" t="str">
        <f>IFERROR(__xludf.DUMMYFUNCTION("GOOGLETRANSLATE(H59, ""th"", ""en"")"),"Can players use kites with additional decorations, such as colors?")</f>
        <v>Can players use kites with additional decorations, such as colors?</v>
      </c>
      <c r="C59" s="5" t="str">
        <f>IFERROR(__xludf.DUMMYFUNCTION("GOOGLETRANSLATE(I59, ""th"", ""en"")"),"A) Yes; B) No")</f>
        <v>A) Yes; B) No</v>
      </c>
      <c r="D59" s="5" t="str">
        <f>IFERROR(__xludf.DUMMYFUNCTION("GOOGLETRANSLATE(J59, ""th"", ""en"")"),"A) Yes.")</f>
        <v>A) Yes.</v>
      </c>
      <c r="E59" s="5" t="str">
        <f>IFERROR(__xludf.DUMMYFUNCTION("GOOGLETRANSLATE(K59, ""th"", ""en"")"),"Decorating the kite with colors can be done as permitted by the rules.")</f>
        <v>Decorating the kite with colors can be done as permitted by the rules.</v>
      </c>
      <c r="G59" s="6">
        <v>58.0</v>
      </c>
      <c r="H59" s="7" t="s">
        <v>1432</v>
      </c>
      <c r="I59" s="7" t="s">
        <v>1314</v>
      </c>
      <c r="J59" s="7" t="s">
        <v>737</v>
      </c>
      <c r="K59" s="7" t="s">
        <v>1433</v>
      </c>
    </row>
    <row r="60" ht="14.25" customHeight="1">
      <c r="A60" s="4">
        <v>59.0</v>
      </c>
      <c r="B60" s="5" t="str">
        <f>IFERROR(__xludf.DUMMYFUNCTION("GOOGLETRANSLATE(H60, ""th"", ""en"")"),"What should you do if a player's kite falls from the sky and cannot be picked up during the match?")</f>
        <v>What should you do if a player's kite falls from the sky and cannot be picked up during the match?</v>
      </c>
      <c r="C60" s="5" t="str">
        <f>IFERROR(__xludf.DUMMYFUNCTION("GOOGLETRANSLATE(I60, ""th"", ""en"")"),"A) Notify the referee; B) Stop immediately; C) Restart; D) Wait for the referee's decision.")</f>
        <v>A) Notify the referee; B) Stop immediately; C) Restart; D) Wait for the referee's decision.</v>
      </c>
      <c r="D60" s="5" t="str">
        <f>IFERROR(__xludf.DUMMYFUNCTION("GOOGLETRANSLATE(J60, ""th"", ""en"")"),"A) Inform the committee.")</f>
        <v>A) Inform the committee.</v>
      </c>
      <c r="E60" s="5" t="str">
        <f>IFERROR(__xludf.DUMMYFUNCTION("GOOGLETRANSLATE(K60, ""th"", ""en"")"),"The referee will make decisions according to the relevant rules.")</f>
        <v>The referee will make decisions according to the relevant rules.</v>
      </c>
      <c r="G60" s="6">
        <v>59.0</v>
      </c>
      <c r="H60" s="7" t="s">
        <v>1434</v>
      </c>
      <c r="I60" s="7" t="s">
        <v>1435</v>
      </c>
      <c r="J60" s="7" t="s">
        <v>20</v>
      </c>
      <c r="K60" s="7" t="s">
        <v>1436</v>
      </c>
    </row>
    <row r="61" ht="14.25" customHeight="1">
      <c r="A61" s="4">
        <v>60.0</v>
      </c>
      <c r="B61" s="5" t="str">
        <f>IFERROR(__xludf.DUMMYFUNCTION("GOOGLETRANSLATE(H61, ""th"", ""en"")"),"Is it illegal to use high-strength rope?")</f>
        <v>Is it illegal to use high-strength rope?</v>
      </c>
      <c r="C61" s="5" t="str">
        <f>IFERROR(__xludf.DUMMYFUNCTION("GOOGLETRANSLATE(I61, ""th"", ""en"")"),"A) Illegal; B) Not illegal")</f>
        <v>A) Illegal; B) Not illegal</v>
      </c>
      <c r="D61" s="5" t="str">
        <f>IFERROR(__xludf.DUMMYFUNCTION("GOOGLETRANSLATE(J61, ""th"", ""en"")"),"B) Not against the rules")</f>
        <v>B) Not against the rules</v>
      </c>
      <c r="E61" s="5" t="str">
        <f>IFERROR(__xludf.DUMMYFUNCTION("GOOGLETRANSLATE(K61, ""th"", ""en"")"),"The use of durable ropes ensures a safe competition.")</f>
        <v>The use of durable ropes ensures a safe competition.</v>
      </c>
      <c r="G61" s="6">
        <v>60.0</v>
      </c>
      <c r="H61" s="7" t="s">
        <v>1437</v>
      </c>
      <c r="I61" s="7" t="s">
        <v>1287</v>
      </c>
      <c r="J61" s="7" t="s">
        <v>1438</v>
      </c>
      <c r="K61" s="7" t="s">
        <v>1439</v>
      </c>
    </row>
    <row r="62" ht="14.25" customHeight="1">
      <c r="A62" s="4">
        <v>61.0</v>
      </c>
      <c r="B62" s="5" t="str">
        <f>IFERROR(__xludf.DUMMYFUNCTION("GOOGLETRANSLATE(H62, ""th"", ""en"")"),"In kite fighting competitions, can players use kites larger than the specified size?")</f>
        <v>In kite fighting competitions, can players use kites larger than the specified size?</v>
      </c>
      <c r="C62" s="5" t="str">
        <f>IFERROR(__xludf.DUMMYFUNCTION("GOOGLETRANSLATE(I62, ""th"", ""en"")"),"A) Yes; B) No")</f>
        <v>A) Yes; B) No</v>
      </c>
      <c r="D62" s="5" t="str">
        <f>IFERROR(__xludf.DUMMYFUNCTION("GOOGLETRANSLATE(J62, ""th"", ""en"")"),"B) No.")</f>
        <v>B) No.</v>
      </c>
      <c r="E62" s="5" t="str">
        <f>IFERROR(__xludf.DUMMYFUNCTION("GOOGLETRANSLATE(K62, ""th"", ""en"")"),"Using a kite that is larger than the rules will result in a disadvantage in the competition.")</f>
        <v>Using a kite that is larger than the rules will result in a disadvantage in the competition.</v>
      </c>
      <c r="G62" s="6">
        <v>61.0</v>
      </c>
      <c r="H62" s="7" t="s">
        <v>1440</v>
      </c>
      <c r="I62" s="7" t="s">
        <v>1314</v>
      </c>
      <c r="J62" s="7" t="s">
        <v>698</v>
      </c>
      <c r="K62" s="7" t="s">
        <v>1441</v>
      </c>
    </row>
    <row r="63" ht="14.25" customHeight="1">
      <c r="A63" s="4">
        <v>62.0</v>
      </c>
      <c r="B63" s="5" t="str">
        <f>IFERROR(__xludf.DUMMYFUNCTION("GOOGLETRANSLATE(H63, ""th"", ""en"")"),"What are the consequences if a player uses a rope that is longer than the rules allow?")</f>
        <v>What are the consequences if a player uses a rope that is longer than the rules allow?</v>
      </c>
      <c r="C63" s="5" t="str">
        <f>IFERROR(__xludf.DUMMYFUNCTION("GOOGLETRANSLATE(I63, ""th"", ""en"")"),"A) Points are deducted; B) Disqualified; C) Points are added; D) No effect.")</f>
        <v>A) Points are deducted; B) Disqualified; C) Points are added; D) No effect.</v>
      </c>
      <c r="D63" s="5" t="str">
        <f>IFERROR(__xludf.DUMMYFUNCTION("GOOGLETRANSLATE(J63, ""th"", ""en"")"),"B) Disqualified")</f>
        <v>B) Disqualified</v>
      </c>
      <c r="E63" s="5" t="str">
        <f>IFERROR(__xludf.DUMMYFUNCTION("GOOGLETRANSLATE(K63, ""th"", ""en"")"),"A rope longer than the rules will result in a player being disqualified.")</f>
        <v>A rope longer than the rules will result in a player being disqualified.</v>
      </c>
      <c r="G63" s="6">
        <v>62.0</v>
      </c>
      <c r="H63" s="7" t="s">
        <v>1442</v>
      </c>
      <c r="I63" s="7" t="s">
        <v>1443</v>
      </c>
      <c r="J63" s="7" t="s">
        <v>1444</v>
      </c>
      <c r="K63" s="7" t="s">
        <v>1445</v>
      </c>
    </row>
    <row r="64" ht="14.25" customHeight="1">
      <c r="A64" s="4">
        <v>63.0</v>
      </c>
      <c r="B64" s="5" t="str">
        <f>IFERROR(__xludf.DUMMYFUNCTION("GOOGLETRANSLATE(H64, ""th"", ""en"")"),"Is it permissible to fly a kite in extremely windy conditions?")</f>
        <v>Is it permissible to fly a kite in extremely windy conditions?</v>
      </c>
      <c r="C64" s="5" t="str">
        <f>IFERROR(__xludf.DUMMYFUNCTION("GOOGLETRANSLATE(I64, ""th"", ""en"")"),"A) Allowed; B) Not allowed")</f>
        <v>A) Allowed; B) Not allowed</v>
      </c>
      <c r="D64" s="5" t="str">
        <f>IFERROR(__xludf.DUMMYFUNCTION("GOOGLETRANSLATE(J64, ""th"", ""en"")"),"B) Not allowed")</f>
        <v>B) Not allowed</v>
      </c>
      <c r="E64" s="5" t="str">
        <f>IFERROR(__xludf.DUMMYFUNCTION("GOOGLETRANSLATE(K64, ""th"", ""en"")"),"Too strong a wind can make the kite difficult to control and potentially dangerous.")</f>
        <v>Too strong a wind can make the kite difficult to control and potentially dangerous.</v>
      </c>
      <c r="G64" s="6">
        <v>63.0</v>
      </c>
      <c r="H64" s="7" t="s">
        <v>1446</v>
      </c>
      <c r="I64" s="7" t="s">
        <v>1342</v>
      </c>
      <c r="J64" s="7" t="s">
        <v>690</v>
      </c>
      <c r="K64" s="7" t="s">
        <v>1447</v>
      </c>
    </row>
    <row r="65" ht="14.25" customHeight="1">
      <c r="A65" s="4">
        <v>64.0</v>
      </c>
      <c r="B65" s="5" t="str">
        <f>IFERROR(__xludf.DUMMYFUNCTION("GOOGLETRANSLATE(H65, ""th"", ""en"")"),"Can players fly kites in the dark?")</f>
        <v>Can players fly kites in the dark?</v>
      </c>
      <c r="C65" s="5" t="str">
        <f>IFERROR(__xludf.DUMMYFUNCTION("GOOGLETRANSLATE(I65, ""th"", ""en"")"),"A) Yes; B) No")</f>
        <v>A) Yes; B) No</v>
      </c>
      <c r="D65" s="5" t="str">
        <f>IFERROR(__xludf.DUMMYFUNCTION("GOOGLETRANSLATE(J65, ""th"", ""en"")"),"B) No.")</f>
        <v>B) No.</v>
      </c>
      <c r="E65" s="5" t="str">
        <f>IFERROR(__xludf.DUMMYFUNCTION("GOOGLETRANSLATE(K65, ""th"", ""en"")"),"Flying in the dark is unsafe and against competition rules.")</f>
        <v>Flying in the dark is unsafe and against competition rules.</v>
      </c>
      <c r="G65" s="6">
        <v>64.0</v>
      </c>
      <c r="H65" s="7" t="s">
        <v>1448</v>
      </c>
      <c r="I65" s="7" t="s">
        <v>1314</v>
      </c>
      <c r="J65" s="7" t="s">
        <v>698</v>
      </c>
      <c r="K65" s="7" t="s">
        <v>1449</v>
      </c>
    </row>
    <row r="66" ht="14.25" customHeight="1">
      <c r="A66" s="4">
        <v>65.0</v>
      </c>
      <c r="B66" s="5" t="str">
        <f>IFERROR(__xludf.DUMMYFUNCTION("GOOGLETRANSLATE(H66, ""th"", ""en"")"),"If a player's kite is cut off the rope and falls, is it considered a loss?")</f>
        <v>If a player's kite is cut off the rope and falls, is it considered a loss?</v>
      </c>
      <c r="C66" s="5" t="str">
        <f>IFERROR(__xludf.DUMMYFUNCTION("GOOGLETRANSLATE(I66, ""th"", ""en"")"),"A) considered a loss; B) not considered a loss")</f>
        <v>A) considered a loss; B) not considered a loss</v>
      </c>
      <c r="D66" s="5" t="str">
        <f>IFERROR(__xludf.DUMMYFUNCTION("GOOGLETRANSLATE(J66, ""th"", ""en"")"),"A) Considered a loss")</f>
        <v>A) Considered a loss</v>
      </c>
      <c r="E66" s="5" t="str">
        <f>IFERROR(__xludf.DUMMYFUNCTION("GOOGLETRANSLATE(K66, ""th"", ""en"")"),"Cutting the rope or causing the kite to fall is considered a loss of the game.")</f>
        <v>Cutting the rope or causing the kite to fall is considered a loss of the game.</v>
      </c>
      <c r="G66" s="6">
        <v>65.0</v>
      </c>
      <c r="H66" s="7" t="s">
        <v>1450</v>
      </c>
      <c r="I66" s="7" t="s">
        <v>1401</v>
      </c>
      <c r="J66" s="7" t="s">
        <v>1402</v>
      </c>
      <c r="K66" s="7" t="s">
        <v>1451</v>
      </c>
    </row>
    <row r="67" ht="14.25" customHeight="1">
      <c r="A67" s="4">
        <v>66.0</v>
      </c>
      <c r="B67" s="5" t="str">
        <f>IFERROR(__xludf.DUMMYFUNCTION("GOOGLETRANSLATE(H67, ""th"", ""en"")"),"In the competition, can players use additional tools to control the kite?")</f>
        <v>In the competition, can players use additional tools to control the kite?</v>
      </c>
      <c r="C67" s="5" t="str">
        <f>IFERROR(__xludf.DUMMYFUNCTION("GOOGLETRANSLATE(I67, ""th"", ""en"")"),"A) Yes; B) No")</f>
        <v>A) Yes; B) No</v>
      </c>
      <c r="D67" s="5" t="str">
        <f>IFERROR(__xludf.DUMMYFUNCTION("GOOGLETRANSLATE(J67, ""th"", ""en"")"),"B) No.")</f>
        <v>B) No.</v>
      </c>
      <c r="E67" s="5" t="str">
        <f>IFERROR(__xludf.DUMMYFUNCTION("GOOGLETRANSLATE(K67, ""th"", ""en"")"),"Using irrelevant tools is considered cheating.")</f>
        <v>Using irrelevant tools is considered cheating.</v>
      </c>
      <c r="G67" s="6">
        <v>66.0</v>
      </c>
      <c r="H67" s="7" t="s">
        <v>1452</v>
      </c>
      <c r="I67" s="7" t="s">
        <v>1314</v>
      </c>
      <c r="J67" s="7" t="s">
        <v>698</v>
      </c>
      <c r="K67" s="7" t="s">
        <v>1453</v>
      </c>
    </row>
    <row r="68" ht="14.25" customHeight="1">
      <c r="A68" s="4">
        <v>67.0</v>
      </c>
      <c r="B68" s="5" t="str">
        <f>IFERROR(__xludf.DUMMYFUNCTION("GOOGLETRANSLATE(H68, ""th"", ""en"")"),"Can players assist teammates in flying their kites?")</f>
        <v>Can players assist teammates in flying their kites?</v>
      </c>
      <c r="C68" s="5" t="str">
        <f>IFERROR(__xludf.DUMMYFUNCTION("GOOGLETRANSLATE(I68, ""th"", ""en"")"),"A) Yes; B) No")</f>
        <v>A) Yes; B) No</v>
      </c>
      <c r="D68" s="5" t="str">
        <f>IFERROR(__xludf.DUMMYFUNCTION("GOOGLETRANSLATE(J68, ""th"", ""en"")"),"B) No.")</f>
        <v>B) No.</v>
      </c>
      <c r="E68" s="5" t="str">
        <f>IFERROR(__xludf.DUMMYFUNCTION("GOOGLETRANSLATE(K68, ""th"", ""en"")"),"Each player must compete against each other without any assistance.")</f>
        <v>Each player must compete against each other without any assistance.</v>
      </c>
      <c r="G68" s="6">
        <v>67.0</v>
      </c>
      <c r="H68" s="7" t="s">
        <v>1454</v>
      </c>
      <c r="I68" s="7" t="s">
        <v>1314</v>
      </c>
      <c r="J68" s="7" t="s">
        <v>698</v>
      </c>
      <c r="K68" s="7" t="s">
        <v>1455</v>
      </c>
    </row>
    <row r="69" ht="14.25" customHeight="1">
      <c r="A69" s="4">
        <v>68.0</v>
      </c>
      <c r="B69" s="5" t="str">
        <f>IFERROR(__xludf.DUMMYFUNCTION("GOOGLETRANSLATE(H69, ""th"", ""en"")"),"Is it a violation of the rules to obstruct a competitor's flight by unfair means, such as using chemicals?")</f>
        <v>Is it a violation of the rules to obstruct a competitor's flight by unfair means, such as using chemicals?</v>
      </c>
      <c r="C69" s="5" t="str">
        <f>IFERROR(__xludf.DUMMYFUNCTION("GOOGLETRANSLATE(I69, ""th"", ""en"")"),"A) It is considered a violation; B) It is not considered a violation.")</f>
        <v>A) It is considered a violation; B) It is not considered a violation.</v>
      </c>
      <c r="D69" s="5" t="str">
        <f>IFERROR(__xludf.DUMMYFUNCTION("GOOGLETRANSLATE(J69, ""th"", ""en"")"),"A) It is considered a violation.")</f>
        <v>A) It is considered a violation.</v>
      </c>
      <c r="E69" s="5" t="str">
        <f>IFERROR(__xludf.DUMMYFUNCTION("GOOGLETRANSLATE(K69, ""th"", ""en"")"),"Unfairly obstructing competitors is a violation of the rules.")</f>
        <v>Unfairly obstructing competitors is a violation of the rules.</v>
      </c>
      <c r="G69" s="6">
        <v>68.0</v>
      </c>
      <c r="H69" s="7" t="s">
        <v>1456</v>
      </c>
      <c r="I69" s="7" t="s">
        <v>1457</v>
      </c>
      <c r="J69" s="7" t="s">
        <v>1458</v>
      </c>
      <c r="K69" s="7" t="s">
        <v>1459</v>
      </c>
    </row>
    <row r="70" ht="14.25" customHeight="1">
      <c r="A70" s="4">
        <v>69.0</v>
      </c>
      <c r="B70" s="5" t="str">
        <f>IFERROR(__xludf.DUMMYFUNCTION("GOOGLETRANSLATE(H70, ""th"", ""en"")"),"Can players use kites with special decorations or drawings?")</f>
        <v>Can players use kites with special decorations or drawings?</v>
      </c>
      <c r="C70" s="5" t="str">
        <f>IFERROR(__xludf.DUMMYFUNCTION("GOOGLETRANSLATE(I70, ""th"", ""en"")"),"A) Yes; B) No")</f>
        <v>A) Yes; B) No</v>
      </c>
      <c r="D70" s="5" t="str">
        <f>IFERROR(__xludf.DUMMYFUNCTION("GOOGLETRANSLATE(J70, ""th"", ""en"")"),"A) Yes.")</f>
        <v>A) Yes.</v>
      </c>
      <c r="E70" s="5" t="str">
        <f>IFERROR(__xludf.DUMMYFUNCTION("GOOGLETRANSLATE(K70, ""th"", ""en"")"),"Players can decorate their kites as they wish.")</f>
        <v>Players can decorate their kites as they wish.</v>
      </c>
      <c r="G70" s="6">
        <v>69.0</v>
      </c>
      <c r="H70" s="7" t="s">
        <v>1460</v>
      </c>
      <c r="I70" s="7" t="s">
        <v>1314</v>
      </c>
      <c r="J70" s="7" t="s">
        <v>737</v>
      </c>
      <c r="K70" s="7" t="s">
        <v>1461</v>
      </c>
    </row>
    <row r="71" ht="14.25" customHeight="1">
      <c r="A71" s="4">
        <v>70.0</v>
      </c>
      <c r="B71" s="5" t="str">
        <f>IFERROR(__xludf.DUMMYFUNCTION("GOOGLETRANSLATE(H71, ""th"", ""en"")"),"Is it illegal to use excessively durable rope?")</f>
        <v>Is it illegal to use excessively durable rope?</v>
      </c>
      <c r="C71" s="5" t="str">
        <f>IFERROR(__xludf.DUMMYFUNCTION("GOOGLETRANSLATE(I71, ""th"", ""en"")"),"A) Illegal; B) Not illegal")</f>
        <v>A) Illegal; B) Not illegal</v>
      </c>
      <c r="D71" s="5" t="str">
        <f>IFERROR(__xludf.DUMMYFUNCTION("GOOGLETRANSLATE(J71, ""th"", ""en"")"),"B) Not against the rules")</f>
        <v>B) Not against the rules</v>
      </c>
      <c r="E71" s="5" t="str">
        <f>IFERROR(__xludf.DUMMYFUNCTION("GOOGLETRANSLATE(K71, ""th"", ""en"")"),"The use of durable ropes ensures safe control of the kite.")</f>
        <v>The use of durable ropes ensures safe control of the kite.</v>
      </c>
      <c r="G71" s="6">
        <v>70.0</v>
      </c>
      <c r="H71" s="7" t="s">
        <v>1462</v>
      </c>
      <c r="I71" s="7" t="s">
        <v>1287</v>
      </c>
      <c r="J71" s="7" t="s">
        <v>1438</v>
      </c>
      <c r="K71" s="7" t="s">
        <v>1463</v>
      </c>
    </row>
    <row r="72" ht="14.25" customHeight="1">
      <c r="A72" s="4">
        <v>71.0</v>
      </c>
      <c r="B72" s="5" t="str">
        <f>IFERROR(__xludf.DUMMYFUNCTION("GOOGLETRANSLATE(H72, ""th"", ""en"")"),"Can players practice kite flying before the competition?")</f>
        <v>Can players practice kite flying before the competition?</v>
      </c>
      <c r="C72" s="5" t="str">
        <f>IFERROR(__xludf.DUMMYFUNCTION("GOOGLETRANSLATE(I72, ""th"", ""en"")"),"A) Yes; B) No")</f>
        <v>A) Yes; B) No</v>
      </c>
      <c r="D72" s="5" t="str">
        <f>IFERROR(__xludf.DUMMYFUNCTION("GOOGLETRANSLATE(J72, ""th"", ""en"")"),"A) Yes.")</f>
        <v>A) Yes.</v>
      </c>
      <c r="E72" s="5" t="str">
        <f>IFERROR(__xludf.DUMMYFUNCTION("GOOGLETRANSLATE(K72, ""th"", ""en"")"),"Pre-match training helps players improve their skills.")</f>
        <v>Pre-match training helps players improve their skills.</v>
      </c>
      <c r="G72" s="6">
        <v>71.0</v>
      </c>
      <c r="H72" s="7" t="s">
        <v>1464</v>
      </c>
      <c r="I72" s="7" t="s">
        <v>1314</v>
      </c>
      <c r="J72" s="7" t="s">
        <v>737</v>
      </c>
      <c r="K72" s="7" t="s">
        <v>1465</v>
      </c>
    </row>
    <row r="73" ht="14.25" customHeight="1">
      <c r="A73" s="4">
        <v>72.0</v>
      </c>
      <c r="B73" s="5" t="str">
        <f>IFERROR(__xludf.DUMMYFUNCTION("GOOGLETRANSLATE(H73, ""th"", ""en"")"),"If a player's kite is damaged during a match, what should the player do?")</f>
        <v>If a player's kite is damaged during a match, what should the player do?</v>
      </c>
      <c r="C73" s="5" t="str">
        <f>IFERROR(__xludf.DUMMYFUNCTION("GOOGLETRANSLATE(I73, ""th"", ""en"")"),"A) Stop the game and repair the kite; B) Inform the referee; C) Restart; D) Use another kite.")</f>
        <v>A) Stop the game and repair the kite; B) Inform the referee; C) Restart; D) Use another kite.</v>
      </c>
      <c r="D73" s="5" t="str">
        <f>IFERROR(__xludf.DUMMYFUNCTION("GOOGLETRANSLATE(J73, ""th"", ""en"")"),"B) Inform the committee.")</f>
        <v>B) Inform the committee.</v>
      </c>
      <c r="E73" s="5" t="str">
        <f>IFERROR(__xludf.DUMMYFUNCTION("GOOGLETRANSLATE(K73, ""th"", ""en"")"),"The judges will make decisions according to the established rules.")</f>
        <v>The judges will make decisions according to the established rules.</v>
      </c>
      <c r="G73" s="6">
        <v>72.0</v>
      </c>
      <c r="H73" s="7" t="s">
        <v>1466</v>
      </c>
      <c r="I73" s="7" t="s">
        <v>1467</v>
      </c>
      <c r="J73" s="7" t="s">
        <v>24</v>
      </c>
      <c r="K73" s="7" t="s">
        <v>1468</v>
      </c>
    </row>
    <row r="74" ht="14.25" customHeight="1">
      <c r="A74" s="4">
        <v>73.0</v>
      </c>
      <c r="B74" s="5" t="str">
        <f>IFERROR(__xludf.DUMMYFUNCTION("GOOGLETRANSLATE(H74, ""th"", ""en"")"),"Is flying a kite in an incorrect or unbalanced position a violation?")</f>
        <v>Is flying a kite in an incorrect or unbalanced position a violation?</v>
      </c>
      <c r="C74" s="5" t="str">
        <f>IFERROR(__xludf.DUMMYFUNCTION("GOOGLETRANSLATE(I74, ""th"", ""en"")"),"A) It is considered a violation; B) It is not considered a violation.")</f>
        <v>A) It is considered a violation; B) It is not considered a violation.</v>
      </c>
      <c r="D74" s="5" t="str">
        <f>IFERROR(__xludf.DUMMYFUNCTION("GOOGLETRANSLATE(J74, ""th"", ""en"")"),"A) It is considered a violation.")</f>
        <v>A) It is considered a violation.</v>
      </c>
      <c r="E74" s="5" t="str">
        <f>IFERROR(__xludf.DUMMYFUNCTION("GOOGLETRANSLATE(K74, ""th"", ""en"")"),"An unbalanced flight can cause the kite to fall.")</f>
        <v>An unbalanced flight can cause the kite to fall.</v>
      </c>
      <c r="G74" s="6">
        <v>73.0</v>
      </c>
      <c r="H74" s="7" t="s">
        <v>1469</v>
      </c>
      <c r="I74" s="7" t="s">
        <v>1457</v>
      </c>
      <c r="J74" s="7" t="s">
        <v>1458</v>
      </c>
      <c r="K74" s="7" t="s">
        <v>1470</v>
      </c>
    </row>
    <row r="75" ht="14.25" customHeight="1">
      <c r="A75" s="4">
        <v>74.0</v>
      </c>
      <c r="B75" s="5" t="str">
        <f>IFERROR(__xludf.DUMMYFUNCTION("GOOGLETRANSLATE(H75, ""th"", ""en"")"),"Is using a rope that is not suitable, such as one that is too flexible, a violation?")</f>
        <v>Is using a rope that is not suitable, such as one that is too flexible, a violation?</v>
      </c>
      <c r="C75" s="5" t="str">
        <f>IFERROR(__xludf.DUMMYFUNCTION("GOOGLETRANSLATE(I75, ""th"", ""en"")"),"A) It is considered a violation; B) It is not considered a violation.")</f>
        <v>A) It is considered a violation; B) It is not considered a violation.</v>
      </c>
      <c r="D75" s="5" t="str">
        <f>IFERROR(__xludf.DUMMYFUNCTION("GOOGLETRANSLATE(J75, ""th"", ""en"")"),"A) It is considered a violation.")</f>
        <v>A) It is considered a violation.</v>
      </c>
      <c r="E75" s="5" t="str">
        <f>IFERROR(__xludf.DUMMYFUNCTION("GOOGLETRANSLATE(K75, ""th"", ""en"")"),"An improperly designed rope makes it difficult to control the kite.")</f>
        <v>An improperly designed rope makes it difficult to control the kite.</v>
      </c>
      <c r="G75" s="6">
        <v>74.0</v>
      </c>
      <c r="H75" s="7" t="s">
        <v>1471</v>
      </c>
      <c r="I75" s="7" t="s">
        <v>1457</v>
      </c>
      <c r="J75" s="7" t="s">
        <v>1458</v>
      </c>
      <c r="K75" s="7" t="s">
        <v>1472</v>
      </c>
    </row>
    <row r="76" ht="14.25" customHeight="1">
      <c r="A76" s="4">
        <v>75.0</v>
      </c>
      <c r="B76" s="5" t="str">
        <f>IFERROR(__xludf.DUMMYFUNCTION("GOOGLETRANSLATE(H76, ""th"", ""en"")"),"If a player decides to change kite during a match, is it a violation?")</f>
        <v>If a player decides to change kite during a match, is it a violation?</v>
      </c>
      <c r="C76" s="5" t="str">
        <f>IFERROR(__xludf.DUMMYFUNCTION("GOOGLETRANSLATE(I76, ""th"", ""en"")"),"A) Illegal; B) Not illegal")</f>
        <v>A) Illegal; B) Not illegal</v>
      </c>
      <c r="D76" s="5" t="str">
        <f>IFERROR(__xludf.DUMMYFUNCTION("GOOGLETRANSLATE(J76, ""th"", ""en"")"),"A) Breaking the rules")</f>
        <v>A) Breaking the rules</v>
      </c>
      <c r="E76" s="5" t="str">
        <f>IFERROR(__xludf.DUMMYFUNCTION("GOOGLETRANSLATE(K76, ""th"", ""en"")"),"Players must use the same kite throughout the match.")</f>
        <v>Players must use the same kite throughout the match.</v>
      </c>
      <c r="G76" s="6">
        <v>75.0</v>
      </c>
      <c r="H76" s="7" t="s">
        <v>1473</v>
      </c>
      <c r="I76" s="7" t="s">
        <v>1287</v>
      </c>
      <c r="J76" s="7" t="s">
        <v>1288</v>
      </c>
      <c r="K76" s="7" t="s">
        <v>1419</v>
      </c>
    </row>
    <row r="77" ht="14.25" customHeight="1">
      <c r="A77" s="4">
        <v>76.0</v>
      </c>
      <c r="B77" s="5" t="str">
        <f>IFERROR(__xludf.DUMMYFUNCTION("GOOGLETRANSLATE(H77, ""th"", ""en"")"),"Can players fly their kite in a field with obstacles such as trees or other obstacles?")</f>
        <v>Can players fly their kite in a field with obstacles such as trees or other obstacles?</v>
      </c>
      <c r="C77" s="5" t="str">
        <f>IFERROR(__xludf.DUMMYFUNCTION("GOOGLETRANSLATE(I77, ""th"", ""en"")"),"A) Yes; B) No")</f>
        <v>A) Yes; B) No</v>
      </c>
      <c r="D77" s="5" t="str">
        <f>IFERROR(__xludf.DUMMYFUNCTION("GOOGLETRANSLATE(J77, ""th"", ""en"")"),"B) No.")</f>
        <v>B) No.</v>
      </c>
      <c r="E77" s="5" t="str">
        <f>IFERROR(__xludf.DUMMYFUNCTION("GOOGLETRANSLATE(K77, ""th"", ""en"")"),"Obstacles can prevent the kite from flying properly and pose a risk of damage.")</f>
        <v>Obstacles can prevent the kite from flying properly and pose a risk of damage.</v>
      </c>
      <c r="G77" s="6">
        <v>76.0</v>
      </c>
      <c r="H77" s="7" t="s">
        <v>1474</v>
      </c>
      <c r="I77" s="7" t="s">
        <v>1314</v>
      </c>
      <c r="J77" s="7" t="s">
        <v>698</v>
      </c>
      <c r="K77" s="7" t="s">
        <v>1475</v>
      </c>
    </row>
    <row r="78" ht="14.25" customHeight="1">
      <c r="A78" s="4">
        <v>77.0</v>
      </c>
      <c r="B78" s="5" t="str">
        <f>IFERROR(__xludf.DUMMYFUNCTION("GOOGLETRANSLATE(H78, ""th"", ""en"")"),"In a tournament, can multiple players compete at the same time?")</f>
        <v>In a tournament, can multiple players compete at the same time?</v>
      </c>
      <c r="C78" s="5" t="str">
        <f>IFERROR(__xludf.DUMMYFUNCTION("GOOGLETRANSLATE(I78, ""th"", ""en"")"),"A) Yes; B) No")</f>
        <v>A) Yes; B) No</v>
      </c>
      <c r="D78" s="5" t="str">
        <f>IFERROR(__xludf.DUMMYFUNCTION("GOOGLETRANSLATE(J78, ""th"", ""en"")"),"B) No.")</f>
        <v>B) No.</v>
      </c>
      <c r="E78" s="5" t="str">
        <f>IFERROR(__xludf.DUMMYFUNCTION("GOOGLETRANSLATE(K78, ""th"", ""en"")"),"The competition must be played by a single player.")</f>
        <v>The competition must be played by a single player.</v>
      </c>
      <c r="G78" s="6">
        <v>77.0</v>
      </c>
      <c r="H78" s="7" t="s">
        <v>1476</v>
      </c>
      <c r="I78" s="7" t="s">
        <v>1314</v>
      </c>
      <c r="J78" s="7" t="s">
        <v>698</v>
      </c>
      <c r="K78" s="7" t="s">
        <v>1477</v>
      </c>
    </row>
    <row r="79" ht="14.25" customHeight="1">
      <c r="A79" s="4">
        <v>78.0</v>
      </c>
      <c r="B79" s="5" t="str">
        <f>IFERROR(__xludf.DUMMYFUNCTION("GOOGLETRANSLATE(H79, ""th"", ""en"")"),"What are the consequences of setting the kite size that does not comply with the competition rules?")</f>
        <v>What are the consequences of setting the kite size that does not comply with the competition rules?</v>
      </c>
      <c r="C79" s="5" t="str">
        <f>IFERROR(__xludf.DUMMYFUNCTION("GOOGLETRANSLATE(I79, ""th"", ""en"")"),"A) will be penalized; B) will be disqualified; C) will have no effect.")</f>
        <v>A) will be penalized; B) will be disqualified; C) will have no effect.</v>
      </c>
      <c r="D79" s="5" t="str">
        <f>IFERROR(__xludf.DUMMYFUNCTION("GOOGLETRANSLATE(J79, ""th"", ""en"")"),"B) will be disqualified.")</f>
        <v>B) will be disqualified.</v>
      </c>
      <c r="E79" s="5" t="str">
        <f>IFERROR(__xludf.DUMMYFUNCTION("GOOGLETRANSLATE(K79, ""th"", ""en"")"),"The size of the kite must comply with the regulations.")</f>
        <v>The size of the kite must comply with the regulations.</v>
      </c>
      <c r="G79" s="6">
        <v>78.0</v>
      </c>
      <c r="H79" s="7" t="s">
        <v>1478</v>
      </c>
      <c r="I79" s="7" t="s">
        <v>1479</v>
      </c>
      <c r="J79" s="7" t="s">
        <v>1480</v>
      </c>
      <c r="K79" s="7" t="s">
        <v>1481</v>
      </c>
    </row>
    <row r="80" ht="14.25" customHeight="1">
      <c r="A80" s="4">
        <v>79.0</v>
      </c>
      <c r="B80" s="5" t="str">
        <f>IFERROR(__xludf.DUMMYFUNCTION("GOOGLETRANSLATE(H80, ""th"", ""en"")"),"If a player's kite lands in their opponent's area, what effect will the player receive?")</f>
        <v>If a player's kite lands in their opponent's area, what effect will the player receive?</v>
      </c>
      <c r="C80" s="5" t="str">
        <f>IFERROR(__xludf.DUMMYFUNCTION("GOOGLETRANSLATE(I80, ""th"", ""en"")"),"A) will gain points; B) will lose points; C) will lose rights.")</f>
        <v>A) will gain points; B) will lose points; C) will lose rights.</v>
      </c>
      <c r="D80" s="5" t="str">
        <f>IFERROR(__xludf.DUMMYFUNCTION("GOOGLETRANSLATE(J80, ""th"", ""en"")"),"B) will lose points")</f>
        <v>B) will lose points</v>
      </c>
      <c r="E80" s="5" t="str">
        <f>IFERROR(__xludf.DUMMYFUNCTION("GOOGLETRANSLATE(K80, ""th"", ""en"")"),"Falling into the opponent's territory is considered a loss.")</f>
        <v>Falling into the opponent's territory is considered a loss.</v>
      </c>
      <c r="G80" s="6">
        <v>79.0</v>
      </c>
      <c r="H80" s="7" t="s">
        <v>1482</v>
      </c>
      <c r="I80" s="7" t="s">
        <v>1483</v>
      </c>
      <c r="J80" s="7" t="s">
        <v>1484</v>
      </c>
      <c r="K80" s="7" t="s">
        <v>1485</v>
      </c>
    </row>
    <row r="81" ht="14.25" customHeight="1">
      <c r="A81" s="4">
        <v>80.0</v>
      </c>
      <c r="B81" s="5" t="str">
        <f>IFERROR(__xludf.DUMMYFUNCTION("GOOGLETRANSLATE(H81, ""th"", ""en"")"),"Can players use kite modifications to suit the weather conditions?")</f>
        <v>Can players use kite modifications to suit the weather conditions?</v>
      </c>
      <c r="C81" s="5" t="str">
        <f>IFERROR(__xludf.DUMMYFUNCTION("GOOGLETRANSLATE(I81, ""th"", ""en"")"),"A) Yes; B) No")</f>
        <v>A) Yes; B) No</v>
      </c>
      <c r="D81" s="5" t="str">
        <f>IFERROR(__xludf.DUMMYFUNCTION("GOOGLETRANSLATE(J81, ""th"", ""en"")"),"A) Yes.")</f>
        <v>A) Yes.</v>
      </c>
      <c r="E81" s="5" t="str">
        <f>IFERROR(__xludf.DUMMYFUNCTION("GOOGLETRANSLATE(K81, ""th"", ""en"")"),"Proper kite modifications help the competition go well.")</f>
        <v>Proper kite modifications help the competition go well.</v>
      </c>
      <c r="G81" s="6">
        <v>80.0</v>
      </c>
      <c r="H81" s="7" t="s">
        <v>1486</v>
      </c>
      <c r="I81" s="7" t="s">
        <v>1314</v>
      </c>
      <c r="J81" s="7" t="s">
        <v>737</v>
      </c>
      <c r="K81" s="7" t="s">
        <v>1487</v>
      </c>
    </row>
    <row r="82" ht="14.25" customHeight="1">
      <c r="A82" s="4">
        <v>81.0</v>
      </c>
      <c r="B82" s="5" t="str">
        <f>IFERROR(__xludf.DUMMYFUNCTION("GOOGLETRANSLATE(H82, ""th"", ""en"")"),"Can players use accessories to balance their kites during the race?")</f>
        <v>Can players use accessories to balance their kites during the race?</v>
      </c>
      <c r="C82" s="5" t="str">
        <f>IFERROR(__xludf.DUMMYFUNCTION("GOOGLETRANSLATE(I82, ""th"", ""en"")"),"A) Yes; B) No")</f>
        <v>A) Yes; B) No</v>
      </c>
      <c r="D82" s="5" t="str">
        <f>IFERROR(__xludf.DUMMYFUNCTION("GOOGLETRANSLATE(J82, ""th"", ""en"")"),"B) No.")</f>
        <v>B) No.</v>
      </c>
      <c r="E82" s="5" t="str">
        <f>IFERROR(__xludf.DUMMYFUNCTION("GOOGLETRANSLATE(K82, ""th"", ""en"")"),"Using additional tools is a violation of the rules.")</f>
        <v>Using additional tools is a violation of the rules.</v>
      </c>
      <c r="G82" s="6">
        <v>81.0</v>
      </c>
      <c r="H82" s="7" t="s">
        <v>1488</v>
      </c>
      <c r="I82" s="7" t="s">
        <v>1314</v>
      </c>
      <c r="J82" s="7" t="s">
        <v>698</v>
      </c>
      <c r="K82" s="7" t="s">
        <v>1489</v>
      </c>
    </row>
    <row r="83" ht="14.25" customHeight="1">
      <c r="A83" s="4">
        <v>82.0</v>
      </c>
      <c r="B83" s="5" t="str">
        <f>IFERROR(__xludf.DUMMYFUNCTION("GOOGLETRANSLATE(H83, ""th"", ""en"")"),"Is it illegal to fly a kite during unstable or frequently changing winds?")</f>
        <v>Is it illegal to fly a kite during unstable or frequently changing winds?</v>
      </c>
      <c r="C83" s="5" t="str">
        <f>IFERROR(__xludf.DUMMYFUNCTION("GOOGLETRANSLATE(I83, ""th"", ""en"")"),"A) Illegal; B) Not illegal")</f>
        <v>A) Illegal; B) Not illegal</v>
      </c>
      <c r="D83" s="5" t="str">
        <f>IFERROR(__xludf.DUMMYFUNCTION("GOOGLETRANSLATE(J83, ""th"", ""en"")"),"B) Not against the rules")</f>
        <v>B) Not against the rules</v>
      </c>
      <c r="E83" s="5" t="str">
        <f>IFERROR(__xludf.DUMMYFUNCTION("GOOGLETRANSLATE(K83, ""th"", ""en"")"),"Flying in unstable winds is part of the competition.")</f>
        <v>Flying in unstable winds is part of the competition.</v>
      </c>
      <c r="G83" s="6">
        <v>82.0</v>
      </c>
      <c r="H83" s="7" t="s">
        <v>1490</v>
      </c>
      <c r="I83" s="7" t="s">
        <v>1287</v>
      </c>
      <c r="J83" s="7" t="s">
        <v>1438</v>
      </c>
      <c r="K83" s="7" t="s">
        <v>1491</v>
      </c>
    </row>
    <row r="84" ht="14.25" customHeight="1">
      <c r="A84" s="4">
        <v>83.0</v>
      </c>
      <c r="B84" s="5" t="str">
        <f>IFERROR(__xludf.DUMMYFUNCTION("GOOGLETRANSLATE(H84, ""th"", ""en"")"),"Can players fly a kite at speeds exceeding the speed limit?")</f>
        <v>Can players fly a kite at speeds exceeding the speed limit?</v>
      </c>
      <c r="C84" s="5" t="str">
        <f>IFERROR(__xludf.DUMMYFUNCTION("GOOGLETRANSLATE(I84, ""th"", ""en"")"),"A) Yes; B) No")</f>
        <v>A) Yes; B) No</v>
      </c>
      <c r="D84" s="5" t="str">
        <f>IFERROR(__xludf.DUMMYFUNCTION("GOOGLETRANSLATE(J84, ""th"", ""en"")"),"B) No.")</f>
        <v>B) No.</v>
      </c>
      <c r="E84" s="5" t="str">
        <f>IFERROR(__xludf.DUMMYFUNCTION("GOOGLETRANSLATE(K84, ""th"", ""en"")"),"Flying a kite at excessive speed can cause an accident.")</f>
        <v>Flying a kite at excessive speed can cause an accident.</v>
      </c>
      <c r="G84" s="6">
        <v>83.0</v>
      </c>
      <c r="H84" s="7" t="s">
        <v>1492</v>
      </c>
      <c r="I84" s="7" t="s">
        <v>1314</v>
      </c>
      <c r="J84" s="7" t="s">
        <v>698</v>
      </c>
      <c r="K84" s="7" t="s">
        <v>1493</v>
      </c>
    </row>
    <row r="85" ht="14.25" customHeight="1">
      <c r="A85" s="4">
        <v>84.0</v>
      </c>
      <c r="B85" s="5" t="str">
        <f>IFERROR(__xludf.DUMMYFUNCTION("GOOGLETRANSLATE(H85, ""th"", ""en"")"),"In a match, can a player ask the referee to stop the match?")</f>
        <v>In a match, can a player ask the referee to stop the match?</v>
      </c>
      <c r="C85" s="5" t="str">
        <f>IFERROR(__xludf.DUMMYFUNCTION("GOOGLETRANSLATE(I85, ""th"", ""en"")"),"A) Yes; B) No")</f>
        <v>A) Yes; B) No</v>
      </c>
      <c r="D85" s="5" t="str">
        <f>IFERROR(__xludf.DUMMYFUNCTION("GOOGLETRANSLATE(J85, ""th"", ""en"")"),"B) No.")</f>
        <v>B) No.</v>
      </c>
      <c r="E85" s="5" t="str">
        <f>IFERROR(__xludf.DUMMYFUNCTION("GOOGLETRANSLATE(K85, ""th"", ""en"")"),"The suspension of the match shall be at the discretion of the referee.")</f>
        <v>The suspension of the match shall be at the discretion of the referee.</v>
      </c>
      <c r="G85" s="6">
        <v>84.0</v>
      </c>
      <c r="H85" s="7" t="s">
        <v>1494</v>
      </c>
      <c r="I85" s="7" t="s">
        <v>1314</v>
      </c>
      <c r="J85" s="7" t="s">
        <v>698</v>
      </c>
      <c r="K85" s="7" t="s">
        <v>1495</v>
      </c>
    </row>
    <row r="86" ht="14.25" customHeight="1">
      <c r="A86" s="4">
        <v>85.0</v>
      </c>
      <c r="B86" s="5" t="str">
        <f>IFERROR(__xludf.DUMMYFUNCTION("GOOGLETRANSLATE(H86, ""th"", ""en"")"),"If a player's kite is out of control and flies out of the field, is it considered a loss?")</f>
        <v>If a player's kite is out of control and flies out of the field, is it considered a loss?</v>
      </c>
      <c r="C86" s="5" t="str">
        <f>IFERROR(__xludf.DUMMYFUNCTION("GOOGLETRANSLATE(I86, ""th"", ""en"")"),"A) considered a loss; B) not considered a loss")</f>
        <v>A) considered a loss; B) not considered a loss</v>
      </c>
      <c r="D86" s="5" t="str">
        <f>IFERROR(__xludf.DUMMYFUNCTION("GOOGLETRANSLATE(J86, ""th"", ""en"")"),"A) Considered a loss")</f>
        <v>A) Considered a loss</v>
      </c>
      <c r="E86" s="5" t="str">
        <f>IFERROR(__xludf.DUMMYFUNCTION("GOOGLETRANSLATE(K86, ""th"", ""en"")"),"If the kite goes out of the field, it will be considered a loss.")</f>
        <v>If the kite goes out of the field, it will be considered a loss.</v>
      </c>
      <c r="G86" s="6">
        <v>85.0</v>
      </c>
      <c r="H86" s="7" t="s">
        <v>1496</v>
      </c>
      <c r="I86" s="7" t="s">
        <v>1401</v>
      </c>
      <c r="J86" s="7" t="s">
        <v>1402</v>
      </c>
      <c r="K86" s="7" t="s">
        <v>1497</v>
      </c>
    </row>
    <row r="87" ht="14.25" customHeight="1">
      <c r="A87" s="4">
        <v>86.0</v>
      </c>
      <c r="B87" s="5" t="str">
        <f>IFERROR(__xludf.DUMMYFUNCTION("GOOGLETRANSLATE(H87, ""th"", ""en"")"),"Is using a high-risk kite, such as using unsuitable materials during rain, a violation of the rules?")</f>
        <v>Is using a high-risk kite, such as using unsuitable materials during rain, a violation of the rules?</v>
      </c>
      <c r="C87" s="5" t="str">
        <f>IFERROR(__xludf.DUMMYFUNCTION("GOOGLETRANSLATE(I87, ""th"", ""en"")"),"A) It is considered a violation; B) It is not considered a violation.")</f>
        <v>A) It is considered a violation; B) It is not considered a violation.</v>
      </c>
      <c r="D87" s="5" t="str">
        <f>IFERROR(__xludf.DUMMYFUNCTION("GOOGLETRANSLATE(J87, ""th"", ""en"")"),"A) It is considered a violation.")</f>
        <v>A) It is considered a violation.</v>
      </c>
      <c r="E87" s="5" t="str">
        <f>IFERROR(__xludf.DUMMYFUNCTION("GOOGLETRANSLATE(K87, ""th"", ""en"")"),"Using inappropriate materials in bad weather conditions is a violation of the rules.")</f>
        <v>Using inappropriate materials in bad weather conditions is a violation of the rules.</v>
      </c>
      <c r="G87" s="6">
        <v>86.0</v>
      </c>
      <c r="H87" s="7" t="s">
        <v>1498</v>
      </c>
      <c r="I87" s="7" t="s">
        <v>1499</v>
      </c>
      <c r="J87" s="7" t="s">
        <v>1500</v>
      </c>
      <c r="K87" s="7" t="s">
        <v>1501</v>
      </c>
    </row>
    <row r="88" ht="14.25" customHeight="1">
      <c r="A88" s="4">
        <v>87.0</v>
      </c>
      <c r="B88" s="5" t="str">
        <f>IFERROR(__xludf.DUMMYFUNCTION("GOOGLETRANSLATE(H88, ""th"", ""en"")"),"In a kite fighting competition, can players use disrespectful behavior towards their opponents?")</f>
        <v>In a kite fighting competition, can players use disrespectful behavior towards their opponents?</v>
      </c>
      <c r="C88" s="5" t="str">
        <f>IFERROR(__xludf.DUMMYFUNCTION("GOOGLETRANSLATE(I88, ""th"", ""en"")"),"A) Yes; B) No")</f>
        <v>A) Yes; B) No</v>
      </c>
      <c r="D88" s="5" t="str">
        <f>IFERROR(__xludf.DUMMYFUNCTION("GOOGLETRANSLATE(J88, ""th"", ""en"")"),"B) No.")</f>
        <v>B) No.</v>
      </c>
      <c r="E88" s="5" t="str">
        <f>IFERROR(__xludf.DUMMYFUNCTION("GOOGLETRANSLATE(K88, ""th"", ""en"")"),"Using inappropriate behavior is a violation of the rules.")</f>
        <v>Using inappropriate behavior is a violation of the rules.</v>
      </c>
      <c r="G88" s="6">
        <v>87.0</v>
      </c>
      <c r="H88" s="7" t="s">
        <v>1502</v>
      </c>
      <c r="I88" s="7" t="s">
        <v>1314</v>
      </c>
      <c r="J88" s="7" t="s">
        <v>698</v>
      </c>
      <c r="K88" s="7" t="s">
        <v>1503</v>
      </c>
    </row>
    <row r="89" ht="14.25" customHeight="1">
      <c r="A89" s="4">
        <v>88.0</v>
      </c>
      <c r="B89" s="5" t="str">
        <f>IFERROR(__xludf.DUMMYFUNCTION("GOOGLETRANSLATE(H89, ""th"", ""en"")"),"If a player's kite is damaged during a match, can the player repair the kite?")</f>
        <v>If a player's kite is damaged during a match, can the player repair the kite?</v>
      </c>
      <c r="C89" s="5" t="str">
        <f>IFERROR(__xludf.DUMMYFUNCTION("GOOGLETRANSLATE(I89, ""th"", ""en"")"),"A) Yes; B) No")</f>
        <v>A) Yes; B) No</v>
      </c>
      <c r="D89" s="5" t="str">
        <f>IFERROR(__xludf.DUMMYFUNCTION("GOOGLETRANSLATE(J89, ""th"", ""en"")"),"B) No.")</f>
        <v>B) No.</v>
      </c>
      <c r="E89" s="5" t="str">
        <f>IFERROR(__xludf.DUMMYFUNCTION("GOOGLETRANSLATE(K89, ""th"", ""en"")"),"Players cannot repair their kites during the match.")</f>
        <v>Players cannot repair their kites during the match.</v>
      </c>
      <c r="G89" s="6">
        <v>88.0</v>
      </c>
      <c r="H89" s="7" t="s">
        <v>1504</v>
      </c>
      <c r="I89" s="7" t="s">
        <v>1314</v>
      </c>
      <c r="J89" s="7" t="s">
        <v>698</v>
      </c>
      <c r="K89" s="7" t="s">
        <v>1505</v>
      </c>
    </row>
    <row r="90" ht="14.25" customHeight="1">
      <c r="A90" s="4">
        <v>89.0</v>
      </c>
      <c r="B90" s="5" t="str">
        <f>IFERROR(__xludf.DUMMYFUNCTION("GOOGLETRANSLATE(H90, ""th"", ""en"")"),"Can players request to change their kite after the match has started?")</f>
        <v>Can players request to change their kite after the match has started?</v>
      </c>
      <c r="C90" s="5" t="str">
        <f>IFERROR(__xludf.DUMMYFUNCTION("GOOGLETRANSLATE(I90, ""th"", ""en"")"),"A) Yes; B) No")</f>
        <v>A) Yes; B) No</v>
      </c>
      <c r="D90" s="5" t="str">
        <f>IFERROR(__xludf.DUMMYFUNCTION("GOOGLETRANSLATE(J90, ""th"", ""en"")"),"B) No.")</f>
        <v>B) No.</v>
      </c>
      <c r="E90" s="5" t="str">
        <f>IFERROR(__xludf.DUMMYFUNCTION("GOOGLETRANSLATE(K90, ""th"", ""en"")"),"Players must use the same kite throughout the match.")</f>
        <v>Players must use the same kite throughout the match.</v>
      </c>
      <c r="G90" s="6">
        <v>89.0</v>
      </c>
      <c r="H90" s="7" t="s">
        <v>1506</v>
      </c>
      <c r="I90" s="7" t="s">
        <v>1314</v>
      </c>
      <c r="J90" s="7" t="s">
        <v>698</v>
      </c>
      <c r="K90" s="7" t="s">
        <v>1419</v>
      </c>
    </row>
    <row r="91" ht="14.25" customHeight="1">
      <c r="A91" s="4">
        <v>90.0</v>
      </c>
      <c r="B91" s="5" t="str">
        <f>IFERROR(__xludf.DUMMYFUNCTION("GOOGLETRANSLATE(H91, ""th"", ""en"")"),"In a competition, if a technical error occurs while flying the kite, what should the players do?")</f>
        <v>In a competition, if a technical error occurs while flying the kite, what should the players do?</v>
      </c>
      <c r="C91" s="5" t="str">
        <f>IFERROR(__xludf.DUMMYFUNCTION("GOOGLETRANSLATE(I91, ""th"", ""en"")"),"A) Notify the referee; B) Stop the game immediately; C) Make repairs and continue playing; D) Dispute.")</f>
        <v>A) Notify the referee; B) Stop the game immediately; C) Make repairs and continue playing; D) Dispute.</v>
      </c>
      <c r="D91" s="5" t="str">
        <f>IFERROR(__xludf.DUMMYFUNCTION("GOOGLETRANSLATE(J91, ""th"", ""en"")"),"A) Inform the committee.")</f>
        <v>A) Inform the committee.</v>
      </c>
      <c r="E91" s="5" t="str">
        <f>IFERROR(__xludf.DUMMYFUNCTION("GOOGLETRANSLATE(K91, ""th"", ""en"")"),"The judges will consider and decide according to the relevant rules.")</f>
        <v>The judges will consider and decide according to the relevant rules.</v>
      </c>
      <c r="G91" s="6">
        <v>90.0</v>
      </c>
      <c r="H91" s="7" t="s">
        <v>1507</v>
      </c>
      <c r="I91" s="7" t="s">
        <v>1508</v>
      </c>
      <c r="J91" s="7" t="s">
        <v>20</v>
      </c>
      <c r="K91" s="7" t="s">
        <v>1509</v>
      </c>
    </row>
    <row r="92" ht="14.25" customHeight="1">
      <c r="A92" s="4">
        <v>91.0</v>
      </c>
      <c r="B92" s="5" t="str">
        <f>IFERROR(__xludf.DUMMYFUNCTION("GOOGLETRANSLATE(H92, ""th"", ""en"")"),"Can players use kite flying techniques that they have never used in practice?")</f>
        <v>Can players use kite flying techniques that they have never used in practice?</v>
      </c>
      <c r="C92" s="5" t="str">
        <f>IFERROR(__xludf.DUMMYFUNCTION("GOOGLETRANSLATE(I92, ""th"", ""en"")"),"A) Yes; B) No")</f>
        <v>A) Yes; B) No</v>
      </c>
      <c r="D92" s="5" t="str">
        <f>IFERROR(__xludf.DUMMYFUNCTION("GOOGLETRANSLATE(J92, ""th"", ""en"")"),"B) No.")</f>
        <v>B) No.</v>
      </c>
      <c r="E92" s="5" t="str">
        <f>IFERROR(__xludf.DUMMYFUNCTION("GOOGLETRANSLATE(K92, ""th"", ""en"")"),"Using unpracticed techniques can cause the kite to become uncontrollable.")</f>
        <v>Using unpracticed techniques can cause the kite to become uncontrollable.</v>
      </c>
      <c r="G92" s="6">
        <v>91.0</v>
      </c>
      <c r="H92" s="7" t="s">
        <v>1510</v>
      </c>
      <c r="I92" s="7" t="s">
        <v>1314</v>
      </c>
      <c r="J92" s="7" t="s">
        <v>698</v>
      </c>
      <c r="K92" s="7" t="s">
        <v>1511</v>
      </c>
    </row>
    <row r="93" ht="14.25" customHeight="1">
      <c r="A93" s="4">
        <v>92.0</v>
      </c>
      <c r="B93" s="5" t="str">
        <f>IFERROR(__xludf.DUMMYFUNCTION("GOOGLETRANSLATE(H93, ""th"", ""en"")"),"If a player uses ropes of different lengths against two competitors, is it considered a violation?")</f>
        <v>If a player uses ropes of different lengths against two competitors, is it considered a violation?</v>
      </c>
      <c r="C93" s="5" t="str">
        <f>IFERROR(__xludf.DUMMYFUNCTION("GOOGLETRANSLATE(I93, ""th"", ""en"")"),"A) Illegal; B) Not illegal")</f>
        <v>A) Illegal; B) Not illegal</v>
      </c>
      <c r="D93" s="5" t="str">
        <f>IFERROR(__xludf.DUMMYFUNCTION("GOOGLETRANSLATE(J93, ""th"", ""en"")"),"A) Breaking the rules")</f>
        <v>A) Breaking the rules</v>
      </c>
      <c r="E93" s="5" t="str">
        <f>IFERROR(__xludf.DUMMYFUNCTION("GOOGLETRANSLATE(K93, ""th"", ""en"")"),"The ropes must be of equal length for fair competition.")</f>
        <v>The ropes must be of equal length for fair competition.</v>
      </c>
      <c r="G93" s="6">
        <v>92.0</v>
      </c>
      <c r="H93" s="7" t="s">
        <v>1512</v>
      </c>
      <c r="I93" s="7" t="s">
        <v>1287</v>
      </c>
      <c r="J93" s="7" t="s">
        <v>1288</v>
      </c>
      <c r="K93" s="7" t="s">
        <v>1513</v>
      </c>
    </row>
    <row r="94" ht="14.25" customHeight="1">
      <c r="A94" s="4">
        <v>93.0</v>
      </c>
      <c r="B94" s="5" t="str">
        <f>IFERROR(__xludf.DUMMYFUNCTION("GOOGLETRANSLATE(H94, ""th"", ""en"")"),"Can kite fighting competitions be held in rainy weather?")</f>
        <v>Can kite fighting competitions be held in rainy weather?</v>
      </c>
      <c r="C94" s="5" t="str">
        <f>IFERROR(__xludf.DUMMYFUNCTION("GOOGLETRANSLATE(I94, ""th"", ""en"")"),"A) Yes; B) No")</f>
        <v>A) Yes; B) No</v>
      </c>
      <c r="D94" s="5" t="str">
        <f>IFERROR(__xludf.DUMMYFUNCTION("GOOGLETRANSLATE(J94, ""th"", ""en"")"),"B) No.")</f>
        <v>B) No.</v>
      </c>
      <c r="E94" s="5" t="str">
        <f>IFERROR(__xludf.DUMMYFUNCTION("GOOGLETRANSLATE(K94, ""th"", ""en"")"),"Rain can damage the kite and increase the risk.")</f>
        <v>Rain can damage the kite and increase the risk.</v>
      </c>
      <c r="G94" s="6">
        <v>93.0</v>
      </c>
      <c r="H94" s="7" t="s">
        <v>1514</v>
      </c>
      <c r="I94" s="7" t="s">
        <v>1314</v>
      </c>
      <c r="J94" s="7" t="s">
        <v>698</v>
      </c>
      <c r="K94" s="7" t="s">
        <v>1515</v>
      </c>
    </row>
    <row r="95" ht="14.25" customHeight="1">
      <c r="A95" s="4">
        <v>94.0</v>
      </c>
      <c r="B95" s="5" t="str">
        <f>IFERROR(__xludf.DUMMYFUNCTION("GOOGLETRANSLATE(H95, ""th"", ""en"")"),"If a player drops their kite into their opponent's territory, what should they do?")</f>
        <v>If a player drops their kite into their opponent's territory, what should they do?</v>
      </c>
      <c r="C95" s="5" t="str">
        <f>IFERROR(__xludf.DUMMYFUNCTION("GOOGLETRANSLATE(I95, ""th"", ""en"")"),"A) Stop playing and give up; B) Ask to resolve the situation; C) Do nothing.")</f>
        <v>A) Stop playing and give up; B) Ask to resolve the situation; C) Do nothing.</v>
      </c>
      <c r="D95" s="5" t="str">
        <f>IFERROR(__xludf.DUMMYFUNCTION("GOOGLETRANSLATE(J95, ""th"", ""en"")"),"A) Stop playing and give up.")</f>
        <v>A) Stop playing and give up.</v>
      </c>
      <c r="E95" s="5" t="str">
        <f>IFERROR(__xludf.DUMMYFUNCTION("GOOGLETRANSLATE(K95, ""th"", ""en"")"),"Falling into the opponent's territory is considered a loss.")</f>
        <v>Falling into the opponent's territory is considered a loss.</v>
      </c>
      <c r="G95" s="6">
        <v>94.0</v>
      </c>
      <c r="H95" s="7" t="s">
        <v>1516</v>
      </c>
      <c r="I95" s="7" t="s">
        <v>1517</v>
      </c>
      <c r="J95" s="7" t="s">
        <v>1518</v>
      </c>
      <c r="K95" s="7" t="s">
        <v>1519</v>
      </c>
    </row>
    <row r="96" ht="14.25" customHeight="1">
      <c r="A96" s="4">
        <v>95.0</v>
      </c>
      <c r="B96" s="5" t="str">
        <f>IFERROR(__xludf.DUMMYFUNCTION("GOOGLETRANSLATE(H96, ""th"", ""en"")"),"In the competition, can players use materials other than wood or cloth to make their kites?")</f>
        <v>In the competition, can players use materials other than wood or cloth to make their kites?</v>
      </c>
      <c r="C96" s="5" t="str">
        <f>IFERROR(__xludf.DUMMYFUNCTION("GOOGLETRANSLATE(I96, ""th"", ""en"")"),"A) Yes; B) No")</f>
        <v>A) Yes; B) No</v>
      </c>
      <c r="D96" s="5" t="str">
        <f>IFERROR(__xludf.DUMMYFUNCTION("GOOGLETRANSLATE(J96, ""th"", ""en"")"),"B) No.")</f>
        <v>B) No.</v>
      </c>
      <c r="E96" s="5" t="str">
        <f>IFERROR(__xludf.DUMMYFUNCTION("GOOGLETRANSLATE(K96, ""th"", ""en"")"),"The materials used must be appropriate to the competition rules.")</f>
        <v>The materials used must be appropriate to the competition rules.</v>
      </c>
      <c r="G96" s="6">
        <v>95.0</v>
      </c>
      <c r="H96" s="7" t="s">
        <v>1520</v>
      </c>
      <c r="I96" s="7" t="s">
        <v>1314</v>
      </c>
      <c r="J96" s="7" t="s">
        <v>698</v>
      </c>
      <c r="K96" s="7" t="s">
        <v>1521</v>
      </c>
    </row>
    <row r="97" ht="14.25" customHeight="1">
      <c r="A97" s="4">
        <v>96.0</v>
      </c>
      <c r="B97" s="5" t="str">
        <f>IFERROR(__xludf.DUMMYFUNCTION("GOOGLETRANSLATE(H97, ""th"", ""en"")"),"If a player's kite is slightly damaged during a match, what should he do?")</f>
        <v>If a player's kite is slightly damaged during a match, what should he do?</v>
      </c>
      <c r="C97" s="5" t="str">
        <f>IFERROR(__xludf.DUMMYFUNCTION("GOOGLETRANSLATE(I97, ""th"", ""en"")"),"A) Repair the kite immediately; B) Notify the referee; C) Stop playing.")</f>
        <v>A) Repair the kite immediately; B) Notify the referee; C) Stop playing.</v>
      </c>
      <c r="D97" s="5" t="str">
        <f>IFERROR(__xludf.DUMMYFUNCTION("GOOGLETRANSLATE(J97, ""th"", ""en"")"),"B) Inform the committee.")</f>
        <v>B) Inform the committee.</v>
      </c>
      <c r="E97" s="5" t="str">
        <f>IFERROR(__xludf.DUMMYFUNCTION("GOOGLETRANSLATE(K97, ""th"", ""en"")"),"The judges will make decisions according to the established rules.")</f>
        <v>The judges will make decisions according to the established rules.</v>
      </c>
      <c r="G97" s="6">
        <v>96.0</v>
      </c>
      <c r="H97" s="7" t="s">
        <v>1522</v>
      </c>
      <c r="I97" s="7" t="s">
        <v>1523</v>
      </c>
      <c r="J97" s="7" t="s">
        <v>24</v>
      </c>
      <c r="K97" s="7" t="s">
        <v>1468</v>
      </c>
    </row>
    <row r="98" ht="14.25" customHeight="1">
      <c r="A98" s="4">
        <v>97.0</v>
      </c>
      <c r="B98" s="5" t="str">
        <f>IFERROR(__xludf.DUMMYFUNCTION("GOOGLETRANSLATE(H98, ""th"", ""en"")"),"Can players change the position of their kite within the field?")</f>
        <v>Can players change the position of their kite within the field?</v>
      </c>
      <c r="C98" s="5" t="str">
        <f>IFERROR(__xludf.DUMMYFUNCTION("GOOGLETRANSLATE(I98, ""th"", ""en"")"),"A) Yes; B) No")</f>
        <v>A) Yes; B) No</v>
      </c>
      <c r="D98" s="5" t="str">
        <f>IFERROR(__xludf.DUMMYFUNCTION("GOOGLETRANSLATE(J98, ""th"", ""en"")"),"B) No.")</f>
        <v>B) No.</v>
      </c>
      <c r="E98" s="5" t="str">
        <f>IFERROR(__xludf.DUMMYFUNCTION("GOOGLETRANSLATE(K98, ""th"", ""en"")"),"The kite position should remain constant during the race.")</f>
        <v>The kite position should remain constant during the race.</v>
      </c>
      <c r="G98" s="6">
        <v>97.0</v>
      </c>
      <c r="H98" s="7" t="s">
        <v>1524</v>
      </c>
      <c r="I98" s="7" t="s">
        <v>1314</v>
      </c>
      <c r="J98" s="7" t="s">
        <v>698</v>
      </c>
      <c r="K98" s="7" t="s">
        <v>1525</v>
      </c>
    </row>
    <row r="99" ht="14.25" customHeight="1">
      <c r="A99" s="4">
        <v>98.0</v>
      </c>
      <c r="B99" s="5" t="str">
        <f>IFERROR(__xludf.DUMMYFUNCTION("GOOGLETRANSLATE(H99, ""th"", ""en"")"),"Is using unusual methods to judge kite collisions a violation of the rules?")</f>
        <v>Is using unusual methods to judge kite collisions a violation of the rules?</v>
      </c>
      <c r="C99" s="5" t="str">
        <f>IFERROR(__xludf.DUMMYFUNCTION("GOOGLETRANSLATE(I99, ""th"", ""en"")"),"A) It is considered a violation; B) It is not considered a violation.")</f>
        <v>A) It is considered a violation; B) It is not considered a violation.</v>
      </c>
      <c r="D99" s="5" t="str">
        <f>IFERROR(__xludf.DUMMYFUNCTION("GOOGLETRANSLATE(J99, ""th"", ""en"")"),"A) It is considered a violation.")</f>
        <v>A) It is considered a violation.</v>
      </c>
      <c r="E99" s="5" t="str">
        <f>IFERROR(__xludf.DUMMYFUNCTION("GOOGLETRANSLATE(K99, ""th"", ""en"")"),"Illegal methods should not be used to determine the outcome.")</f>
        <v>Illegal methods should not be used to determine the outcome.</v>
      </c>
      <c r="G99" s="6">
        <v>98.0</v>
      </c>
      <c r="H99" s="7" t="s">
        <v>1526</v>
      </c>
      <c r="I99" s="7" t="s">
        <v>1457</v>
      </c>
      <c r="J99" s="7" t="s">
        <v>1458</v>
      </c>
      <c r="K99" s="7" t="s">
        <v>1527</v>
      </c>
    </row>
    <row r="100" ht="14.25" customHeight="1">
      <c r="A100" s="4">
        <v>99.0</v>
      </c>
      <c r="B100" s="5" t="str">
        <f>IFERROR(__xludf.DUMMYFUNCTION("GOOGLETRANSLATE(H100, ""th"", ""en"")"),"Is flying a kite in rainy or cloudy weather a violation?")</f>
        <v>Is flying a kite in rainy or cloudy weather a violation?</v>
      </c>
      <c r="C100" s="5" t="str">
        <f>IFERROR(__xludf.DUMMYFUNCTION("GOOGLETRANSLATE(I100, ""th"", ""en"")"),"A) It is considered a violation; B) It is not considered a violation.")</f>
        <v>A) It is considered a violation; B) It is not considered a violation.</v>
      </c>
      <c r="D100" s="5" t="str">
        <f>IFERROR(__xludf.DUMMYFUNCTION("GOOGLETRANSLATE(J100, ""th"", ""en"")"),"A) It is considered a violation.")</f>
        <v>A) It is considered a violation.</v>
      </c>
      <c r="E100" s="5" t="str">
        <f>IFERROR(__xludf.DUMMYFUNCTION("GOOGLETRANSLATE(K100, ""th"", ""en"")"),"Weather conditions like this can make it difficult to control a kite.")</f>
        <v>Weather conditions like this can make it difficult to control a kite.</v>
      </c>
      <c r="G100" s="6">
        <v>99.0</v>
      </c>
      <c r="H100" s="7" t="s">
        <v>1528</v>
      </c>
      <c r="I100" s="7" t="s">
        <v>1457</v>
      </c>
      <c r="J100" s="7" t="s">
        <v>1458</v>
      </c>
      <c r="K100" s="7" t="s">
        <v>1529</v>
      </c>
    </row>
    <row r="101" ht="14.25" customHeight="1">
      <c r="A101" s="4">
        <v>100.0</v>
      </c>
      <c r="B101" s="5" t="str">
        <f>IFERROR(__xludf.DUMMYFUNCTION("GOOGLETRANSLATE(H101, ""th"", ""en"")"),"Will using a rope that is too thin affect the flight of the kite?")</f>
        <v>Will using a rope that is too thin affect the flight of the kite?</v>
      </c>
      <c r="C101" s="5" t="str">
        <f>IFERROR(__xludf.DUMMYFUNCTION("GOOGLETRANSLATE(I101, ""th"", ""en"")"),"A) effective; B) ineffective")</f>
        <v>A) effective; B) ineffective</v>
      </c>
      <c r="D101" s="5" t="str">
        <f>IFERROR(__xludf.DUMMYFUNCTION("GOOGLETRANSLATE(J101, ""th"", ""en"")"),"A) Effective")</f>
        <v>A) Effective</v>
      </c>
      <c r="E101" s="5" t="str">
        <f>IFERROR(__xludf.DUMMYFUNCTION("GOOGLETRANSLATE(K101, ""th"", ""en"")"),"A string that is too thin can cause the kite to lose control.")</f>
        <v>A string that is too thin can cause the kite to lose control.</v>
      </c>
      <c r="G101" s="6">
        <v>100.0</v>
      </c>
      <c r="H101" s="7" t="s">
        <v>1530</v>
      </c>
      <c r="I101" s="7" t="s">
        <v>1531</v>
      </c>
      <c r="J101" s="7" t="s">
        <v>1532</v>
      </c>
      <c r="K101" s="7" t="s">
        <v>1533</v>
      </c>
    </row>
    <row r="102" ht="14.25" customHeight="1">
      <c r="A102" s="4">
        <v>101.0</v>
      </c>
      <c r="B102" s="5" t="str">
        <f>IFERROR(__xludf.DUMMYFUNCTION("GOOGLETRANSLATE(H102, ""th"", ""en"")"),"If a player's kite is not approved by the referee before the competition, is it considered a violation?")</f>
        <v>If a player's kite is not approved by the referee before the competition, is it considered a violation?</v>
      </c>
      <c r="C102" s="5" t="str">
        <f>IFERROR(__xludf.DUMMYFUNCTION("GOOGLETRANSLATE(I102, ""th"", ""en"")"),"A) It is considered a violation of the rules; B) It is not considered a violation of the rules.")</f>
        <v>A) It is considered a violation of the rules; B) It is not considered a violation of the rules.</v>
      </c>
      <c r="D102" s="5" t="str">
        <f>IFERROR(__xludf.DUMMYFUNCTION("GOOGLETRANSLATE(J102, ""th"", ""en"")"),"A) It is considered a violation of the rules.")</f>
        <v>A) It is considered a violation of the rules.</v>
      </c>
      <c r="E102" s="5" t="str">
        <f>IFERROR(__xludf.DUMMYFUNCTION("GOOGLETRANSLATE(K102, ""th"", ""en"")"),"All kites must be inspected and approved before the competition.")</f>
        <v>All kites must be inspected and approved before the competition.</v>
      </c>
      <c r="G102" s="6">
        <v>101.0</v>
      </c>
      <c r="H102" s="7" t="s">
        <v>1534</v>
      </c>
      <c r="I102" s="7" t="s">
        <v>1535</v>
      </c>
      <c r="J102" s="7" t="s">
        <v>1536</v>
      </c>
      <c r="K102" s="7" t="s">
        <v>1537</v>
      </c>
    </row>
    <row r="103" ht="14.25" customHeight="1">
      <c r="A103" s="4">
        <v>102.0</v>
      </c>
      <c r="B103" s="5" t="str">
        <f>IFERROR(__xludf.DUMMYFUNCTION("GOOGLETRANSLATE(H103, ""th"", ""en"")"),"Can players ask the referee to extend the game time?")</f>
        <v>Can players ask the referee to extend the game time?</v>
      </c>
      <c r="C103" s="5" t="str">
        <f>IFERROR(__xludf.DUMMYFUNCTION("GOOGLETRANSLATE(I103, ""th"", ""en"")"),"A) Yes; B) No")</f>
        <v>A) Yes; B) No</v>
      </c>
      <c r="D103" s="5" t="str">
        <f>IFERROR(__xludf.DUMMYFUNCTION("GOOGLETRANSLATE(J103, ""th"", ""en"")"),"B) No.")</f>
        <v>B) No.</v>
      </c>
      <c r="E103" s="5" t="str">
        <f>IFERROR(__xludf.DUMMYFUNCTION("GOOGLETRANSLATE(K103, ""th"", ""en"")"),"The competition time must be in accordance with the specified rules.")</f>
        <v>The competition time must be in accordance with the specified rules.</v>
      </c>
      <c r="G103" s="6">
        <v>102.0</v>
      </c>
      <c r="H103" s="7" t="s">
        <v>1538</v>
      </c>
      <c r="I103" s="7" t="s">
        <v>1314</v>
      </c>
      <c r="J103" s="7" t="s">
        <v>698</v>
      </c>
      <c r="K103" s="7" t="s">
        <v>1539</v>
      </c>
    </row>
    <row r="104" ht="14.25" customHeight="1">
      <c r="A104" s="4">
        <v>103.0</v>
      </c>
      <c r="B104" s="5" t="str">
        <f>IFERROR(__xludf.DUMMYFUNCTION("GOOGLETRANSLATE(H104, ""th"", ""en"")"),"If a player does not follow the kite setup rules before the competition, what are the consequences?")</f>
        <v>If a player does not follow the kite setup rules before the competition, what are the consequences?</v>
      </c>
      <c r="C104" s="5" t="str">
        <f>IFERROR(__xludf.DUMMYFUNCTION("GOOGLETRANSLATE(I104, ""th"", ""en"")"),"A) Points are deducted; B) Disqualified; C) No effect.")</f>
        <v>A) Points are deducted; B) Disqualified; C) No effect.</v>
      </c>
      <c r="D104" s="5" t="str">
        <f>IFERROR(__xludf.DUMMYFUNCTION("GOOGLETRANSLATE(J104, ""th"", ""en"")"),"B) Disqualified")</f>
        <v>B) Disqualified</v>
      </c>
      <c r="E104" s="5" t="str">
        <f>IFERROR(__xludf.DUMMYFUNCTION("GOOGLETRANSLATE(K104, ""th"", ""en"")"),"Failure to comply with the rules will result in the player being disqualified.")</f>
        <v>Failure to comply with the rules will result in the player being disqualified.</v>
      </c>
      <c r="G104" s="6">
        <v>103.0</v>
      </c>
      <c r="H104" s="7" t="s">
        <v>1540</v>
      </c>
      <c r="I104" s="7" t="s">
        <v>1541</v>
      </c>
      <c r="J104" s="7" t="s">
        <v>1444</v>
      </c>
      <c r="K104" s="7" t="s">
        <v>1542</v>
      </c>
    </row>
    <row r="105" ht="14.25" customHeight="1">
      <c r="A105" s="4">
        <v>104.0</v>
      </c>
      <c r="B105" s="5" t="str">
        <f>IFERROR(__xludf.DUMMYFUNCTION("GOOGLETRANSLATE(H105, ""th"", ""en"")"),"Can players use unfair methods, such as using chemicals to increase the speed of their kite?")</f>
        <v>Can players use unfair methods, such as using chemicals to increase the speed of their kite?</v>
      </c>
      <c r="C105" s="5" t="str">
        <f>IFERROR(__xludf.DUMMYFUNCTION("GOOGLETRANSLATE(I105, ""th"", ""en"")"),"A) Yes; B) No")</f>
        <v>A) Yes; B) No</v>
      </c>
      <c r="D105" s="5" t="str">
        <f>IFERROR(__xludf.DUMMYFUNCTION("GOOGLETRANSLATE(J105, ""th"", ""en"")"),"B) No.")</f>
        <v>B) No.</v>
      </c>
      <c r="E105" s="5" t="str">
        <f>IFERROR(__xludf.DUMMYFUNCTION("GOOGLETRANSLATE(K105, ""th"", ""en"")"),"Using chemicals to cheat is a violation of the rules.")</f>
        <v>Using chemicals to cheat is a violation of the rules.</v>
      </c>
      <c r="G105" s="6">
        <v>104.0</v>
      </c>
      <c r="H105" s="7" t="s">
        <v>1543</v>
      </c>
      <c r="I105" s="7" t="s">
        <v>1314</v>
      </c>
      <c r="J105" s="7" t="s">
        <v>698</v>
      </c>
      <c r="K105" s="7" t="s">
        <v>1544</v>
      </c>
    </row>
    <row r="106" ht="14.25" customHeight="1">
      <c r="A106" s="4">
        <v>105.0</v>
      </c>
      <c r="B106" s="5" t="str">
        <f>IFERROR(__xludf.DUMMYFUNCTION("GOOGLETRANSLATE(H106, ""th"", ""en"")"),"Is it a violation of the rules to fly a kite that does not meet the size requirements?")</f>
        <v>Is it a violation of the rules to fly a kite that does not meet the size requirements?</v>
      </c>
      <c r="C106" s="5" t="str">
        <f>IFERROR(__xludf.DUMMYFUNCTION("GOOGLETRANSLATE(I106, ""th"", ""en"")"),"A) It is considered a violation of the rules; B) It is not considered a violation of the rules.")</f>
        <v>A) It is considered a violation of the rules; B) It is not considered a violation of the rules.</v>
      </c>
      <c r="D106" s="5" t="str">
        <f>IFERROR(__xludf.DUMMYFUNCTION("GOOGLETRANSLATE(J106, ""th"", ""en"")"),"A) It is considered a violation of the rules.")</f>
        <v>A) It is considered a violation of the rules.</v>
      </c>
      <c r="E106" s="5" t="str">
        <f>IFERROR(__xludf.DUMMYFUNCTION("GOOGLETRANSLATE(K106, ""th"", ""en"")"),"The size of the kite must meet the requirements.")</f>
        <v>The size of the kite must meet the requirements.</v>
      </c>
      <c r="G106" s="6">
        <v>105.0</v>
      </c>
      <c r="H106" s="7" t="s">
        <v>1545</v>
      </c>
      <c r="I106" s="7" t="s">
        <v>1535</v>
      </c>
      <c r="J106" s="7" t="s">
        <v>1536</v>
      </c>
      <c r="K106" s="7" t="s">
        <v>1546</v>
      </c>
    </row>
    <row r="107" ht="14.25" customHeight="1">
      <c r="A107" s="4">
        <v>106.0</v>
      </c>
      <c r="B107" s="5" t="str">
        <f>IFERROR(__xludf.DUMMYFUNCTION("GOOGLETRANSLATE(H107, ""th"", ""en"")"),"Can players use a specially decorated kite?")</f>
        <v>Can players use a specially decorated kite?</v>
      </c>
      <c r="C107" s="5" t="str">
        <f>IFERROR(__xludf.DUMMYFUNCTION("GOOGLETRANSLATE(I107, ""th"", ""en"")"),"A) Yes; B) No")</f>
        <v>A) Yes; B) No</v>
      </c>
      <c r="D107" s="5" t="str">
        <f>IFERROR(__xludf.DUMMYFUNCTION("GOOGLETRANSLATE(J107, ""th"", ""en"")"),"A) Yes.")</f>
        <v>A) Yes.</v>
      </c>
      <c r="E107" s="5" t="str">
        <f>IFERROR(__xludf.DUMMYFUNCTION("GOOGLETRANSLATE(K107, ""th"", ""en"")"),"Decorating kites is permitted in competitions.")</f>
        <v>Decorating kites is permitted in competitions.</v>
      </c>
      <c r="G107" s="6">
        <v>106.0</v>
      </c>
      <c r="H107" s="7" t="s">
        <v>1547</v>
      </c>
      <c r="I107" s="7" t="s">
        <v>1314</v>
      </c>
      <c r="J107" s="7" t="s">
        <v>737</v>
      </c>
      <c r="K107" s="7" t="s">
        <v>1548</v>
      </c>
    </row>
    <row r="108" ht="14.25" customHeight="1">
      <c r="A108" s="4">
        <v>107.0</v>
      </c>
      <c r="B108" s="5" t="str">
        <f>IFERROR(__xludf.DUMMYFUNCTION("GOOGLETRANSLATE(H108, ""th"", ""en"")"),"Is it illegal to use a kite that is too durable or made of high quality materials?")</f>
        <v>Is it illegal to use a kite that is too durable or made of high quality materials?</v>
      </c>
      <c r="C108" s="5" t="str">
        <f>IFERROR(__xludf.DUMMYFUNCTION("GOOGLETRANSLATE(I108, ""th"", ""en"")"),"A) It is considered a violation of the rules; B) It is not considered a violation of the rules.")</f>
        <v>A) It is considered a violation of the rules; B) It is not considered a violation of the rules.</v>
      </c>
      <c r="D108" s="5" t="str">
        <f>IFERROR(__xludf.DUMMYFUNCTION("GOOGLETRANSLATE(J108, ""th"", ""en"")"),"B) It is not considered a violation of the rules.")</f>
        <v>B) It is not considered a violation of the rules.</v>
      </c>
      <c r="E108" s="5" t="str">
        <f>IFERROR(__xludf.DUMMYFUNCTION("GOOGLETRANSLATE(K108, ""th"", ""en"")"),"Good materials help make the kite strong and safe.")</f>
        <v>Good materials help make the kite strong and safe.</v>
      </c>
      <c r="G108" s="6">
        <v>107.0</v>
      </c>
      <c r="H108" s="7" t="s">
        <v>1549</v>
      </c>
      <c r="I108" s="7" t="s">
        <v>1535</v>
      </c>
      <c r="J108" s="7" t="s">
        <v>1550</v>
      </c>
      <c r="K108" s="7" t="s">
        <v>1551</v>
      </c>
    </row>
    <row r="109" ht="14.25" customHeight="1">
      <c r="A109" s="4">
        <v>108.0</v>
      </c>
      <c r="B109" s="5" t="str">
        <f>IFERROR(__xludf.DUMMYFUNCTION("GOOGLETRANSLATE(H109, ""th"", ""en"")"),"Can flying a kite at too high a speed affect the outcome of a race?")</f>
        <v>Can flying a kite at too high a speed affect the outcome of a race?</v>
      </c>
      <c r="C109" s="5" t="str">
        <f>IFERROR(__xludf.DUMMYFUNCTION("GOOGLETRANSLATE(I109, ""th"", ""en"")"),"A) can affect; B) cannot affect")</f>
        <v>A) can affect; B) cannot affect</v>
      </c>
      <c r="D109" s="5" t="str">
        <f>IFERROR(__xludf.DUMMYFUNCTION("GOOGLETRANSLATE(J109, ""th"", ""en"")"),"A) Can affect")</f>
        <v>A) Can affect</v>
      </c>
      <c r="E109" s="5" t="str">
        <f>IFERROR(__xludf.DUMMYFUNCTION("GOOGLETRANSLATE(K109, ""th"", ""en"")"),"Too high a speed can cause the kite to become uncontrollable.")</f>
        <v>Too high a speed can cause the kite to become uncontrollable.</v>
      </c>
      <c r="G109" s="6">
        <v>108.0</v>
      </c>
      <c r="H109" s="7" t="s">
        <v>1552</v>
      </c>
      <c r="I109" s="7" t="s">
        <v>1553</v>
      </c>
      <c r="J109" s="7" t="s">
        <v>1554</v>
      </c>
      <c r="K109" s="7" t="s">
        <v>1555</v>
      </c>
    </row>
    <row r="110" ht="14.25" customHeight="1">
      <c r="A110" s="4">
        <v>109.0</v>
      </c>
      <c r="B110" s="5" t="str">
        <f>IFERROR(__xludf.DUMMYFUNCTION("GOOGLETRANSLATE(H110, ""th"", ""en"")"),"Can players use special techniques to hinder their opponents in the match?")</f>
        <v>Can players use special techniques to hinder their opponents in the match?</v>
      </c>
      <c r="C110" s="5" t="str">
        <f>IFERROR(__xludf.DUMMYFUNCTION("GOOGLETRANSLATE(I110, ""th"", ""en"")"),"A) Yes; B) No")</f>
        <v>A) Yes; B) No</v>
      </c>
      <c r="D110" s="5" t="str">
        <f>IFERROR(__xludf.DUMMYFUNCTION("GOOGLETRANSLATE(J110, ""th"", ""en"")"),"B) No.")</f>
        <v>B) No.</v>
      </c>
      <c r="E110" s="5" t="str">
        <f>IFERROR(__xludf.DUMMYFUNCTION("GOOGLETRANSLATE(K110, ""th"", ""en"")"),"Obstructing your opponent is a violation of the rules.")</f>
        <v>Obstructing your opponent is a violation of the rules.</v>
      </c>
      <c r="G110" s="6">
        <v>109.0</v>
      </c>
      <c r="H110" s="7" t="s">
        <v>1556</v>
      </c>
      <c r="I110" s="7" t="s">
        <v>1314</v>
      </c>
      <c r="J110" s="7" t="s">
        <v>698</v>
      </c>
      <c r="K110" s="7" t="s">
        <v>1557</v>
      </c>
    </row>
    <row r="111" ht="14.25" customHeight="1">
      <c r="A111" s="4">
        <v>110.0</v>
      </c>
      <c r="B111" s="5" t="str">
        <f>IFERROR(__xludf.DUMMYFUNCTION("GOOGLETRANSLATE(H111, ""th"", ""en"")"),"If a player's kite is blocked by an opponent, will the match be stopped?")</f>
        <v>If a player's kite is blocked by an opponent, will the match be stopped?</v>
      </c>
      <c r="C111" s="5" t="str">
        <f>IFERROR(__xludf.DUMMYFUNCTION("GOOGLETRANSLATE(I111, ""th"", ""en"")"),"A) will be stopped; B) will not be stopped")</f>
        <v>A) will be stopped; B) will not be stopped</v>
      </c>
      <c r="D111" s="5" t="str">
        <f>IFERROR(__xludf.DUMMYFUNCTION("GOOGLETRANSLATE(J111, ""th"", ""en"")"),"B) will not be stopped")</f>
        <v>B) will not be stopped</v>
      </c>
      <c r="E111" s="5" t="str">
        <f>IFERROR(__xludf.DUMMYFUNCTION("GOOGLETRANSLATE(K111, ""th"", ""en"")"),"The competition will continue according to the rules.")</f>
        <v>The competition will continue according to the rules.</v>
      </c>
      <c r="G111" s="6">
        <v>110.0</v>
      </c>
      <c r="H111" s="7" t="s">
        <v>1558</v>
      </c>
      <c r="I111" s="7" t="s">
        <v>1559</v>
      </c>
      <c r="J111" s="7" t="s">
        <v>1560</v>
      </c>
      <c r="K111" s="7" t="s">
        <v>1561</v>
      </c>
    </row>
    <row r="112" ht="14.25" customHeight="1">
      <c r="A112" s="4">
        <v>111.0</v>
      </c>
      <c r="B112" s="5" t="str">
        <f>IFERROR(__xludf.DUMMYFUNCTION("GOOGLETRANSLATE(H112, ""th"", ""en"")"),"Can players ask the referee to make a decision on an issue that occurred during the match?")</f>
        <v>Can players ask the referee to make a decision on an issue that occurred during the match?</v>
      </c>
      <c r="C112" s="5" t="str">
        <f>IFERROR(__xludf.DUMMYFUNCTION("GOOGLETRANSLATE(I112, ""th"", ""en"")"),"A) Yes; B) No")</f>
        <v>A) Yes; B) No</v>
      </c>
      <c r="D112" s="5" t="str">
        <f>IFERROR(__xludf.DUMMYFUNCTION("GOOGLETRANSLATE(J112, ""th"", ""en"")"),"A) Yes.")</f>
        <v>A) Yes.</v>
      </c>
      <c r="E112" s="5" t="str">
        <f>IFERROR(__xludf.DUMMYFUNCTION("GOOGLETRANSLATE(K112, ""th"", ""en"")"),"The referee can decide on any disputes during the match.")</f>
        <v>The referee can decide on any disputes during the match.</v>
      </c>
      <c r="G112" s="6">
        <v>111.0</v>
      </c>
      <c r="H112" s="7" t="s">
        <v>1562</v>
      </c>
      <c r="I112" s="7" t="s">
        <v>1314</v>
      </c>
      <c r="J112" s="7" t="s">
        <v>737</v>
      </c>
      <c r="K112" s="7" t="s">
        <v>1563</v>
      </c>
    </row>
    <row r="113" ht="14.25" customHeight="1">
      <c r="A113" s="4">
        <v>112.0</v>
      </c>
      <c r="B113" s="5" t="str">
        <f>IFERROR(__xludf.DUMMYFUNCTION("GOOGLETRANSLATE(H113, ""th"", ""en"")"),"Is it against the rules to use a rope with special characteristics that could affect the flight of the kite?")</f>
        <v>Is it against the rules to use a rope with special characteristics that could affect the flight of the kite?</v>
      </c>
      <c r="C113" s="5" t="str">
        <f>IFERROR(__xludf.DUMMYFUNCTION("GOOGLETRANSLATE(I113, ""th"", ""en"")"),"A) It is considered a violation of the rules; B) It is not considered a violation of the rules.")</f>
        <v>A) It is considered a violation of the rules; B) It is not considered a violation of the rules.</v>
      </c>
      <c r="D113" s="5" t="str">
        <f>IFERROR(__xludf.DUMMYFUNCTION("GOOGLETRANSLATE(J113, ""th"", ""en"")"),"A) It is considered a violation of the rules.")</f>
        <v>A) It is considered a violation of the rules.</v>
      </c>
      <c r="E113" s="5" t="str">
        <f>IFERROR(__xludf.DUMMYFUNCTION("GOOGLETRANSLATE(K113, ""th"", ""en"")"),"The rope must be of a suitable type for the competition.")</f>
        <v>The rope must be of a suitable type for the competition.</v>
      </c>
      <c r="G113" s="6">
        <v>112.0</v>
      </c>
      <c r="H113" s="7" t="s">
        <v>1564</v>
      </c>
      <c r="I113" s="7" t="s">
        <v>1535</v>
      </c>
      <c r="J113" s="7" t="s">
        <v>1536</v>
      </c>
      <c r="K113" s="7" t="s">
        <v>1565</v>
      </c>
    </row>
    <row r="114" ht="14.25" customHeight="1">
      <c r="A114" s="4">
        <v>113.0</v>
      </c>
      <c r="B114" s="5" t="str">
        <f>IFERROR(__xludf.DUMMYFUNCTION("GOOGLETRANSLATE(H114, ""th"", ""en"")"),"Can players fly their kite in illegal positions?")</f>
        <v>Can players fly their kite in illegal positions?</v>
      </c>
      <c r="C114" s="5" t="str">
        <f>IFERROR(__xludf.DUMMYFUNCTION("GOOGLETRANSLATE(I114, ""th"", ""en"")"),"A) Yes; B) No")</f>
        <v>A) Yes; B) No</v>
      </c>
      <c r="D114" s="5" t="str">
        <f>IFERROR(__xludf.DUMMYFUNCTION("GOOGLETRANSLATE(J114, ""th"", ""en"")"),"B) No.")</f>
        <v>B) No.</v>
      </c>
      <c r="E114" s="5" t="str">
        <f>IFERROR(__xludf.DUMMYFUNCTION("GOOGLETRANSLATE(K114, ""th"", ""en"")"),"Flying in an illegal manner may cause the kite to fall or be damaged.")</f>
        <v>Flying in an illegal manner may cause the kite to fall or be damaged.</v>
      </c>
      <c r="G114" s="6">
        <v>113.0</v>
      </c>
      <c r="H114" s="7" t="s">
        <v>1566</v>
      </c>
      <c r="I114" s="7" t="s">
        <v>1314</v>
      </c>
      <c r="J114" s="7" t="s">
        <v>698</v>
      </c>
      <c r="K114" s="7" t="s">
        <v>1567</v>
      </c>
    </row>
    <row r="115" ht="14.25" customHeight="1">
      <c r="A115" s="4">
        <v>114.0</v>
      </c>
      <c r="B115" s="5" t="str">
        <f>IFERROR(__xludf.DUMMYFUNCTION("GOOGLETRANSLATE(H115, ""th"", ""en"")"),"In the competition, can players use kite control techniques that violate the rules?")</f>
        <v>In the competition, can players use kite control techniques that violate the rules?</v>
      </c>
      <c r="C115" s="5" t="str">
        <f>IFERROR(__xludf.DUMMYFUNCTION("GOOGLETRANSLATE(I115, ""th"", ""en"")"),"A) Yes; B) No")</f>
        <v>A) Yes; B) No</v>
      </c>
      <c r="D115" s="5" t="str">
        <f>IFERROR(__xludf.DUMMYFUNCTION("GOOGLETRANSLATE(J115, ""th"", ""en"")"),"B) No.")</f>
        <v>B) No.</v>
      </c>
      <c r="E115" s="5" t="str">
        <f>IFERROR(__xludf.DUMMYFUNCTION("GOOGLETRANSLATE(K115, ""th"", ""en"")"),"Using illegal techniques puts you at a disadvantage in the competition.")</f>
        <v>Using illegal techniques puts you at a disadvantage in the competition.</v>
      </c>
      <c r="G115" s="6">
        <v>114.0</v>
      </c>
      <c r="H115" s="7" t="s">
        <v>1568</v>
      </c>
      <c r="I115" s="7" t="s">
        <v>1314</v>
      </c>
      <c r="J115" s="7" t="s">
        <v>698</v>
      </c>
      <c r="K115" s="7" t="s">
        <v>1569</v>
      </c>
    </row>
    <row r="116" ht="14.25" customHeight="1">
      <c r="A116" s="4">
        <v>115.0</v>
      </c>
      <c r="B116" s="5" t="str">
        <f>IFERROR(__xludf.DUMMYFUNCTION("GOOGLETRANSLATE(H116, ""th"", ""en"")"),"Can players use a kite that is too small?")</f>
        <v>Can players use a kite that is too small?</v>
      </c>
      <c r="C116" s="5" t="str">
        <f>IFERROR(__xludf.DUMMYFUNCTION("GOOGLETRANSLATE(I116, ""th"", ""en"")"),"A) Yes; B) No")</f>
        <v>A) Yes; B) No</v>
      </c>
      <c r="D116" s="5" t="str">
        <f>IFERROR(__xludf.DUMMYFUNCTION("GOOGLETRANSLATE(J116, ""th"", ""en"")"),"B) No.")</f>
        <v>B) No.</v>
      </c>
      <c r="E116" s="5" t="str">
        <f>IFERROR(__xludf.DUMMYFUNCTION("GOOGLETRANSLATE(K116, ""th"", ""en"")"),"The size of the kite must comply with the specified rules.")</f>
        <v>The size of the kite must comply with the specified rules.</v>
      </c>
      <c r="G116" s="6">
        <v>115.0</v>
      </c>
      <c r="H116" s="7" t="s">
        <v>1570</v>
      </c>
      <c r="I116" s="7" t="s">
        <v>1314</v>
      </c>
      <c r="J116" s="7" t="s">
        <v>698</v>
      </c>
      <c r="K116" s="7" t="s">
        <v>1571</v>
      </c>
    </row>
    <row r="117" ht="14.25" customHeight="1">
      <c r="A117" s="4">
        <v>116.0</v>
      </c>
      <c r="B117" s="5" t="str">
        <f>IFERROR(__xludf.DUMMYFUNCTION("GOOGLETRANSLATE(H117, ""th"", ""en"")"),"If a player's kite changes shape or size during a match, is it a violation?")</f>
        <v>If a player's kite changes shape or size during a match, is it a violation?</v>
      </c>
      <c r="C117" s="5" t="str">
        <f>IFERROR(__xludf.DUMMYFUNCTION("GOOGLETRANSLATE(I117, ""th"", ""en"")"),"A) It is considered a violation of the rules; B) It is not considered a violation of the rules.")</f>
        <v>A) It is considered a violation of the rules; B) It is not considered a violation of the rules.</v>
      </c>
      <c r="D117" s="5" t="str">
        <f>IFERROR(__xludf.DUMMYFUNCTION("GOOGLETRANSLATE(J117, ""th"", ""en"")"),"A) It is considered a violation of the rules.")</f>
        <v>A) It is considered a violation of the rules.</v>
      </c>
      <c r="E117" s="5" t="str">
        <f>IFERROR(__xludf.DUMMYFUNCTION("GOOGLETRANSLATE(K117, ""th"", ""en"")"),"The format and size must remain consistent throughout the competition.")</f>
        <v>The format and size must remain consistent throughout the competition.</v>
      </c>
      <c r="G117" s="6">
        <v>116.0</v>
      </c>
      <c r="H117" s="7" t="s">
        <v>1572</v>
      </c>
      <c r="I117" s="7" t="s">
        <v>1535</v>
      </c>
      <c r="J117" s="7" t="s">
        <v>1536</v>
      </c>
      <c r="K117" s="7" t="s">
        <v>1573</v>
      </c>
    </row>
    <row r="118" ht="14.25" customHeight="1">
      <c r="A118" s="4">
        <v>117.0</v>
      </c>
      <c r="B118" s="5" t="str">
        <f>IFERROR(__xludf.DUMMYFUNCTION("GOOGLETRANSLATE(H118, ""th"", ""en"")"),"Can players change kites during a match?")</f>
        <v>Can players change kites during a match?</v>
      </c>
      <c r="C118" s="5" t="str">
        <f>IFERROR(__xludf.DUMMYFUNCTION("GOOGLETRANSLATE(I118, ""th"", ""en"")"),"A) Yes; B) No")</f>
        <v>A) Yes; B) No</v>
      </c>
      <c r="D118" s="5" t="str">
        <f>IFERROR(__xludf.DUMMYFUNCTION("GOOGLETRANSLATE(J118, ""th"", ""en"")"),"B) No.")</f>
        <v>B) No.</v>
      </c>
      <c r="E118" s="5" t="str">
        <f>IFERROR(__xludf.DUMMYFUNCTION("GOOGLETRANSLATE(K118, ""th"", ""en"")"),"Players must use the same kite throughout the match.")</f>
        <v>Players must use the same kite throughout the match.</v>
      </c>
      <c r="G118" s="6">
        <v>117.0</v>
      </c>
      <c r="H118" s="7" t="s">
        <v>1574</v>
      </c>
      <c r="I118" s="7" t="s">
        <v>1314</v>
      </c>
      <c r="J118" s="7" t="s">
        <v>698</v>
      </c>
      <c r="K118" s="7" t="s">
        <v>1419</v>
      </c>
    </row>
    <row r="119" ht="14.25" customHeight="1">
      <c r="A119" s="4">
        <v>118.0</v>
      </c>
      <c r="B119" s="5" t="str">
        <f>IFERROR(__xludf.DUMMYFUNCTION("GOOGLETRANSLATE(H119, ""th"", ""en"")"),"In a kite fighting competition, do players have to maintain the standard of their kite according to the rules?")</f>
        <v>In a kite fighting competition, do players have to maintain the standard of their kite according to the rules?</v>
      </c>
      <c r="C119" s="5" t="str">
        <f>IFERROR(__xludf.DUMMYFUNCTION("GOOGLETRANSLATE(I119, ""th"", ""en"")"),"A) Must be treated; B) Do not need to be treated.")</f>
        <v>A) Must be treated; B) Do not need to be treated.</v>
      </c>
      <c r="D119" s="5" t="str">
        <f>IFERROR(__xludf.DUMMYFUNCTION("GOOGLETRANSLATE(J119, ""th"", ""en"")"),"A) Must be maintained")</f>
        <v>A) Must be maintained</v>
      </c>
      <c r="E119" s="5" t="str">
        <f>IFERROR(__xludf.DUMMYFUNCTION("GOOGLETRANSLATE(K119, ""th"", ""en"")"),"Kite standards are essential for fair competition.")</f>
        <v>Kite standards are essential for fair competition.</v>
      </c>
      <c r="G119" s="6">
        <v>118.0</v>
      </c>
      <c r="H119" s="7" t="s">
        <v>1575</v>
      </c>
      <c r="I119" s="7" t="s">
        <v>1576</v>
      </c>
      <c r="J119" s="7" t="s">
        <v>1577</v>
      </c>
      <c r="K119" s="7" t="s">
        <v>1578</v>
      </c>
    </row>
    <row r="120" ht="14.25" customHeight="1">
      <c r="A120" s="4">
        <v>119.0</v>
      </c>
      <c r="B120" s="5" t="str">
        <f>IFERROR(__xludf.DUMMYFUNCTION("GOOGLETRANSLATE(H120, ""th"", ""en"")"),"What consequences might a player face if they violate the rules in the kite setup?")</f>
        <v>What consequences might a player face if they violate the rules in the kite setup?</v>
      </c>
      <c r="C120" s="5" t="str">
        <f>IFERROR(__xludf.DUMMYFUNCTION("GOOGLETRANSLATE(I120, ""th"", ""en"")"),"A) get extra points; B) get less points; C) get disqualified")</f>
        <v>A) get extra points; B) get less points; C) get disqualified</v>
      </c>
      <c r="D120" s="5" t="str">
        <f>IFERROR(__xludf.DUMMYFUNCTION("GOOGLETRANSLATE(J120, ""th"", ""en"")"),"C) Disqualified")</f>
        <v>C) Disqualified</v>
      </c>
      <c r="E120" s="5" t="str">
        <f>IFERROR(__xludf.DUMMYFUNCTION("GOOGLETRANSLATE(K120, ""th"", ""en"")"),"Violating the rules will result in the player being disqualified.")</f>
        <v>Violating the rules will result in the player being disqualified.</v>
      </c>
      <c r="G120" s="6">
        <v>119.0</v>
      </c>
      <c r="H120" s="7" t="s">
        <v>1579</v>
      </c>
      <c r="I120" s="7" t="s">
        <v>1580</v>
      </c>
      <c r="J120" s="7" t="s">
        <v>1581</v>
      </c>
      <c r="K120" s="7" t="s">
        <v>1582</v>
      </c>
    </row>
    <row r="121" ht="14.25" customHeight="1">
      <c r="A121" s="4">
        <v>120.0</v>
      </c>
      <c r="B121" s="5" t="str">
        <f>IFERROR(__xludf.DUMMYFUNCTION("GOOGLETRANSLATE(H121, ""th"", ""en"")"),"Can players use kites with additional attachments during the match?")</f>
        <v>Can players use kites with additional attachments during the match?</v>
      </c>
      <c r="C121" s="5" t="str">
        <f>IFERROR(__xludf.DUMMYFUNCTION("GOOGLETRANSLATE(I121, ""th"", ""en"")"),"A) Yes; B) No")</f>
        <v>A) Yes; B) No</v>
      </c>
      <c r="D121" s="5" t="str">
        <f>IFERROR(__xludf.DUMMYFUNCTION("GOOGLETRANSLATE(J121, ""th"", ""en"")"),"B) No.")</f>
        <v>B) No.</v>
      </c>
      <c r="E121" s="5" t="str">
        <f>IFERROR(__xludf.DUMMYFUNCTION("GOOGLETRANSLATE(K121, ""th"", ""en"")"),"Using additional add-ons is a violation of the rules.")</f>
        <v>Using additional add-ons is a violation of the rules.</v>
      </c>
      <c r="G121" s="6">
        <v>120.0</v>
      </c>
      <c r="H121" s="7" t="s">
        <v>1583</v>
      </c>
      <c r="I121" s="7" t="s">
        <v>1314</v>
      </c>
      <c r="J121" s="7" t="s">
        <v>698</v>
      </c>
      <c r="K121" s="7" t="s">
        <v>1584</v>
      </c>
    </row>
    <row r="122" ht="14.25" customHeight="1">
      <c r="A122" s="4">
        <v>121.0</v>
      </c>
      <c r="B122" s="5" t="str">
        <f>IFERROR(__xludf.DUMMYFUNCTION("GOOGLETRANSLATE(H122, ""th"", ""en"")"),"Can players use unusual kite flying techniques?")</f>
        <v>Can players use unusual kite flying techniques?</v>
      </c>
      <c r="C122" s="5" t="str">
        <f>IFERROR(__xludf.DUMMYFUNCTION("GOOGLETRANSLATE(I122, ""th"", ""en"")"),"A) Yes; B) No")</f>
        <v>A) Yes; B) No</v>
      </c>
      <c r="D122" s="5" t="str">
        <f>IFERROR(__xludf.DUMMYFUNCTION("GOOGLETRANSLATE(J122, ""th"", ""en"")"),"B) No.")</f>
        <v>B) No.</v>
      </c>
      <c r="E122" s="5" t="str">
        <f>IFERROR(__xludf.DUMMYFUNCTION("GOOGLETRANSLATE(K122, ""th"", ""en"")"),"Flight techniques must be within the limits of the established rules.")</f>
        <v>Flight techniques must be within the limits of the established rules.</v>
      </c>
      <c r="G122" s="6">
        <v>121.0</v>
      </c>
      <c r="H122" s="7" t="s">
        <v>1585</v>
      </c>
      <c r="I122" s="7" t="s">
        <v>1314</v>
      </c>
      <c r="J122" s="7" t="s">
        <v>698</v>
      </c>
      <c r="K122" s="7" t="s">
        <v>1586</v>
      </c>
    </row>
    <row r="123" ht="14.25" customHeight="1">
      <c r="A123" s="4">
        <v>122.0</v>
      </c>
      <c r="B123" s="5" t="str">
        <f>IFERROR(__xludf.DUMMYFUNCTION("GOOGLETRANSLATE(H123, ""th"", ""en"")"),"If a player's kite gets stuck in a tree during a match, what should he do?")</f>
        <v>If a player's kite gets stuck in a tree during a match, what should he do?</v>
      </c>
      <c r="C123" s="5" t="str">
        <f>IFERROR(__xludf.DUMMYFUNCTION("GOOGLETRANSLATE(I123, ""th"", ""en"")"),"A) Notify the referee; B) Try to pull out the kite; C) Stop the match.")</f>
        <v>A) Notify the referee; B) Try to pull out the kite; C) Stop the match.</v>
      </c>
      <c r="D123" s="5" t="str">
        <f>IFERROR(__xludf.DUMMYFUNCTION("GOOGLETRANSLATE(J123, ""th"", ""en"")"),"A) Inform the committee.")</f>
        <v>A) Inform the committee.</v>
      </c>
      <c r="E123" s="5" t="str">
        <f>IFERROR(__xludf.DUMMYFUNCTION("GOOGLETRANSLATE(K123, ""th"", ""en"")"),"The referee will decide the situation according to the relevant rules.")</f>
        <v>The referee will decide the situation according to the relevant rules.</v>
      </c>
      <c r="G123" s="6">
        <v>122.0</v>
      </c>
      <c r="H123" s="7" t="s">
        <v>1587</v>
      </c>
      <c r="I123" s="7" t="s">
        <v>1588</v>
      </c>
      <c r="J123" s="7" t="s">
        <v>20</v>
      </c>
      <c r="K123" s="7" t="s">
        <v>1589</v>
      </c>
    </row>
    <row r="124" ht="14.25" customHeight="1">
      <c r="A124" s="4">
        <v>123.0</v>
      </c>
      <c r="B124" s="5" t="str">
        <f>IFERROR(__xludf.DUMMYFUNCTION("GOOGLETRANSLATE(H124, ""th"", ""en"")"),"Will using a rope that is too thick affect the kite's flight?")</f>
        <v>Will using a rope that is too thick affect the kite's flight?</v>
      </c>
      <c r="C124" s="5" t="str">
        <f>IFERROR(__xludf.DUMMYFUNCTION("GOOGLETRANSLATE(I124, ""th"", ""en"")"),"A) effective; B) ineffective")</f>
        <v>A) effective; B) ineffective</v>
      </c>
      <c r="D124" s="5" t="str">
        <f>IFERROR(__xludf.DUMMYFUNCTION("GOOGLETRANSLATE(J124, ""th"", ""en"")"),"A) Effective")</f>
        <v>A) Effective</v>
      </c>
      <c r="E124" s="5" t="str">
        <f>IFERROR(__xludf.DUMMYFUNCTION("GOOGLETRANSLATE(K124, ""th"", ""en"")"),"A rope that is too thick can make the kite difficult to control.")</f>
        <v>A rope that is too thick can make the kite difficult to control.</v>
      </c>
      <c r="G124" s="6">
        <v>123.0</v>
      </c>
      <c r="H124" s="7" t="s">
        <v>1590</v>
      </c>
      <c r="I124" s="7" t="s">
        <v>1531</v>
      </c>
      <c r="J124" s="7" t="s">
        <v>1532</v>
      </c>
      <c r="K124" s="7" t="s">
        <v>1591</v>
      </c>
    </row>
    <row r="125" ht="14.25" customHeight="1">
      <c r="A125" s="4">
        <v>124.0</v>
      </c>
      <c r="B125" s="5" t="str">
        <f>IFERROR(__xludf.DUMMYFUNCTION("GOOGLETRANSLATE(H125, ""th"", ""en"")"),"In a kite fighting competition, can a player fly the kite in a way that makes it invisible to their opponent?")</f>
        <v>In a kite fighting competition, can a player fly the kite in a way that makes it invisible to their opponent?</v>
      </c>
      <c r="C125" s="5" t="str">
        <f>IFERROR(__xludf.DUMMYFUNCTION("GOOGLETRANSLATE(I125, ""th"", ""en"")"),"A) Yes; B) No")</f>
        <v>A) Yes; B) No</v>
      </c>
      <c r="D125" s="5" t="str">
        <f>IFERROR(__xludf.DUMMYFUNCTION("GOOGLETRANSLATE(J125, ""th"", ""en"")"),"B) No.")</f>
        <v>B) No.</v>
      </c>
      <c r="E125" s="5" t="str">
        <f>IFERROR(__xludf.DUMMYFUNCTION("GOOGLETRANSLATE(K125, ""th"", ""en"")"),"Kite flying must not be maneuvering to make it obvious to your opponent.")</f>
        <v>Kite flying must not be maneuvering to make it obvious to your opponent.</v>
      </c>
      <c r="G125" s="6">
        <v>124.0</v>
      </c>
      <c r="H125" s="7" t="s">
        <v>1592</v>
      </c>
      <c r="I125" s="7" t="s">
        <v>1314</v>
      </c>
      <c r="J125" s="7" t="s">
        <v>698</v>
      </c>
      <c r="K125" s="7" t="s">
        <v>1593</v>
      </c>
    </row>
    <row r="126" ht="14.25" customHeight="1">
      <c r="A126" s="4">
        <v>125.0</v>
      </c>
      <c r="B126" s="5" t="str">
        <f>IFERROR(__xludf.DUMMYFUNCTION("GOOGLETRANSLATE(H126, ""th"", ""en"")"),"If a player uses a kite that does not meet the rules, what consequences will he face?")</f>
        <v>If a player uses a kite that does not meet the rules, what consequences will he face?</v>
      </c>
      <c r="C126" s="5" t="str">
        <f>IFERROR(__xludf.DUMMYFUNCTION("GOOGLETRANSLATE(I126, ""th"", ""en"")"),"A) Increased score; B) Decreased score; C) Disqualified")</f>
        <v>A) Increased score; B) Decreased score; C) Disqualified</v>
      </c>
      <c r="D126" s="5" t="str">
        <f>IFERROR(__xludf.DUMMYFUNCTION("GOOGLETRANSLATE(J126, ""th"", ""en"")"),"C) Disqualified")</f>
        <v>C) Disqualified</v>
      </c>
      <c r="E126" s="5" t="str">
        <f>IFERROR(__xludf.DUMMYFUNCTION("GOOGLETRANSLATE(K126, ""th"", ""en"")"),"Using a kite that does not comply with the rules will result in the player being disqualified.")</f>
        <v>Using a kite that does not comply with the rules will result in the player being disqualified.</v>
      </c>
      <c r="G126" s="6">
        <v>125.0</v>
      </c>
      <c r="H126" s="7" t="s">
        <v>1594</v>
      </c>
      <c r="I126" s="7" t="s">
        <v>1595</v>
      </c>
      <c r="J126" s="7" t="s">
        <v>1581</v>
      </c>
      <c r="K126" s="7" t="s">
        <v>1596</v>
      </c>
    </row>
    <row r="127" ht="14.25" customHeight="1">
      <c r="A127" s="4">
        <v>126.0</v>
      </c>
      <c r="B127" s="5" t="str">
        <f>IFERROR(__xludf.DUMMYFUNCTION("GOOGLETRANSLATE(H127, ""th"", ""en"")"),"If the kite flying causes damage to the race course, will the rules be changed?")</f>
        <v>If the kite flying causes damage to the race course, will the rules be changed?</v>
      </c>
      <c r="C127" s="5" t="str">
        <f>IFERROR(__xludf.DUMMYFUNCTION("GOOGLETRANSLATE(I127, ""th"", ""en"")"),"A) There will be changes; B) There will be no changes.")</f>
        <v>A) There will be changes; B) There will be no changes.</v>
      </c>
      <c r="D127" s="5" t="str">
        <f>IFERROR(__xludf.DUMMYFUNCTION("GOOGLETRANSLATE(J127, ""th"", ""en"")"),"B) There will be no changes.")</f>
        <v>B) There will be no changes.</v>
      </c>
      <c r="E127" s="5" t="str">
        <f>IFERROR(__xludf.DUMMYFUNCTION("GOOGLETRANSLATE(K127, ""th"", ""en"")"),"The racetrack must be properly maintained.")</f>
        <v>The racetrack must be properly maintained.</v>
      </c>
      <c r="G127" s="6">
        <v>126.0</v>
      </c>
      <c r="H127" s="7" t="s">
        <v>1597</v>
      </c>
      <c r="I127" s="7" t="s">
        <v>1598</v>
      </c>
      <c r="J127" s="7" t="s">
        <v>1599</v>
      </c>
      <c r="K127" s="7" t="s">
        <v>1600</v>
      </c>
    </row>
    <row r="128" ht="14.25" customHeight="1">
      <c r="A128" s="4">
        <v>127.0</v>
      </c>
      <c r="B128" s="5" t="str">
        <f>IFERROR(__xludf.DUMMYFUNCTION("GOOGLETRANSLATE(H128, ""th"", ""en"")"),"Can players fly their opponent's kite?")</f>
        <v>Can players fly their opponent's kite?</v>
      </c>
      <c r="C128" s="5" t="str">
        <f>IFERROR(__xludf.DUMMYFUNCTION("GOOGLETRANSLATE(I128, ""th"", ""en"")"),"A) Yes; B) No")</f>
        <v>A) Yes; B) No</v>
      </c>
      <c r="D128" s="5" t="str">
        <f>IFERROR(__xludf.DUMMYFUNCTION("GOOGLETRANSLATE(J128, ""th"", ""en"")"),"B) No.")</f>
        <v>B) No.</v>
      </c>
      <c r="E128" s="5" t="str">
        <f>IFERROR(__xludf.DUMMYFUNCTION("GOOGLETRANSLATE(K128, ""th"", ""en"")"),"Flying your opponent's kite is a violation of the rules.")</f>
        <v>Flying your opponent's kite is a violation of the rules.</v>
      </c>
      <c r="G128" s="6">
        <v>127.0</v>
      </c>
      <c r="H128" s="7" t="s">
        <v>1601</v>
      </c>
      <c r="I128" s="7" t="s">
        <v>1314</v>
      </c>
      <c r="J128" s="7" t="s">
        <v>698</v>
      </c>
      <c r="K128" s="7" t="s">
        <v>1602</v>
      </c>
    </row>
    <row r="129" ht="14.25" customHeight="1">
      <c r="A129" s="4">
        <v>128.0</v>
      </c>
      <c r="B129" s="5" t="str">
        <f>IFERROR(__xludf.DUMMYFUNCTION("GOOGLETRANSLATE(H129, ""th"", ""en"")"),"Do players have to fly the kite with one hand?")</f>
        <v>Do players have to fly the kite with one hand?</v>
      </c>
      <c r="C129" s="5" t="str">
        <f>IFERROR(__xludf.DUMMYFUNCTION("GOOGLETRANSLATE(I129, ""th"", ""en"")"),"A) Must; B) Don't have to")</f>
        <v>A) Must; B) Don't have to</v>
      </c>
      <c r="D129" s="5" t="str">
        <f>IFERROR(__xludf.DUMMYFUNCTION("GOOGLETRANSLATE(J129, ""th"", ""en"")"),"B) No need.")</f>
        <v>B) No need.</v>
      </c>
      <c r="E129" s="5" t="str">
        <f>IFERROR(__xludf.DUMMYFUNCTION("GOOGLETRANSLATE(K129, ""th"", ""en"")"),"Players can fly the kite with both hands as they please.")</f>
        <v>Players can fly the kite with both hands as they please.</v>
      </c>
      <c r="G129" s="6">
        <v>128.0</v>
      </c>
      <c r="H129" s="7" t="s">
        <v>1603</v>
      </c>
      <c r="I129" s="7" t="s">
        <v>1604</v>
      </c>
      <c r="J129" s="7" t="s">
        <v>1605</v>
      </c>
      <c r="K129" s="7" t="s">
        <v>1606</v>
      </c>
    </row>
    <row r="130" ht="14.25" customHeight="1">
      <c r="A130" s="4">
        <v>129.0</v>
      </c>
      <c r="B130" s="5" t="str">
        <f>IFERROR(__xludf.DUMMYFUNCTION("GOOGLETRANSLATE(H130, ""th"", ""en"")"),"If a player's kite is slightly damaged during a match, what should he do?")</f>
        <v>If a player's kite is slightly damaged during a match, what should he do?</v>
      </c>
      <c r="C130" s="5" t="str">
        <f>IFERROR(__xludf.DUMMYFUNCTION("GOOGLETRANSLATE(I130, ""th"", ""en"")"),"A) Notify the referee; B) Repair the kite immediately; C) Stop the competition.")</f>
        <v>A) Notify the referee; B) Repair the kite immediately; C) Stop the competition.</v>
      </c>
      <c r="D130" s="5" t="str">
        <f>IFERROR(__xludf.DUMMYFUNCTION("GOOGLETRANSLATE(J130, ""th"", ""en"")"),"A) Inform the committee.")</f>
        <v>A) Inform the committee.</v>
      </c>
      <c r="E130" s="5" t="str">
        <f>IFERROR(__xludf.DUMMYFUNCTION("GOOGLETRANSLATE(K130, ""th"", ""en"")"),"The judges will make a decision based on the situation that occurs.")</f>
        <v>The judges will make a decision based on the situation that occurs.</v>
      </c>
      <c r="G130" s="6">
        <v>129.0</v>
      </c>
      <c r="H130" s="7" t="s">
        <v>1522</v>
      </c>
      <c r="I130" s="7" t="s">
        <v>1607</v>
      </c>
      <c r="J130" s="7" t="s">
        <v>20</v>
      </c>
      <c r="K130" s="7" t="s">
        <v>1608</v>
      </c>
    </row>
    <row r="131" ht="14.25" customHeight="1">
      <c r="A131" s="4">
        <v>130.0</v>
      </c>
      <c r="B131" s="5" t="str">
        <f>IFERROR(__xludf.DUMMYFUNCTION("GOOGLETRANSLATE(H131, ""th"", ""en"")"),"Is it illegal to use a kite with special attachments, such as wires or materials to make the kite stronger?")</f>
        <v>Is it illegal to use a kite with special attachments, such as wires or materials to make the kite stronger?</v>
      </c>
      <c r="C131" s="5" t="str">
        <f>IFERROR(__xludf.DUMMYFUNCTION("GOOGLETRANSLATE(I131, ""th"", ""en"")"),"A) It is considered a violation of the rules; B) It is not considered a violation of the rules.")</f>
        <v>A) It is considered a violation of the rules; B) It is not considered a violation of the rules.</v>
      </c>
      <c r="D131" s="5" t="str">
        <f>IFERROR(__xludf.DUMMYFUNCTION("GOOGLETRANSLATE(J131, ""th"", ""en"")"),"A) It is considered a violation of the rules.")</f>
        <v>A) It is considered a violation of the rules.</v>
      </c>
      <c r="E131" s="5" t="str">
        <f>IFERROR(__xludf.DUMMYFUNCTION("GOOGLETRANSLATE(K131, ""th"", ""en"")"),"Using unauthorized add-ons is a violation of the rules.")</f>
        <v>Using unauthorized add-ons is a violation of the rules.</v>
      </c>
      <c r="G131" s="6">
        <v>130.0</v>
      </c>
      <c r="H131" s="7" t="s">
        <v>1609</v>
      </c>
      <c r="I131" s="7" t="s">
        <v>1535</v>
      </c>
      <c r="J131" s="7" t="s">
        <v>1536</v>
      </c>
      <c r="K131" s="7" t="s">
        <v>1610</v>
      </c>
    </row>
    <row r="132" ht="14.25" customHeight="1">
      <c r="A132" s="4">
        <v>131.0</v>
      </c>
      <c r="B132" s="5" t="str">
        <f>IFERROR(__xludf.DUMMYFUNCTION("GOOGLETRANSLATE(H132, ""th"", ""en"")"),"Is it possible to fly a kite at night?")</f>
        <v>Is it possible to fly a kite at night?</v>
      </c>
      <c r="C132" s="5" t="str">
        <f>IFERROR(__xludf.DUMMYFUNCTION("GOOGLETRANSLATE(I132, ""th"", ""en"")"),"A) Yes; B) No")</f>
        <v>A) Yes; B) No</v>
      </c>
      <c r="D132" s="5" t="str">
        <f>IFERROR(__xludf.DUMMYFUNCTION("GOOGLETRANSLATE(J132, ""th"", ""en"")"),"B) No.")</f>
        <v>B) No.</v>
      </c>
      <c r="E132" s="5" t="str">
        <f>IFERROR(__xludf.DUMMYFUNCTION("GOOGLETRANSLATE(K132, ""th"", ""en"")"),"Kite flying must be done during hours of adequate light for safety.")</f>
        <v>Kite flying must be done during hours of adequate light for safety.</v>
      </c>
      <c r="G132" s="6">
        <v>131.0</v>
      </c>
      <c r="H132" s="7" t="s">
        <v>1611</v>
      </c>
      <c r="I132" s="7" t="s">
        <v>1314</v>
      </c>
      <c r="J132" s="7" t="s">
        <v>698</v>
      </c>
      <c r="K132" s="7" t="s">
        <v>1612</v>
      </c>
    </row>
    <row r="133" ht="14.25" customHeight="1">
      <c r="A133" s="4">
        <v>132.0</v>
      </c>
      <c r="B133" s="5" t="str">
        <f>IFERROR(__xludf.DUMMYFUNCTION("GOOGLETRANSLATE(H133, ""th"", ""en"")"),"If a player's kite flies out of bounds, is it considered a violation?")</f>
        <v>If a player's kite flies out of bounds, is it considered a violation?</v>
      </c>
      <c r="C133" s="5" t="str">
        <f>IFERROR(__xludf.DUMMYFUNCTION("GOOGLETRANSLATE(I133, ""th"", ""en"")"),"A) It is considered a violation of the rules; B) It is not considered a violation of the rules.")</f>
        <v>A) It is considered a violation of the rules; B) It is not considered a violation of the rules.</v>
      </c>
      <c r="D133" s="5" t="str">
        <f>IFERROR(__xludf.DUMMYFUNCTION("GOOGLETRANSLATE(J133, ""th"", ""en"")"),"A) It is considered a violation of the rules.")</f>
        <v>A) It is considered a violation of the rules.</v>
      </c>
      <c r="E133" s="5" t="str">
        <f>IFERROR(__xludf.DUMMYFUNCTION("GOOGLETRANSLATE(K133, ""th"", ""en"")"),"Flying off the field will result in the player losing the match.")</f>
        <v>Flying off the field will result in the player losing the match.</v>
      </c>
      <c r="G133" s="6">
        <v>132.0</v>
      </c>
      <c r="H133" s="7" t="s">
        <v>1613</v>
      </c>
      <c r="I133" s="7" t="s">
        <v>1535</v>
      </c>
      <c r="J133" s="7" t="s">
        <v>1536</v>
      </c>
      <c r="K133" s="7" t="s">
        <v>1614</v>
      </c>
    </row>
    <row r="134" ht="14.25" customHeight="1">
      <c r="A134" s="4">
        <v>133.0</v>
      </c>
      <c r="B134" s="5" t="str">
        <f>IFERROR(__xludf.DUMMYFUNCTION("GOOGLETRANSLATE(H134, ""th"", ""en"")"),"If a player uses a kite with an inappropriate color or design, will they be disqualified?")</f>
        <v>If a player uses a kite with an inappropriate color or design, will they be disqualified?</v>
      </c>
      <c r="C134" s="5" t="str">
        <f>IFERROR(__xludf.DUMMYFUNCTION("GOOGLETRANSLATE(I134, ""th"", ""en"")"),"A) disqualified; B) not disqualified")</f>
        <v>A) disqualified; B) not disqualified</v>
      </c>
      <c r="D134" s="5" t="str">
        <f>IFERROR(__xludf.DUMMYFUNCTION("GOOGLETRANSLATE(J134, ""th"", ""en"")"),"A) Disqualified")</f>
        <v>A) Disqualified</v>
      </c>
      <c r="E134" s="5" t="str">
        <f>IFERROR(__xludf.DUMMYFUNCTION("GOOGLETRANSLATE(K134, ""th"", ""en"")"),"The design and color of the kite must meet the requirements of the rules.")</f>
        <v>The design and color of the kite must meet the requirements of the rules.</v>
      </c>
      <c r="G134" s="6">
        <v>133.0</v>
      </c>
      <c r="H134" s="7" t="s">
        <v>1615</v>
      </c>
      <c r="I134" s="7" t="s">
        <v>1616</v>
      </c>
      <c r="J134" s="7" t="s">
        <v>787</v>
      </c>
      <c r="K134" s="7" t="s">
        <v>1617</v>
      </c>
    </row>
    <row r="135" ht="14.25" customHeight="1">
      <c r="A135" s="4">
        <v>134.0</v>
      </c>
      <c r="B135" s="5" t="str">
        <f>IFERROR(__xludf.DUMMYFUNCTION("GOOGLETRANSLATE(H135, ""th"", ""en"")"),"Can players use a kite with a different rope than the rules?")</f>
        <v>Can players use a kite with a different rope than the rules?</v>
      </c>
      <c r="C135" s="5" t="str">
        <f>IFERROR(__xludf.DUMMYFUNCTION("GOOGLETRANSLATE(I135, ""th"", ""en"")"),"A) Yes; B) No")</f>
        <v>A) Yes; B) No</v>
      </c>
      <c r="D135" s="5" t="str">
        <f>IFERROR(__xludf.DUMMYFUNCTION("GOOGLETRANSLATE(J135, ""th"", ""en"")"),"B) No.")</f>
        <v>B) No.</v>
      </c>
      <c r="E135" s="5" t="str">
        <f>IFERROR(__xludf.DUMMYFUNCTION("GOOGLETRANSLATE(K135, ""th"", ""en"")"),"The rope must be in accordance with the rules for safety and fairness.")</f>
        <v>The rope must be in accordance with the rules for safety and fairness.</v>
      </c>
      <c r="G135" s="6">
        <v>134.0</v>
      </c>
      <c r="H135" s="7" t="s">
        <v>1618</v>
      </c>
      <c r="I135" s="7" t="s">
        <v>1314</v>
      </c>
      <c r="J135" s="7" t="s">
        <v>698</v>
      </c>
      <c r="K135" s="7" t="s">
        <v>1619</v>
      </c>
    </row>
    <row r="136" ht="14.25" customHeight="1">
      <c r="A136" s="4">
        <v>135.0</v>
      </c>
      <c r="B136" s="5" t="str">
        <f>IFERROR(__xludf.DUMMYFUNCTION("GOOGLETRANSLATE(H136, ""th"", ""en"")"),"If a player knocks down an opponent's kite in a collision, what are the consequences?")</f>
        <v>If a player knocks down an opponent's kite in a collision, what are the consequences?</v>
      </c>
      <c r="C136" s="5" t="str">
        <f>IFERROR(__xludf.DUMMYFUNCTION("GOOGLETRANSLATE(I136, ""th"", ""en"")"),"A) Score increase; B) Score decrease; C) No effect")</f>
        <v>A) Score increase; B) Score decrease; C) No effect</v>
      </c>
      <c r="D136" s="5" t="str">
        <f>IFERROR(__xludf.DUMMYFUNCTION("GOOGLETRANSLATE(J136, ""th"", ""en"")"),"A) Additional points")</f>
        <v>A) Additional points</v>
      </c>
      <c r="E136" s="5" t="str">
        <f>IFERROR(__xludf.DUMMYFUNCTION("GOOGLETRANSLATE(K136, ""th"", ""en"")"),"Losing your opponent's kite is a win.")</f>
        <v>Losing your opponent's kite is a win.</v>
      </c>
      <c r="G136" s="6">
        <v>135.0</v>
      </c>
      <c r="H136" s="7" t="s">
        <v>1620</v>
      </c>
      <c r="I136" s="7" t="s">
        <v>1621</v>
      </c>
      <c r="J136" s="7" t="s">
        <v>1622</v>
      </c>
      <c r="K136" s="7" t="s">
        <v>1623</v>
      </c>
    </row>
    <row r="137" ht="14.25" customHeight="1">
      <c r="A137" s="4">
        <v>136.0</v>
      </c>
      <c r="B137" s="5" t="str">
        <f>IFERROR(__xludf.DUMMYFUNCTION("GOOGLETRANSLATE(H137, ""th"", ""en"")"),"In a kite fighting competition, can players use any accessories that are not related to the kite?")</f>
        <v>In a kite fighting competition, can players use any accessories that are not related to the kite?</v>
      </c>
      <c r="C137" s="5" t="str">
        <f>IFERROR(__xludf.DUMMYFUNCTION("GOOGLETRANSLATE(I137, ""th"", ""en"")"),"A) Yes; B) No")</f>
        <v>A) Yes; B) No</v>
      </c>
      <c r="D137" s="5" t="str">
        <f>IFERROR(__xludf.DUMMYFUNCTION("GOOGLETRANSLATE(J137, ""th"", ""en"")"),"B) No.")</f>
        <v>B) No.</v>
      </c>
      <c r="E137" s="5" t="str">
        <f>IFERROR(__xludf.DUMMYFUNCTION("GOOGLETRANSLATE(K137, ""th"", ""en"")"),"The use of irrelevant accessories is a violation of the rules.")</f>
        <v>The use of irrelevant accessories is a violation of the rules.</v>
      </c>
      <c r="G137" s="6">
        <v>136.0</v>
      </c>
      <c r="H137" s="7" t="s">
        <v>1624</v>
      </c>
      <c r="I137" s="7" t="s">
        <v>1314</v>
      </c>
      <c r="J137" s="7" t="s">
        <v>698</v>
      </c>
      <c r="K137" s="7" t="s">
        <v>1625</v>
      </c>
    </row>
    <row r="138" ht="14.25" customHeight="1">
      <c r="A138" s="4">
        <v>137.0</v>
      </c>
      <c r="B138" s="5" t="str">
        <f>IFERROR(__xludf.DUMMYFUNCTION("GOOGLETRANSLATE(H138, ""th"", ""en"")"),"Can players change kites during a match?")</f>
        <v>Can players change kites during a match?</v>
      </c>
      <c r="C138" s="5" t="str">
        <f>IFERROR(__xludf.DUMMYFUNCTION("GOOGLETRANSLATE(I138, ""th"", ""en"")"),"A) Yes; B) No")</f>
        <v>A) Yes; B) No</v>
      </c>
      <c r="D138" s="5" t="str">
        <f>IFERROR(__xludf.DUMMYFUNCTION("GOOGLETRANSLATE(J138, ""th"", ""en"")"),"B) No.")</f>
        <v>B) No.</v>
      </c>
      <c r="E138" s="5" t="str">
        <f>IFERROR(__xludf.DUMMYFUNCTION("GOOGLETRANSLATE(K138, ""th"", ""en"")"),"Players must use the same kite throughout the match.")</f>
        <v>Players must use the same kite throughout the match.</v>
      </c>
      <c r="G138" s="6">
        <v>137.0</v>
      </c>
      <c r="H138" s="7" t="s">
        <v>1574</v>
      </c>
      <c r="I138" s="7" t="s">
        <v>1314</v>
      </c>
      <c r="J138" s="7" t="s">
        <v>698</v>
      </c>
      <c r="K138" s="7" t="s">
        <v>1419</v>
      </c>
    </row>
    <row r="139" ht="14.25" customHeight="1">
      <c r="A139" s="4">
        <v>138.0</v>
      </c>
      <c r="B139" s="5" t="str">
        <f>IFERROR(__xludf.DUMMYFUNCTION("GOOGLETRANSLATE(H139, ""th"", ""en"")"),"If a player drops his kite on the ground, what effect will he experience?")</f>
        <v>If a player drops his kite on the ground, what effect will he experience?</v>
      </c>
      <c r="C139" s="5" t="str">
        <f>IFERROR(__xludf.DUMMYFUNCTION("GOOGLETRANSLATE(I139, ""th"", ""en"")"),"A) Increased score; B) Decreased score; C) Disqualified")</f>
        <v>A) Increased score; B) Decreased score; C) Disqualified</v>
      </c>
      <c r="D139" s="5" t="str">
        <f>IFERROR(__xludf.DUMMYFUNCTION("GOOGLETRANSLATE(J139, ""th"", ""en"")"),"C) Disqualified")</f>
        <v>C) Disqualified</v>
      </c>
      <c r="E139" s="5" t="str">
        <f>IFERROR(__xludf.DUMMYFUNCTION("GOOGLETRANSLATE(K139, ""th"", ""en"")"),"Losing your own kite is a loss.")</f>
        <v>Losing your own kite is a loss.</v>
      </c>
      <c r="G139" s="6">
        <v>138.0</v>
      </c>
      <c r="H139" s="7" t="s">
        <v>1626</v>
      </c>
      <c r="I139" s="7" t="s">
        <v>1595</v>
      </c>
      <c r="J139" s="7" t="s">
        <v>1581</v>
      </c>
      <c r="K139" s="7" t="s">
        <v>1627</v>
      </c>
    </row>
    <row r="140" ht="14.25" customHeight="1">
      <c r="A140" s="4">
        <v>139.0</v>
      </c>
      <c r="B140" s="5" t="str">
        <f>IFERROR(__xludf.DUMMYFUNCTION("GOOGLETRANSLATE(H140, ""th"", ""en"")"),"Is it against the rules to use a rope that is not the right length for the size of the kite?")</f>
        <v>Is it against the rules to use a rope that is not the right length for the size of the kite?</v>
      </c>
      <c r="C140" s="5" t="str">
        <f>IFERROR(__xludf.DUMMYFUNCTION("GOOGLETRANSLATE(I140, ""th"", ""en"")"),"A) It is considered a violation of the rules; B) It is not considered a violation of the rules.")</f>
        <v>A) It is considered a violation of the rules; B) It is not considered a violation of the rules.</v>
      </c>
      <c r="D140" s="5" t="str">
        <f>IFERROR(__xludf.DUMMYFUNCTION("GOOGLETRANSLATE(J140, ""th"", ""en"")"),"A) It is considered a violation of the rules.")</f>
        <v>A) It is considered a violation of the rules.</v>
      </c>
      <c r="E140" s="5" t="str">
        <f>IFERROR(__xludf.DUMMYFUNCTION("GOOGLETRANSLATE(K140, ""th"", ""en"")"),"The rope must be of appropriate length for the size of the kite.")</f>
        <v>The rope must be of appropriate length for the size of the kite.</v>
      </c>
      <c r="G140" s="6">
        <v>139.0</v>
      </c>
      <c r="H140" s="7" t="s">
        <v>1628</v>
      </c>
      <c r="I140" s="7" t="s">
        <v>1535</v>
      </c>
      <c r="J140" s="7" t="s">
        <v>1536</v>
      </c>
      <c r="K140" s="7" t="s">
        <v>1629</v>
      </c>
    </row>
    <row r="141" ht="14.25" customHeight="1">
      <c r="A141" s="4">
        <v>140.0</v>
      </c>
      <c r="B141" s="5" t="str">
        <f>IFERROR(__xludf.DUMMYFUNCTION("GOOGLETRANSLATE(H141, ""th"", ""en"")"),"If a player flies a kite in an inappropriate position and damages the kite, what consequences will he face?")</f>
        <v>If a player flies a kite in an inappropriate position and damages the kite, what consequences will he face?</v>
      </c>
      <c r="C141" s="5" t="str">
        <f>IFERROR(__xludf.DUMMYFUNCTION("GOOGLETRANSLATE(I141, ""th"", ""en"")"),"A) Score reduction; B) Disqualification; C) No effect.")</f>
        <v>A) Score reduction; B) Disqualification; C) No effect.</v>
      </c>
      <c r="D141" s="5" t="str">
        <f>IFERROR(__xludf.DUMMYFUNCTION("GOOGLETRANSLATE(J141, ""th"", ""en"")"),"A) Score reduction")</f>
        <v>A) Score reduction</v>
      </c>
      <c r="E141" s="5" t="str">
        <f>IFERROR(__xludf.DUMMYFUNCTION("GOOGLETRANSLATE(K141, ""th"", ""en"")"),"Flying in an improper position can damage the kite.")</f>
        <v>Flying in an improper position can damage the kite.</v>
      </c>
      <c r="G141" s="6">
        <v>140.0</v>
      </c>
      <c r="H141" s="7" t="s">
        <v>1630</v>
      </c>
      <c r="I141" s="7" t="s">
        <v>1631</v>
      </c>
      <c r="J141" s="7" t="s">
        <v>1632</v>
      </c>
      <c r="K141" s="7" t="s">
        <v>1633</v>
      </c>
    </row>
    <row r="142" ht="14.25" customHeight="1">
      <c r="A142" s="4">
        <v>141.0</v>
      </c>
      <c r="B142" s="5" t="str">
        <f>IFERROR(__xludf.DUMMYFUNCTION("GOOGLETRANSLATE(H142, ""th"", ""en"")"),"What should you do if a player's kite gets stuck in an inaccessible area, such as a high place?")</f>
        <v>What should you do if a player's kite gets stuck in an inaccessible area, such as a high place?</v>
      </c>
      <c r="C142" s="5" t="str">
        <f>IFERROR(__xludf.DUMMYFUNCTION("GOOGLETRANSLATE(I142, ""th"", ""en"")"),"A) Notify the referee; B) Try to pull the kite out; C) Stop the match.")</f>
        <v>A) Notify the referee; B) Try to pull the kite out; C) Stop the match.</v>
      </c>
      <c r="D142" s="5" t="str">
        <f>IFERROR(__xludf.DUMMYFUNCTION("GOOGLETRANSLATE(J142, ""th"", ""en"")"),"A) Inform the committee.")</f>
        <v>A) Inform the committee.</v>
      </c>
      <c r="E142" s="5" t="str">
        <f>IFERROR(__xludf.DUMMYFUNCTION("GOOGLETRANSLATE(K142, ""th"", ""en"")"),"The judges will make a decision based on the situation that occurs.")</f>
        <v>The judges will make a decision based on the situation that occurs.</v>
      </c>
      <c r="G142" s="6">
        <v>141.0</v>
      </c>
      <c r="H142" s="7" t="s">
        <v>1634</v>
      </c>
      <c r="I142" s="7" t="s">
        <v>1635</v>
      </c>
      <c r="J142" s="7" t="s">
        <v>20</v>
      </c>
      <c r="K142" s="7" t="s">
        <v>1608</v>
      </c>
    </row>
    <row r="143" ht="14.25" customHeight="1">
      <c r="A143" s="4">
        <v>142.0</v>
      </c>
      <c r="B143" s="5" t="str">
        <f>IFERROR(__xludf.DUMMYFUNCTION("GOOGLETRANSLATE(H143, ""th"", ""en"")"),"Can players use kites with special decorations?")</f>
        <v>Can players use kites with special decorations?</v>
      </c>
      <c r="C143" s="5" t="str">
        <f>IFERROR(__xludf.DUMMYFUNCTION("GOOGLETRANSLATE(I143, ""th"", ""en"")"),"A) Yes; B) No")</f>
        <v>A) Yes; B) No</v>
      </c>
      <c r="D143" s="5" t="str">
        <f>IFERROR(__xludf.DUMMYFUNCTION("GOOGLETRANSLATE(J143, ""th"", ""en"")"),"A) Yes.")</f>
        <v>A) Yes.</v>
      </c>
      <c r="E143" s="5" t="str">
        <f>IFERROR(__xludf.DUMMYFUNCTION("GOOGLETRANSLATE(K143, ""th"", ""en"")"),"Decorating a kite to enhance its beauty or effectiveness is permitted.")</f>
        <v>Decorating a kite to enhance its beauty or effectiveness is permitted.</v>
      </c>
      <c r="G143" s="6">
        <v>142.0</v>
      </c>
      <c r="H143" s="7" t="s">
        <v>1636</v>
      </c>
      <c r="I143" s="7" t="s">
        <v>1314</v>
      </c>
      <c r="J143" s="7" t="s">
        <v>737</v>
      </c>
      <c r="K143" s="7" t="s">
        <v>1637</v>
      </c>
    </row>
    <row r="144" ht="14.25" customHeight="1">
      <c r="A144" s="4">
        <v>143.0</v>
      </c>
      <c r="B144" s="5" t="str">
        <f>IFERROR(__xludf.DUMMYFUNCTION("GOOGLETRANSLATE(H144, ""th"", ""en"")"),"Do players have to use durable kites as per the competition rules?")</f>
        <v>Do players have to use durable kites as per the competition rules?</v>
      </c>
      <c r="C144" s="5" t="str">
        <f>IFERROR(__xludf.DUMMYFUNCTION("GOOGLETRANSLATE(I144, ""th"", ""en"")"),"A) Must; B) Don't have to")</f>
        <v>A) Must; B) Don't have to</v>
      </c>
      <c r="D144" s="5" t="str">
        <f>IFERROR(__xludf.DUMMYFUNCTION("GOOGLETRANSLATE(J144, ""th"", ""en"")"),"A) Must")</f>
        <v>A) Must</v>
      </c>
      <c r="E144" s="5" t="str">
        <f>IFERROR(__xludf.DUMMYFUNCTION("GOOGLETRANSLATE(K144, ""th"", ""en"")"),"Using a durable and safe kite is essential.")</f>
        <v>Using a durable and safe kite is essential.</v>
      </c>
      <c r="G144" s="6">
        <v>143.0</v>
      </c>
      <c r="H144" s="7" t="s">
        <v>1638</v>
      </c>
      <c r="I144" s="7" t="s">
        <v>1604</v>
      </c>
      <c r="J144" s="7" t="s">
        <v>1639</v>
      </c>
      <c r="K144" s="7" t="s">
        <v>1640</v>
      </c>
    </row>
    <row r="145" ht="14.25" customHeight="1">
      <c r="A145" s="4">
        <v>144.0</v>
      </c>
      <c r="B145" s="5" t="str">
        <f>IFERROR(__xludf.DUMMYFUNCTION("GOOGLETRANSLATE(H145, ""th"", ""en"")"),"If a player uses a kite of a size or shape that does not comply with the rules, what consequences will he face?")</f>
        <v>If a player uses a kite of a size or shape that does not comply with the rules, what consequences will he face?</v>
      </c>
      <c r="C145" s="5" t="str">
        <f>IFERROR(__xludf.DUMMYFUNCTION("GOOGLETRANSLATE(I145, ""th"", ""en"")"),"A) Points are deducted; B) Disqualified; C) No effect.")</f>
        <v>A) Points are deducted; B) Disqualified; C) No effect.</v>
      </c>
      <c r="D145" s="5" t="str">
        <f>IFERROR(__xludf.DUMMYFUNCTION("GOOGLETRANSLATE(J145, ""th"", ""en"")"),"B) Disqualified")</f>
        <v>B) Disqualified</v>
      </c>
      <c r="E145" s="5" t="str">
        <f>IFERROR(__xludf.DUMMYFUNCTION("GOOGLETRANSLATE(K145, ""th"", ""en"")"),"Using a kite that does not comply with the rules will result in the player being disqualified.")</f>
        <v>Using a kite that does not comply with the rules will result in the player being disqualified.</v>
      </c>
      <c r="G145" s="6">
        <v>144.0</v>
      </c>
      <c r="H145" s="7" t="s">
        <v>1641</v>
      </c>
      <c r="I145" s="7" t="s">
        <v>1541</v>
      </c>
      <c r="J145" s="7" t="s">
        <v>1444</v>
      </c>
      <c r="K145" s="7" t="s">
        <v>1642</v>
      </c>
    </row>
    <row r="146" ht="14.25" customHeight="1">
      <c r="A146" s="4">
        <v>145.0</v>
      </c>
      <c r="B146" s="5" t="str">
        <f>IFERROR(__xludf.DUMMYFUNCTION("GOOGLETRANSLATE(H146, ""th"", ""en"")"),"How will using a non-compliant rope affect the competition?")</f>
        <v>How will using a non-compliant rope affect the competition?</v>
      </c>
      <c r="C146" s="5" t="str">
        <f>IFERROR(__xludf.DUMMYFUNCTION("GOOGLETRANSLATE(I146, ""th"", ""en"")"),"A) makes it impossible to compete; B) has no effect on competition.")</f>
        <v>A) makes it impossible to compete; B) has no effect on competition.</v>
      </c>
      <c r="D146" s="5" t="str">
        <f>IFERROR(__xludf.DUMMYFUNCTION("GOOGLETRANSLATE(J146, ""th"", ""en"")"),"A) Make it impossible to compete.")</f>
        <v>A) Make it impossible to compete.</v>
      </c>
      <c r="E146" s="5" t="str">
        <f>IFERROR(__xludf.DUMMYFUNCTION("GOOGLETRANSLATE(K146, ""th"", ""en"")"),"The rope must meet the requirements for safe control.")</f>
        <v>The rope must meet the requirements for safe control.</v>
      </c>
      <c r="G146" s="6">
        <v>145.0</v>
      </c>
      <c r="H146" s="7" t="s">
        <v>1643</v>
      </c>
      <c r="I146" s="7" t="s">
        <v>1644</v>
      </c>
      <c r="J146" s="7" t="s">
        <v>1645</v>
      </c>
      <c r="K146" s="7" t="s">
        <v>1646</v>
      </c>
    </row>
    <row r="147" ht="14.25" customHeight="1">
      <c r="A147" s="4">
        <v>146.0</v>
      </c>
      <c r="B147" s="5" t="str">
        <f>IFERROR(__xludf.DUMMYFUNCTION("GOOGLETRANSLATE(H147, ""th"", ""en"")"),"Can players fly their kite at too high a speed?")</f>
        <v>Can players fly their kite at too high a speed?</v>
      </c>
      <c r="C147" s="5" t="str">
        <f>IFERROR(__xludf.DUMMYFUNCTION("GOOGLETRANSLATE(I147, ""th"", ""en"")"),"A) Yes; B) No")</f>
        <v>A) Yes; B) No</v>
      </c>
      <c r="D147" s="5" t="str">
        <f>IFERROR(__xludf.DUMMYFUNCTION("GOOGLETRANSLATE(J147, ""th"", ""en"")"),"B) No.")</f>
        <v>B) No.</v>
      </c>
      <c r="E147" s="5" t="str">
        <f>IFERROR(__xludf.DUMMYFUNCTION("GOOGLETRANSLATE(K147, ""th"", ""en"")"),"Flying a kite at too high a speed can cause the kite to become uncontrollable.")</f>
        <v>Flying a kite at too high a speed can cause the kite to become uncontrollable.</v>
      </c>
      <c r="G147" s="6">
        <v>146.0</v>
      </c>
      <c r="H147" s="7" t="s">
        <v>1647</v>
      </c>
      <c r="I147" s="7" t="s">
        <v>1314</v>
      </c>
      <c r="J147" s="7" t="s">
        <v>698</v>
      </c>
      <c r="K147" s="7" t="s">
        <v>1648</v>
      </c>
    </row>
    <row r="148" ht="14.25" customHeight="1">
      <c r="A148" s="4">
        <v>147.0</v>
      </c>
      <c r="B148" s="5" t="str">
        <f>IFERROR(__xludf.DUMMYFUNCTION("GOOGLETRANSLATE(H148, ""th"", ""en"")"),"Can players use methods to break or damage their opponent's kite?")</f>
        <v>Can players use methods to break or damage their opponent's kite?</v>
      </c>
      <c r="C148" s="5" t="str">
        <f>IFERROR(__xludf.DUMMYFUNCTION("GOOGLETRANSLATE(I148, ""th"", ""en"")"),"A) Yes; B) No")</f>
        <v>A) Yes; B) No</v>
      </c>
      <c r="D148" s="5" t="str">
        <f>IFERROR(__xludf.DUMMYFUNCTION("GOOGLETRANSLATE(J148, ""th"", ""en"")"),"B) No.")</f>
        <v>B) No.</v>
      </c>
      <c r="E148" s="5" t="str">
        <f>IFERROR(__xludf.DUMMYFUNCTION("GOOGLETRANSLATE(K148, ""th"", ""en"")"),"Destroying your opponent's kite is a violation of the rules.")</f>
        <v>Destroying your opponent's kite is a violation of the rules.</v>
      </c>
      <c r="G148" s="6">
        <v>147.0</v>
      </c>
      <c r="H148" s="7" t="s">
        <v>1649</v>
      </c>
      <c r="I148" s="7" t="s">
        <v>1314</v>
      </c>
      <c r="J148" s="7" t="s">
        <v>698</v>
      </c>
      <c r="K148" s="7" t="s">
        <v>1650</v>
      </c>
    </row>
    <row r="149" ht="14.25" customHeight="1">
      <c r="A149" s="4">
        <v>148.0</v>
      </c>
      <c r="B149" s="5" t="str">
        <f>IFERROR(__xludf.DUMMYFUNCTION("GOOGLETRANSLATE(H149, ""th"", ""en"")"),"If a player's kite is not approved by the referee before the match, what should he do?")</f>
        <v>If a player's kite is not approved by the referee before the match, what should he do?</v>
      </c>
      <c r="C149" s="5" t="str">
        <f>IFERROR(__xludf.DUMMYFUNCTION("GOOGLETRANSLATE(I149, ""th"", ""en"")"),"A) Waiting for approval from the board; B) Using an unapproved kite.")</f>
        <v>A) Waiting for approval from the board; B) Using an unapproved kite.</v>
      </c>
      <c r="D149" s="5" t="str">
        <f>IFERROR(__xludf.DUMMYFUNCTION("GOOGLETRANSLATE(J149, ""th"", ""en"")"),"A) Waiting for approval from the board.")</f>
        <v>A) Waiting for approval from the board.</v>
      </c>
      <c r="E149" s="5" t="str">
        <f>IFERROR(__xludf.DUMMYFUNCTION("GOOGLETRANSLATE(K149, ""th"", ""en"")"),"Kites must be approved by the referee before the competition.")</f>
        <v>Kites must be approved by the referee before the competition.</v>
      </c>
      <c r="G149" s="6">
        <v>148.0</v>
      </c>
      <c r="H149" s="7" t="s">
        <v>1651</v>
      </c>
      <c r="I149" s="7" t="s">
        <v>1652</v>
      </c>
      <c r="J149" s="7" t="s">
        <v>1653</v>
      </c>
      <c r="K149" s="7" t="s">
        <v>1654</v>
      </c>
    </row>
    <row r="150" ht="14.25" customHeight="1">
      <c r="A150" s="4">
        <v>149.0</v>
      </c>
      <c r="B150" s="5" t="str">
        <f>IFERROR(__xludf.DUMMYFUNCTION("GOOGLETRANSLATE(H150, ""th"", ""en"")"),"What should I do if my kite flight is interrupted by external factors such as weather?")</f>
        <v>What should I do if my kite flight is interrupted by external factors such as weather?</v>
      </c>
      <c r="C150" s="5" t="str">
        <f>IFERROR(__xludf.DUMMYFUNCTION("GOOGLETRANSLATE(I150, ""th"", ""en"")"),"A) Stop the competition; B) Continue the competition.")</f>
        <v>A) Stop the competition; B) Continue the competition.</v>
      </c>
      <c r="D150" s="5" t="str">
        <f>IFERROR(__xludf.DUMMYFUNCTION("GOOGLETRANSLATE(J150, ""th"", ""en"")"),"A) Stop the competition.")</f>
        <v>A) Stop the competition.</v>
      </c>
      <c r="E150" s="5" t="str">
        <f>IFERROR(__xludf.DUMMYFUNCTION("GOOGLETRANSLATE(K150, ""th"", ""en"")"),"Unforeseen external factors can make flying unsafe.")</f>
        <v>Unforeseen external factors can make flying unsafe.</v>
      </c>
      <c r="G150" s="6">
        <v>149.0</v>
      </c>
      <c r="H150" s="7" t="s">
        <v>1655</v>
      </c>
      <c r="I150" s="7" t="s">
        <v>1656</v>
      </c>
      <c r="J150" s="7" t="s">
        <v>1657</v>
      </c>
      <c r="K150" s="7" t="s">
        <v>1658</v>
      </c>
    </row>
    <row r="151" ht="14.25" customHeight="1">
      <c r="A151" s="4">
        <v>150.0</v>
      </c>
      <c r="B151" s="5" t="str">
        <f>IFERROR(__xludf.DUMMYFUNCTION("GOOGLETRANSLATE(H151, ""th"", ""en"")"),"Can players use kites made of special, non-hazardous materials?")</f>
        <v>Can players use kites made of special, non-hazardous materials?</v>
      </c>
      <c r="C151" s="5" t="str">
        <f>IFERROR(__xludf.DUMMYFUNCTION("GOOGLETRANSLATE(I151, ""th"", ""en"")"),"A) Yes; B) No")</f>
        <v>A) Yes; B) No</v>
      </c>
      <c r="D151" s="5" t="str">
        <f>IFERROR(__xludf.DUMMYFUNCTION("GOOGLETRANSLATE(J151, ""th"", ""en"")"),"A) Yes.")</f>
        <v>A) Yes.</v>
      </c>
      <c r="E151" s="5" t="str">
        <f>IFERROR(__xludf.DUMMYFUNCTION("GOOGLETRANSLATE(K151, ""th"", ""en"")"),"Non-hazardous special materials can be used according to the rules.")</f>
        <v>Non-hazardous special materials can be used according to the rules.</v>
      </c>
      <c r="G151" s="6">
        <v>150.0</v>
      </c>
      <c r="H151" s="7" t="s">
        <v>1659</v>
      </c>
      <c r="I151" s="7" t="s">
        <v>1314</v>
      </c>
      <c r="J151" s="7" t="s">
        <v>737</v>
      </c>
      <c r="K151" s="7" t="s">
        <v>1660</v>
      </c>
    </row>
    <row r="152" ht="14.25" customHeight="1">
      <c r="A152" s="4">
        <v>151.0</v>
      </c>
      <c r="B152" s="5" t="str">
        <f>IFERROR(__xludf.DUMMYFUNCTION("GOOGLETRANSLATE(H152, ""th"", ""en"")"),"If a player's kite falls from the sky and hits an opponent, is that considered a loss?")</f>
        <v>If a player's kite falls from the sky and hits an opponent, is that considered a loss?</v>
      </c>
      <c r="C152" s="5" t="str">
        <f>IFERROR(__xludf.DUMMYFUNCTION("GOOGLETRANSLATE(I152, ""th"", ""en"")"),"A) considered a loss; B) not considered a loss")</f>
        <v>A) considered a loss; B) not considered a loss</v>
      </c>
      <c r="D152" s="5" t="str">
        <f>IFERROR(__xludf.DUMMYFUNCTION("GOOGLETRANSLATE(J152, ""th"", ""en"")"),"A) Considered a loss")</f>
        <v>A) Considered a loss</v>
      </c>
      <c r="E152" s="5" t="str">
        <f>IFERROR(__xludf.DUMMYFUNCTION("GOOGLETRANSLATE(K152, ""th"", ""en"")"),"If a player's kite falls and hits an opponent, it is considered a loss.")</f>
        <v>If a player's kite falls and hits an opponent, it is considered a loss.</v>
      </c>
      <c r="G152" s="6">
        <v>151.0</v>
      </c>
      <c r="H152" s="7" t="s">
        <v>1661</v>
      </c>
      <c r="I152" s="7" t="s">
        <v>1401</v>
      </c>
      <c r="J152" s="7" t="s">
        <v>1402</v>
      </c>
      <c r="K152" s="7" t="s">
        <v>1662</v>
      </c>
    </row>
    <row r="153" ht="14.25" customHeight="1">
      <c r="A153" s="4">
        <v>152.0</v>
      </c>
      <c r="B153" s="5" t="str">
        <f>IFERROR(__xludf.DUMMYFUNCTION("GOOGLETRANSLATE(H153, ""th"", ""en"")"),"Can players use a kite that is too heavy in competition?")</f>
        <v>Can players use a kite that is too heavy in competition?</v>
      </c>
      <c r="C153" s="5" t="str">
        <f>IFERROR(__xludf.DUMMYFUNCTION("GOOGLETRANSLATE(I153, ""th"", ""en"")"),"A) Yes; B) No")</f>
        <v>A) Yes; B) No</v>
      </c>
      <c r="D153" s="5" t="str">
        <f>IFERROR(__xludf.DUMMYFUNCTION("GOOGLETRANSLATE(J153, ""th"", ""en"")"),"B) No.")</f>
        <v>B) No.</v>
      </c>
      <c r="E153" s="5" t="str">
        <f>IFERROR(__xludf.DUMMYFUNCTION("GOOGLETRANSLATE(K153, ""th"", ""en"")"),"Using a kite that is too heavy can cause improper control.")</f>
        <v>Using a kite that is too heavy can cause improper control.</v>
      </c>
      <c r="G153" s="6">
        <v>152.0</v>
      </c>
      <c r="H153" s="7" t="s">
        <v>1663</v>
      </c>
      <c r="I153" s="7" t="s">
        <v>1314</v>
      </c>
      <c r="J153" s="7" t="s">
        <v>698</v>
      </c>
      <c r="K153" s="7" t="s">
        <v>1664</v>
      </c>
    </row>
    <row r="154" ht="14.25" customHeight="1">
      <c r="A154" s="4">
        <v>153.0</v>
      </c>
      <c r="B154" s="5" t="str">
        <f>IFERROR(__xludf.DUMMYFUNCTION("GOOGLETRANSLATE(H154, ""th"", ""en"")"),"Can players fly a kite with enhanced speed materials?")</f>
        <v>Can players fly a kite with enhanced speed materials?</v>
      </c>
      <c r="C154" s="5" t="str">
        <f>IFERROR(__xludf.DUMMYFUNCTION("GOOGLETRANSLATE(I154, ""th"", ""en"")"),"A) Yes; B) No")</f>
        <v>A) Yes; B) No</v>
      </c>
      <c r="D154" s="5" t="str">
        <f>IFERROR(__xludf.DUMMYFUNCTION("GOOGLETRANSLATE(J154, ""th"", ""en"")"),"B) No.")</f>
        <v>B) No.</v>
      </c>
      <c r="E154" s="5" t="str">
        <f>IFERROR(__xludf.DUMMYFUNCTION("GOOGLETRANSLATE(K154, ""th"", ""en"")"),"Using unauthorized materials to increase speed is a violation of the rules.")</f>
        <v>Using unauthorized materials to increase speed is a violation of the rules.</v>
      </c>
      <c r="G154" s="6">
        <v>153.0</v>
      </c>
      <c r="H154" s="7" t="s">
        <v>1665</v>
      </c>
      <c r="I154" s="7" t="s">
        <v>1314</v>
      </c>
      <c r="J154" s="7" t="s">
        <v>698</v>
      </c>
      <c r="K154" s="7" t="s">
        <v>1666</v>
      </c>
    </row>
    <row r="155" ht="14.25" customHeight="1">
      <c r="A155" s="4">
        <v>154.0</v>
      </c>
      <c r="B155" s="5" t="str">
        <f>IFERROR(__xludf.DUMMYFUNCTION("GOOGLETRANSLATE(H155, ""th"", ""en"")"),"If a player breaks or damages their kite, what are the consequences?")</f>
        <v>If a player breaks or damages their kite, what are the consequences?</v>
      </c>
      <c r="C155" s="5" t="str">
        <f>IFERROR(__xludf.DUMMYFUNCTION("GOOGLETRANSLATE(I155, ""th"", ""en"")"),"A) disqualified; B) deducted points; C) invalid")</f>
        <v>A) disqualified; B) deducted points; C) invalid</v>
      </c>
      <c r="D155" s="5" t="str">
        <f>IFERROR(__xludf.DUMMYFUNCTION("GOOGLETRANSLATE(J155, ""th"", ""en"")"),"A) Disqualified")</f>
        <v>A) Disqualified</v>
      </c>
      <c r="E155" s="5" t="str">
        <f>IFERROR(__xludf.DUMMYFUNCTION("GOOGLETRANSLATE(K155, ""th"", ""en"")"),"Damaging your own kite is a violation of the rules.")</f>
        <v>Damaging your own kite is a violation of the rules.</v>
      </c>
      <c r="G155" s="6">
        <v>154.0</v>
      </c>
      <c r="H155" s="7" t="s">
        <v>1667</v>
      </c>
      <c r="I155" s="7" t="s">
        <v>1668</v>
      </c>
      <c r="J155" s="7" t="s">
        <v>787</v>
      </c>
      <c r="K155" s="7" t="s">
        <v>1669</v>
      </c>
    </row>
    <row r="156" ht="14.25" customHeight="1">
      <c r="A156" s="4">
        <v>155.0</v>
      </c>
      <c r="B156" s="5" t="str">
        <f>IFERROR(__xludf.DUMMYFUNCTION("GOOGLETRANSLATE(H156, ""th"", ""en"")"),"Can players fly a kite using non-kite related tools?")</f>
        <v>Can players fly a kite using non-kite related tools?</v>
      </c>
      <c r="C156" s="5" t="str">
        <f>IFERROR(__xludf.DUMMYFUNCTION("GOOGLETRANSLATE(I156, ""th"", ""en"")"),"A) Yes; B) No")</f>
        <v>A) Yes; B) No</v>
      </c>
      <c r="D156" s="5" t="str">
        <f>IFERROR(__xludf.DUMMYFUNCTION("GOOGLETRANSLATE(J156, ""th"", ""en"")"),"B) No.")</f>
        <v>B) No.</v>
      </c>
      <c r="E156" s="5" t="str">
        <f>IFERROR(__xludf.DUMMYFUNCTION("GOOGLETRANSLATE(K156, ""th"", ""en"")"),"Unrelated add-ons are considered illegal.")</f>
        <v>Unrelated add-ons are considered illegal.</v>
      </c>
      <c r="G156" s="6">
        <v>155.0</v>
      </c>
      <c r="H156" s="7" t="s">
        <v>1670</v>
      </c>
      <c r="I156" s="7" t="s">
        <v>1314</v>
      </c>
      <c r="J156" s="7" t="s">
        <v>698</v>
      </c>
      <c r="K156" s="7" t="s">
        <v>1671</v>
      </c>
    </row>
    <row r="157" ht="14.25" customHeight="1">
      <c r="A157" s="4">
        <v>156.0</v>
      </c>
      <c r="B157" s="5" t="str">
        <f>IFERROR(__xludf.DUMMYFUNCTION("GOOGLETRANSLATE(H157, ""th"", ""en"")"),"In kite fighting competitions, can players use modified kites to increase their efficiency?")</f>
        <v>In kite fighting competitions, can players use modified kites to increase their efficiency?</v>
      </c>
      <c r="C157" s="5" t="str">
        <f>IFERROR(__xludf.DUMMYFUNCTION("GOOGLETRANSLATE(I157, ""th"", ""en"")"),"A) Yes; B) No")</f>
        <v>A) Yes; B) No</v>
      </c>
      <c r="D157" s="5" t="str">
        <f>IFERROR(__xludf.DUMMYFUNCTION("GOOGLETRANSLATE(J157, ""th"", ""en"")"),"B) No.")</f>
        <v>B) No.</v>
      </c>
      <c r="E157" s="5" t="str">
        <f>IFERROR(__xludf.DUMMYFUNCTION("GOOGLETRANSLATE(K157, ""th"", ""en"")"),"Modifying a kite to achieve performance that is not in accordance with the rules is a violation.")</f>
        <v>Modifying a kite to achieve performance that is not in accordance with the rules is a violation.</v>
      </c>
      <c r="G157" s="6">
        <v>156.0</v>
      </c>
      <c r="H157" s="7" t="s">
        <v>1672</v>
      </c>
      <c r="I157" s="7" t="s">
        <v>1314</v>
      </c>
      <c r="J157" s="7" t="s">
        <v>698</v>
      </c>
      <c r="K157" s="7" t="s">
        <v>1673</v>
      </c>
    </row>
    <row r="158" ht="14.25" customHeight="1">
      <c r="A158" s="4">
        <v>157.0</v>
      </c>
      <c r="B158" s="5" t="str">
        <f>IFERROR(__xludf.DUMMYFUNCTION("GOOGLETRANSLATE(H158, ""th"", ""en"")"),"What happens if a player's kite does not meet the specified size?")</f>
        <v>What happens if a player's kite does not meet the specified size?</v>
      </c>
      <c r="C158" s="5" t="str">
        <f>IFERROR(__xludf.DUMMYFUNCTION("GOOGLETRANSLATE(I158, ""th"", ""en"")"),"A) disqualified; B) deducted points; C) invalid")</f>
        <v>A) disqualified; B) deducted points; C) invalid</v>
      </c>
      <c r="D158" s="5" t="str">
        <f>IFERROR(__xludf.DUMMYFUNCTION("GOOGLETRANSLATE(J158, ""th"", ""en"")"),"A) Disqualified")</f>
        <v>A) Disqualified</v>
      </c>
      <c r="E158" s="5" t="str">
        <f>IFERROR(__xludf.DUMMYFUNCTION("GOOGLETRANSLATE(K158, ""th"", ""en"")"),"The size of the kite must meet the specifications.")</f>
        <v>The size of the kite must meet the specifications.</v>
      </c>
      <c r="G158" s="6">
        <v>157.0</v>
      </c>
      <c r="H158" s="7" t="s">
        <v>1674</v>
      </c>
      <c r="I158" s="7" t="s">
        <v>1668</v>
      </c>
      <c r="J158" s="7" t="s">
        <v>787</v>
      </c>
      <c r="K158" s="7" t="s">
        <v>1675</v>
      </c>
    </row>
    <row r="159" ht="14.25" customHeight="1">
      <c r="A159" s="4">
        <v>158.0</v>
      </c>
      <c r="B159" s="5" t="str">
        <f>IFERROR(__xludf.DUMMYFUNCTION("GOOGLETRANSLATE(H159, ""th"", ""en"")"),"Can players fly kites with inappropriate designs?")</f>
        <v>Can players fly kites with inappropriate designs?</v>
      </c>
      <c r="C159" s="5" t="str">
        <f>IFERROR(__xludf.DUMMYFUNCTION("GOOGLETRANSLATE(I159, ""th"", ""en"")"),"A) Yes; B) No")</f>
        <v>A) Yes; B) No</v>
      </c>
      <c r="D159" s="5" t="str">
        <f>IFERROR(__xludf.DUMMYFUNCTION("GOOGLETRANSLATE(J159, ""th"", ""en"")"),"B) No.")</f>
        <v>B) No.</v>
      </c>
      <c r="E159" s="5" t="str">
        <f>IFERROR(__xludf.DUMMYFUNCTION("GOOGLETRANSLATE(K159, ""th"", ""en"")"),"The design of the kite must comply with the specified rules.")</f>
        <v>The design of the kite must comply with the specified rules.</v>
      </c>
      <c r="G159" s="6">
        <v>158.0</v>
      </c>
      <c r="H159" s="7" t="s">
        <v>1676</v>
      </c>
      <c r="I159" s="7" t="s">
        <v>1314</v>
      </c>
      <c r="J159" s="7" t="s">
        <v>698</v>
      </c>
      <c r="K159" s="7" t="s">
        <v>1677</v>
      </c>
    </row>
    <row r="160" ht="14.25" customHeight="1">
      <c r="A160" s="4">
        <v>159.0</v>
      </c>
      <c r="B160" s="5" t="str">
        <f>IFERROR(__xludf.DUMMYFUNCTION("GOOGLETRANSLATE(H160, ""th"", ""en"")"),"What are the consequences of using a kite that does not meet the required durability standards?")</f>
        <v>What are the consequences of using a kite that does not meet the required durability standards?</v>
      </c>
      <c r="C160" s="5" t="str">
        <f>IFERROR(__xludf.DUMMYFUNCTION("GOOGLETRANSLATE(I160, ""th"", ""en"")"),"A) Increased score; B) Decreased score; C) Disqualified")</f>
        <v>A) Increased score; B) Decreased score; C) Disqualified</v>
      </c>
      <c r="D160" s="5" t="str">
        <f>IFERROR(__xludf.DUMMYFUNCTION("GOOGLETRANSLATE(J160, ""th"", ""en"")"),"C) Disqualified")</f>
        <v>C) Disqualified</v>
      </c>
      <c r="E160" s="5" t="str">
        <f>IFERROR(__xludf.DUMMYFUNCTION("GOOGLETRANSLATE(K160, ""th"", ""en"")"),"Using a kite that does not meet the standards will result in the player being disqualified.")</f>
        <v>Using a kite that does not meet the standards will result in the player being disqualified.</v>
      </c>
      <c r="G160" s="6">
        <v>159.0</v>
      </c>
      <c r="H160" s="7" t="s">
        <v>1678</v>
      </c>
      <c r="I160" s="7" t="s">
        <v>1595</v>
      </c>
      <c r="J160" s="7" t="s">
        <v>1581</v>
      </c>
      <c r="K160" s="7" t="s">
        <v>1679</v>
      </c>
    </row>
    <row r="161" ht="14.25" customHeight="1">
      <c r="A161" s="4">
        <v>160.0</v>
      </c>
      <c r="B161" s="5" t="str">
        <f>IFERROR(__xludf.DUMMYFUNCTION("GOOGLETRANSLATE(H161, ""th"", ""en"")"),"If a player uses a kite that uses unauthorized materials, what will be the punishment?")</f>
        <v>If a player uses a kite that uses unauthorized materials, what will be the punishment?</v>
      </c>
      <c r="C161" s="5" t="str">
        <f>IFERROR(__xludf.DUMMYFUNCTION("GOOGLETRANSLATE(I161, ""th"", ""en"")"),"A) disqualified; B) deducted points; C) invalid")</f>
        <v>A) disqualified; B) deducted points; C) invalid</v>
      </c>
      <c r="D161" s="5" t="str">
        <f>IFERROR(__xludf.DUMMYFUNCTION("GOOGLETRANSLATE(J161, ""th"", ""en"")"),"A) Disqualified")</f>
        <v>A) Disqualified</v>
      </c>
      <c r="E161" s="5" t="str">
        <f>IFERROR(__xludf.DUMMYFUNCTION("GOOGLETRANSLATE(K161, ""th"", ""en"")"),"Using unauthorized materials is illegal.")</f>
        <v>Using unauthorized materials is illegal.</v>
      </c>
      <c r="G161" s="6">
        <v>160.0</v>
      </c>
      <c r="H161" s="7" t="s">
        <v>1680</v>
      </c>
      <c r="I161" s="7" t="s">
        <v>1681</v>
      </c>
      <c r="J161" s="7" t="s">
        <v>787</v>
      </c>
      <c r="K161" s="7" t="s">
        <v>1682</v>
      </c>
    </row>
    <row r="162" ht="14.25" customHeight="1">
      <c r="A162" s="4">
        <v>161.0</v>
      </c>
      <c r="B162" s="5" t="str">
        <f>IFERROR(__xludf.DUMMYFUNCTION("GOOGLETRANSLATE(H162, ""th"", ""en"")"),"If a player's kite knocks an opponent off the field, is it considered a loss?")</f>
        <v>If a player's kite knocks an opponent off the field, is it considered a loss?</v>
      </c>
      <c r="C162" s="5" t="str">
        <f>IFERROR(__xludf.DUMMYFUNCTION("GOOGLETRANSLATE(I162, ""th"", ""en"")"),"A) considered a loss; B) not considered a loss")</f>
        <v>A) considered a loss; B) not considered a loss</v>
      </c>
      <c r="D162" s="5" t="str">
        <f>IFERROR(__xludf.DUMMYFUNCTION("GOOGLETRANSLATE(J162, ""th"", ""en"")"),"B) Not considered a loss")</f>
        <v>B) Not considered a loss</v>
      </c>
      <c r="E162" s="5" t="str">
        <f>IFERROR(__xludf.DUMMYFUNCTION("GOOGLETRANSLATE(K162, ""th"", ""en"")"),"Taking an opponent off the field does not make a player lose.")</f>
        <v>Taking an opponent off the field does not make a player lose.</v>
      </c>
      <c r="G162" s="6">
        <v>161.0</v>
      </c>
      <c r="H162" s="7" t="s">
        <v>1683</v>
      </c>
      <c r="I162" s="7" t="s">
        <v>1401</v>
      </c>
      <c r="J162" s="7" t="s">
        <v>1684</v>
      </c>
      <c r="K162" s="7" t="s">
        <v>1685</v>
      </c>
    </row>
    <row r="163" ht="14.25" customHeight="1">
      <c r="A163" s="4">
        <v>162.0</v>
      </c>
      <c r="B163" s="5" t="str">
        <f>IFERROR(__xludf.DUMMYFUNCTION("GOOGLETRANSLATE(H163, ""th"", ""en"")"),"Can players use kites with special decorations that are not allowed?")</f>
        <v>Can players use kites with special decorations that are not allowed?</v>
      </c>
      <c r="C163" s="5" t="str">
        <f>IFERROR(__xludf.DUMMYFUNCTION("GOOGLETRANSLATE(I163, ""th"", ""en"")"),"A) Yes; B) No")</f>
        <v>A) Yes; B) No</v>
      </c>
      <c r="D163" s="5" t="str">
        <f>IFERROR(__xludf.DUMMYFUNCTION("GOOGLETRANSLATE(J163, ""th"", ""en"")"),"B) No.")</f>
        <v>B) No.</v>
      </c>
      <c r="E163" s="5" t="str">
        <f>IFERROR(__xludf.DUMMYFUNCTION("GOOGLETRANSLATE(K163, ""th"", ""en"")"),"The use of unauthorized special decorations is a violation of the rules.")</f>
        <v>The use of unauthorized special decorations is a violation of the rules.</v>
      </c>
      <c r="G163" s="6">
        <v>162.0</v>
      </c>
      <c r="H163" s="7" t="s">
        <v>1686</v>
      </c>
      <c r="I163" s="7" t="s">
        <v>1314</v>
      </c>
      <c r="J163" s="7" t="s">
        <v>698</v>
      </c>
      <c r="K163" s="7" t="s">
        <v>1687</v>
      </c>
    </row>
    <row r="164" ht="14.25" customHeight="1">
      <c r="A164" s="4">
        <v>163.0</v>
      </c>
      <c r="B164" s="5" t="str">
        <f>IFERROR(__xludf.DUMMYFUNCTION("GOOGLETRANSLATE(H164, ""th"", ""en"")"),"If a player's kite causes damage to themselves or others, what are the consequences?")</f>
        <v>If a player's kite causes damage to themselves or others, what are the consequences?</v>
      </c>
      <c r="C164" s="5" t="str">
        <f>IFERROR(__xludf.DUMMYFUNCTION("GOOGLETRANSLATE(I164, ""th"", ""en"")"),"A) Score reduction; B) Disqualification; C) No effect.")</f>
        <v>A) Score reduction; B) Disqualification; C) No effect.</v>
      </c>
      <c r="D164" s="5" t="str">
        <f>IFERROR(__xludf.DUMMYFUNCTION("GOOGLETRANSLATE(J164, ""th"", ""en"")"),"B) Disqualified")</f>
        <v>B) Disqualified</v>
      </c>
      <c r="E164" s="5" t="str">
        <f>IFERROR(__xludf.DUMMYFUNCTION("GOOGLETRANSLATE(K164, ""th"", ""en"")"),"Causing damage to others or the environment is a violation.")</f>
        <v>Causing damage to others or the environment is a violation.</v>
      </c>
      <c r="G164" s="6">
        <v>163.0</v>
      </c>
      <c r="H164" s="7" t="s">
        <v>1688</v>
      </c>
      <c r="I164" s="7" t="s">
        <v>1631</v>
      </c>
      <c r="J164" s="7" t="s">
        <v>1444</v>
      </c>
      <c r="K164" s="7" t="s">
        <v>1689</v>
      </c>
    </row>
    <row r="165" ht="14.25" customHeight="1">
      <c r="A165" s="4">
        <v>164.0</v>
      </c>
      <c r="B165" s="5" t="str">
        <f>IFERROR(__xludf.DUMMYFUNCTION("GOOGLETRANSLATE(H165, ""th"", ""en"")"),"What happens if a player uses a kite that does not meet the strength requirements?")</f>
        <v>What happens if a player uses a kite that does not meet the strength requirements?</v>
      </c>
      <c r="C165" s="5" t="str">
        <f>IFERROR(__xludf.DUMMYFUNCTION("GOOGLETRANSLATE(I165, ""th"", ""en"")"),"A) disqualified; B) extra points; C) no effect")</f>
        <v>A) disqualified; B) extra points; C) no effect</v>
      </c>
      <c r="D165" s="5" t="str">
        <f>IFERROR(__xludf.DUMMYFUNCTION("GOOGLETRANSLATE(J165, ""th"", ""en"")"),"A) Disqualified")</f>
        <v>A) Disqualified</v>
      </c>
      <c r="E165" s="5" t="str">
        <f>IFERROR(__xludf.DUMMYFUNCTION("GOOGLETRANSLATE(K165, ""th"", ""en"")"),"Using a kite that does not meet the requirements will result in disqualification.")</f>
        <v>Using a kite that does not meet the requirements will result in disqualification.</v>
      </c>
      <c r="G165" s="6">
        <v>164.0</v>
      </c>
      <c r="H165" s="7" t="s">
        <v>1690</v>
      </c>
      <c r="I165" s="7" t="s">
        <v>1691</v>
      </c>
      <c r="J165" s="7" t="s">
        <v>787</v>
      </c>
      <c r="K165" s="7" t="s">
        <v>1692</v>
      </c>
    </row>
    <row r="166" ht="14.25" customHeight="1">
      <c r="A166" s="4">
        <v>165.0</v>
      </c>
      <c r="B166" s="5" t="str">
        <f>IFERROR(__xludf.DUMMYFUNCTION("GOOGLETRANSLATE(H166, ""th"", ""en"")"),"Can players use kites with less durable materials to increase speed?")</f>
        <v>Can players use kites with less durable materials to increase speed?</v>
      </c>
      <c r="C166" s="5" t="str">
        <f>IFERROR(__xludf.DUMMYFUNCTION("GOOGLETRANSLATE(I166, ""th"", ""en"")"),"A) Yes; B) No")</f>
        <v>A) Yes; B) No</v>
      </c>
      <c r="D166" s="5" t="str">
        <f>IFERROR(__xludf.DUMMYFUNCTION("GOOGLETRANSLATE(J166, ""th"", ""en"")"),"B) No.")</f>
        <v>B) No.</v>
      </c>
      <c r="E166" s="5" t="str">
        <f>IFERROR(__xludf.DUMMYFUNCTION("GOOGLETRANSLATE(K166, ""th"", ""en"")"),"Using non-durable materials to increase speed is a violation of the rules.")</f>
        <v>Using non-durable materials to increase speed is a violation of the rules.</v>
      </c>
      <c r="G166" s="6">
        <v>165.0</v>
      </c>
      <c r="H166" s="7" t="s">
        <v>1693</v>
      </c>
      <c r="I166" s="7" t="s">
        <v>1314</v>
      </c>
      <c r="J166" s="7" t="s">
        <v>698</v>
      </c>
      <c r="K166" s="7" t="s">
        <v>1694</v>
      </c>
    </row>
    <row r="167" ht="14.25" customHeight="1">
      <c r="A167" s="4">
        <v>166.0</v>
      </c>
      <c r="B167" s="5" t="str">
        <f>IFERROR(__xludf.DUMMYFUNCTION("GOOGLETRANSLATE(H167, ""th"", ""en"")"),"Is it illegal to use a kite with inappropriate parts, such as wire or metal?")</f>
        <v>Is it illegal to use a kite with inappropriate parts, such as wire or metal?</v>
      </c>
      <c r="C167" s="5" t="str">
        <f>IFERROR(__xludf.DUMMYFUNCTION("GOOGLETRANSLATE(I167, ""th"", ""en"")"),"A) It is against the rules; B) It is not against the rules.")</f>
        <v>A) It is against the rules; B) It is not against the rules.</v>
      </c>
      <c r="D167" s="5" t="str">
        <f>IFERROR(__xludf.DUMMYFUNCTION("GOOGLETRANSLATE(J167, ""th"", ""en"")"),"A) It is considered a violation of the rules.")</f>
        <v>A) It is considered a violation of the rules.</v>
      </c>
      <c r="E167" s="5" t="str">
        <f>IFERROR(__xludf.DUMMYFUNCTION("GOOGLETRANSLATE(K167, ""th"", ""en"")"),"Using inappropriate add-ons is a violation of the rules.")</f>
        <v>Using inappropriate add-ons is a violation of the rules.</v>
      </c>
      <c r="G167" s="6">
        <v>166.0</v>
      </c>
      <c r="H167" s="7" t="s">
        <v>1695</v>
      </c>
      <c r="I167" s="7" t="s">
        <v>1696</v>
      </c>
      <c r="J167" s="7" t="s">
        <v>1697</v>
      </c>
      <c r="K167" s="7" t="s">
        <v>1698</v>
      </c>
    </row>
    <row r="168" ht="14.25" customHeight="1">
      <c r="A168" s="4">
        <v>167.0</v>
      </c>
      <c r="B168" s="5" t="str">
        <f>IFERROR(__xludf.DUMMYFUNCTION("GOOGLETRANSLATE(H168, ""th"", ""en"")"),"If a player's kite is damaged by too much wind, what will happen?")</f>
        <v>If a player's kite is damaged by too much wind, what will happen?</v>
      </c>
      <c r="C168" s="5" t="str">
        <f>IFERROR(__xludf.DUMMYFUNCTION("GOOGLETRANSLATE(I168, ""th"", ""en"")"),"A) Score reduction; B) Disqualification; C) No effect.")</f>
        <v>A) Score reduction; B) Disqualification; C) No effect.</v>
      </c>
      <c r="D168" s="5" t="str">
        <f>IFERROR(__xludf.DUMMYFUNCTION("GOOGLETRANSLATE(J168, ""th"", ""en"")"),"B) Disqualified")</f>
        <v>B) Disqualified</v>
      </c>
      <c r="E168" s="5" t="str">
        <f>IFERROR(__xludf.DUMMYFUNCTION("GOOGLETRANSLATE(K168, ""th"", ""en"")"),"Damage to a kite due to strong winds is a violation of the rules.")</f>
        <v>Damage to a kite due to strong winds is a violation of the rules.</v>
      </c>
      <c r="G168" s="6">
        <v>167.0</v>
      </c>
      <c r="H168" s="7" t="s">
        <v>1699</v>
      </c>
      <c r="I168" s="7" t="s">
        <v>1631</v>
      </c>
      <c r="J168" s="7" t="s">
        <v>1444</v>
      </c>
      <c r="K168" s="7" t="s">
        <v>1700</v>
      </c>
    </row>
    <row r="169" ht="14.25" customHeight="1">
      <c r="A169" s="4">
        <v>168.0</v>
      </c>
      <c r="B169" s="5" t="str">
        <f>IFERROR(__xludf.DUMMYFUNCTION("GOOGLETRANSLATE(H169, ""th"", ""en"")"),"Can players use a kite that is too heavy?")</f>
        <v>Can players use a kite that is too heavy?</v>
      </c>
      <c r="C169" s="5" t="str">
        <f>IFERROR(__xludf.DUMMYFUNCTION("GOOGLETRANSLATE(I169, ""th"", ""en"")"),"A) Yes; B) No")</f>
        <v>A) Yes; B) No</v>
      </c>
      <c r="D169" s="5" t="str">
        <f>IFERROR(__xludf.DUMMYFUNCTION("GOOGLETRANSLATE(J169, ""th"", ""en"")"),"B) No.")</f>
        <v>B) No.</v>
      </c>
      <c r="E169" s="5" t="str">
        <f>IFERROR(__xludf.DUMMYFUNCTION("GOOGLETRANSLATE(K169, ""th"", ""en"")"),"The kite must be of appropriate weight for its size.")</f>
        <v>The kite must be of appropriate weight for its size.</v>
      </c>
      <c r="G169" s="6">
        <v>168.0</v>
      </c>
      <c r="H169" s="7" t="s">
        <v>1701</v>
      </c>
      <c r="I169" s="7" t="s">
        <v>1314</v>
      </c>
      <c r="J169" s="7" t="s">
        <v>698</v>
      </c>
      <c r="K169" s="7" t="s">
        <v>1702</v>
      </c>
    </row>
    <row r="170" ht="14.25" customHeight="1">
      <c r="A170" s="4">
        <v>169.0</v>
      </c>
      <c r="B170" s="5" t="str">
        <f>IFERROR(__xludf.DUMMYFUNCTION("GOOGLETRANSLATE(H170, ""th"", ""en"")"),"Can players fly a kite with a rope that does not meet the requirements?")</f>
        <v>Can players fly a kite with a rope that does not meet the requirements?</v>
      </c>
      <c r="C170" s="5" t="str">
        <f>IFERROR(__xludf.DUMMYFUNCTION("GOOGLETRANSLATE(I170, ""th"", ""en"")"),"A) Yes; B) No")</f>
        <v>A) Yes; B) No</v>
      </c>
      <c r="D170" s="5" t="str">
        <f>IFERROR(__xludf.DUMMYFUNCTION("GOOGLETRANSLATE(J170, ""th"", ""en"")"),"B) No.")</f>
        <v>B) No.</v>
      </c>
      <c r="E170" s="5" t="str">
        <f>IFERROR(__xludf.DUMMYFUNCTION("GOOGLETRANSLATE(K170, ""th"", ""en"")"),"The rope must meet safety requirements.")</f>
        <v>The rope must meet safety requirements.</v>
      </c>
      <c r="G170" s="6">
        <v>169.0</v>
      </c>
      <c r="H170" s="7" t="s">
        <v>1703</v>
      </c>
      <c r="I170" s="7" t="s">
        <v>1314</v>
      </c>
      <c r="J170" s="7" t="s">
        <v>698</v>
      </c>
      <c r="K170" s="7" t="s">
        <v>1704</v>
      </c>
    </row>
    <row r="171" ht="14.25" customHeight="1">
      <c r="A171" s="4">
        <v>170.0</v>
      </c>
      <c r="B171" s="5" t="str">
        <f>IFERROR(__xludf.DUMMYFUNCTION("GOOGLETRANSLATE(H171, ""th"", ""en"")"),"If a player uses a kite that is too small, what will happen to him?")</f>
        <v>If a player uses a kite that is too small, what will happen to him?</v>
      </c>
      <c r="C171" s="5" t="str">
        <f>IFERROR(__xludf.DUMMYFUNCTION("GOOGLETRANSLATE(I171, ""th"", ""en"")"),"A) disqualified; B) extra points; C) no effect")</f>
        <v>A) disqualified; B) extra points; C) no effect</v>
      </c>
      <c r="D171" s="5" t="str">
        <f>IFERROR(__xludf.DUMMYFUNCTION("GOOGLETRANSLATE(J171, ""th"", ""en"")"),"A) Disqualified")</f>
        <v>A) Disqualified</v>
      </c>
      <c r="E171" s="5" t="str">
        <f>IFERROR(__xludf.DUMMYFUNCTION("GOOGLETRANSLATE(K171, ""th"", ""en"")"),"The size of the kite must be in accordance with the rules.")</f>
        <v>The size of the kite must be in accordance with the rules.</v>
      </c>
      <c r="G171" s="6">
        <v>170.0</v>
      </c>
      <c r="H171" s="7" t="s">
        <v>1705</v>
      </c>
      <c r="I171" s="7" t="s">
        <v>1691</v>
      </c>
      <c r="J171" s="7" t="s">
        <v>787</v>
      </c>
      <c r="K171" s="7" t="s">
        <v>1706</v>
      </c>
    </row>
    <row r="172" ht="14.25" customHeight="1">
      <c r="A172" s="4">
        <v>171.0</v>
      </c>
      <c r="B172" s="5" t="str">
        <f>IFERROR(__xludf.DUMMYFUNCTION("GOOGLETRANSLATE(H172, ""th"", ""en"")"),"If a player flies a kite in an unusual manner and causes damage, how will he be punished?")</f>
        <v>If a player flies a kite in an unusual manner and causes damage, how will he be punished?</v>
      </c>
      <c r="C172" s="5" t="str">
        <f>IFERROR(__xludf.DUMMYFUNCTION("GOOGLETRANSLATE(I172, ""th"", ""en"")"),"A) Score reduction; B) Disqualification; C) No effect.")</f>
        <v>A) Score reduction; B) Disqualification; C) No effect.</v>
      </c>
      <c r="D172" s="5" t="str">
        <f>IFERROR(__xludf.DUMMYFUNCTION("GOOGLETRANSLATE(J172, ""th"", ""en"")"),"B) Disqualified")</f>
        <v>B) Disqualified</v>
      </c>
      <c r="E172" s="5" t="str">
        <f>IFERROR(__xludf.DUMMYFUNCTION("GOOGLETRANSLATE(K172, ""th"", ""en"")"),"Flying a kite in an improper position can cause damage.")</f>
        <v>Flying a kite in an improper position can cause damage.</v>
      </c>
      <c r="G172" s="6">
        <v>171.0</v>
      </c>
      <c r="H172" s="7" t="s">
        <v>1707</v>
      </c>
      <c r="I172" s="7" t="s">
        <v>1631</v>
      </c>
      <c r="J172" s="7" t="s">
        <v>1444</v>
      </c>
      <c r="K172" s="7" t="s">
        <v>1708</v>
      </c>
    </row>
    <row r="173" ht="14.25" customHeight="1">
      <c r="A173" s="4">
        <v>172.0</v>
      </c>
      <c r="B173" s="5" t="str">
        <f>IFERROR(__xludf.DUMMYFUNCTION("GOOGLETRANSLATE(H173, ""th"", ""en"")"),"Is it illegal to use a kite that has parts that could cause injury?")</f>
        <v>Is it illegal to use a kite that has parts that could cause injury?</v>
      </c>
      <c r="C173" s="5" t="str">
        <f>IFERROR(__xludf.DUMMYFUNCTION("GOOGLETRANSLATE(I173, ""th"", ""en"")"),"A) It is against the rules; B) It is not against the rules.")</f>
        <v>A) It is against the rules; B) It is not against the rules.</v>
      </c>
      <c r="D173" s="5" t="str">
        <f>IFERROR(__xludf.DUMMYFUNCTION("GOOGLETRANSLATE(J173, ""th"", ""en"")"),"A) It is considered a violation of the rules.")</f>
        <v>A) It is considered a violation of the rules.</v>
      </c>
      <c r="E173" s="5" t="str">
        <f>IFERROR(__xludf.DUMMYFUNCTION("GOOGLETRANSLATE(K173, ""th"", ""en"")"),"Using a kite with parts that could cause danger is a violation of the rules.")</f>
        <v>Using a kite with parts that could cause danger is a violation of the rules.</v>
      </c>
      <c r="G173" s="6">
        <v>172.0</v>
      </c>
      <c r="H173" s="7" t="s">
        <v>1709</v>
      </c>
      <c r="I173" s="7" t="s">
        <v>1696</v>
      </c>
      <c r="J173" s="7" t="s">
        <v>1697</v>
      </c>
      <c r="K173" s="7" t="s">
        <v>1710</v>
      </c>
    </row>
    <row r="174" ht="14.25" customHeight="1">
      <c r="A174" s="4">
        <v>173.0</v>
      </c>
      <c r="B174" s="5" t="str">
        <f>IFERROR(__xludf.DUMMYFUNCTION("GOOGLETRANSLATE(H174, ""th"", ""en"")"),"If a player's kite is severed from the rope, what will happen to him?")</f>
        <v>If a player's kite is severed from the rope, what will happen to him?</v>
      </c>
      <c r="C174" s="5" t="str">
        <f>IFERROR(__xludf.DUMMYFUNCTION("GOOGLETRANSLATE(I174, ""th"", ""en"")"),"A) Score reduction; B) Disqualification; C) No effect.")</f>
        <v>A) Score reduction; B) Disqualification; C) No effect.</v>
      </c>
      <c r="D174" s="5" t="str">
        <f>IFERROR(__xludf.DUMMYFUNCTION("GOOGLETRANSLATE(J174, ""th"", ""en"")"),"B) Disqualified")</f>
        <v>B) Disqualified</v>
      </c>
      <c r="E174" s="5" t="str">
        <f>IFERROR(__xludf.DUMMYFUNCTION("GOOGLETRANSLATE(K174, ""th"", ""en"")"),"Breaking the kite from the rope is a violation of the rules.")</f>
        <v>Breaking the kite from the rope is a violation of the rules.</v>
      </c>
      <c r="G174" s="6">
        <v>173.0</v>
      </c>
      <c r="H174" s="7" t="s">
        <v>1711</v>
      </c>
      <c r="I174" s="7" t="s">
        <v>1631</v>
      </c>
      <c r="J174" s="7" t="s">
        <v>1444</v>
      </c>
      <c r="K174" s="7" t="s">
        <v>1712</v>
      </c>
    </row>
    <row r="175" ht="14.25" customHeight="1">
      <c r="A175" s="4">
        <v>174.0</v>
      </c>
      <c r="B175" s="5" t="str">
        <f>IFERROR(__xludf.DUMMYFUNCTION("GOOGLETRANSLATE(H175, ""th"", ""en"")"),"Is it illegal to fly an uncontrolled kite?")</f>
        <v>Is it illegal to fly an uncontrolled kite?</v>
      </c>
      <c r="C175" s="5" t="str">
        <f>IFERROR(__xludf.DUMMYFUNCTION("GOOGLETRANSLATE(I175, ""th"", ""en"")"),"A) It is against the rules; B) It is not against the rules.")</f>
        <v>A) It is against the rules; B) It is not against the rules.</v>
      </c>
      <c r="D175" s="5" t="str">
        <f>IFERROR(__xludf.DUMMYFUNCTION("GOOGLETRANSLATE(J175, ""th"", ""en"")"),"A) It is considered a violation of the rules.")</f>
        <v>A) It is considered a violation of the rules.</v>
      </c>
      <c r="E175" s="5" t="str">
        <f>IFERROR(__xludf.DUMMYFUNCTION("GOOGLETRANSLATE(K175, ""th"", ""en"")"),"The kite must be able to be controlled according to the specified rules.")</f>
        <v>The kite must be able to be controlled according to the specified rules.</v>
      </c>
      <c r="G175" s="6">
        <v>174.0</v>
      </c>
      <c r="H175" s="7" t="s">
        <v>1713</v>
      </c>
      <c r="I175" s="7" t="s">
        <v>1696</v>
      </c>
      <c r="J175" s="7" t="s">
        <v>1697</v>
      </c>
      <c r="K175" s="7" t="s">
        <v>1714</v>
      </c>
    </row>
    <row r="176" ht="14.25" customHeight="1">
      <c r="A176" s="4">
        <v>175.0</v>
      </c>
      <c r="B176" s="5" t="str">
        <f>IFERROR(__xludf.DUMMYFUNCTION("GOOGLETRANSLATE(H176, ""th"", ""en"")"),"Can players use kites with colors that are not allowed in competitions?")</f>
        <v>Can players use kites with colors that are not allowed in competitions?</v>
      </c>
      <c r="C176" s="5" t="str">
        <f>IFERROR(__xludf.DUMMYFUNCTION("GOOGLETRANSLATE(I176, ""th"", ""en"")"),"A) Yes; B) No")</f>
        <v>A) Yes; B) No</v>
      </c>
      <c r="D176" s="5" t="str">
        <f>IFERROR(__xludf.DUMMYFUNCTION("GOOGLETRANSLATE(J176, ""th"", ""en"")"),"B) No.")</f>
        <v>B) No.</v>
      </c>
      <c r="E176" s="5" t="str">
        <f>IFERROR(__xludf.DUMMYFUNCTION("GOOGLETRANSLATE(K176, ""th"", ""en"")"),"The choice of kite color must be in accordance with the specifications.")</f>
        <v>The choice of kite color must be in accordance with the specifications.</v>
      </c>
      <c r="G176" s="6">
        <v>175.0</v>
      </c>
      <c r="H176" s="7" t="s">
        <v>1715</v>
      </c>
      <c r="I176" s="7" t="s">
        <v>1314</v>
      </c>
      <c r="J176" s="7" t="s">
        <v>698</v>
      </c>
      <c r="K176" s="7" t="s">
        <v>1716</v>
      </c>
    </row>
    <row r="177" ht="14.25" customHeight="1">
      <c r="A177" s="4">
        <v>176.0</v>
      </c>
      <c r="B177" s="5" t="str">
        <f>IFERROR(__xludf.DUMMYFUNCTION("GOOGLETRANSLATE(H177, ""th"", ""en"")"),"If a player's kite is knocked down by a collision with an opponent's kite, is it considered a loss?")</f>
        <v>If a player's kite is knocked down by a collision with an opponent's kite, is it considered a loss?</v>
      </c>
      <c r="C177" s="5" t="str">
        <f>IFERROR(__xludf.DUMMYFUNCTION("GOOGLETRANSLATE(I177, ""th"", ""en"")"),"A) considered a loss; B) not considered a loss")</f>
        <v>A) considered a loss; B) not considered a loss</v>
      </c>
      <c r="D177" s="5" t="str">
        <f>IFERROR(__xludf.DUMMYFUNCTION("GOOGLETRANSLATE(J177, ""th"", ""en"")"),"B) Not considered an allergy.")</f>
        <v>B) Not considered an allergy.</v>
      </c>
      <c r="E177" s="5" t="str">
        <f>IFERROR(__xludf.DUMMYFUNCTION("GOOGLETRANSLATE(K177, ""th"", ""en"")"),"Collisions do not result in defeat if the kite does not fall.")</f>
        <v>Collisions do not result in defeat if the kite does not fall.</v>
      </c>
      <c r="G177" s="6">
        <v>176.0</v>
      </c>
      <c r="H177" s="7" t="s">
        <v>1717</v>
      </c>
      <c r="I177" s="7" t="s">
        <v>1401</v>
      </c>
      <c r="J177" s="7" t="s">
        <v>1718</v>
      </c>
      <c r="K177" s="7" t="s">
        <v>1719</v>
      </c>
    </row>
    <row r="178" ht="14.25" customHeight="1">
      <c r="A178" s="4">
        <v>177.0</v>
      </c>
      <c r="B178" s="5" t="str">
        <f>IFERROR(__xludf.DUMMYFUNCTION("GOOGLETRANSLATE(H178, ""th"", ""en"")"),"Is using a rope that is too long when flying a kite a violation?")</f>
        <v>Is using a rope that is too long when flying a kite a violation?</v>
      </c>
      <c r="C178" s="5" t="str">
        <f>IFERROR(__xludf.DUMMYFUNCTION("GOOGLETRANSLATE(I178, ""th"", ""en"")"),"A) It is considered a violation; B) It is not considered a violation.")</f>
        <v>A) It is considered a violation; B) It is not considered a violation.</v>
      </c>
      <c r="D178" s="5" t="str">
        <f>IFERROR(__xludf.DUMMYFUNCTION("GOOGLETRANSLATE(J178, ""th"", ""en"")"),"A) It is considered a violation.")</f>
        <v>A) It is considered a violation.</v>
      </c>
      <c r="E178" s="5" t="str">
        <f>IFERROR(__xludf.DUMMYFUNCTION("GOOGLETRANSLATE(K178, ""th"", ""en"")"),"The rope must be of the proper length according to the rules.")</f>
        <v>The rope must be of the proper length according to the rules.</v>
      </c>
      <c r="G178" s="6">
        <v>177.0</v>
      </c>
      <c r="H178" s="7" t="s">
        <v>1720</v>
      </c>
      <c r="I178" s="7" t="s">
        <v>1721</v>
      </c>
      <c r="J178" s="7" t="s">
        <v>1722</v>
      </c>
      <c r="K178" s="7" t="s">
        <v>1723</v>
      </c>
    </row>
    <row r="179" ht="14.25" customHeight="1">
      <c r="A179" s="4">
        <v>178.0</v>
      </c>
      <c r="B179" s="5" t="str">
        <f>IFERROR(__xludf.DUMMYFUNCTION("GOOGLETRANSLATE(H179, ""th"", ""en"")"),"If a player is unable to fly their kite during the match, what are the consequences?")</f>
        <v>If a player is unable to fly their kite during the match, what are the consequences?</v>
      </c>
      <c r="C179" s="5" t="str">
        <f>IFERROR(__xludf.DUMMYFUNCTION("GOOGLETRANSLATE(I179, ""th"", ""en"")"),"A) Score reduction; B) Disqualification; C) No effect.")</f>
        <v>A) Score reduction; B) Disqualification; C) No effect.</v>
      </c>
      <c r="D179" s="5" t="str">
        <f>IFERROR(__xludf.DUMMYFUNCTION("GOOGLETRANSLATE(J179, ""th"", ""en"")"),"B) Disqualified")</f>
        <v>B) Disqualified</v>
      </c>
      <c r="E179" s="5" t="str">
        <f>IFERROR(__xludf.DUMMYFUNCTION("GOOGLETRANSLATE(K179, ""th"", ""en"")"),"Players must be able to fly their kite throughout the competition.")</f>
        <v>Players must be able to fly their kite throughout the competition.</v>
      </c>
      <c r="G179" s="6">
        <v>178.0</v>
      </c>
      <c r="H179" s="7" t="s">
        <v>1724</v>
      </c>
      <c r="I179" s="7" t="s">
        <v>1631</v>
      </c>
      <c r="J179" s="7" t="s">
        <v>1444</v>
      </c>
      <c r="K179" s="7" t="s">
        <v>1725</v>
      </c>
    </row>
    <row r="180" ht="14.25" customHeight="1">
      <c r="A180" s="4">
        <v>179.0</v>
      </c>
      <c r="B180" s="5" t="str">
        <f>IFERROR(__xludf.DUMMYFUNCTION("GOOGLETRANSLATE(H180, ""th"", ""en"")"),"If a player's kite causes danger to spectators, what punishment will be applied?")</f>
        <v>If a player's kite causes danger to spectators, what punishment will be applied?</v>
      </c>
      <c r="C180" s="5" t="str">
        <f>IFERROR(__xludf.DUMMYFUNCTION("GOOGLETRANSLATE(I180, ""th"", ""en"")"),"A) Score reduction; B) Disqualification; C) No effect.")</f>
        <v>A) Score reduction; B) Disqualification; C) No effect.</v>
      </c>
      <c r="D180" s="5" t="str">
        <f>IFERROR(__xludf.DUMMYFUNCTION("GOOGLETRANSLATE(J180, ""th"", ""en"")"),"B) Disqualified")</f>
        <v>B) Disqualified</v>
      </c>
      <c r="E180" s="5" t="str">
        <f>IFERROR(__xludf.DUMMYFUNCTION("GOOGLETRANSLATE(K180, ""th"", ""en"")"),"Causing harm to spectators is a violation of the rules.")</f>
        <v>Causing harm to spectators is a violation of the rules.</v>
      </c>
      <c r="G180" s="6">
        <v>179.0</v>
      </c>
      <c r="H180" s="7" t="s">
        <v>1726</v>
      </c>
      <c r="I180" s="7" t="s">
        <v>1631</v>
      </c>
      <c r="J180" s="7" t="s">
        <v>1444</v>
      </c>
      <c r="K180" s="7" t="s">
        <v>1727</v>
      </c>
    </row>
    <row r="181" ht="14.25" customHeight="1">
      <c r="A181" s="4">
        <v>180.0</v>
      </c>
      <c r="B181" s="5" t="str">
        <f>IFERROR(__xludf.DUMMYFUNCTION("GOOGLETRANSLATE(H181, ""th"", ""en"")"),"What are the consequences if a player refuses to comply with the referee's instructions?")</f>
        <v>What are the consequences if a player refuses to comply with the referee's instructions?</v>
      </c>
      <c r="C181" s="5" t="str">
        <f>IFERROR(__xludf.DUMMYFUNCTION("GOOGLETRANSLATE(I181, ""th"", ""en"")"),"A) disqualified; B) deducted points; C) invalid")</f>
        <v>A) disqualified; B) deducted points; C) invalid</v>
      </c>
      <c r="D181" s="5" t="str">
        <f>IFERROR(__xludf.DUMMYFUNCTION("GOOGLETRANSLATE(J181, ""th"", ""en"")"),"A) Disqualified")</f>
        <v>A) Disqualified</v>
      </c>
      <c r="E181" s="5" t="str">
        <f>IFERROR(__xludf.DUMMYFUNCTION("GOOGLETRANSLATE(K181, ""th"", ""en"")"),"Failure to comply with the instructions of the Board of Directors is a violation.")</f>
        <v>Failure to comply with the instructions of the Board of Directors is a violation.</v>
      </c>
      <c r="G181" s="6">
        <v>180.0</v>
      </c>
      <c r="H181" s="7" t="s">
        <v>1728</v>
      </c>
      <c r="I181" s="7" t="s">
        <v>1668</v>
      </c>
      <c r="J181" s="7" t="s">
        <v>787</v>
      </c>
      <c r="K181" s="7" t="s">
        <v>1729</v>
      </c>
    </row>
    <row r="182" ht="14.25" customHeight="1">
      <c r="A182" s="4">
        <v>181.0</v>
      </c>
      <c r="B182" s="5" t="str">
        <f>IFERROR(__xludf.DUMMYFUNCTION("GOOGLETRANSLATE(H182, ""th"", ""en"")"),"Can players use kites with inappropriate decorations?")</f>
        <v>Can players use kites with inappropriate decorations?</v>
      </c>
      <c r="C182" s="5" t="str">
        <f>IFERROR(__xludf.DUMMYFUNCTION("GOOGLETRANSLATE(I182, ""th"", ""en"")"),"A) Yes; B) No")</f>
        <v>A) Yes; B) No</v>
      </c>
      <c r="D182" s="5" t="str">
        <f>IFERROR(__xludf.DUMMYFUNCTION("GOOGLETRANSLATE(J182, ""th"", ""en"")"),"B) No.")</f>
        <v>B) No.</v>
      </c>
      <c r="E182" s="5" t="str">
        <f>IFERROR(__xludf.DUMMYFUNCTION("GOOGLETRANSLATE(K182, ""th"", ""en"")"),"Improper kite decoration is a violation of the rules.")</f>
        <v>Improper kite decoration is a violation of the rules.</v>
      </c>
      <c r="G182" s="6">
        <v>181.0</v>
      </c>
      <c r="H182" s="7" t="s">
        <v>1730</v>
      </c>
      <c r="I182" s="7" t="s">
        <v>1314</v>
      </c>
      <c r="J182" s="7" t="s">
        <v>698</v>
      </c>
      <c r="K182" s="7" t="s">
        <v>1731</v>
      </c>
    </row>
    <row r="183" ht="14.25" customHeight="1">
      <c r="A183" s="4">
        <v>182.0</v>
      </c>
      <c r="B183" s="5" t="str">
        <f>IFERROR(__xludf.DUMMYFUNCTION("GOOGLETRANSLATE(H183, ""th"", ""en"")"),"If a player's kite is damaged by weather conditions, how will it be affected?")</f>
        <v>If a player's kite is damaged by weather conditions, how will it be affected?</v>
      </c>
      <c r="C183" s="5" t="str">
        <f>IFERROR(__xludf.DUMMYFUNCTION("GOOGLETRANSLATE(I183, ""th"", ""en"")"),"A) Score reduction; B) Disqualification; C) No effect.")</f>
        <v>A) Score reduction; B) Disqualification; C) No effect.</v>
      </c>
      <c r="D183" s="5" t="str">
        <f>IFERROR(__xludf.DUMMYFUNCTION("GOOGLETRANSLATE(J183, ""th"", ""en"")"),"C) No effect")</f>
        <v>C) No effect</v>
      </c>
      <c r="E183" s="5" t="str">
        <f>IFERROR(__xludf.DUMMYFUNCTION("GOOGLETRANSLATE(K183, ""th"", ""en"")"),"Weather damage did not affect the competition.")</f>
        <v>Weather damage did not affect the competition.</v>
      </c>
      <c r="G183" s="6">
        <v>182.0</v>
      </c>
      <c r="H183" s="7" t="s">
        <v>1732</v>
      </c>
      <c r="I183" s="7" t="s">
        <v>1631</v>
      </c>
      <c r="J183" s="7" t="s">
        <v>1733</v>
      </c>
      <c r="K183" s="7" t="s">
        <v>1734</v>
      </c>
    </row>
    <row r="184" ht="14.25" customHeight="1">
      <c r="A184" s="4">
        <v>183.0</v>
      </c>
      <c r="B184" s="5" t="str">
        <f>IFERROR(__xludf.DUMMYFUNCTION("GOOGLETRANSLATE(H184, ""th"", ""en"")"),"What are the consequences of using a kite with a rope that is too long?")</f>
        <v>What are the consequences of using a kite with a rope that is too long?</v>
      </c>
      <c r="C184" s="5" t="str">
        <f>IFERROR(__xludf.DUMMYFUNCTION("GOOGLETRANSLATE(I184, ""th"", ""en"")"),"A) Increased score; B) Decreased score; C) Disqualified")</f>
        <v>A) Increased score; B) Decreased score; C) Disqualified</v>
      </c>
      <c r="D184" s="5" t="str">
        <f>IFERROR(__xludf.DUMMYFUNCTION("GOOGLETRANSLATE(J184, ""th"", ""en"")"),"B) Points reduced")</f>
        <v>B) Points reduced</v>
      </c>
      <c r="E184" s="5" t="str">
        <f>IFERROR(__xludf.DUMMYFUNCTION("GOOGLETRANSLATE(K184, ""th"", ""en"")"),"A string that is too long can make it difficult to control the kite.")</f>
        <v>A string that is too long can make it difficult to control the kite.</v>
      </c>
      <c r="G184" s="6">
        <v>183.0</v>
      </c>
      <c r="H184" s="7" t="s">
        <v>1735</v>
      </c>
      <c r="I184" s="7" t="s">
        <v>1595</v>
      </c>
      <c r="J184" s="7" t="s">
        <v>1736</v>
      </c>
      <c r="K184" s="7" t="s">
        <v>1737</v>
      </c>
    </row>
    <row r="185" ht="14.25" customHeight="1">
      <c r="A185" s="4">
        <v>184.0</v>
      </c>
      <c r="B185" s="5" t="str">
        <f>IFERROR(__xludf.DUMMYFUNCTION("GOOGLETRANSLATE(H185, ""th"", ""en"")"),"Can players use kites with non-allowed traits?")</f>
        <v>Can players use kites with non-allowed traits?</v>
      </c>
      <c r="C185" s="5" t="str">
        <f>IFERROR(__xludf.DUMMYFUNCTION("GOOGLETRANSLATE(I185, ""th"", ""en"")"),"A) Yes; B) No")</f>
        <v>A) Yes; B) No</v>
      </c>
      <c r="D185" s="5" t="str">
        <f>IFERROR(__xludf.DUMMYFUNCTION("GOOGLETRANSLATE(J185, ""th"", ""en"")"),"B) No.")</f>
        <v>B) No.</v>
      </c>
      <c r="E185" s="5" t="str">
        <f>IFERROR(__xludf.DUMMYFUNCTION("GOOGLETRANSLATE(K185, ""th"", ""en"")"),"Using unauthorized features is against the rules.")</f>
        <v>Using unauthorized features is against the rules.</v>
      </c>
      <c r="G185" s="6">
        <v>184.0</v>
      </c>
      <c r="H185" s="7" t="s">
        <v>1738</v>
      </c>
      <c r="I185" s="7" t="s">
        <v>1314</v>
      </c>
      <c r="J185" s="7" t="s">
        <v>698</v>
      </c>
      <c r="K185" s="7" t="s">
        <v>1739</v>
      </c>
    </row>
    <row r="186" ht="14.25" customHeight="1">
      <c r="A186" s="4">
        <v>185.0</v>
      </c>
      <c r="B186" s="5" t="str">
        <f>IFERROR(__xludf.DUMMYFUNCTION("GOOGLETRANSLATE(H186, ""th"", ""en"")"),"If a player's kite collides with an opponent's kite during a match, is it considered a loss?")</f>
        <v>If a player's kite collides with an opponent's kite during a match, is it considered a loss?</v>
      </c>
      <c r="C186" s="5" t="str">
        <f>IFERROR(__xludf.DUMMYFUNCTION("GOOGLETRANSLATE(I186, ""th"", ""en"")"),"A) considered a loss; B) not considered a loss")</f>
        <v>A) considered a loss; B) not considered a loss</v>
      </c>
      <c r="D186" s="5" t="str">
        <f>IFERROR(__xludf.DUMMYFUNCTION("GOOGLETRANSLATE(J186, ""th"", ""en"")"),"B) Not considered a loss")</f>
        <v>B) Not considered a loss</v>
      </c>
      <c r="E186" s="5" t="str">
        <f>IFERROR(__xludf.DUMMYFUNCTION("GOOGLETRANSLATE(K186, ""th"", ""en"")"),"Collisions between kites do not cause the player to lose.")</f>
        <v>Collisions between kites do not cause the player to lose.</v>
      </c>
      <c r="G186" s="6">
        <v>185.0</v>
      </c>
      <c r="H186" s="7" t="s">
        <v>1740</v>
      </c>
      <c r="I186" s="7" t="s">
        <v>1401</v>
      </c>
      <c r="J186" s="7" t="s">
        <v>1684</v>
      </c>
      <c r="K186" s="7" t="s">
        <v>1741</v>
      </c>
    </row>
    <row r="187" ht="14.25" customHeight="1">
      <c r="A187" s="4">
        <v>186.0</v>
      </c>
      <c r="B187" s="5" t="str">
        <f>IFERROR(__xludf.DUMMYFUNCTION("GOOGLETRANSLATE(H187, ""th"", ""en"")"),"Can players use a kite that does not meet the specifications?")</f>
        <v>Can players use a kite that does not meet the specifications?</v>
      </c>
      <c r="C187" s="5" t="str">
        <f>IFERROR(__xludf.DUMMYFUNCTION("GOOGLETRANSLATE(I187, ""th"", ""en"")"),"A) Yes; B) No")</f>
        <v>A) Yes; B) No</v>
      </c>
      <c r="D187" s="5" t="str">
        <f>IFERROR(__xludf.DUMMYFUNCTION("GOOGLETRANSLATE(J187, ""th"", ""en"")"),"B) No.")</f>
        <v>B) No.</v>
      </c>
      <c r="E187" s="5" t="str">
        <f>IFERROR(__xludf.DUMMYFUNCTION("GOOGLETRANSLATE(K187, ""th"", ""en"")"),"The size of the kite must meet the competition requirements.")</f>
        <v>The size of the kite must meet the competition requirements.</v>
      </c>
      <c r="G187" s="6">
        <v>186.0</v>
      </c>
      <c r="H187" s="7" t="s">
        <v>1742</v>
      </c>
      <c r="I187" s="7" t="s">
        <v>1314</v>
      </c>
      <c r="J187" s="7" t="s">
        <v>698</v>
      </c>
      <c r="K187" s="7" t="s">
        <v>1743</v>
      </c>
    </row>
    <row r="188" ht="14.25" customHeight="1">
      <c r="A188" s="4">
        <v>187.0</v>
      </c>
      <c r="B188" s="5" t="str">
        <f>IFERROR(__xludf.DUMMYFUNCTION("GOOGLETRANSLATE(H188, ""th"", ""en"")"),"What are the consequences if a player uses a rope that does not meet the required strength standards?")</f>
        <v>What are the consequences if a player uses a rope that does not meet the required strength standards?</v>
      </c>
      <c r="C188" s="5" t="str">
        <f>IFERROR(__xludf.DUMMYFUNCTION("GOOGLETRANSLATE(I188, ""th"", ""en"")"),"A) Score reduction; B) Disqualification; C) No effect.")</f>
        <v>A) Score reduction; B) Disqualification; C) No effect.</v>
      </c>
      <c r="D188" s="5" t="str">
        <f>IFERROR(__xludf.DUMMYFUNCTION("GOOGLETRANSLATE(J188, ""th"", ""en"")"),"B) Disqualified")</f>
        <v>B) Disqualified</v>
      </c>
      <c r="E188" s="5" t="str">
        <f>IFERROR(__xludf.DUMMYFUNCTION("GOOGLETRANSLATE(K188, ""th"", ""en"")"),"Non-standard ropes cause the player to be disqualified.")</f>
        <v>Non-standard ropes cause the player to be disqualified.</v>
      </c>
      <c r="G188" s="6">
        <v>187.0</v>
      </c>
      <c r="H188" s="7" t="s">
        <v>1744</v>
      </c>
      <c r="I188" s="7" t="s">
        <v>1631</v>
      </c>
      <c r="J188" s="7" t="s">
        <v>1444</v>
      </c>
      <c r="K188" s="7" t="s">
        <v>1745</v>
      </c>
    </row>
    <row r="189" ht="14.25" customHeight="1">
      <c r="A189" s="4">
        <v>188.0</v>
      </c>
      <c r="B189" s="5" t="str">
        <f>IFERROR(__xludf.DUMMYFUNCTION("GOOGLETRANSLATE(H189, ""th"", ""en"")"),"If a player's kite becomes uncontrollable during a match, what are the consequences?")</f>
        <v>If a player's kite becomes uncontrollable during a match, what are the consequences?</v>
      </c>
      <c r="C189" s="5" t="str">
        <f>IFERROR(__xludf.DUMMYFUNCTION("GOOGLETRANSLATE(I189, ""th"", ""en"")"),"A) Score reduction; B) Disqualification; C) No effect.")</f>
        <v>A) Score reduction; B) Disqualification; C) No effect.</v>
      </c>
      <c r="D189" s="5" t="str">
        <f>IFERROR(__xludf.DUMMYFUNCTION("GOOGLETRANSLATE(J189, ""th"", ""en"")"),"B) Disqualified")</f>
        <v>B) Disqualified</v>
      </c>
      <c r="E189" s="5" t="str">
        <f>IFERROR(__xludf.DUMMYFUNCTION("GOOGLETRANSLATE(K189, ""th"", ""en"")"),"Players must be able to control their kite throughout the competition.")</f>
        <v>Players must be able to control their kite throughout the competition.</v>
      </c>
      <c r="G189" s="6">
        <v>188.0</v>
      </c>
      <c r="H189" s="7" t="s">
        <v>1746</v>
      </c>
      <c r="I189" s="7" t="s">
        <v>1631</v>
      </c>
      <c r="J189" s="7" t="s">
        <v>1444</v>
      </c>
      <c r="K189" s="7" t="s">
        <v>1747</v>
      </c>
    </row>
    <row r="190" ht="14.25" customHeight="1">
      <c r="A190" s="4">
        <v>189.0</v>
      </c>
      <c r="B190" s="5" t="str">
        <f>IFERROR(__xludf.DUMMYFUNCTION("GOOGLETRANSLATE(H190, ""th"", ""en"")"),"If a player's kite exceeds the specified size, what will happen?")</f>
        <v>If a player's kite exceeds the specified size, what will happen?</v>
      </c>
      <c r="C190" s="5" t="str">
        <f>IFERROR(__xludf.DUMMYFUNCTION("GOOGLETRANSLATE(I190, ""th"", ""en"")"),"A) Score reduction; B) Disqualification; C) No effect.")</f>
        <v>A) Score reduction; B) Disqualification; C) No effect.</v>
      </c>
      <c r="D190" s="5" t="str">
        <f>IFERROR(__xludf.DUMMYFUNCTION("GOOGLETRANSLATE(J190, ""th"", ""en"")"),"B) Disqualified")</f>
        <v>B) Disqualified</v>
      </c>
      <c r="E190" s="5" t="str">
        <f>IFERROR(__xludf.DUMMYFUNCTION("GOOGLETRANSLATE(K190, ""th"", ""en"")"),"An oversized kite is a violation of the rules.")</f>
        <v>An oversized kite is a violation of the rules.</v>
      </c>
      <c r="G190" s="6">
        <v>189.0</v>
      </c>
      <c r="H190" s="7" t="s">
        <v>1748</v>
      </c>
      <c r="I190" s="7" t="s">
        <v>1631</v>
      </c>
      <c r="J190" s="7" t="s">
        <v>1444</v>
      </c>
      <c r="K190" s="7" t="s">
        <v>1749</v>
      </c>
    </row>
    <row r="191" ht="14.25" customHeight="1">
      <c r="A191" s="4">
        <v>190.0</v>
      </c>
      <c r="B191" s="5" t="str">
        <f>IFERROR(__xludf.DUMMYFUNCTION("GOOGLETRANSLATE(H191, ""th"", ""en"")"),"Is it illegal to use unsafe materials to make a kite?")</f>
        <v>Is it illegal to use unsafe materials to make a kite?</v>
      </c>
      <c r="C191" s="5" t="str">
        <f>IFERROR(__xludf.DUMMYFUNCTION("GOOGLETRANSLATE(I191, ""th"", ""en"")"),"A) It is against the rules; B) It is not against the rules.")</f>
        <v>A) It is against the rules; B) It is not against the rules.</v>
      </c>
      <c r="D191" s="5" t="str">
        <f>IFERROR(__xludf.DUMMYFUNCTION("GOOGLETRANSLATE(J191, ""th"", ""en"")"),"A) It is considered a violation of the rules.")</f>
        <v>A) It is considered a violation of the rules.</v>
      </c>
      <c r="E191" s="5" t="str">
        <f>IFERROR(__xludf.DUMMYFUNCTION("GOOGLETRANSLATE(K191, ""th"", ""en"")"),"Unsafe materials are a violation of the law.")</f>
        <v>Unsafe materials are a violation of the law.</v>
      </c>
      <c r="G191" s="6">
        <v>190.0</v>
      </c>
      <c r="H191" s="7" t="s">
        <v>1750</v>
      </c>
      <c r="I191" s="7" t="s">
        <v>1696</v>
      </c>
      <c r="J191" s="7" t="s">
        <v>1697</v>
      </c>
      <c r="K191" s="7" t="s">
        <v>1751</v>
      </c>
    </row>
    <row r="192" ht="14.25" customHeight="1">
      <c r="A192" s="4">
        <v>191.0</v>
      </c>
      <c r="B192" s="5" t="str">
        <f>IFERROR(__xludf.DUMMYFUNCTION("GOOGLETRANSLATE(H192, ""th"", ""en"")"),"If a player's kite is knocked out of the sky by an opponent, how will he be affected?")</f>
        <v>If a player's kite is knocked out of the sky by an opponent, how will he be affected?</v>
      </c>
      <c r="C192" s="5" t="str">
        <f>IFERROR(__xludf.DUMMYFUNCTION("GOOGLETRANSLATE(I192, ""th"", ""en"")"),"A) Score reduction; B) Disqualification; C) No effect.")</f>
        <v>A) Score reduction; B) Disqualification; C) No effect.</v>
      </c>
      <c r="D192" s="5" t="str">
        <f>IFERROR(__xludf.DUMMYFUNCTION("GOOGLETRANSLATE(J192, ""th"", ""en"")"),"B) Disqualified")</f>
        <v>B) Disqualified</v>
      </c>
      <c r="E192" s="5" t="str">
        <f>IFERROR(__xludf.DUMMYFUNCTION("GOOGLETRANSLATE(K192, ""th"", ""en"")"),"It is against the rules for a competitor to knock a kite out of the sky.")</f>
        <v>It is against the rules for a competitor to knock a kite out of the sky.</v>
      </c>
      <c r="G192" s="6">
        <v>191.0</v>
      </c>
      <c r="H192" s="7" t="s">
        <v>1752</v>
      </c>
      <c r="I192" s="7" t="s">
        <v>1631</v>
      </c>
      <c r="J192" s="7" t="s">
        <v>1444</v>
      </c>
      <c r="K192" s="7" t="s">
        <v>1753</v>
      </c>
    </row>
    <row r="193" ht="14.25" customHeight="1">
      <c r="A193" s="4">
        <v>192.0</v>
      </c>
      <c r="B193" s="5" t="str">
        <f>IFERROR(__xludf.DUMMYFUNCTION("GOOGLETRANSLATE(H193, ""th"", ""en"")"),"What are the consequences if a player violates the rules regarding the size of the kite?")</f>
        <v>What are the consequences if a player violates the rules regarding the size of the kite?</v>
      </c>
      <c r="C193" s="5" t="str">
        <f>IFERROR(__xludf.DUMMYFUNCTION("GOOGLETRANSLATE(I193, ""th"", ""en"")"),"A) Score reduction; B) Disqualification; C) No effect.")</f>
        <v>A) Score reduction; B) Disqualification; C) No effect.</v>
      </c>
      <c r="D193" s="5" t="str">
        <f>IFERROR(__xludf.DUMMYFUNCTION("GOOGLETRANSLATE(J193, ""th"", ""en"")"),"B) Disqualified")</f>
        <v>B) Disqualified</v>
      </c>
      <c r="E193" s="5" t="str">
        <f>IFERROR(__xludf.DUMMYFUNCTION("GOOGLETRANSLATE(K193, ""th"", ""en"")"),"Violating the kite size rule will result in disqualification of the player.")</f>
        <v>Violating the kite size rule will result in disqualification of the player.</v>
      </c>
      <c r="G193" s="6">
        <v>192.0</v>
      </c>
      <c r="H193" s="7" t="s">
        <v>1754</v>
      </c>
      <c r="I193" s="7" t="s">
        <v>1631</v>
      </c>
      <c r="J193" s="7" t="s">
        <v>1444</v>
      </c>
      <c r="K193" s="7" t="s">
        <v>1755</v>
      </c>
    </row>
    <row r="194" ht="14.25" customHeight="1">
      <c r="A194" s="4">
        <v>193.0</v>
      </c>
      <c r="B194" s="5" t="str">
        <f>IFERROR(__xludf.DUMMYFUNCTION("GOOGLETRANSLATE(H194, ""th"", ""en"")"),"Can players use kites that are inappropriately shaped?")</f>
        <v>Can players use kites that are inappropriately shaped?</v>
      </c>
      <c r="C194" s="5" t="str">
        <f>IFERROR(__xludf.DUMMYFUNCTION("GOOGLETRANSLATE(I194, ""th"", ""en"")"),"A) Yes; B) No")</f>
        <v>A) Yes; B) No</v>
      </c>
      <c r="D194" s="5" t="str">
        <f>IFERROR(__xludf.DUMMYFUNCTION("GOOGLETRANSLATE(J194, ""th"", ""en"")"),"B) No.")</f>
        <v>B) No.</v>
      </c>
      <c r="E194" s="5" t="str">
        <f>IFERROR(__xludf.DUMMYFUNCTION("GOOGLETRANSLATE(K194, ""th"", ""en"")"),"The shape of the kite must meet the requirements.")</f>
        <v>The shape of the kite must meet the requirements.</v>
      </c>
      <c r="G194" s="6">
        <v>193.0</v>
      </c>
      <c r="H194" s="7" t="s">
        <v>1756</v>
      </c>
      <c r="I194" s="7" t="s">
        <v>1314</v>
      </c>
      <c r="J194" s="7" t="s">
        <v>698</v>
      </c>
      <c r="K194" s="7" t="s">
        <v>1757</v>
      </c>
    </row>
    <row r="195" ht="14.25" customHeight="1">
      <c r="A195" s="4">
        <v>194.0</v>
      </c>
      <c r="B195" s="5" t="str">
        <f>IFERROR(__xludf.DUMMYFUNCTION("GOOGLETRANSLATE(H195, ""th"", ""en"")"),"If a player's kite doesn't comply with the strength rules, how will he be affected?")</f>
        <v>If a player's kite doesn't comply with the strength rules, how will he be affected?</v>
      </c>
      <c r="C195" s="5" t="str">
        <f>IFERROR(__xludf.DUMMYFUNCTION("GOOGLETRANSLATE(I195, ""th"", ""en"")"),"A) Score reduction; B) Disqualification; C) No effect.")</f>
        <v>A) Score reduction; B) Disqualification; C) No effect.</v>
      </c>
      <c r="D195" s="5" t="str">
        <f>IFERROR(__xludf.DUMMYFUNCTION("GOOGLETRANSLATE(J195, ""th"", ""en"")"),"B) Disqualified")</f>
        <v>B) Disqualified</v>
      </c>
      <c r="E195" s="5" t="str">
        <f>IFERROR(__xludf.DUMMYFUNCTION("GOOGLETRANSLATE(K195, ""th"", ""en"")"),"Using a kite that does not comply with the strength rules will result in the player being disqualified.")</f>
        <v>Using a kite that does not comply with the strength rules will result in the player being disqualified.</v>
      </c>
      <c r="G195" s="6">
        <v>194.0</v>
      </c>
      <c r="H195" s="7" t="s">
        <v>1758</v>
      </c>
      <c r="I195" s="7" t="s">
        <v>1631</v>
      </c>
      <c r="J195" s="7" t="s">
        <v>1444</v>
      </c>
      <c r="K195" s="7" t="s">
        <v>1759</v>
      </c>
    </row>
    <row r="196" ht="14.25" customHeight="1">
      <c r="A196" s="4">
        <v>195.0</v>
      </c>
      <c r="B196" s="5" t="str">
        <f>IFERROR(__xludf.DUMMYFUNCTION("GOOGLETRANSLATE(H196, ""th"", ""en"")"),"If a player's kite is blown out of the sky by the wind, what will happen?")</f>
        <v>If a player's kite is blown out of the sky by the wind, what will happen?</v>
      </c>
      <c r="C196" s="5" t="str">
        <f>IFERROR(__xludf.DUMMYFUNCTION("GOOGLETRANSLATE(I196, ""th"", ""en"")"),"A) Score reduction; B) Disqualification; C) No effect.")</f>
        <v>A) Score reduction; B) Disqualification; C) No effect.</v>
      </c>
      <c r="D196" s="5" t="str">
        <f>IFERROR(__xludf.DUMMYFUNCTION("GOOGLETRANSLATE(J196, ""th"", ""en"")"),"C) No effect")</f>
        <v>C) No effect</v>
      </c>
      <c r="E196" s="5" t="str">
        <f>IFERROR(__xludf.DUMMYFUNCTION("GOOGLETRANSLATE(K196, ""th"", ""en"")"),"A kite blown off by the wind is not considered a violation.")</f>
        <v>A kite blown off by the wind is not considered a violation.</v>
      </c>
      <c r="G196" s="6">
        <v>195.0</v>
      </c>
      <c r="H196" s="7" t="s">
        <v>1760</v>
      </c>
      <c r="I196" s="7" t="s">
        <v>1631</v>
      </c>
      <c r="J196" s="7" t="s">
        <v>1733</v>
      </c>
      <c r="K196" s="7" t="s">
        <v>1761</v>
      </c>
    </row>
    <row r="197" ht="14.25" customHeight="1">
      <c r="A197" s="4">
        <v>196.0</v>
      </c>
      <c r="B197" s="5" t="str">
        <f>IFERROR(__xludf.DUMMYFUNCTION("GOOGLETRANSLATE(H197, ""th"", ""en"")"),"Can players use a kite that has parts that could cause injury?")</f>
        <v>Can players use a kite that has parts that could cause injury?</v>
      </c>
      <c r="C197" s="5" t="str">
        <f>IFERROR(__xludf.DUMMYFUNCTION("GOOGLETRANSLATE(I197, ""th"", ""en"")"),"A) Yes; B) No")</f>
        <v>A) Yes; B) No</v>
      </c>
      <c r="D197" s="5" t="str">
        <f>IFERROR(__xludf.DUMMYFUNCTION("GOOGLETRANSLATE(J197, ""th"", ""en"")"),"B) No.")</f>
        <v>B) No.</v>
      </c>
      <c r="E197" s="5" t="str">
        <f>IFERROR(__xludf.DUMMYFUNCTION("GOOGLETRANSLATE(K197, ""th"", ""en"")"),"The kite must be safe from causing injury.")</f>
        <v>The kite must be safe from causing injury.</v>
      </c>
      <c r="G197" s="6">
        <v>196.0</v>
      </c>
      <c r="H197" s="7" t="s">
        <v>1762</v>
      </c>
      <c r="I197" s="7" t="s">
        <v>1314</v>
      </c>
      <c r="J197" s="7" t="s">
        <v>698</v>
      </c>
      <c r="K197" s="7" t="s">
        <v>1763</v>
      </c>
    </row>
    <row r="198" ht="14.25" customHeight="1">
      <c r="A198" s="4">
        <v>197.0</v>
      </c>
      <c r="B198" s="5" t="str">
        <f>IFERROR(__xludf.DUMMYFUNCTION("GOOGLETRANSLATE(H198, ""th"", ""en"")"),"What are the consequences if a player violates the rules regarding the materials used to make the kite?")</f>
        <v>What are the consequences if a player violates the rules regarding the materials used to make the kite?</v>
      </c>
      <c r="C198" s="5" t="str">
        <f>IFERROR(__xludf.DUMMYFUNCTION("GOOGLETRANSLATE(I198, ""th"", ""en"")"),"A) Score reduction; B) Disqualification; C) No effect.")</f>
        <v>A) Score reduction; B) Disqualification; C) No effect.</v>
      </c>
      <c r="D198" s="5" t="str">
        <f>IFERROR(__xludf.DUMMYFUNCTION("GOOGLETRANSLATE(J198, ""th"", ""en"")"),"B) Disqualified")</f>
        <v>B) Disqualified</v>
      </c>
      <c r="E198" s="5" t="str">
        <f>IFERROR(__xludf.DUMMYFUNCTION("GOOGLETRANSLATE(K198, ""th"", ""en"")"),"Use of inappropriate materials will result in disqualification.")</f>
        <v>Use of inappropriate materials will result in disqualification.</v>
      </c>
      <c r="G198" s="6">
        <v>197.0</v>
      </c>
      <c r="H198" s="7" t="s">
        <v>1764</v>
      </c>
      <c r="I198" s="7" t="s">
        <v>1631</v>
      </c>
      <c r="J198" s="7" t="s">
        <v>1444</v>
      </c>
      <c r="K198" s="7" t="s">
        <v>1765</v>
      </c>
    </row>
    <row r="199" ht="14.25" customHeight="1">
      <c r="A199" s="4">
        <v>198.0</v>
      </c>
      <c r="B199" s="5" t="str">
        <f>IFERROR(__xludf.DUMMYFUNCTION("GOOGLETRANSLATE(H199, ""th"", ""en"")"),"Is using a kite with an inappropriate design in a competition a violation of the rules?")</f>
        <v>Is using a kite with an inappropriate design in a competition a violation of the rules?</v>
      </c>
      <c r="C199" s="5" t="str">
        <f>IFERROR(__xludf.DUMMYFUNCTION("GOOGLETRANSLATE(I199, ""th"", ""en"")"),"A) It is considered a violation; B) It is not considered a violation.")</f>
        <v>A) It is considered a violation; B) It is not considered a violation.</v>
      </c>
      <c r="D199" s="5" t="str">
        <f>IFERROR(__xludf.DUMMYFUNCTION("GOOGLETRANSLATE(J199, ""th"", ""en"")"),"A) It is considered a violation.")</f>
        <v>A) It is considered a violation.</v>
      </c>
      <c r="E199" s="5" t="str">
        <f>IFERROR(__xludf.DUMMYFUNCTION("GOOGLETRANSLATE(K199, ""th"", ""en"")"),"Improper kite design is a violation of the rules.")</f>
        <v>Improper kite design is a violation of the rules.</v>
      </c>
      <c r="G199" s="6">
        <v>198.0</v>
      </c>
      <c r="H199" s="7" t="s">
        <v>1766</v>
      </c>
      <c r="I199" s="7" t="s">
        <v>1721</v>
      </c>
      <c r="J199" s="7" t="s">
        <v>1722</v>
      </c>
      <c r="K199" s="7" t="s">
        <v>1767</v>
      </c>
    </row>
    <row r="200" ht="14.25" customHeight="1">
      <c r="A200" s="4">
        <v>199.0</v>
      </c>
      <c r="B200" s="5" t="str">
        <f>IFERROR(__xludf.DUMMYFUNCTION("GOOGLETRANSLATE(H200, ""th"", ""en"")"),"If a player's kite is knocked off its rope during a match, what will be the impact?")</f>
        <v>If a player's kite is knocked off its rope during a match, what will be the impact?</v>
      </c>
      <c r="C200" s="5" t="str">
        <f>IFERROR(__xludf.DUMMYFUNCTION("GOOGLETRANSLATE(I200, ""th"", ""en"")"),"A) Score reduction; B) Disqualification; C) No effect.")</f>
        <v>A) Score reduction; B) Disqualification; C) No effect.</v>
      </c>
      <c r="D200" s="5" t="str">
        <f>IFERROR(__xludf.DUMMYFUNCTION("GOOGLETRANSLATE(J200, ""th"", ""en"")"),"B) Disqualified")</f>
        <v>B) Disqualified</v>
      </c>
      <c r="E200" s="5" t="str">
        <f>IFERROR(__xludf.DUMMYFUNCTION("GOOGLETRANSLATE(K200, ""th"", ""en"")"),"It is a violation of the rules to let the kite off the rope.")</f>
        <v>It is a violation of the rules to let the kite off the rope.</v>
      </c>
      <c r="G200" s="6">
        <v>199.0</v>
      </c>
      <c r="H200" s="7" t="s">
        <v>1768</v>
      </c>
      <c r="I200" s="7" t="s">
        <v>1631</v>
      </c>
      <c r="J200" s="7" t="s">
        <v>1444</v>
      </c>
      <c r="K200" s="7" t="s">
        <v>1769</v>
      </c>
    </row>
    <row r="201" ht="14.25" customHeight="1">
      <c r="A201" s="4">
        <v>200.0</v>
      </c>
      <c r="B201" s="5" t="str">
        <f>IFERROR(__xludf.DUMMYFUNCTION("GOOGLETRANSLATE(H201, ""th"", ""en"")"),"Is it illegal to use a kite with an unauthorized color in a competition?")</f>
        <v>Is it illegal to use a kite with an unauthorized color in a competition?</v>
      </c>
      <c r="C201" s="5" t="str">
        <f>IFERROR(__xludf.DUMMYFUNCTION("GOOGLETRANSLATE(I201, ""th"", ""en"")"),"A) It is against the rules; B) It is not against the rules.")</f>
        <v>A) It is against the rules; B) It is not against the rules.</v>
      </c>
      <c r="D201" s="5" t="str">
        <f>IFERROR(__xludf.DUMMYFUNCTION("GOOGLETRANSLATE(J201, ""th"", ""en"")"),"A) It is considered a violation of the rules.")</f>
        <v>A) It is considered a violation of the rules.</v>
      </c>
      <c r="E201" s="5" t="str">
        <f>IFERROR(__xludf.DUMMYFUNCTION("GOOGLETRANSLATE(K201, ""th"", ""en"")"),"The choice of kite color must be in accordance with the rules.")</f>
        <v>The choice of kite color must be in accordance with the rules.</v>
      </c>
      <c r="G201" s="6">
        <v>200.0</v>
      </c>
      <c r="H201" s="7" t="s">
        <v>1770</v>
      </c>
      <c r="I201" s="7" t="s">
        <v>1696</v>
      </c>
      <c r="J201" s="7" t="s">
        <v>1697</v>
      </c>
      <c r="K201" s="7" t="s">
        <v>1771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>
      <c r="A208" s="8" t="s">
        <v>652</v>
      </c>
    </row>
    <row r="209" ht="14.25" customHeight="1">
      <c r="A209" s="9" t="s">
        <v>5</v>
      </c>
      <c r="B209" s="9" t="s">
        <v>1</v>
      </c>
      <c r="C209" s="9" t="s">
        <v>653</v>
      </c>
      <c r="D209" s="9" t="s">
        <v>2</v>
      </c>
      <c r="E209" s="9" t="s">
        <v>1772</v>
      </c>
      <c r="F209" s="9" t="s">
        <v>3</v>
      </c>
      <c r="G209" s="9" t="s">
        <v>656</v>
      </c>
      <c r="H209" s="9" t="s">
        <v>4</v>
      </c>
      <c r="I209" s="9" t="s">
        <v>657</v>
      </c>
    </row>
    <row r="210" ht="14.25" customHeight="1">
      <c r="A210" s="10">
        <v>1.0</v>
      </c>
      <c r="B210" s="11" t="s">
        <v>1773</v>
      </c>
      <c r="C210" s="10">
        <v>1.0</v>
      </c>
      <c r="D210" s="11" t="s">
        <v>1268</v>
      </c>
      <c r="E210" s="12"/>
      <c r="F210" s="11" t="s">
        <v>1269</v>
      </c>
      <c r="G210" s="12"/>
      <c r="H210" s="11" t="s">
        <v>1270</v>
      </c>
    </row>
    <row r="211" ht="14.25" customHeight="1">
      <c r="A211" s="13">
        <v>2.0</v>
      </c>
      <c r="B211" s="14" t="s">
        <v>1271</v>
      </c>
      <c r="C211" s="13">
        <v>1.0</v>
      </c>
      <c r="D211" s="14" t="s">
        <v>1272</v>
      </c>
      <c r="E211" s="15"/>
      <c r="F211" s="14" t="s">
        <v>24</v>
      </c>
      <c r="G211" s="15"/>
      <c r="H211" s="14" t="s">
        <v>1273</v>
      </c>
      <c r="I211" s="15"/>
    </row>
    <row r="212" ht="14.25" customHeight="1">
      <c r="A212" s="10">
        <v>3.0</v>
      </c>
      <c r="B212" s="11" t="s">
        <v>1274</v>
      </c>
      <c r="C212" s="10">
        <v>0.0</v>
      </c>
      <c r="D212" s="11" t="s">
        <v>1275</v>
      </c>
      <c r="E212" s="12"/>
      <c r="F212" s="11" t="s">
        <v>1276</v>
      </c>
      <c r="G212" s="12"/>
      <c r="H212" s="11" t="s">
        <v>1277</v>
      </c>
      <c r="I212" s="12"/>
    </row>
    <row r="213" ht="14.25" customHeight="1">
      <c r="A213" s="13">
        <v>4.0</v>
      </c>
      <c r="B213" s="14" t="s">
        <v>1278</v>
      </c>
      <c r="C213" s="13">
        <v>1.0</v>
      </c>
      <c r="D213" s="14" t="s">
        <v>1279</v>
      </c>
      <c r="E213" s="15"/>
      <c r="F213" s="14" t="s">
        <v>1280</v>
      </c>
      <c r="G213" s="15"/>
      <c r="H213" s="14" t="s">
        <v>1281</v>
      </c>
      <c r="I213" s="15"/>
    </row>
    <row r="214" ht="14.25" customHeight="1">
      <c r="A214" s="10">
        <v>5.0</v>
      </c>
      <c r="B214" s="11" t="s">
        <v>1282</v>
      </c>
      <c r="C214" s="10">
        <v>1.0</v>
      </c>
      <c r="D214" s="11" t="s">
        <v>1283</v>
      </c>
      <c r="E214" s="12"/>
      <c r="F214" s="11" t="s">
        <v>1284</v>
      </c>
      <c r="G214" s="12"/>
      <c r="H214" s="11" t="s">
        <v>1285</v>
      </c>
      <c r="I214" s="12"/>
    </row>
    <row r="215" ht="14.25" customHeight="1">
      <c r="A215" s="13">
        <v>6.0</v>
      </c>
      <c r="B215" s="14" t="s">
        <v>1286</v>
      </c>
      <c r="C215" s="13">
        <v>1.0</v>
      </c>
      <c r="D215" s="14" t="s">
        <v>1287</v>
      </c>
      <c r="E215" s="15"/>
      <c r="F215" s="14" t="s">
        <v>1288</v>
      </c>
      <c r="G215" s="14" t="s">
        <v>1438</v>
      </c>
      <c r="H215" s="14" t="s">
        <v>1289</v>
      </c>
      <c r="I215" s="14" t="s">
        <v>1774</v>
      </c>
    </row>
    <row r="216" ht="14.25" customHeight="1">
      <c r="A216" s="10">
        <v>7.0</v>
      </c>
      <c r="B216" s="11" t="s">
        <v>1290</v>
      </c>
      <c r="C216" s="10">
        <v>1.0</v>
      </c>
      <c r="D216" s="11" t="s">
        <v>1291</v>
      </c>
      <c r="E216" s="11" t="s">
        <v>1775</v>
      </c>
      <c r="F216" s="11" t="s">
        <v>1292</v>
      </c>
      <c r="G216" s="11" t="s">
        <v>1776</v>
      </c>
      <c r="H216" s="11" t="s">
        <v>1293</v>
      </c>
      <c r="I216" s="11" t="s">
        <v>1777</v>
      </c>
    </row>
    <row r="217" ht="14.25" customHeight="1">
      <c r="A217" s="13">
        <v>8.0</v>
      </c>
      <c r="B217" s="14" t="s">
        <v>1294</v>
      </c>
      <c r="C217" s="13">
        <v>1.0</v>
      </c>
      <c r="D217" s="14" t="s">
        <v>1295</v>
      </c>
      <c r="E217" s="15"/>
      <c r="F217" s="14" t="s">
        <v>20</v>
      </c>
      <c r="G217" s="15"/>
      <c r="H217" s="14" t="s">
        <v>1296</v>
      </c>
      <c r="I217" s="15"/>
    </row>
    <row r="218" ht="14.25" customHeight="1">
      <c r="A218" s="10">
        <v>9.0</v>
      </c>
      <c r="B218" s="11" t="s">
        <v>1297</v>
      </c>
      <c r="C218" s="10">
        <v>1.0</v>
      </c>
      <c r="D218" s="11" t="s">
        <v>1298</v>
      </c>
      <c r="E218" s="12"/>
      <c r="F218" s="11" t="s">
        <v>1299</v>
      </c>
      <c r="G218" s="12"/>
      <c r="H218" s="11" t="s">
        <v>1300</v>
      </c>
      <c r="I218" s="12"/>
    </row>
    <row r="219" ht="14.25" customHeight="1">
      <c r="A219" s="13">
        <v>10.0</v>
      </c>
      <c r="B219" s="14" t="s">
        <v>1301</v>
      </c>
      <c r="C219" s="13">
        <v>1.0</v>
      </c>
      <c r="D219" s="14" t="s">
        <v>1302</v>
      </c>
      <c r="E219" s="15"/>
      <c r="F219" s="14" t="s">
        <v>1303</v>
      </c>
      <c r="G219" s="15"/>
      <c r="H219" s="14" t="s">
        <v>1304</v>
      </c>
      <c r="I219" s="15"/>
    </row>
    <row r="220" ht="14.25" customHeight="1">
      <c r="A220" s="10">
        <v>11.0</v>
      </c>
      <c r="B220" s="11" t="s">
        <v>1305</v>
      </c>
      <c r="C220" s="10">
        <v>1.0</v>
      </c>
      <c r="D220" s="11" t="s">
        <v>1306</v>
      </c>
      <c r="E220" s="12"/>
      <c r="F220" s="11" t="s">
        <v>1307</v>
      </c>
      <c r="G220" s="12"/>
      <c r="H220" s="11" t="s">
        <v>1308</v>
      </c>
      <c r="I220" s="12"/>
    </row>
    <row r="221" ht="14.25" customHeight="1">
      <c r="A221" s="13">
        <v>12.0</v>
      </c>
      <c r="B221" s="14" t="s">
        <v>1309</v>
      </c>
      <c r="C221" s="13">
        <v>1.0</v>
      </c>
      <c r="D221" s="14" t="s">
        <v>1310</v>
      </c>
      <c r="E221" s="15"/>
      <c r="F221" s="14" t="s">
        <v>1311</v>
      </c>
      <c r="G221" s="15"/>
      <c r="H221" s="14" t="s">
        <v>1312</v>
      </c>
      <c r="I221" s="15"/>
    </row>
    <row r="222" ht="14.25" customHeight="1">
      <c r="A222" s="10">
        <v>13.0</v>
      </c>
      <c r="B222" s="11" t="s">
        <v>1313</v>
      </c>
      <c r="C222" s="10">
        <v>1.0</v>
      </c>
      <c r="D222" s="11" t="s">
        <v>1314</v>
      </c>
      <c r="E222" s="12"/>
      <c r="F222" s="11" t="s">
        <v>698</v>
      </c>
      <c r="G222" s="12"/>
      <c r="H222" s="11" t="s">
        <v>1315</v>
      </c>
      <c r="I222" s="12"/>
    </row>
    <row r="223" ht="14.25" customHeight="1">
      <c r="A223" s="13">
        <v>14.0</v>
      </c>
      <c r="B223" s="14" t="s">
        <v>1316</v>
      </c>
      <c r="C223" s="13">
        <v>1.0</v>
      </c>
      <c r="D223" s="14" t="s">
        <v>1317</v>
      </c>
      <c r="E223" s="15"/>
      <c r="F223" s="14" t="s">
        <v>1318</v>
      </c>
      <c r="G223" s="15"/>
      <c r="H223" s="14" t="s">
        <v>1319</v>
      </c>
      <c r="I223" s="14" t="s">
        <v>1778</v>
      </c>
    </row>
    <row r="224" ht="14.25" customHeight="1">
      <c r="A224" s="10">
        <v>15.0</v>
      </c>
      <c r="B224" s="11" t="s">
        <v>1320</v>
      </c>
      <c r="C224" s="10">
        <v>1.0</v>
      </c>
      <c r="D224" s="11" t="s">
        <v>1314</v>
      </c>
      <c r="E224" s="12"/>
      <c r="F224" s="11" t="s">
        <v>737</v>
      </c>
      <c r="G224" s="12"/>
      <c r="H224" s="11" t="s">
        <v>1321</v>
      </c>
      <c r="I224" s="12"/>
    </row>
    <row r="225" ht="14.25" customHeight="1">
      <c r="A225" s="13">
        <v>16.0</v>
      </c>
      <c r="B225" s="14" t="s">
        <v>1322</v>
      </c>
      <c r="C225" s="13">
        <v>1.0</v>
      </c>
      <c r="D225" s="14" t="s">
        <v>1314</v>
      </c>
      <c r="E225" s="15"/>
      <c r="F225" s="14" t="s">
        <v>698</v>
      </c>
      <c r="G225" s="15"/>
      <c r="H225" s="14" t="s">
        <v>1323</v>
      </c>
      <c r="I225" s="14" t="s">
        <v>1348</v>
      </c>
    </row>
    <row r="226" ht="14.25" customHeight="1">
      <c r="A226" s="10">
        <v>17.0</v>
      </c>
      <c r="B226" s="11" t="s">
        <v>1324</v>
      </c>
      <c r="C226" s="10">
        <v>1.0</v>
      </c>
      <c r="D226" s="11" t="s">
        <v>1325</v>
      </c>
      <c r="E226" s="12"/>
      <c r="F226" s="11" t="s">
        <v>20</v>
      </c>
      <c r="G226" s="12"/>
      <c r="H226" s="11" t="s">
        <v>1326</v>
      </c>
      <c r="I226" s="12"/>
    </row>
    <row r="227" ht="14.25" customHeight="1">
      <c r="A227" s="13">
        <v>18.0</v>
      </c>
      <c r="B227" s="14" t="s">
        <v>1327</v>
      </c>
      <c r="C227" s="13">
        <v>1.0</v>
      </c>
      <c r="D227" s="14" t="s">
        <v>1328</v>
      </c>
      <c r="E227" s="15"/>
      <c r="F227" s="14" t="s">
        <v>1329</v>
      </c>
      <c r="G227" s="15"/>
      <c r="H227" s="14" t="s">
        <v>1330</v>
      </c>
      <c r="I227" s="15"/>
    </row>
    <row r="228" ht="14.25" customHeight="1">
      <c r="A228" s="10">
        <v>19.0</v>
      </c>
      <c r="B228" s="11" t="s">
        <v>1331</v>
      </c>
      <c r="C228" s="10">
        <v>1.0</v>
      </c>
      <c r="D228" s="11" t="s">
        <v>1332</v>
      </c>
      <c r="E228" s="12"/>
      <c r="F228" s="11" t="s">
        <v>1333</v>
      </c>
      <c r="G228" s="12"/>
      <c r="H228" s="11" t="s">
        <v>1334</v>
      </c>
      <c r="I228" s="12"/>
    </row>
    <row r="229" ht="14.25" customHeight="1">
      <c r="A229" s="13">
        <v>20.0</v>
      </c>
      <c r="B229" s="14" t="s">
        <v>1335</v>
      </c>
      <c r="C229" s="13">
        <v>1.0</v>
      </c>
      <c r="D229" s="14" t="s">
        <v>1314</v>
      </c>
      <c r="E229" s="15"/>
      <c r="F229" s="14" t="s">
        <v>698</v>
      </c>
      <c r="G229" s="15"/>
      <c r="H229" s="14" t="s">
        <v>1336</v>
      </c>
      <c r="I229" s="15"/>
    </row>
    <row r="230" ht="14.25" customHeight="1">
      <c r="A230" s="10">
        <v>21.0</v>
      </c>
      <c r="B230" s="11" t="s">
        <v>1337</v>
      </c>
      <c r="C230" s="10">
        <v>1.0</v>
      </c>
      <c r="D230" s="11" t="s">
        <v>1314</v>
      </c>
      <c r="E230" s="12"/>
      <c r="F230" s="11" t="s">
        <v>698</v>
      </c>
      <c r="G230" s="12"/>
      <c r="H230" s="11" t="s">
        <v>1338</v>
      </c>
      <c r="I230" s="12"/>
    </row>
    <row r="231" ht="14.25" customHeight="1">
      <c r="A231" s="13">
        <v>22.0</v>
      </c>
      <c r="B231" s="14" t="s">
        <v>1339</v>
      </c>
      <c r="C231" s="13">
        <v>1.0</v>
      </c>
      <c r="D231" s="14" t="s">
        <v>1314</v>
      </c>
      <c r="E231" s="15"/>
      <c r="F231" s="14" t="s">
        <v>737</v>
      </c>
      <c r="G231" s="14" t="s">
        <v>698</v>
      </c>
      <c r="H231" s="14" t="s">
        <v>1340</v>
      </c>
      <c r="I231" s="14" t="s">
        <v>1779</v>
      </c>
    </row>
    <row r="232" ht="14.25" customHeight="1">
      <c r="A232" s="10">
        <v>23.0</v>
      </c>
      <c r="B232" s="11" t="s">
        <v>1341</v>
      </c>
      <c r="C232" s="10">
        <v>1.0</v>
      </c>
      <c r="D232" s="11" t="s">
        <v>1342</v>
      </c>
      <c r="E232" s="12"/>
      <c r="F232" s="11" t="s">
        <v>690</v>
      </c>
      <c r="G232" s="12"/>
      <c r="H232" s="11" t="s">
        <v>1343</v>
      </c>
      <c r="I232" s="12"/>
    </row>
    <row r="233" ht="14.25" customHeight="1">
      <c r="A233" s="13">
        <v>24.0</v>
      </c>
      <c r="B233" s="14" t="s">
        <v>1344</v>
      </c>
      <c r="C233" s="13">
        <v>1.0</v>
      </c>
      <c r="D233" s="14" t="s">
        <v>1314</v>
      </c>
      <c r="E233" s="15"/>
      <c r="F233" s="14" t="s">
        <v>698</v>
      </c>
      <c r="G233" s="15"/>
      <c r="H233" s="14" t="s">
        <v>1345</v>
      </c>
      <c r="I233" s="15"/>
    </row>
    <row r="234" ht="14.25" customHeight="1">
      <c r="A234" s="10">
        <v>25.0</v>
      </c>
      <c r="B234" s="11" t="s">
        <v>1780</v>
      </c>
      <c r="C234" s="10">
        <v>1.0</v>
      </c>
      <c r="D234" s="11" t="s">
        <v>1347</v>
      </c>
      <c r="E234" s="12"/>
      <c r="F234" s="11" t="s">
        <v>665</v>
      </c>
      <c r="G234" s="12"/>
      <c r="H234" s="11" t="s">
        <v>1348</v>
      </c>
      <c r="I234" s="12"/>
    </row>
    <row r="235" ht="14.25" customHeight="1">
      <c r="A235" s="13">
        <v>26.0</v>
      </c>
      <c r="B235" s="14" t="s">
        <v>1781</v>
      </c>
      <c r="C235" s="13">
        <v>1.0</v>
      </c>
      <c r="D235" s="14" t="s">
        <v>1314</v>
      </c>
      <c r="E235" s="15"/>
      <c r="F235" s="14" t="s">
        <v>698</v>
      </c>
      <c r="G235" s="15"/>
      <c r="H235" s="14" t="s">
        <v>1350</v>
      </c>
      <c r="I235" s="15"/>
    </row>
    <row r="236" ht="14.25" customHeight="1">
      <c r="A236" s="10">
        <v>27.0</v>
      </c>
      <c r="B236" s="11" t="s">
        <v>1782</v>
      </c>
      <c r="C236" s="10">
        <v>1.0</v>
      </c>
      <c r="D236" s="11" t="s">
        <v>1352</v>
      </c>
      <c r="E236" s="12"/>
      <c r="F236" s="11" t="s">
        <v>1353</v>
      </c>
      <c r="G236" s="12"/>
      <c r="H236" s="11" t="s">
        <v>1783</v>
      </c>
    </row>
    <row r="237" ht="14.25" customHeight="1">
      <c r="A237" s="13">
        <v>28.0</v>
      </c>
      <c r="B237" s="14" t="s">
        <v>1784</v>
      </c>
      <c r="C237" s="13">
        <v>1.0</v>
      </c>
      <c r="D237" s="14" t="s">
        <v>1356</v>
      </c>
      <c r="E237" s="14" t="s">
        <v>1785</v>
      </c>
      <c r="F237" s="14" t="s">
        <v>1357</v>
      </c>
      <c r="G237" s="15"/>
      <c r="H237" s="14" t="s">
        <v>1786</v>
      </c>
      <c r="I237" s="15"/>
    </row>
    <row r="238" ht="14.25" customHeight="1">
      <c r="A238" s="10">
        <v>29.0</v>
      </c>
      <c r="B238" s="11" t="s">
        <v>1359</v>
      </c>
      <c r="C238" s="12"/>
      <c r="D238" s="11" t="s">
        <v>1360</v>
      </c>
      <c r="E238" s="12"/>
      <c r="F238" s="11" t="s">
        <v>20</v>
      </c>
      <c r="G238" s="12"/>
      <c r="H238" s="11" t="s">
        <v>1361</v>
      </c>
      <c r="I238" s="12"/>
    </row>
    <row r="239" ht="14.25" customHeight="1">
      <c r="A239" s="13">
        <v>30.0</v>
      </c>
      <c r="B239" s="14" t="s">
        <v>1362</v>
      </c>
      <c r="C239" s="15"/>
      <c r="D239" s="14" t="s">
        <v>1363</v>
      </c>
      <c r="E239" s="15"/>
      <c r="F239" s="14" t="s">
        <v>1364</v>
      </c>
      <c r="G239" s="15"/>
      <c r="H239" s="14" t="s">
        <v>1365</v>
      </c>
      <c r="I239" s="15"/>
    </row>
    <row r="240" ht="14.25" customHeight="1">
      <c r="A240" s="10">
        <v>31.0</v>
      </c>
      <c r="B240" s="11" t="s">
        <v>1366</v>
      </c>
      <c r="C240" s="12"/>
      <c r="D240" s="11" t="s">
        <v>1367</v>
      </c>
      <c r="E240" s="12"/>
      <c r="F240" s="11" t="s">
        <v>1368</v>
      </c>
      <c r="G240" s="12"/>
      <c r="H240" s="11" t="s">
        <v>1369</v>
      </c>
      <c r="I240" s="12"/>
    </row>
    <row r="241" ht="14.25" customHeight="1">
      <c r="A241" s="13">
        <v>32.0</v>
      </c>
      <c r="B241" s="14" t="s">
        <v>1370</v>
      </c>
      <c r="C241" s="15"/>
      <c r="D241" s="14" t="s">
        <v>1371</v>
      </c>
      <c r="E241" s="15"/>
      <c r="F241" s="14" t="s">
        <v>1372</v>
      </c>
      <c r="G241" s="15"/>
      <c r="H241" s="14" t="s">
        <v>1373</v>
      </c>
      <c r="I241" s="15"/>
    </row>
    <row r="242" ht="14.25" customHeight="1">
      <c r="A242" s="10">
        <v>33.0</v>
      </c>
      <c r="B242" s="11" t="s">
        <v>1374</v>
      </c>
      <c r="C242" s="10">
        <v>1.0</v>
      </c>
      <c r="D242" s="11" t="s">
        <v>1314</v>
      </c>
      <c r="E242" s="12"/>
      <c r="F242" s="11" t="s">
        <v>698</v>
      </c>
      <c r="G242" s="12"/>
      <c r="H242" s="11" t="s">
        <v>1375</v>
      </c>
      <c r="I242" s="11" t="s">
        <v>1778</v>
      </c>
    </row>
    <row r="243" ht="14.25" customHeight="1">
      <c r="A243" s="13">
        <v>34.0</v>
      </c>
      <c r="B243" s="14" t="s">
        <v>1376</v>
      </c>
      <c r="C243" s="15"/>
      <c r="D243" s="14" t="s">
        <v>1314</v>
      </c>
      <c r="E243" s="15"/>
      <c r="F243" s="14" t="s">
        <v>698</v>
      </c>
      <c r="G243" s="15"/>
      <c r="H243" s="14" t="s">
        <v>1377</v>
      </c>
      <c r="I243" s="15"/>
    </row>
    <row r="244" ht="14.25" customHeight="1">
      <c r="A244" s="10">
        <v>35.0</v>
      </c>
      <c r="B244" s="11" t="s">
        <v>1378</v>
      </c>
      <c r="C244" s="12"/>
      <c r="D244" s="11" t="s">
        <v>1314</v>
      </c>
      <c r="E244" s="12"/>
      <c r="F244" s="11" t="s">
        <v>698</v>
      </c>
      <c r="G244" s="12"/>
      <c r="H244" s="11" t="s">
        <v>1379</v>
      </c>
      <c r="I244" s="12"/>
    </row>
    <row r="245" ht="14.25" customHeight="1">
      <c r="A245" s="13">
        <v>36.0</v>
      </c>
      <c r="B245" s="14" t="s">
        <v>1787</v>
      </c>
      <c r="C245" s="13">
        <v>1.0</v>
      </c>
      <c r="D245" s="14" t="s">
        <v>1342</v>
      </c>
      <c r="E245" s="15"/>
      <c r="F245" s="14" t="s">
        <v>1381</v>
      </c>
      <c r="G245" s="15"/>
      <c r="H245" s="14" t="s">
        <v>1788</v>
      </c>
    </row>
    <row r="246" ht="14.25" customHeight="1">
      <c r="A246" s="10">
        <v>37.0</v>
      </c>
      <c r="B246" s="11" t="s">
        <v>1383</v>
      </c>
      <c r="C246" s="12"/>
      <c r="D246" s="11" t="s">
        <v>1314</v>
      </c>
      <c r="E246" s="12"/>
      <c r="F246" s="11" t="s">
        <v>698</v>
      </c>
      <c r="G246" s="12"/>
      <c r="H246" s="11" t="s">
        <v>1789</v>
      </c>
      <c r="I246" s="12"/>
    </row>
    <row r="247" ht="14.25" customHeight="1">
      <c r="A247" s="13">
        <v>38.0</v>
      </c>
      <c r="B247" s="14" t="s">
        <v>1385</v>
      </c>
      <c r="C247" s="13">
        <v>1.0</v>
      </c>
      <c r="D247" s="14" t="s">
        <v>1314</v>
      </c>
      <c r="E247" s="15"/>
      <c r="F247" s="14" t="s">
        <v>698</v>
      </c>
      <c r="G247" s="15"/>
      <c r="H247" s="14" t="s">
        <v>1386</v>
      </c>
      <c r="I247" s="15"/>
    </row>
    <row r="248" ht="14.25" customHeight="1">
      <c r="A248" s="10">
        <v>39.0</v>
      </c>
      <c r="B248" s="11" t="s">
        <v>1387</v>
      </c>
      <c r="C248" s="12"/>
      <c r="D248" s="11" t="s">
        <v>1314</v>
      </c>
      <c r="E248" s="12"/>
      <c r="F248" s="11" t="s">
        <v>698</v>
      </c>
      <c r="G248" s="12"/>
      <c r="H248" s="11" t="s">
        <v>1388</v>
      </c>
      <c r="I248" s="12"/>
    </row>
    <row r="249" ht="14.25" customHeight="1">
      <c r="A249" s="13">
        <v>40.0</v>
      </c>
      <c r="B249" s="14" t="s">
        <v>1389</v>
      </c>
      <c r="C249" s="15"/>
      <c r="D249" s="14" t="s">
        <v>1314</v>
      </c>
      <c r="E249" s="15"/>
      <c r="F249" s="14" t="s">
        <v>698</v>
      </c>
      <c r="G249" s="15"/>
      <c r="H249" s="14" t="s">
        <v>1390</v>
      </c>
      <c r="I249" s="15"/>
    </row>
    <row r="250" ht="14.25" customHeight="1">
      <c r="A250" s="10">
        <v>41.0</v>
      </c>
      <c r="B250" s="11" t="s">
        <v>1391</v>
      </c>
      <c r="C250" s="12"/>
      <c r="D250" s="11" t="s">
        <v>1287</v>
      </c>
      <c r="E250" s="12"/>
      <c r="F250" s="11" t="s">
        <v>1288</v>
      </c>
      <c r="G250" s="12"/>
      <c r="H250" s="11" t="s">
        <v>1392</v>
      </c>
      <c r="I250" s="12"/>
    </row>
    <row r="251" ht="14.25" customHeight="1">
      <c r="A251" s="13">
        <v>42.0</v>
      </c>
      <c r="B251" s="14" t="s">
        <v>1393</v>
      </c>
      <c r="C251" s="15"/>
      <c r="D251" s="14" t="s">
        <v>1314</v>
      </c>
      <c r="E251" s="15"/>
      <c r="F251" s="14" t="s">
        <v>698</v>
      </c>
      <c r="G251" s="15"/>
      <c r="H251" s="14" t="s">
        <v>1394</v>
      </c>
      <c r="I251" s="15"/>
    </row>
    <row r="252" ht="14.25" customHeight="1">
      <c r="A252" s="10">
        <v>43.0</v>
      </c>
      <c r="B252" s="11" t="s">
        <v>1395</v>
      </c>
      <c r="C252" s="12"/>
      <c r="D252" s="11" t="s">
        <v>1396</v>
      </c>
      <c r="E252" s="12"/>
      <c r="F252" s="11" t="s">
        <v>20</v>
      </c>
      <c r="G252" s="12"/>
      <c r="H252" s="11" t="s">
        <v>1397</v>
      </c>
      <c r="I252" s="12"/>
    </row>
    <row r="253" ht="14.25" customHeight="1">
      <c r="A253" s="13">
        <v>44.0</v>
      </c>
      <c r="B253" s="14" t="s">
        <v>1398</v>
      </c>
      <c r="C253" s="15"/>
      <c r="D253" s="14" t="s">
        <v>1314</v>
      </c>
      <c r="E253" s="15"/>
      <c r="F253" s="14" t="s">
        <v>737</v>
      </c>
      <c r="G253" s="15"/>
      <c r="H253" s="14" t="s">
        <v>1399</v>
      </c>
      <c r="I253" s="15"/>
    </row>
    <row r="254" ht="14.25" customHeight="1">
      <c r="A254" s="10">
        <v>45.0</v>
      </c>
      <c r="B254" s="11" t="s">
        <v>1400</v>
      </c>
      <c r="C254" s="12"/>
      <c r="D254" s="11" t="s">
        <v>1401</v>
      </c>
      <c r="E254" s="12"/>
      <c r="F254" s="11" t="s">
        <v>1402</v>
      </c>
      <c r="G254" s="12"/>
      <c r="H254" s="11" t="s">
        <v>1403</v>
      </c>
      <c r="I254" s="12"/>
    </row>
    <row r="255" ht="14.25" customHeight="1">
      <c r="A255" s="13">
        <v>46.0</v>
      </c>
      <c r="B255" s="14" t="s">
        <v>1404</v>
      </c>
      <c r="C255" s="15"/>
      <c r="D255" s="14" t="s">
        <v>1314</v>
      </c>
      <c r="E255" s="15"/>
      <c r="F255" s="14" t="s">
        <v>698</v>
      </c>
      <c r="G255" s="15"/>
      <c r="H255" s="14" t="s">
        <v>1405</v>
      </c>
      <c r="I255" s="15"/>
    </row>
    <row r="256" ht="14.25" customHeight="1">
      <c r="A256" s="10">
        <v>47.0</v>
      </c>
      <c r="B256" s="11" t="s">
        <v>1406</v>
      </c>
      <c r="C256" s="12"/>
      <c r="D256" s="11" t="s">
        <v>1287</v>
      </c>
      <c r="E256" s="12"/>
      <c r="F256" s="11" t="s">
        <v>1288</v>
      </c>
      <c r="G256" s="12"/>
      <c r="H256" s="11" t="s">
        <v>1407</v>
      </c>
      <c r="I256" s="12"/>
    </row>
    <row r="257" ht="14.25" customHeight="1">
      <c r="A257" s="13">
        <v>48.0</v>
      </c>
      <c r="B257" s="14" t="s">
        <v>1408</v>
      </c>
      <c r="C257" s="15"/>
      <c r="D257" s="14" t="s">
        <v>1314</v>
      </c>
      <c r="E257" s="15"/>
      <c r="F257" s="14" t="s">
        <v>698</v>
      </c>
      <c r="G257" s="15"/>
      <c r="H257" s="14" t="s">
        <v>1409</v>
      </c>
      <c r="I257" s="15"/>
    </row>
    <row r="258" ht="14.25" customHeight="1">
      <c r="A258" s="10">
        <v>49.0</v>
      </c>
      <c r="B258" s="11" t="s">
        <v>1410</v>
      </c>
      <c r="C258" s="12"/>
      <c r="D258" s="11" t="s">
        <v>1411</v>
      </c>
      <c r="E258" s="12"/>
      <c r="F258" s="11" t="s">
        <v>1412</v>
      </c>
      <c r="G258" s="12"/>
      <c r="H258" s="11" t="s">
        <v>1413</v>
      </c>
      <c r="I258" s="12"/>
    </row>
    <row r="259" ht="14.25" customHeight="1">
      <c r="A259" s="13">
        <v>50.0</v>
      </c>
      <c r="B259" s="14" t="s">
        <v>1414</v>
      </c>
      <c r="C259" s="15"/>
      <c r="D259" s="14" t="s">
        <v>1314</v>
      </c>
      <c r="E259" s="15"/>
      <c r="F259" s="14" t="s">
        <v>698</v>
      </c>
      <c r="G259" s="15"/>
      <c r="H259" s="14" t="s">
        <v>1415</v>
      </c>
      <c r="I259" s="15"/>
    </row>
    <row r="260" ht="14.25" customHeight="1">
      <c r="A260" s="10">
        <v>51.0</v>
      </c>
      <c r="B260" s="11" t="s">
        <v>1416</v>
      </c>
      <c r="C260" s="12"/>
      <c r="D260" s="11" t="s">
        <v>1342</v>
      </c>
      <c r="E260" s="12"/>
      <c r="F260" s="11" t="s">
        <v>1381</v>
      </c>
      <c r="G260" s="12"/>
      <c r="H260" s="11" t="s">
        <v>1417</v>
      </c>
      <c r="I260" s="12"/>
    </row>
    <row r="261" ht="14.25" customHeight="1">
      <c r="A261" s="13">
        <v>52.0</v>
      </c>
      <c r="B261" s="14" t="s">
        <v>1418</v>
      </c>
      <c r="C261" s="15"/>
      <c r="D261" s="14" t="s">
        <v>1314</v>
      </c>
      <c r="E261" s="15"/>
      <c r="F261" s="14" t="s">
        <v>698</v>
      </c>
      <c r="G261" s="15"/>
      <c r="H261" s="14" t="s">
        <v>1419</v>
      </c>
      <c r="I261" s="15"/>
    </row>
    <row r="262" ht="14.25" customHeight="1">
      <c r="A262" s="10">
        <v>53.0</v>
      </c>
      <c r="B262" s="11" t="s">
        <v>1420</v>
      </c>
      <c r="C262" s="12"/>
      <c r="D262" s="11" t="s">
        <v>1314</v>
      </c>
      <c r="E262" s="12"/>
      <c r="F262" s="11" t="s">
        <v>698</v>
      </c>
      <c r="G262" s="12"/>
      <c r="H262" s="11" t="s">
        <v>1421</v>
      </c>
      <c r="I262" s="12"/>
    </row>
    <row r="263" ht="14.25" customHeight="1">
      <c r="A263" s="13">
        <v>54.0</v>
      </c>
      <c r="B263" s="14" t="s">
        <v>1422</v>
      </c>
      <c r="C263" s="15"/>
      <c r="D263" s="14" t="s">
        <v>1423</v>
      </c>
      <c r="E263" s="15"/>
      <c r="F263" s="14" t="s">
        <v>1424</v>
      </c>
      <c r="G263" s="15"/>
      <c r="H263" s="14" t="s">
        <v>1425</v>
      </c>
      <c r="I263" s="15"/>
    </row>
    <row r="264" ht="14.25" customHeight="1">
      <c r="A264" s="10">
        <v>55.0</v>
      </c>
      <c r="B264" s="11" t="s">
        <v>1426</v>
      </c>
      <c r="C264" s="12"/>
      <c r="D264" s="11" t="s">
        <v>1314</v>
      </c>
      <c r="E264" s="12"/>
      <c r="F264" s="11" t="s">
        <v>698</v>
      </c>
      <c r="G264" s="12"/>
      <c r="H264" s="11" t="s">
        <v>1427</v>
      </c>
      <c r="I264" s="12"/>
    </row>
    <row r="265" ht="14.25" customHeight="1">
      <c r="A265" s="13">
        <v>56.0</v>
      </c>
      <c r="B265" s="14" t="s">
        <v>1428</v>
      </c>
      <c r="C265" s="15"/>
      <c r="D265" s="14" t="s">
        <v>1314</v>
      </c>
      <c r="E265" s="15"/>
      <c r="F265" s="14" t="s">
        <v>698</v>
      </c>
      <c r="G265" s="15"/>
      <c r="H265" s="14" t="s">
        <v>1429</v>
      </c>
      <c r="I265" s="15"/>
    </row>
    <row r="266" ht="14.25" customHeight="1">
      <c r="A266" s="10">
        <v>57.0</v>
      </c>
      <c r="B266" s="11" t="s">
        <v>1430</v>
      </c>
      <c r="C266" s="12"/>
      <c r="D266" s="11" t="s">
        <v>1314</v>
      </c>
      <c r="E266" s="12"/>
      <c r="F266" s="11" t="s">
        <v>698</v>
      </c>
      <c r="G266" s="12"/>
      <c r="H266" s="11" t="s">
        <v>1431</v>
      </c>
      <c r="I266" s="12"/>
    </row>
    <row r="267" ht="14.25" customHeight="1">
      <c r="A267" s="13">
        <v>58.0</v>
      </c>
      <c r="B267" s="14" t="s">
        <v>1432</v>
      </c>
      <c r="C267" s="15"/>
      <c r="D267" s="14" t="s">
        <v>1314</v>
      </c>
      <c r="E267" s="15"/>
      <c r="F267" s="14" t="s">
        <v>737</v>
      </c>
      <c r="G267" s="15"/>
      <c r="H267" s="14" t="s">
        <v>1433</v>
      </c>
      <c r="I267" s="15"/>
    </row>
    <row r="268" ht="14.25" customHeight="1">
      <c r="A268" s="10">
        <v>59.0</v>
      </c>
      <c r="B268" s="11" t="s">
        <v>1434</v>
      </c>
      <c r="C268" s="12"/>
      <c r="D268" s="11" t="s">
        <v>1435</v>
      </c>
      <c r="E268" s="12"/>
      <c r="F268" s="11" t="s">
        <v>20</v>
      </c>
      <c r="G268" s="12"/>
      <c r="H268" s="11" t="s">
        <v>1436</v>
      </c>
      <c r="I268" s="12"/>
    </row>
    <row r="269" ht="14.25" customHeight="1">
      <c r="A269" s="13">
        <v>60.0</v>
      </c>
      <c r="B269" s="14" t="s">
        <v>1437</v>
      </c>
      <c r="C269" s="15"/>
      <c r="D269" s="14" t="s">
        <v>1287</v>
      </c>
      <c r="E269" s="15"/>
      <c r="F269" s="14" t="s">
        <v>1438</v>
      </c>
      <c r="G269" s="15"/>
      <c r="H269" s="14" t="s">
        <v>1439</v>
      </c>
      <c r="I269" s="15"/>
    </row>
    <row r="270" ht="14.25" customHeight="1">
      <c r="A270" s="10">
        <v>61.0</v>
      </c>
      <c r="B270" s="11" t="s">
        <v>1440</v>
      </c>
      <c r="C270" s="12"/>
      <c r="D270" s="11" t="s">
        <v>1314</v>
      </c>
      <c r="E270" s="12"/>
      <c r="F270" s="11" t="s">
        <v>698</v>
      </c>
      <c r="G270" s="12"/>
      <c r="H270" s="11" t="s">
        <v>1441</v>
      </c>
      <c r="I270" s="12"/>
    </row>
    <row r="271" ht="14.25" customHeight="1">
      <c r="A271" s="13">
        <v>62.0</v>
      </c>
      <c r="B271" s="14" t="s">
        <v>1442</v>
      </c>
      <c r="C271" s="15"/>
      <c r="D271" s="14" t="s">
        <v>1443</v>
      </c>
      <c r="E271" s="15"/>
      <c r="F271" s="14" t="s">
        <v>1444</v>
      </c>
      <c r="G271" s="15"/>
      <c r="H271" s="14" t="s">
        <v>1445</v>
      </c>
      <c r="I271" s="15"/>
    </row>
    <row r="272" ht="14.25" customHeight="1">
      <c r="A272" s="10">
        <v>63.0</v>
      </c>
      <c r="B272" s="11" t="s">
        <v>1446</v>
      </c>
      <c r="C272" s="12"/>
      <c r="D272" s="11" t="s">
        <v>1342</v>
      </c>
      <c r="E272" s="12"/>
      <c r="F272" s="11" t="s">
        <v>690</v>
      </c>
      <c r="G272" s="12"/>
      <c r="H272" s="11" t="s">
        <v>1447</v>
      </c>
      <c r="I272" s="12"/>
    </row>
    <row r="273" ht="14.25" customHeight="1">
      <c r="A273" s="13">
        <v>64.0</v>
      </c>
      <c r="B273" s="14" t="s">
        <v>1448</v>
      </c>
      <c r="C273" s="15"/>
      <c r="D273" s="14" t="s">
        <v>1314</v>
      </c>
      <c r="E273" s="15"/>
      <c r="F273" s="14" t="s">
        <v>698</v>
      </c>
      <c r="G273" s="15"/>
      <c r="H273" s="14" t="s">
        <v>1449</v>
      </c>
      <c r="I273" s="15"/>
    </row>
    <row r="274" ht="14.25" customHeight="1">
      <c r="A274" s="10">
        <v>65.0</v>
      </c>
      <c r="B274" s="11" t="s">
        <v>1790</v>
      </c>
      <c r="C274" s="10">
        <v>1.0</v>
      </c>
      <c r="D274" s="11" t="s">
        <v>1401</v>
      </c>
      <c r="E274" s="12"/>
      <c r="F274" s="11" t="s">
        <v>1402</v>
      </c>
      <c r="G274" s="12"/>
      <c r="H274" s="11" t="s">
        <v>1451</v>
      </c>
      <c r="I274" s="12"/>
    </row>
    <row r="275" ht="14.25" customHeight="1">
      <c r="A275" s="13">
        <v>66.0</v>
      </c>
      <c r="B275" s="14" t="s">
        <v>1452</v>
      </c>
      <c r="C275" s="15"/>
      <c r="D275" s="14" t="s">
        <v>1314</v>
      </c>
      <c r="E275" s="15"/>
      <c r="F275" s="14" t="s">
        <v>698</v>
      </c>
      <c r="G275" s="15"/>
      <c r="H275" s="14" t="s">
        <v>1453</v>
      </c>
      <c r="I275" s="15"/>
    </row>
    <row r="276" ht="14.25" customHeight="1">
      <c r="A276" s="10">
        <v>67.0</v>
      </c>
      <c r="B276" s="11" t="s">
        <v>1454</v>
      </c>
      <c r="C276" s="12"/>
      <c r="D276" s="11" t="s">
        <v>1314</v>
      </c>
      <c r="E276" s="12"/>
      <c r="F276" s="11" t="s">
        <v>698</v>
      </c>
      <c r="G276" s="12"/>
      <c r="H276" s="11" t="s">
        <v>1455</v>
      </c>
      <c r="I276" s="12"/>
    </row>
    <row r="277" ht="14.25" customHeight="1">
      <c r="A277" s="13">
        <v>68.0</v>
      </c>
      <c r="B277" s="14" t="s">
        <v>1456</v>
      </c>
      <c r="C277" s="15"/>
      <c r="D277" s="14" t="s">
        <v>1457</v>
      </c>
      <c r="E277" s="15"/>
      <c r="F277" s="14" t="s">
        <v>1458</v>
      </c>
      <c r="G277" s="15"/>
      <c r="H277" s="14" t="s">
        <v>1459</v>
      </c>
      <c r="I277" s="15"/>
    </row>
    <row r="278" ht="14.25" customHeight="1">
      <c r="A278" s="10">
        <v>69.0</v>
      </c>
      <c r="B278" s="11" t="s">
        <v>1791</v>
      </c>
      <c r="C278" s="10">
        <v>1.0</v>
      </c>
      <c r="D278" s="11" t="s">
        <v>1314</v>
      </c>
      <c r="E278" s="12"/>
      <c r="F278" s="11" t="s">
        <v>737</v>
      </c>
      <c r="G278" s="12"/>
      <c r="H278" s="11" t="s">
        <v>1792</v>
      </c>
      <c r="I278" s="12"/>
    </row>
    <row r="279" ht="14.25" customHeight="1">
      <c r="A279" s="13">
        <v>70.0</v>
      </c>
      <c r="B279" s="14" t="s">
        <v>1462</v>
      </c>
      <c r="C279" s="15"/>
      <c r="D279" s="14" t="s">
        <v>1287</v>
      </c>
      <c r="E279" s="15"/>
      <c r="F279" s="14" t="s">
        <v>1438</v>
      </c>
      <c r="G279" s="15"/>
      <c r="H279" s="14" t="s">
        <v>1463</v>
      </c>
      <c r="I279" s="15"/>
    </row>
    <row r="280" ht="14.25" customHeight="1">
      <c r="A280" s="10">
        <v>71.0</v>
      </c>
      <c r="B280" s="11" t="s">
        <v>1793</v>
      </c>
      <c r="C280" s="10">
        <v>1.0</v>
      </c>
      <c r="D280" s="11" t="s">
        <v>1314</v>
      </c>
      <c r="E280" s="12"/>
      <c r="F280" s="11" t="s">
        <v>737</v>
      </c>
      <c r="G280" s="12"/>
      <c r="H280" s="11" t="s">
        <v>1465</v>
      </c>
      <c r="I280" s="12"/>
    </row>
    <row r="281" ht="14.25" customHeight="1">
      <c r="A281" s="13">
        <v>72.0</v>
      </c>
      <c r="B281" s="14" t="s">
        <v>1794</v>
      </c>
      <c r="C281" s="13">
        <v>1.0</v>
      </c>
      <c r="D281" s="14" t="s">
        <v>1795</v>
      </c>
      <c r="E281" s="15"/>
      <c r="F281" s="14" t="s">
        <v>24</v>
      </c>
      <c r="G281" s="15"/>
      <c r="H281" s="14" t="s">
        <v>1796</v>
      </c>
      <c r="I281" s="15"/>
    </row>
    <row r="282" ht="14.25" customHeight="1">
      <c r="A282" s="10">
        <v>73.0</v>
      </c>
      <c r="B282" s="11" t="s">
        <v>1469</v>
      </c>
      <c r="C282" s="12"/>
      <c r="D282" s="11" t="s">
        <v>1457</v>
      </c>
      <c r="E282" s="12"/>
      <c r="F282" s="11" t="s">
        <v>1458</v>
      </c>
      <c r="G282" s="12"/>
      <c r="H282" s="11" t="s">
        <v>1470</v>
      </c>
      <c r="I282" s="12"/>
    </row>
    <row r="283" ht="14.25" customHeight="1">
      <c r="A283" s="13">
        <v>74.0</v>
      </c>
      <c r="B283" s="14" t="s">
        <v>1471</v>
      </c>
      <c r="C283" s="15"/>
      <c r="D283" s="14" t="s">
        <v>1457</v>
      </c>
      <c r="E283" s="15"/>
      <c r="F283" s="14" t="s">
        <v>1458</v>
      </c>
      <c r="G283" s="15"/>
      <c r="H283" s="14" t="s">
        <v>1472</v>
      </c>
      <c r="I283" s="15"/>
    </row>
    <row r="284" ht="14.25" customHeight="1">
      <c r="A284" s="10">
        <v>75.0</v>
      </c>
      <c r="B284" s="11" t="s">
        <v>1473</v>
      </c>
      <c r="C284" s="10">
        <v>1.0</v>
      </c>
      <c r="D284" s="11" t="s">
        <v>1287</v>
      </c>
      <c r="E284" s="12"/>
      <c r="F284" s="11" t="s">
        <v>1288</v>
      </c>
      <c r="G284" s="12"/>
      <c r="H284" s="11" t="s">
        <v>1419</v>
      </c>
      <c r="I284" s="12"/>
    </row>
    <row r="285" ht="14.25" customHeight="1">
      <c r="A285" s="13">
        <v>76.0</v>
      </c>
      <c r="B285" s="14" t="s">
        <v>1797</v>
      </c>
      <c r="C285" s="13">
        <v>1.0</v>
      </c>
      <c r="D285" s="14" t="s">
        <v>1314</v>
      </c>
      <c r="E285" s="15"/>
      <c r="F285" s="14" t="s">
        <v>698</v>
      </c>
      <c r="G285" s="15"/>
      <c r="H285" s="14" t="s">
        <v>1475</v>
      </c>
      <c r="I285" s="14" t="s">
        <v>1798</v>
      </c>
    </row>
    <row r="286" ht="14.25" customHeight="1">
      <c r="A286" s="10">
        <v>77.0</v>
      </c>
      <c r="B286" s="11" t="s">
        <v>1476</v>
      </c>
      <c r="C286" s="10">
        <v>1.0</v>
      </c>
      <c r="D286" s="11" t="s">
        <v>1314</v>
      </c>
      <c r="E286" s="12"/>
      <c r="F286" s="11" t="s">
        <v>698</v>
      </c>
      <c r="G286" s="11" t="s">
        <v>737</v>
      </c>
      <c r="H286" s="11" t="s">
        <v>1477</v>
      </c>
      <c r="I286" s="11" t="s">
        <v>1799</v>
      </c>
    </row>
    <row r="287" ht="14.25" customHeight="1">
      <c r="A287" s="13">
        <v>78.0</v>
      </c>
      <c r="B287" s="14" t="s">
        <v>1478</v>
      </c>
      <c r="C287" s="15"/>
      <c r="D287" s="14" t="s">
        <v>1479</v>
      </c>
      <c r="E287" s="15"/>
      <c r="F287" s="14" t="s">
        <v>1480</v>
      </c>
      <c r="G287" s="15"/>
      <c r="H287" s="14" t="s">
        <v>1481</v>
      </c>
      <c r="I287" s="15"/>
    </row>
    <row r="288" ht="14.25" customHeight="1">
      <c r="A288" s="10">
        <v>79.0</v>
      </c>
      <c r="B288" s="11" t="s">
        <v>1800</v>
      </c>
      <c r="C288" s="10">
        <v>1.0</v>
      </c>
      <c r="D288" s="11" t="s">
        <v>1483</v>
      </c>
      <c r="E288" s="12"/>
      <c r="F288" s="11" t="s">
        <v>1484</v>
      </c>
      <c r="G288" s="12"/>
      <c r="H288" s="11" t="s">
        <v>1485</v>
      </c>
      <c r="I288" s="12"/>
    </row>
    <row r="289" ht="14.25" customHeight="1">
      <c r="A289" s="13">
        <v>80.0</v>
      </c>
      <c r="B289" s="14" t="s">
        <v>1486</v>
      </c>
      <c r="C289" s="13">
        <v>1.0</v>
      </c>
      <c r="D289" s="14" t="s">
        <v>1314</v>
      </c>
      <c r="E289" s="15"/>
      <c r="F289" s="14" t="s">
        <v>737</v>
      </c>
      <c r="G289" s="15"/>
      <c r="H289" s="14" t="s">
        <v>1487</v>
      </c>
      <c r="I289" s="15"/>
    </row>
    <row r="290" ht="14.25" customHeight="1">
      <c r="A290" s="10">
        <v>81.0</v>
      </c>
      <c r="B290" s="11" t="s">
        <v>1488</v>
      </c>
      <c r="C290" s="10">
        <v>1.0</v>
      </c>
      <c r="D290" s="11" t="s">
        <v>1314</v>
      </c>
      <c r="E290" s="12"/>
      <c r="F290" s="11" t="s">
        <v>698</v>
      </c>
      <c r="G290" s="12"/>
      <c r="H290" s="11" t="s">
        <v>1489</v>
      </c>
      <c r="I290" s="12"/>
    </row>
    <row r="291" ht="14.25" customHeight="1">
      <c r="A291" s="13">
        <v>82.0</v>
      </c>
      <c r="B291" s="14" t="s">
        <v>1490</v>
      </c>
      <c r="C291" s="13">
        <v>1.0</v>
      </c>
      <c r="D291" s="14" t="s">
        <v>1287</v>
      </c>
      <c r="E291" s="15"/>
      <c r="F291" s="14" t="s">
        <v>1438</v>
      </c>
      <c r="G291" s="15"/>
      <c r="H291" s="14" t="s">
        <v>1491</v>
      </c>
      <c r="I291" s="15"/>
    </row>
    <row r="292" ht="14.25" customHeight="1">
      <c r="A292" s="10">
        <v>83.0</v>
      </c>
      <c r="B292" s="11" t="s">
        <v>1492</v>
      </c>
      <c r="C292" s="12"/>
      <c r="D292" s="11" t="s">
        <v>1314</v>
      </c>
      <c r="E292" s="12"/>
      <c r="F292" s="11" t="s">
        <v>698</v>
      </c>
      <c r="G292" s="12"/>
      <c r="H292" s="11" t="s">
        <v>1493</v>
      </c>
      <c r="I292" s="12"/>
    </row>
    <row r="293" ht="14.25" customHeight="1">
      <c r="A293" s="13">
        <v>84.0</v>
      </c>
      <c r="B293" s="14" t="s">
        <v>1494</v>
      </c>
      <c r="C293" s="15"/>
      <c r="D293" s="14" t="s">
        <v>1314</v>
      </c>
      <c r="E293" s="15"/>
      <c r="F293" s="14" t="s">
        <v>698</v>
      </c>
      <c r="G293" s="15"/>
      <c r="H293" s="14" t="s">
        <v>1495</v>
      </c>
      <c r="I293" s="15"/>
    </row>
    <row r="294" ht="14.25" customHeight="1">
      <c r="A294" s="10">
        <v>85.0</v>
      </c>
      <c r="B294" s="11" t="s">
        <v>1496</v>
      </c>
      <c r="C294" s="12"/>
      <c r="D294" s="11" t="s">
        <v>1401</v>
      </c>
      <c r="E294" s="12"/>
      <c r="F294" s="11" t="s">
        <v>1402</v>
      </c>
      <c r="G294" s="12"/>
      <c r="H294" s="11" t="s">
        <v>1497</v>
      </c>
      <c r="I294" s="12"/>
    </row>
    <row r="295" ht="14.25" customHeight="1">
      <c r="A295" s="13">
        <v>86.0</v>
      </c>
      <c r="B295" s="14" t="s">
        <v>1498</v>
      </c>
      <c r="C295" s="15"/>
      <c r="D295" s="14" t="s">
        <v>1499</v>
      </c>
      <c r="E295" s="15"/>
      <c r="F295" s="14" t="s">
        <v>1500</v>
      </c>
      <c r="G295" s="15"/>
      <c r="H295" s="14" t="s">
        <v>1501</v>
      </c>
      <c r="I295" s="15"/>
    </row>
    <row r="296" ht="14.25" customHeight="1">
      <c r="A296" s="10">
        <v>87.0</v>
      </c>
      <c r="B296" s="11" t="s">
        <v>1502</v>
      </c>
      <c r="C296" s="12"/>
      <c r="D296" s="11" t="s">
        <v>1314</v>
      </c>
      <c r="E296" s="12"/>
      <c r="F296" s="11" t="s">
        <v>698</v>
      </c>
      <c r="G296" s="12"/>
      <c r="H296" s="11" t="s">
        <v>1503</v>
      </c>
      <c r="I296" s="12"/>
    </row>
    <row r="297" ht="14.25" customHeight="1">
      <c r="A297" s="13">
        <v>88.0</v>
      </c>
      <c r="B297" s="14" t="s">
        <v>1504</v>
      </c>
      <c r="C297" s="13">
        <v>1.0</v>
      </c>
      <c r="D297" s="14" t="s">
        <v>1314</v>
      </c>
      <c r="E297" s="15"/>
      <c r="F297" s="14" t="s">
        <v>698</v>
      </c>
      <c r="G297" s="15"/>
      <c r="H297" s="14" t="s">
        <v>1801</v>
      </c>
      <c r="I297" s="15"/>
    </row>
    <row r="298" ht="14.25" customHeight="1">
      <c r="A298" s="10">
        <v>89.0</v>
      </c>
      <c r="B298" s="11" t="s">
        <v>1506</v>
      </c>
      <c r="C298" s="10">
        <v>1.0</v>
      </c>
      <c r="D298" s="11" t="s">
        <v>1314</v>
      </c>
      <c r="E298" s="12"/>
      <c r="F298" s="11" t="s">
        <v>698</v>
      </c>
      <c r="G298" s="12"/>
      <c r="H298" s="11" t="s">
        <v>1419</v>
      </c>
      <c r="I298" s="12"/>
    </row>
    <row r="299" ht="14.25" customHeight="1">
      <c r="A299" s="13">
        <v>90.0</v>
      </c>
      <c r="B299" s="14" t="s">
        <v>1507</v>
      </c>
      <c r="C299" s="15"/>
      <c r="D299" s="14" t="s">
        <v>1508</v>
      </c>
      <c r="E299" s="15"/>
      <c r="F299" s="14" t="s">
        <v>20</v>
      </c>
      <c r="G299" s="15"/>
      <c r="H299" s="14" t="s">
        <v>1509</v>
      </c>
      <c r="I299" s="15"/>
    </row>
    <row r="300" ht="14.25" customHeight="1">
      <c r="A300" s="10">
        <v>91.0</v>
      </c>
      <c r="B300" s="11" t="s">
        <v>1510</v>
      </c>
      <c r="C300" s="12"/>
      <c r="D300" s="11" t="s">
        <v>1314</v>
      </c>
      <c r="E300" s="12"/>
      <c r="F300" s="11" t="s">
        <v>698</v>
      </c>
      <c r="G300" s="12"/>
      <c r="H300" s="11" t="s">
        <v>1511</v>
      </c>
      <c r="I300" s="12"/>
    </row>
    <row r="301" ht="14.25" customHeight="1">
      <c r="A301" s="13">
        <v>92.0</v>
      </c>
      <c r="B301" s="14" t="s">
        <v>1512</v>
      </c>
      <c r="C301" s="15"/>
      <c r="D301" s="14" t="s">
        <v>1287</v>
      </c>
      <c r="E301" s="15"/>
      <c r="F301" s="14" t="s">
        <v>1288</v>
      </c>
      <c r="G301" s="15"/>
      <c r="H301" s="14" t="s">
        <v>1513</v>
      </c>
      <c r="I301" s="15"/>
    </row>
    <row r="302" ht="14.25" customHeight="1">
      <c r="A302" s="10">
        <v>93.0</v>
      </c>
      <c r="B302" s="11" t="s">
        <v>1514</v>
      </c>
      <c r="C302" s="10">
        <v>1.0</v>
      </c>
      <c r="D302" s="11" t="s">
        <v>1314</v>
      </c>
      <c r="E302" s="12"/>
      <c r="F302" s="11" t="s">
        <v>698</v>
      </c>
      <c r="G302" s="12"/>
      <c r="H302" s="11" t="s">
        <v>1802</v>
      </c>
      <c r="I302" s="12"/>
    </row>
    <row r="303" ht="14.25" customHeight="1">
      <c r="A303" s="13">
        <v>94.0</v>
      </c>
      <c r="B303" s="14" t="s">
        <v>1803</v>
      </c>
      <c r="C303" s="15"/>
      <c r="D303" s="14" t="s">
        <v>1517</v>
      </c>
      <c r="E303" s="15"/>
      <c r="F303" s="14" t="s">
        <v>1518</v>
      </c>
      <c r="G303" s="15"/>
      <c r="H303" s="14" t="s">
        <v>1519</v>
      </c>
      <c r="I303" s="15"/>
    </row>
    <row r="304" ht="14.25" customHeight="1">
      <c r="A304" s="10">
        <v>95.0</v>
      </c>
      <c r="B304" s="11" t="s">
        <v>1520</v>
      </c>
      <c r="C304" s="12"/>
      <c r="D304" s="11" t="s">
        <v>1314</v>
      </c>
      <c r="E304" s="12"/>
      <c r="F304" s="11" t="s">
        <v>698</v>
      </c>
      <c r="G304" s="12"/>
      <c r="H304" s="11" t="s">
        <v>1521</v>
      </c>
      <c r="I304" s="12"/>
    </row>
    <row r="305" ht="14.25" customHeight="1">
      <c r="A305" s="13">
        <v>96.0</v>
      </c>
      <c r="B305" s="14" t="s">
        <v>1522</v>
      </c>
      <c r="C305" s="15"/>
      <c r="D305" s="14" t="s">
        <v>1523</v>
      </c>
      <c r="E305" s="15"/>
      <c r="F305" s="14" t="s">
        <v>24</v>
      </c>
      <c r="G305" s="15"/>
      <c r="H305" s="14" t="s">
        <v>1468</v>
      </c>
      <c r="I305" s="15"/>
    </row>
    <row r="306" ht="14.25" customHeight="1">
      <c r="A306" s="10">
        <v>97.0</v>
      </c>
      <c r="B306" s="11" t="s">
        <v>1524</v>
      </c>
      <c r="C306" s="10">
        <v>1.0</v>
      </c>
      <c r="D306" s="11" t="s">
        <v>1314</v>
      </c>
      <c r="E306" s="12"/>
      <c r="F306" s="11" t="s">
        <v>698</v>
      </c>
      <c r="G306" s="11" t="s">
        <v>737</v>
      </c>
      <c r="H306" s="11" t="s">
        <v>1525</v>
      </c>
      <c r="I306" s="11" t="s">
        <v>1804</v>
      </c>
    </row>
    <row r="307" ht="14.25" customHeight="1">
      <c r="A307" s="13">
        <v>98.0</v>
      </c>
      <c r="B307" s="14" t="s">
        <v>1526</v>
      </c>
      <c r="C307" s="15"/>
      <c r="D307" s="14" t="s">
        <v>1457</v>
      </c>
      <c r="E307" s="15"/>
      <c r="F307" s="14" t="s">
        <v>1458</v>
      </c>
      <c r="G307" s="15"/>
      <c r="H307" s="14" t="s">
        <v>1527</v>
      </c>
      <c r="I307" s="15"/>
    </row>
    <row r="308" ht="14.25" customHeight="1">
      <c r="A308" s="10">
        <v>99.0</v>
      </c>
      <c r="B308" s="11" t="s">
        <v>1528</v>
      </c>
      <c r="C308" s="12"/>
      <c r="D308" s="11" t="s">
        <v>1457</v>
      </c>
      <c r="E308" s="12"/>
      <c r="F308" s="11" t="s">
        <v>1458</v>
      </c>
      <c r="G308" s="12"/>
      <c r="H308" s="11" t="s">
        <v>1529</v>
      </c>
      <c r="I308" s="12"/>
    </row>
    <row r="309" ht="14.25" customHeight="1">
      <c r="A309" s="13">
        <v>100.0</v>
      </c>
      <c r="B309" s="14" t="s">
        <v>1530</v>
      </c>
      <c r="C309" s="15"/>
      <c r="D309" s="14" t="s">
        <v>1531</v>
      </c>
      <c r="E309" s="15"/>
      <c r="F309" s="14" t="s">
        <v>1532</v>
      </c>
      <c r="G309" s="15"/>
      <c r="H309" s="14" t="s">
        <v>1533</v>
      </c>
      <c r="I309" s="15"/>
    </row>
    <row r="310" ht="14.25" customHeight="1">
      <c r="A310" s="10">
        <v>101.0</v>
      </c>
      <c r="B310" s="11" t="s">
        <v>1534</v>
      </c>
      <c r="C310" s="12"/>
      <c r="D310" s="11" t="s">
        <v>1535</v>
      </c>
      <c r="E310" s="12"/>
      <c r="F310" s="11" t="s">
        <v>1536</v>
      </c>
      <c r="G310" s="12"/>
      <c r="H310" s="11" t="s">
        <v>1537</v>
      </c>
      <c r="I310" s="12"/>
    </row>
    <row r="311" ht="14.25" customHeight="1">
      <c r="A311" s="13">
        <v>102.0</v>
      </c>
      <c r="B311" s="14" t="s">
        <v>1538</v>
      </c>
      <c r="C311" s="15"/>
      <c r="D311" s="14" t="s">
        <v>1314</v>
      </c>
      <c r="E311" s="15"/>
      <c r="F311" s="14" t="s">
        <v>698</v>
      </c>
      <c r="G311" s="15"/>
      <c r="H311" s="14" t="s">
        <v>1539</v>
      </c>
      <c r="I311" s="15"/>
    </row>
    <row r="312" ht="14.25" customHeight="1">
      <c r="A312" s="10">
        <v>103.0</v>
      </c>
      <c r="B312" s="11" t="s">
        <v>1805</v>
      </c>
      <c r="C312" s="10">
        <v>1.0</v>
      </c>
      <c r="D312" s="11" t="s">
        <v>1541</v>
      </c>
      <c r="E312" s="12"/>
      <c r="F312" s="11" t="s">
        <v>1444</v>
      </c>
      <c r="G312" s="12"/>
      <c r="H312" s="11" t="s">
        <v>1542</v>
      </c>
      <c r="I312" s="12"/>
    </row>
    <row r="313" ht="14.25" customHeight="1">
      <c r="A313" s="13">
        <v>104.0</v>
      </c>
      <c r="B313" s="14" t="s">
        <v>1543</v>
      </c>
      <c r="C313" s="15"/>
      <c r="D313" s="14" t="s">
        <v>1314</v>
      </c>
      <c r="E313" s="15"/>
      <c r="F313" s="14" t="s">
        <v>698</v>
      </c>
      <c r="G313" s="15"/>
      <c r="H313" s="14" t="s">
        <v>1544</v>
      </c>
      <c r="I313" s="15"/>
    </row>
    <row r="314" ht="14.25" customHeight="1">
      <c r="A314" s="10">
        <v>105.0</v>
      </c>
      <c r="B314" s="11" t="s">
        <v>1545</v>
      </c>
      <c r="C314" s="12"/>
      <c r="D314" s="11" t="s">
        <v>1535</v>
      </c>
      <c r="E314" s="12"/>
      <c r="F314" s="11" t="s">
        <v>1536</v>
      </c>
      <c r="G314" s="12"/>
      <c r="H314" s="11" t="s">
        <v>1546</v>
      </c>
      <c r="I314" s="12"/>
    </row>
    <row r="315" ht="14.25" customHeight="1">
      <c r="A315" s="13">
        <v>106.0</v>
      </c>
      <c r="B315" s="14" t="s">
        <v>1547</v>
      </c>
      <c r="C315" s="15"/>
      <c r="D315" s="14" t="s">
        <v>1314</v>
      </c>
      <c r="E315" s="15"/>
      <c r="F315" s="14" t="s">
        <v>737</v>
      </c>
      <c r="G315" s="15"/>
      <c r="H315" s="14" t="s">
        <v>1548</v>
      </c>
      <c r="I315" s="15"/>
    </row>
    <row r="316" ht="14.25" customHeight="1">
      <c r="A316" s="10">
        <v>107.0</v>
      </c>
      <c r="B316" s="11" t="s">
        <v>1549</v>
      </c>
      <c r="C316" s="12"/>
      <c r="D316" s="11" t="s">
        <v>1535</v>
      </c>
      <c r="E316" s="12"/>
      <c r="F316" s="11" t="s">
        <v>1550</v>
      </c>
      <c r="G316" s="12"/>
      <c r="H316" s="11" t="s">
        <v>1551</v>
      </c>
      <c r="I316" s="12"/>
    </row>
    <row r="317" ht="14.25" customHeight="1">
      <c r="A317" s="13">
        <v>108.0</v>
      </c>
      <c r="B317" s="14" t="s">
        <v>1552</v>
      </c>
      <c r="C317" s="15"/>
      <c r="D317" s="14" t="s">
        <v>1553</v>
      </c>
      <c r="E317" s="15"/>
      <c r="F317" s="14" t="s">
        <v>1554</v>
      </c>
      <c r="G317" s="15"/>
      <c r="H317" s="14" t="s">
        <v>1555</v>
      </c>
      <c r="I317" s="15"/>
    </row>
    <row r="318" ht="14.25" customHeight="1">
      <c r="A318" s="10">
        <v>109.0</v>
      </c>
      <c r="B318" s="11" t="s">
        <v>1556</v>
      </c>
      <c r="C318" s="12"/>
      <c r="D318" s="11" t="s">
        <v>1314</v>
      </c>
      <c r="E318" s="12"/>
      <c r="F318" s="11" t="s">
        <v>698</v>
      </c>
      <c r="G318" s="12"/>
      <c r="H318" s="11" t="s">
        <v>1557</v>
      </c>
      <c r="I318" s="12"/>
    </row>
    <row r="319" ht="14.25" customHeight="1">
      <c r="A319" s="13">
        <v>110.0</v>
      </c>
      <c r="B319" s="14" t="s">
        <v>1558</v>
      </c>
      <c r="C319" s="15"/>
      <c r="D319" s="14" t="s">
        <v>1559</v>
      </c>
      <c r="E319" s="15"/>
      <c r="F319" s="14" t="s">
        <v>1560</v>
      </c>
      <c r="G319" s="15"/>
      <c r="H319" s="14" t="s">
        <v>1561</v>
      </c>
      <c r="I319" s="15"/>
    </row>
    <row r="320" ht="14.25" customHeight="1">
      <c r="A320" s="10">
        <v>111.0</v>
      </c>
      <c r="B320" s="11" t="s">
        <v>1562</v>
      </c>
      <c r="C320" s="12"/>
      <c r="D320" s="11" t="s">
        <v>1314</v>
      </c>
      <c r="E320" s="12"/>
      <c r="F320" s="11" t="s">
        <v>737</v>
      </c>
      <c r="G320" s="12"/>
      <c r="H320" s="11" t="s">
        <v>1563</v>
      </c>
      <c r="I320" s="12"/>
    </row>
    <row r="321" ht="14.25" customHeight="1">
      <c r="A321" s="13">
        <v>112.0</v>
      </c>
      <c r="B321" s="14" t="s">
        <v>1564</v>
      </c>
      <c r="C321" s="15"/>
      <c r="D321" s="14" t="s">
        <v>1535</v>
      </c>
      <c r="E321" s="15"/>
      <c r="F321" s="14" t="s">
        <v>1536</v>
      </c>
      <c r="G321" s="15"/>
      <c r="H321" s="14" t="s">
        <v>1565</v>
      </c>
      <c r="I321" s="15"/>
    </row>
    <row r="322" ht="14.25" customHeight="1">
      <c r="A322" s="10">
        <v>113.0</v>
      </c>
      <c r="B322" s="11" t="s">
        <v>1566</v>
      </c>
      <c r="C322" s="12"/>
      <c r="D322" s="11" t="s">
        <v>1314</v>
      </c>
      <c r="E322" s="12"/>
      <c r="F322" s="11" t="s">
        <v>698</v>
      </c>
      <c r="G322" s="12"/>
      <c r="H322" s="11" t="s">
        <v>1567</v>
      </c>
      <c r="I322" s="12"/>
    </row>
    <row r="323" ht="14.25" customHeight="1">
      <c r="A323" s="13">
        <v>114.0</v>
      </c>
      <c r="B323" s="14" t="s">
        <v>1568</v>
      </c>
      <c r="C323" s="15"/>
      <c r="D323" s="14" t="s">
        <v>1314</v>
      </c>
      <c r="E323" s="15"/>
      <c r="F323" s="14" t="s">
        <v>698</v>
      </c>
      <c r="G323" s="15"/>
      <c r="H323" s="14" t="s">
        <v>1569</v>
      </c>
      <c r="I323" s="15"/>
    </row>
    <row r="324" ht="14.25" customHeight="1">
      <c r="A324" s="10">
        <v>115.0</v>
      </c>
      <c r="B324" s="11" t="s">
        <v>1570</v>
      </c>
      <c r="C324" s="12"/>
      <c r="D324" s="11" t="s">
        <v>1314</v>
      </c>
      <c r="E324" s="12"/>
      <c r="F324" s="11" t="s">
        <v>698</v>
      </c>
      <c r="G324" s="12"/>
      <c r="H324" s="11" t="s">
        <v>1571</v>
      </c>
      <c r="I324" s="12"/>
    </row>
    <row r="325" ht="14.25" customHeight="1">
      <c r="A325" s="13">
        <v>116.0</v>
      </c>
      <c r="B325" s="14" t="s">
        <v>1572</v>
      </c>
      <c r="C325" s="13">
        <v>1.0</v>
      </c>
      <c r="D325" s="14" t="s">
        <v>1535</v>
      </c>
      <c r="E325" s="15"/>
      <c r="F325" s="14" t="s">
        <v>1536</v>
      </c>
      <c r="G325" s="15"/>
      <c r="H325" s="14" t="s">
        <v>1573</v>
      </c>
      <c r="I325" s="15"/>
    </row>
    <row r="326" ht="14.25" customHeight="1">
      <c r="A326" s="10">
        <v>117.0</v>
      </c>
      <c r="B326" s="11" t="s">
        <v>1574</v>
      </c>
      <c r="C326" s="10">
        <v>1.0</v>
      </c>
      <c r="D326" s="11" t="s">
        <v>1314</v>
      </c>
      <c r="E326" s="12"/>
      <c r="F326" s="11" t="s">
        <v>698</v>
      </c>
      <c r="G326" s="12"/>
      <c r="H326" s="11" t="s">
        <v>1419</v>
      </c>
      <c r="I326" s="12"/>
    </row>
    <row r="327" ht="14.25" customHeight="1">
      <c r="A327" s="13">
        <v>118.0</v>
      </c>
      <c r="B327" s="14" t="s">
        <v>1575</v>
      </c>
      <c r="C327" s="15"/>
      <c r="D327" s="14" t="s">
        <v>1576</v>
      </c>
      <c r="E327" s="15"/>
      <c r="F327" s="14" t="s">
        <v>1577</v>
      </c>
      <c r="G327" s="15"/>
      <c r="H327" s="14" t="s">
        <v>1578</v>
      </c>
      <c r="I327" s="15"/>
    </row>
    <row r="328" ht="14.25" customHeight="1">
      <c r="A328" s="10">
        <v>119.0</v>
      </c>
      <c r="B328" s="11" t="s">
        <v>1806</v>
      </c>
      <c r="C328" s="10">
        <v>1.0</v>
      </c>
      <c r="D328" s="11" t="s">
        <v>1580</v>
      </c>
      <c r="E328" s="12"/>
      <c r="F328" s="11" t="s">
        <v>1581</v>
      </c>
      <c r="G328" s="12"/>
      <c r="H328" s="11" t="s">
        <v>1582</v>
      </c>
      <c r="I328" s="12"/>
    </row>
    <row r="329" ht="14.25" customHeight="1">
      <c r="A329" s="13">
        <v>120.0</v>
      </c>
      <c r="B329" s="14" t="s">
        <v>1583</v>
      </c>
      <c r="C329" s="15"/>
      <c r="D329" s="14" t="s">
        <v>1314</v>
      </c>
      <c r="E329" s="15"/>
      <c r="F329" s="14" t="s">
        <v>698</v>
      </c>
      <c r="G329" s="15"/>
      <c r="H329" s="14" t="s">
        <v>1584</v>
      </c>
      <c r="I329" s="15"/>
    </row>
    <row r="330" ht="14.25" customHeight="1">
      <c r="A330" s="10">
        <v>121.0</v>
      </c>
      <c r="B330" s="11" t="s">
        <v>1585</v>
      </c>
      <c r="C330" s="12"/>
      <c r="D330" s="11" t="s">
        <v>1314</v>
      </c>
      <c r="E330" s="12"/>
      <c r="F330" s="11" t="s">
        <v>698</v>
      </c>
      <c r="G330" s="12"/>
      <c r="H330" s="11" t="s">
        <v>1586</v>
      </c>
      <c r="I330" s="12"/>
    </row>
    <row r="331" ht="14.25" customHeight="1">
      <c r="A331" s="13">
        <v>122.0</v>
      </c>
      <c r="B331" s="14" t="s">
        <v>1587</v>
      </c>
      <c r="C331" s="15"/>
      <c r="D331" s="14" t="s">
        <v>1588</v>
      </c>
      <c r="E331" s="15"/>
      <c r="F331" s="14" t="s">
        <v>20</v>
      </c>
      <c r="G331" s="15"/>
      <c r="H331" s="14" t="s">
        <v>1589</v>
      </c>
      <c r="I331" s="15"/>
    </row>
    <row r="332" ht="14.25" customHeight="1">
      <c r="A332" s="10">
        <v>123.0</v>
      </c>
      <c r="B332" s="11" t="s">
        <v>1590</v>
      </c>
      <c r="C332" s="10">
        <v>1.0</v>
      </c>
      <c r="D332" s="11" t="s">
        <v>1531</v>
      </c>
      <c r="E332" s="12"/>
      <c r="F332" s="11" t="s">
        <v>1532</v>
      </c>
      <c r="G332" s="12"/>
      <c r="H332" s="11" t="s">
        <v>1591</v>
      </c>
      <c r="I332" s="12"/>
    </row>
    <row r="333" ht="14.25" customHeight="1">
      <c r="A333" s="13">
        <v>124.0</v>
      </c>
      <c r="B333" s="14" t="s">
        <v>1592</v>
      </c>
      <c r="C333" s="15"/>
      <c r="D333" s="14" t="s">
        <v>1314</v>
      </c>
      <c r="E333" s="15"/>
      <c r="F333" s="14" t="s">
        <v>698</v>
      </c>
      <c r="G333" s="15"/>
      <c r="H333" s="14" t="s">
        <v>1593</v>
      </c>
      <c r="I333" s="15"/>
    </row>
    <row r="334" ht="14.25" customHeight="1">
      <c r="A334" s="10">
        <v>125.0</v>
      </c>
      <c r="B334" s="11" t="s">
        <v>1594</v>
      </c>
      <c r="C334" s="12"/>
      <c r="D334" s="11" t="s">
        <v>1595</v>
      </c>
      <c r="E334" s="12"/>
      <c r="F334" s="11" t="s">
        <v>1581</v>
      </c>
      <c r="G334" s="12"/>
      <c r="H334" s="11" t="s">
        <v>1596</v>
      </c>
      <c r="I334" s="12"/>
    </row>
    <row r="335" ht="14.25" customHeight="1">
      <c r="A335" s="13">
        <v>126.0</v>
      </c>
      <c r="B335" s="14" t="s">
        <v>1597</v>
      </c>
      <c r="C335" s="13">
        <v>1.0</v>
      </c>
      <c r="D335" s="14" t="s">
        <v>1598</v>
      </c>
      <c r="E335" s="15"/>
      <c r="F335" s="14" t="s">
        <v>1599</v>
      </c>
      <c r="G335" s="15"/>
      <c r="H335" s="14" t="s">
        <v>1600</v>
      </c>
      <c r="I335" s="15"/>
    </row>
    <row r="336" ht="14.25" customHeight="1">
      <c r="A336" s="10">
        <v>127.0</v>
      </c>
      <c r="B336" s="11" t="s">
        <v>1601</v>
      </c>
      <c r="C336" s="12"/>
      <c r="D336" s="11" t="s">
        <v>1314</v>
      </c>
      <c r="E336" s="12"/>
      <c r="F336" s="11" t="s">
        <v>698</v>
      </c>
      <c r="G336" s="12"/>
      <c r="H336" s="11" t="s">
        <v>1602</v>
      </c>
      <c r="I336" s="12"/>
    </row>
    <row r="337" ht="14.25" customHeight="1">
      <c r="A337" s="13">
        <v>128.0</v>
      </c>
      <c r="B337" s="14" t="s">
        <v>1807</v>
      </c>
      <c r="C337" s="13">
        <v>1.0</v>
      </c>
      <c r="D337" s="14" t="s">
        <v>1604</v>
      </c>
      <c r="E337" s="15"/>
      <c r="F337" s="14" t="s">
        <v>1605</v>
      </c>
      <c r="G337" s="15"/>
      <c r="H337" s="14" t="s">
        <v>1606</v>
      </c>
      <c r="I337" s="15"/>
    </row>
    <row r="338" ht="14.25" customHeight="1">
      <c r="A338" s="10">
        <v>129.0</v>
      </c>
      <c r="B338" s="11" t="s">
        <v>1522</v>
      </c>
      <c r="C338" s="12"/>
      <c r="D338" s="11" t="s">
        <v>1607</v>
      </c>
      <c r="E338" s="12"/>
      <c r="F338" s="11" t="s">
        <v>20</v>
      </c>
      <c r="G338" s="12"/>
      <c r="H338" s="11" t="s">
        <v>1608</v>
      </c>
      <c r="I338" s="12"/>
    </row>
    <row r="339" ht="14.25" customHeight="1">
      <c r="A339" s="13">
        <v>130.0</v>
      </c>
      <c r="B339" s="14" t="s">
        <v>1609</v>
      </c>
      <c r="C339" s="15"/>
      <c r="D339" s="14" t="s">
        <v>1535</v>
      </c>
      <c r="E339" s="15"/>
      <c r="F339" s="14" t="s">
        <v>1536</v>
      </c>
      <c r="G339" s="15"/>
      <c r="H339" s="14" t="s">
        <v>1610</v>
      </c>
      <c r="I339" s="15"/>
    </row>
    <row r="340" ht="14.25" customHeight="1">
      <c r="A340" s="10">
        <v>131.0</v>
      </c>
      <c r="B340" s="11" t="s">
        <v>1611</v>
      </c>
      <c r="C340" s="12"/>
      <c r="D340" s="11" t="s">
        <v>1314</v>
      </c>
      <c r="E340" s="12"/>
      <c r="F340" s="11" t="s">
        <v>698</v>
      </c>
      <c r="G340" s="12"/>
      <c r="H340" s="11" t="s">
        <v>1612</v>
      </c>
      <c r="I340" s="12"/>
    </row>
    <row r="341" ht="14.25" customHeight="1">
      <c r="A341" s="13">
        <v>132.0</v>
      </c>
      <c r="B341" s="14" t="s">
        <v>1613</v>
      </c>
      <c r="C341" s="15"/>
      <c r="D341" s="14" t="s">
        <v>1535</v>
      </c>
      <c r="E341" s="15"/>
      <c r="F341" s="14" t="s">
        <v>1536</v>
      </c>
      <c r="G341" s="15"/>
      <c r="H341" s="14" t="s">
        <v>1614</v>
      </c>
      <c r="I341" s="15"/>
    </row>
    <row r="342" ht="14.25" customHeight="1">
      <c r="A342" s="10">
        <v>133.0</v>
      </c>
      <c r="B342" s="11" t="s">
        <v>1615</v>
      </c>
      <c r="C342" s="12"/>
      <c r="D342" s="11" t="s">
        <v>1616</v>
      </c>
      <c r="E342" s="12"/>
      <c r="F342" s="11" t="s">
        <v>787</v>
      </c>
      <c r="G342" s="12"/>
      <c r="H342" s="11" t="s">
        <v>1617</v>
      </c>
      <c r="I342" s="12"/>
    </row>
    <row r="343" ht="14.25" customHeight="1">
      <c r="A343" s="13">
        <v>134.0</v>
      </c>
      <c r="B343" s="14" t="s">
        <v>1618</v>
      </c>
      <c r="C343" s="15"/>
      <c r="D343" s="14" t="s">
        <v>1314</v>
      </c>
      <c r="E343" s="15"/>
      <c r="F343" s="14" t="s">
        <v>698</v>
      </c>
      <c r="G343" s="15"/>
      <c r="H343" s="14" t="s">
        <v>1619</v>
      </c>
      <c r="I343" s="15"/>
    </row>
    <row r="344" ht="14.25" customHeight="1">
      <c r="A344" s="10">
        <v>135.0</v>
      </c>
      <c r="B344" s="11" t="s">
        <v>1620</v>
      </c>
      <c r="C344" s="12"/>
      <c r="D344" s="11" t="s">
        <v>1621</v>
      </c>
      <c r="E344" s="12"/>
      <c r="F344" s="11" t="s">
        <v>1622</v>
      </c>
      <c r="G344" s="12"/>
      <c r="H344" s="11" t="s">
        <v>1623</v>
      </c>
      <c r="I344" s="12"/>
    </row>
    <row r="345" ht="14.25" customHeight="1">
      <c r="A345" s="13">
        <v>136.0</v>
      </c>
      <c r="B345" s="14" t="s">
        <v>1624</v>
      </c>
      <c r="C345" s="15"/>
      <c r="D345" s="14" t="s">
        <v>1314</v>
      </c>
      <c r="E345" s="15"/>
      <c r="F345" s="14" t="s">
        <v>698</v>
      </c>
      <c r="G345" s="15"/>
      <c r="H345" s="14" t="s">
        <v>1625</v>
      </c>
      <c r="I345" s="15"/>
    </row>
    <row r="346" ht="14.25" customHeight="1">
      <c r="A346" s="10">
        <v>137.0</v>
      </c>
      <c r="B346" s="11" t="s">
        <v>1574</v>
      </c>
      <c r="C346" s="10">
        <v>1.0</v>
      </c>
      <c r="D346" s="11" t="s">
        <v>1314</v>
      </c>
      <c r="E346" s="12"/>
      <c r="F346" s="11" t="s">
        <v>698</v>
      </c>
      <c r="G346" s="12"/>
      <c r="H346" s="11" t="s">
        <v>1419</v>
      </c>
      <c r="I346" s="12"/>
    </row>
    <row r="347" ht="14.25" customHeight="1">
      <c r="A347" s="13">
        <v>138.0</v>
      </c>
      <c r="B347" s="14" t="s">
        <v>1626</v>
      </c>
      <c r="C347" s="15"/>
      <c r="D347" s="14" t="s">
        <v>1595</v>
      </c>
      <c r="E347" s="15"/>
      <c r="F347" s="14" t="s">
        <v>1581</v>
      </c>
      <c r="G347" s="15"/>
      <c r="H347" s="14" t="s">
        <v>1627</v>
      </c>
      <c r="I347" s="15"/>
    </row>
    <row r="348" ht="14.25" customHeight="1">
      <c r="A348" s="10">
        <v>139.0</v>
      </c>
      <c r="B348" s="11" t="s">
        <v>1808</v>
      </c>
      <c r="C348" s="10">
        <v>1.0</v>
      </c>
      <c r="D348" s="11" t="s">
        <v>1535</v>
      </c>
      <c r="E348" s="12"/>
      <c r="F348" s="11" t="s">
        <v>1536</v>
      </c>
      <c r="G348" s="12"/>
      <c r="H348" s="11" t="s">
        <v>1629</v>
      </c>
      <c r="I348" s="12"/>
    </row>
    <row r="349" ht="14.25" customHeight="1">
      <c r="A349" s="13">
        <v>140.0</v>
      </c>
      <c r="B349" s="14" t="s">
        <v>1630</v>
      </c>
      <c r="C349" s="15"/>
      <c r="D349" s="14" t="s">
        <v>1631</v>
      </c>
      <c r="E349" s="15"/>
      <c r="F349" s="14" t="s">
        <v>1632</v>
      </c>
      <c r="G349" s="15"/>
      <c r="H349" s="14" t="s">
        <v>1633</v>
      </c>
      <c r="I349" s="15"/>
    </row>
    <row r="350" ht="14.25" customHeight="1">
      <c r="A350" s="10">
        <v>141.0</v>
      </c>
      <c r="B350" s="11" t="s">
        <v>1634</v>
      </c>
      <c r="C350" s="12"/>
      <c r="D350" s="11" t="s">
        <v>1635</v>
      </c>
      <c r="E350" s="12"/>
      <c r="F350" s="11" t="s">
        <v>20</v>
      </c>
      <c r="G350" s="12"/>
      <c r="H350" s="11" t="s">
        <v>1608</v>
      </c>
      <c r="I350" s="12"/>
    </row>
    <row r="351" ht="14.25" customHeight="1">
      <c r="A351" s="13">
        <v>142.0</v>
      </c>
      <c r="B351" s="14" t="s">
        <v>1636</v>
      </c>
      <c r="C351" s="15"/>
      <c r="D351" s="14" t="s">
        <v>1314</v>
      </c>
      <c r="E351" s="15"/>
      <c r="F351" s="14" t="s">
        <v>737</v>
      </c>
      <c r="G351" s="15"/>
      <c r="H351" s="14" t="s">
        <v>1637</v>
      </c>
    </row>
    <row r="352" ht="14.25" customHeight="1">
      <c r="A352" s="10">
        <v>143.0</v>
      </c>
      <c r="B352" s="11" t="s">
        <v>1638</v>
      </c>
      <c r="C352" s="12"/>
      <c r="D352" s="11" t="s">
        <v>1604</v>
      </c>
      <c r="E352" s="12"/>
      <c r="F352" s="11" t="s">
        <v>1639</v>
      </c>
      <c r="G352" s="12"/>
      <c r="H352" s="11" t="s">
        <v>1640</v>
      </c>
      <c r="I352" s="12"/>
    </row>
    <row r="353" ht="14.25" customHeight="1">
      <c r="A353" s="13">
        <v>144.0</v>
      </c>
      <c r="B353" s="14" t="s">
        <v>1641</v>
      </c>
      <c r="C353" s="15"/>
      <c r="D353" s="14" t="s">
        <v>1541</v>
      </c>
      <c r="E353" s="15"/>
      <c r="F353" s="14" t="s">
        <v>1444</v>
      </c>
      <c r="G353" s="15"/>
      <c r="H353" s="14" t="s">
        <v>1642</v>
      </c>
      <c r="I353" s="15"/>
    </row>
    <row r="354" ht="14.25" customHeight="1">
      <c r="A354" s="10">
        <v>145.0</v>
      </c>
      <c r="B354" s="11" t="s">
        <v>1643</v>
      </c>
      <c r="C354" s="12"/>
      <c r="D354" s="11" t="s">
        <v>1644</v>
      </c>
      <c r="E354" s="12"/>
      <c r="F354" s="11" t="s">
        <v>1645</v>
      </c>
      <c r="G354" s="12"/>
      <c r="H354" s="11" t="s">
        <v>1646</v>
      </c>
      <c r="I354" s="12"/>
    </row>
    <row r="355" ht="14.25" customHeight="1">
      <c r="A355" s="13">
        <v>146.0</v>
      </c>
      <c r="B355" s="14" t="s">
        <v>1647</v>
      </c>
      <c r="C355" s="15"/>
      <c r="D355" s="14" t="s">
        <v>1314</v>
      </c>
      <c r="E355" s="15"/>
      <c r="F355" s="14" t="s">
        <v>698</v>
      </c>
      <c r="G355" s="15"/>
      <c r="H355" s="14" t="s">
        <v>1648</v>
      </c>
      <c r="I355" s="15"/>
    </row>
    <row r="356" ht="14.25" customHeight="1">
      <c r="A356" s="10">
        <v>147.0</v>
      </c>
      <c r="B356" s="11" t="s">
        <v>1649</v>
      </c>
      <c r="C356" s="12"/>
      <c r="D356" s="11" t="s">
        <v>1314</v>
      </c>
      <c r="E356" s="12"/>
      <c r="F356" s="11" t="s">
        <v>698</v>
      </c>
      <c r="G356" s="12"/>
      <c r="H356" s="11" t="s">
        <v>1650</v>
      </c>
      <c r="I356" s="12"/>
    </row>
    <row r="357" ht="14.25" customHeight="1">
      <c r="A357" s="13">
        <v>148.0</v>
      </c>
      <c r="B357" s="14" t="s">
        <v>1651</v>
      </c>
      <c r="C357" s="15"/>
      <c r="D357" s="14" t="s">
        <v>1652</v>
      </c>
      <c r="E357" s="15"/>
      <c r="F357" s="14" t="s">
        <v>1653</v>
      </c>
      <c r="G357" s="15"/>
      <c r="H357" s="14" t="s">
        <v>1809</v>
      </c>
      <c r="I357" s="15"/>
    </row>
    <row r="358" ht="14.25" customHeight="1">
      <c r="A358" s="10">
        <v>149.0</v>
      </c>
      <c r="B358" s="11" t="s">
        <v>1655</v>
      </c>
      <c r="C358" s="12"/>
      <c r="D358" s="11" t="s">
        <v>1656</v>
      </c>
      <c r="E358" s="12"/>
      <c r="F358" s="11" t="s">
        <v>1657</v>
      </c>
      <c r="G358" s="12"/>
      <c r="H358" s="11" t="s">
        <v>1658</v>
      </c>
      <c r="I358" s="12"/>
    </row>
    <row r="359" ht="14.25" customHeight="1">
      <c r="A359" s="13">
        <v>150.0</v>
      </c>
      <c r="B359" s="14" t="s">
        <v>1659</v>
      </c>
      <c r="C359" s="15"/>
      <c r="D359" s="14" t="s">
        <v>1314</v>
      </c>
      <c r="E359" s="15"/>
      <c r="F359" s="14" t="s">
        <v>737</v>
      </c>
      <c r="G359" s="15"/>
      <c r="H359" s="14" t="s">
        <v>1660</v>
      </c>
      <c r="I359" s="15"/>
    </row>
    <row r="360" ht="14.25" customHeight="1">
      <c r="A360" s="10">
        <v>151.0</v>
      </c>
      <c r="B360" s="11" t="s">
        <v>1661</v>
      </c>
      <c r="C360" s="12"/>
      <c r="D360" s="11" t="s">
        <v>1401</v>
      </c>
      <c r="E360" s="12"/>
      <c r="F360" s="11" t="s">
        <v>1402</v>
      </c>
      <c r="G360" s="12"/>
      <c r="H360" s="11" t="s">
        <v>1662</v>
      </c>
      <c r="I360" s="12"/>
    </row>
    <row r="361" ht="14.25" customHeight="1">
      <c r="A361" s="13">
        <v>152.0</v>
      </c>
      <c r="B361" s="14" t="s">
        <v>1663</v>
      </c>
      <c r="C361" s="15"/>
      <c r="D361" s="14" t="s">
        <v>1314</v>
      </c>
      <c r="E361" s="15"/>
      <c r="F361" s="14" t="s">
        <v>698</v>
      </c>
      <c r="G361" s="15"/>
      <c r="H361" s="14" t="s">
        <v>1664</v>
      </c>
      <c r="I361" s="15"/>
    </row>
    <row r="362" ht="14.25" customHeight="1">
      <c r="A362" s="10">
        <v>153.0</v>
      </c>
      <c r="B362" s="11" t="s">
        <v>1665</v>
      </c>
      <c r="C362" s="12"/>
      <c r="D362" s="11" t="s">
        <v>1314</v>
      </c>
      <c r="E362" s="12"/>
      <c r="F362" s="11" t="s">
        <v>698</v>
      </c>
      <c r="G362" s="12"/>
      <c r="H362" s="11" t="s">
        <v>1666</v>
      </c>
      <c r="I362" s="12"/>
    </row>
    <row r="363" ht="14.25" customHeight="1">
      <c r="A363" s="13">
        <v>154.0</v>
      </c>
      <c r="B363" s="14" t="s">
        <v>1667</v>
      </c>
      <c r="C363" s="15"/>
      <c r="D363" s="14" t="s">
        <v>1668</v>
      </c>
      <c r="E363" s="15"/>
      <c r="F363" s="14" t="s">
        <v>787</v>
      </c>
      <c r="G363" s="15"/>
      <c r="H363" s="14" t="s">
        <v>1669</v>
      </c>
      <c r="I363" s="15"/>
    </row>
    <row r="364" ht="14.25" customHeight="1">
      <c r="A364" s="10">
        <v>155.0</v>
      </c>
      <c r="B364" s="11" t="s">
        <v>1670</v>
      </c>
      <c r="C364" s="12"/>
      <c r="D364" s="11" t="s">
        <v>1314</v>
      </c>
      <c r="E364" s="12"/>
      <c r="F364" s="11" t="s">
        <v>698</v>
      </c>
      <c r="G364" s="12"/>
      <c r="H364" s="11" t="s">
        <v>1671</v>
      </c>
      <c r="I364" s="12"/>
    </row>
    <row r="365" ht="14.25" customHeight="1">
      <c r="A365" s="13">
        <v>156.0</v>
      </c>
      <c r="B365" s="14" t="s">
        <v>1672</v>
      </c>
      <c r="C365" s="15"/>
      <c r="D365" s="14" t="s">
        <v>1314</v>
      </c>
      <c r="E365" s="15"/>
      <c r="F365" s="14" t="s">
        <v>698</v>
      </c>
      <c r="G365" s="15"/>
      <c r="H365" s="14" t="s">
        <v>1673</v>
      </c>
      <c r="I365" s="15"/>
    </row>
    <row r="366" ht="14.25" customHeight="1">
      <c r="A366" s="10">
        <v>157.0</v>
      </c>
      <c r="B366" s="11" t="s">
        <v>1674</v>
      </c>
      <c r="C366" s="12"/>
      <c r="D366" s="11" t="s">
        <v>1668</v>
      </c>
      <c r="E366" s="12"/>
      <c r="F366" s="11" t="s">
        <v>787</v>
      </c>
      <c r="G366" s="12"/>
      <c r="H366" s="11" t="s">
        <v>1675</v>
      </c>
      <c r="I366" s="12"/>
    </row>
    <row r="367" ht="14.25" customHeight="1">
      <c r="A367" s="13">
        <v>158.0</v>
      </c>
      <c r="B367" s="14" t="s">
        <v>1676</v>
      </c>
      <c r="C367" s="15"/>
      <c r="D367" s="14" t="s">
        <v>1314</v>
      </c>
      <c r="E367" s="15"/>
      <c r="F367" s="14" t="s">
        <v>698</v>
      </c>
      <c r="G367" s="15"/>
      <c r="H367" s="14" t="s">
        <v>1677</v>
      </c>
      <c r="I367" s="15"/>
    </row>
    <row r="368" ht="14.25" customHeight="1">
      <c r="A368" s="10">
        <v>159.0</v>
      </c>
      <c r="B368" s="11" t="s">
        <v>1678</v>
      </c>
      <c r="C368" s="12"/>
      <c r="D368" s="11" t="s">
        <v>1595</v>
      </c>
      <c r="E368" s="12"/>
      <c r="F368" s="11" t="s">
        <v>1581</v>
      </c>
      <c r="G368" s="12"/>
      <c r="H368" s="11" t="s">
        <v>1679</v>
      </c>
      <c r="I368" s="12"/>
    </row>
    <row r="369" ht="14.25" customHeight="1">
      <c r="A369" s="13">
        <v>160.0</v>
      </c>
      <c r="B369" s="14" t="s">
        <v>1680</v>
      </c>
      <c r="C369" s="15"/>
      <c r="D369" s="14" t="s">
        <v>1681</v>
      </c>
      <c r="E369" s="15"/>
      <c r="F369" s="14" t="s">
        <v>787</v>
      </c>
      <c r="G369" s="15"/>
      <c r="H369" s="14" t="s">
        <v>1682</v>
      </c>
      <c r="I369" s="15"/>
    </row>
    <row r="370" ht="14.25" customHeight="1">
      <c r="A370" s="10">
        <v>161.0</v>
      </c>
      <c r="B370" s="11" t="s">
        <v>1683</v>
      </c>
      <c r="C370" s="12"/>
      <c r="D370" s="11" t="s">
        <v>1401</v>
      </c>
      <c r="E370" s="12"/>
      <c r="F370" s="11" t="s">
        <v>1684</v>
      </c>
      <c r="G370" s="12"/>
      <c r="H370" s="11" t="s">
        <v>1685</v>
      </c>
      <c r="I370" s="12"/>
    </row>
    <row r="371" ht="14.25" customHeight="1">
      <c r="A371" s="13">
        <v>162.0</v>
      </c>
      <c r="B371" s="14" t="s">
        <v>1686</v>
      </c>
      <c r="C371" s="15"/>
      <c r="D371" s="14" t="s">
        <v>1314</v>
      </c>
      <c r="E371" s="15"/>
      <c r="F371" s="14" t="s">
        <v>698</v>
      </c>
      <c r="G371" s="15"/>
      <c r="H371" s="14" t="s">
        <v>1687</v>
      </c>
      <c r="I371" s="15"/>
    </row>
    <row r="372" ht="14.25" customHeight="1">
      <c r="A372" s="10">
        <v>163.0</v>
      </c>
      <c r="B372" s="11" t="s">
        <v>1688</v>
      </c>
      <c r="C372" s="12"/>
      <c r="D372" s="11" t="s">
        <v>1631</v>
      </c>
      <c r="E372" s="12"/>
      <c r="F372" s="11" t="s">
        <v>1444</v>
      </c>
      <c r="G372" s="12"/>
      <c r="H372" s="11" t="s">
        <v>1689</v>
      </c>
      <c r="I372" s="12"/>
    </row>
    <row r="373" ht="14.25" customHeight="1">
      <c r="A373" s="13">
        <v>164.0</v>
      </c>
      <c r="B373" s="14" t="s">
        <v>1690</v>
      </c>
      <c r="C373" s="15"/>
      <c r="D373" s="14" t="s">
        <v>1691</v>
      </c>
      <c r="E373" s="15"/>
      <c r="F373" s="14" t="s">
        <v>787</v>
      </c>
      <c r="G373" s="15"/>
      <c r="H373" s="14" t="s">
        <v>1692</v>
      </c>
      <c r="I373" s="15"/>
    </row>
    <row r="374" ht="14.25" customHeight="1">
      <c r="A374" s="10">
        <v>165.0</v>
      </c>
      <c r="B374" s="11" t="s">
        <v>1693</v>
      </c>
      <c r="C374" s="12"/>
      <c r="D374" s="11" t="s">
        <v>1314</v>
      </c>
      <c r="E374" s="12"/>
      <c r="F374" s="11" t="s">
        <v>698</v>
      </c>
      <c r="G374" s="12"/>
      <c r="H374" s="11" t="s">
        <v>1694</v>
      </c>
      <c r="I374" s="12"/>
    </row>
    <row r="375" ht="14.25" customHeight="1">
      <c r="A375" s="13">
        <v>166.0</v>
      </c>
      <c r="B375" s="14" t="s">
        <v>1695</v>
      </c>
      <c r="C375" s="15"/>
      <c r="D375" s="14" t="s">
        <v>1696</v>
      </c>
      <c r="E375" s="15"/>
      <c r="F375" s="14" t="s">
        <v>1697</v>
      </c>
      <c r="G375" s="15"/>
      <c r="H375" s="14" t="s">
        <v>1698</v>
      </c>
      <c r="I375" s="15"/>
    </row>
    <row r="376" ht="14.25" customHeight="1">
      <c r="A376" s="10">
        <v>167.0</v>
      </c>
      <c r="B376" s="11" t="s">
        <v>1699</v>
      </c>
      <c r="C376" s="10">
        <v>1.0</v>
      </c>
      <c r="D376" s="11" t="s">
        <v>1631</v>
      </c>
      <c r="E376" s="12"/>
      <c r="F376" s="11" t="s">
        <v>1444</v>
      </c>
      <c r="G376" s="11" t="s">
        <v>1733</v>
      </c>
      <c r="H376" s="11" t="s">
        <v>1700</v>
      </c>
      <c r="I376" s="11" t="s">
        <v>1761</v>
      </c>
    </row>
    <row r="377" ht="14.25" customHeight="1">
      <c r="A377" s="13">
        <v>168.0</v>
      </c>
      <c r="B377" s="14" t="s">
        <v>1701</v>
      </c>
      <c r="C377" s="15"/>
      <c r="D377" s="14" t="s">
        <v>1314</v>
      </c>
      <c r="E377" s="15"/>
      <c r="F377" s="14" t="s">
        <v>698</v>
      </c>
      <c r="G377" s="15"/>
      <c r="H377" s="14" t="s">
        <v>1810</v>
      </c>
      <c r="I377" s="15"/>
    </row>
    <row r="378" ht="14.25" customHeight="1">
      <c r="A378" s="10">
        <v>169.0</v>
      </c>
      <c r="B378" s="11" t="s">
        <v>1703</v>
      </c>
      <c r="C378" s="12"/>
      <c r="D378" s="11" t="s">
        <v>1314</v>
      </c>
      <c r="E378" s="12"/>
      <c r="F378" s="11" t="s">
        <v>698</v>
      </c>
      <c r="G378" s="12"/>
      <c r="H378" s="11" t="s">
        <v>1704</v>
      </c>
      <c r="I378" s="12"/>
    </row>
    <row r="379" ht="14.25" customHeight="1">
      <c r="A379" s="13">
        <v>170.0</v>
      </c>
      <c r="B379" s="14" t="s">
        <v>1705</v>
      </c>
      <c r="C379" s="15"/>
      <c r="D379" s="14" t="s">
        <v>1691</v>
      </c>
      <c r="E379" s="15"/>
      <c r="F379" s="14" t="s">
        <v>787</v>
      </c>
      <c r="G379" s="15"/>
      <c r="H379" s="14" t="s">
        <v>1706</v>
      </c>
      <c r="I379" s="15"/>
    </row>
    <row r="380" ht="14.25" customHeight="1">
      <c r="A380" s="10">
        <v>171.0</v>
      </c>
      <c r="B380" s="11" t="s">
        <v>1707</v>
      </c>
      <c r="C380" s="12"/>
      <c r="D380" s="11" t="s">
        <v>1631</v>
      </c>
      <c r="E380" s="12"/>
      <c r="F380" s="11" t="s">
        <v>1444</v>
      </c>
      <c r="G380" s="12"/>
      <c r="H380" s="11" t="s">
        <v>1708</v>
      </c>
      <c r="I380" s="12"/>
    </row>
    <row r="381" ht="14.25" customHeight="1">
      <c r="A381" s="13">
        <v>172.0</v>
      </c>
      <c r="B381" s="14" t="s">
        <v>1709</v>
      </c>
      <c r="C381" s="15"/>
      <c r="D381" s="14" t="s">
        <v>1696</v>
      </c>
      <c r="E381" s="15"/>
      <c r="F381" s="14" t="s">
        <v>1697</v>
      </c>
      <c r="G381" s="15"/>
      <c r="H381" s="14" t="s">
        <v>1710</v>
      </c>
      <c r="I381" s="15"/>
    </row>
    <row r="382" ht="14.25" customHeight="1">
      <c r="A382" s="10">
        <v>173.0</v>
      </c>
      <c r="B382" s="11" t="s">
        <v>1711</v>
      </c>
      <c r="C382" s="12"/>
      <c r="D382" s="11" t="s">
        <v>1631</v>
      </c>
      <c r="E382" s="12"/>
      <c r="F382" s="11" t="s">
        <v>1444</v>
      </c>
      <c r="G382" s="12"/>
      <c r="H382" s="11" t="s">
        <v>1712</v>
      </c>
      <c r="I382" s="12"/>
    </row>
    <row r="383" ht="14.25" customHeight="1">
      <c r="A383" s="13">
        <v>174.0</v>
      </c>
      <c r="B383" s="14" t="s">
        <v>1713</v>
      </c>
      <c r="C383" s="15"/>
      <c r="D383" s="14" t="s">
        <v>1696</v>
      </c>
      <c r="E383" s="15"/>
      <c r="F383" s="14" t="s">
        <v>1697</v>
      </c>
      <c r="G383" s="15"/>
      <c r="H383" s="14" t="s">
        <v>1811</v>
      </c>
      <c r="I383" s="15"/>
    </row>
    <row r="384" ht="14.25" customHeight="1">
      <c r="A384" s="10">
        <v>175.0</v>
      </c>
      <c r="B384" s="11" t="s">
        <v>1715</v>
      </c>
      <c r="C384" s="12"/>
      <c r="D384" s="11" t="s">
        <v>1314</v>
      </c>
      <c r="E384" s="12"/>
      <c r="F384" s="11" t="s">
        <v>698</v>
      </c>
      <c r="G384" s="12"/>
      <c r="H384" s="11" t="s">
        <v>1716</v>
      </c>
      <c r="I384" s="12"/>
    </row>
    <row r="385" ht="14.25" customHeight="1">
      <c r="A385" s="13">
        <v>176.0</v>
      </c>
      <c r="B385" s="14" t="s">
        <v>1717</v>
      </c>
      <c r="C385" s="15"/>
      <c r="D385" s="14" t="s">
        <v>1401</v>
      </c>
      <c r="E385" s="15"/>
      <c r="F385" s="14" t="s">
        <v>1718</v>
      </c>
      <c r="G385" s="15"/>
      <c r="H385" s="14" t="s">
        <v>1719</v>
      </c>
      <c r="I385" s="15"/>
    </row>
    <row r="386" ht="14.25" customHeight="1">
      <c r="A386" s="10">
        <v>177.0</v>
      </c>
      <c r="B386" s="11" t="s">
        <v>1720</v>
      </c>
      <c r="C386" s="10">
        <v>1.0</v>
      </c>
      <c r="D386" s="11" t="s">
        <v>1721</v>
      </c>
      <c r="E386" s="12"/>
      <c r="F386" s="11" t="s">
        <v>1722</v>
      </c>
      <c r="G386" s="12"/>
      <c r="H386" s="11" t="s">
        <v>1723</v>
      </c>
      <c r="I386" s="12"/>
    </row>
    <row r="387" ht="14.25" customHeight="1">
      <c r="A387" s="13">
        <v>178.0</v>
      </c>
      <c r="B387" s="14" t="s">
        <v>1724</v>
      </c>
      <c r="C387" s="15"/>
      <c r="D387" s="14" t="s">
        <v>1631</v>
      </c>
      <c r="E387" s="15"/>
      <c r="F387" s="14" t="s">
        <v>1444</v>
      </c>
      <c r="G387" s="15"/>
      <c r="H387" s="14" t="s">
        <v>1725</v>
      </c>
      <c r="I387" s="15"/>
    </row>
    <row r="388" ht="14.25" customHeight="1">
      <c r="A388" s="10">
        <v>179.0</v>
      </c>
      <c r="B388" s="11" t="s">
        <v>1726</v>
      </c>
      <c r="C388" s="12"/>
      <c r="D388" s="11" t="s">
        <v>1631</v>
      </c>
      <c r="E388" s="12"/>
      <c r="F388" s="11" t="s">
        <v>1444</v>
      </c>
      <c r="G388" s="12"/>
      <c r="H388" s="11" t="s">
        <v>1727</v>
      </c>
      <c r="I388" s="12"/>
    </row>
    <row r="389" ht="14.25" customHeight="1">
      <c r="A389" s="13">
        <v>180.0</v>
      </c>
      <c r="B389" s="14" t="s">
        <v>1728</v>
      </c>
      <c r="C389" s="15"/>
      <c r="D389" s="14" t="s">
        <v>1668</v>
      </c>
      <c r="E389" s="15"/>
      <c r="F389" s="14" t="s">
        <v>787</v>
      </c>
      <c r="G389" s="15"/>
      <c r="H389" s="14" t="s">
        <v>1729</v>
      </c>
      <c r="I389" s="15"/>
    </row>
    <row r="390" ht="14.25" customHeight="1">
      <c r="A390" s="10">
        <v>181.0</v>
      </c>
      <c r="B390" s="11" t="s">
        <v>1730</v>
      </c>
      <c r="C390" s="12"/>
      <c r="D390" s="11" t="s">
        <v>1314</v>
      </c>
      <c r="E390" s="12"/>
      <c r="F390" s="11" t="s">
        <v>698</v>
      </c>
      <c r="G390" s="12"/>
      <c r="H390" s="11" t="s">
        <v>1731</v>
      </c>
      <c r="I390" s="12"/>
    </row>
    <row r="391" ht="14.25" customHeight="1">
      <c r="A391" s="13">
        <v>182.0</v>
      </c>
      <c r="B391" s="14" t="s">
        <v>1732</v>
      </c>
      <c r="C391" s="15"/>
      <c r="D391" s="14" t="s">
        <v>1631</v>
      </c>
      <c r="E391" s="15"/>
      <c r="F391" s="14" t="s">
        <v>1733</v>
      </c>
      <c r="G391" s="15"/>
      <c r="H391" s="14" t="s">
        <v>1734</v>
      </c>
      <c r="I391" s="15"/>
    </row>
    <row r="392" ht="14.25" customHeight="1">
      <c r="A392" s="10">
        <v>183.0</v>
      </c>
      <c r="B392" s="11" t="s">
        <v>1735</v>
      </c>
      <c r="C392" s="12"/>
      <c r="D392" s="11" t="s">
        <v>1595</v>
      </c>
      <c r="E392" s="12"/>
      <c r="F392" s="11" t="s">
        <v>1736</v>
      </c>
      <c r="G392" s="12"/>
      <c r="H392" s="11" t="s">
        <v>1737</v>
      </c>
      <c r="I392" s="12"/>
    </row>
    <row r="393" ht="14.25" customHeight="1">
      <c r="A393" s="13">
        <v>184.0</v>
      </c>
      <c r="B393" s="14" t="s">
        <v>1738</v>
      </c>
      <c r="C393" s="15"/>
      <c r="D393" s="14" t="s">
        <v>1314</v>
      </c>
      <c r="E393" s="15"/>
      <c r="F393" s="14" t="s">
        <v>698</v>
      </c>
      <c r="G393" s="15"/>
      <c r="H393" s="14" t="s">
        <v>1739</v>
      </c>
      <c r="I393" s="15"/>
    </row>
    <row r="394" ht="14.25" customHeight="1">
      <c r="A394" s="10">
        <v>185.0</v>
      </c>
      <c r="B394" s="11" t="s">
        <v>1740</v>
      </c>
      <c r="C394" s="12"/>
      <c r="D394" s="11" t="s">
        <v>1401</v>
      </c>
      <c r="E394" s="12"/>
      <c r="F394" s="11" t="s">
        <v>1684</v>
      </c>
      <c r="G394" s="12"/>
      <c r="H394" s="11" t="s">
        <v>1741</v>
      </c>
      <c r="I394" s="12"/>
    </row>
    <row r="395" ht="14.25" customHeight="1">
      <c r="A395" s="13">
        <v>186.0</v>
      </c>
      <c r="B395" s="14" t="s">
        <v>1742</v>
      </c>
      <c r="C395" s="15"/>
      <c r="D395" s="14" t="s">
        <v>1314</v>
      </c>
      <c r="E395" s="15"/>
      <c r="F395" s="14" t="s">
        <v>698</v>
      </c>
      <c r="G395" s="15"/>
      <c r="H395" s="14" t="s">
        <v>1743</v>
      </c>
      <c r="I395" s="15"/>
    </row>
    <row r="396" ht="14.25" customHeight="1">
      <c r="A396" s="10">
        <v>187.0</v>
      </c>
      <c r="B396" s="11" t="s">
        <v>1744</v>
      </c>
      <c r="C396" s="12"/>
      <c r="D396" s="11" t="s">
        <v>1631</v>
      </c>
      <c r="E396" s="12"/>
      <c r="F396" s="11" t="s">
        <v>1444</v>
      </c>
      <c r="G396" s="12"/>
      <c r="H396" s="11" t="s">
        <v>1745</v>
      </c>
      <c r="I396" s="12"/>
    </row>
    <row r="397" ht="14.25" customHeight="1">
      <c r="A397" s="13">
        <v>188.0</v>
      </c>
      <c r="B397" s="14" t="s">
        <v>1746</v>
      </c>
      <c r="C397" s="15"/>
      <c r="D397" s="14" t="s">
        <v>1631</v>
      </c>
      <c r="E397" s="15"/>
      <c r="F397" s="14" t="s">
        <v>1444</v>
      </c>
      <c r="G397" s="15"/>
      <c r="H397" s="14" t="s">
        <v>1747</v>
      </c>
      <c r="I397" s="15"/>
    </row>
    <row r="398" ht="14.25" customHeight="1">
      <c r="A398" s="10">
        <v>189.0</v>
      </c>
      <c r="B398" s="11" t="s">
        <v>1748</v>
      </c>
      <c r="C398" s="12"/>
      <c r="D398" s="11" t="s">
        <v>1631</v>
      </c>
      <c r="E398" s="12"/>
      <c r="F398" s="11" t="s">
        <v>1444</v>
      </c>
      <c r="G398" s="12"/>
      <c r="H398" s="11" t="s">
        <v>1812</v>
      </c>
      <c r="I398" s="12"/>
    </row>
    <row r="399" ht="14.25" customHeight="1">
      <c r="A399" s="13">
        <v>190.0</v>
      </c>
      <c r="B399" s="14" t="s">
        <v>1750</v>
      </c>
      <c r="C399" s="15"/>
      <c r="D399" s="14" t="s">
        <v>1696</v>
      </c>
      <c r="E399" s="15"/>
      <c r="F399" s="14" t="s">
        <v>1697</v>
      </c>
      <c r="G399" s="15"/>
      <c r="H399" s="14" t="s">
        <v>1751</v>
      </c>
      <c r="I399" s="15"/>
    </row>
    <row r="400" ht="14.25" customHeight="1">
      <c r="A400" s="10">
        <v>191.0</v>
      </c>
      <c r="B400" s="11" t="s">
        <v>1813</v>
      </c>
      <c r="C400" s="12"/>
      <c r="D400" s="11" t="s">
        <v>1631</v>
      </c>
      <c r="E400" s="12"/>
      <c r="F400" s="11" t="s">
        <v>1444</v>
      </c>
      <c r="G400" s="11" t="s">
        <v>1733</v>
      </c>
      <c r="H400" s="11" t="s">
        <v>1753</v>
      </c>
      <c r="I400" s="12"/>
    </row>
    <row r="401" ht="14.25" customHeight="1">
      <c r="A401" s="13">
        <v>192.0</v>
      </c>
      <c r="B401" s="14" t="s">
        <v>1754</v>
      </c>
      <c r="C401" s="15"/>
      <c r="D401" s="14" t="s">
        <v>1631</v>
      </c>
      <c r="E401" s="15"/>
      <c r="F401" s="14" t="s">
        <v>1444</v>
      </c>
      <c r="G401" s="15"/>
      <c r="H401" s="14" t="s">
        <v>1755</v>
      </c>
      <c r="I401" s="15"/>
    </row>
    <row r="402" ht="14.25" customHeight="1">
      <c r="A402" s="10">
        <v>193.0</v>
      </c>
      <c r="B402" s="11" t="s">
        <v>1756</v>
      </c>
      <c r="C402" s="12"/>
      <c r="D402" s="11" t="s">
        <v>1314</v>
      </c>
      <c r="E402" s="12"/>
      <c r="F402" s="11" t="s">
        <v>698</v>
      </c>
      <c r="G402" s="12"/>
      <c r="H402" s="11" t="s">
        <v>1757</v>
      </c>
      <c r="I402" s="12"/>
    </row>
    <row r="403" ht="14.25" customHeight="1">
      <c r="A403" s="13">
        <v>194.0</v>
      </c>
      <c r="B403" s="14" t="s">
        <v>1758</v>
      </c>
      <c r="C403" s="15"/>
      <c r="D403" s="14" t="s">
        <v>1631</v>
      </c>
      <c r="E403" s="15"/>
      <c r="F403" s="14" t="s">
        <v>1444</v>
      </c>
      <c r="G403" s="15"/>
      <c r="H403" s="14" t="s">
        <v>1759</v>
      </c>
      <c r="I403" s="15"/>
    </row>
    <row r="404" ht="14.25" customHeight="1">
      <c r="A404" s="10">
        <v>195.0</v>
      </c>
      <c r="B404" s="11" t="s">
        <v>1760</v>
      </c>
      <c r="C404" s="10">
        <v>1.0</v>
      </c>
      <c r="D404" s="11" t="s">
        <v>1631</v>
      </c>
      <c r="E404" s="12"/>
      <c r="F404" s="11" t="s">
        <v>1733</v>
      </c>
      <c r="G404" s="12"/>
      <c r="H404" s="11" t="s">
        <v>1761</v>
      </c>
      <c r="I404" s="12"/>
    </row>
    <row r="405" ht="14.25" customHeight="1">
      <c r="A405" s="13">
        <v>196.0</v>
      </c>
      <c r="B405" s="14" t="s">
        <v>1762</v>
      </c>
      <c r="C405" s="13">
        <v>1.0</v>
      </c>
      <c r="D405" s="14" t="s">
        <v>1314</v>
      </c>
      <c r="E405" s="15"/>
      <c r="F405" s="14" t="s">
        <v>698</v>
      </c>
      <c r="G405" s="15"/>
      <c r="H405" s="14" t="s">
        <v>1814</v>
      </c>
      <c r="I405" s="15"/>
    </row>
    <row r="406" ht="14.25" customHeight="1">
      <c r="A406" s="10">
        <v>197.0</v>
      </c>
      <c r="B406" s="11" t="s">
        <v>1764</v>
      </c>
      <c r="C406" s="10">
        <v>1.0</v>
      </c>
      <c r="D406" s="11" t="s">
        <v>1631</v>
      </c>
      <c r="E406" s="12"/>
      <c r="F406" s="11" t="s">
        <v>1444</v>
      </c>
      <c r="G406" s="12"/>
      <c r="H406" s="11" t="s">
        <v>1765</v>
      </c>
      <c r="I406" s="12"/>
    </row>
    <row r="407" ht="14.25" customHeight="1">
      <c r="A407" s="13">
        <v>198.0</v>
      </c>
      <c r="B407" s="14" t="s">
        <v>1766</v>
      </c>
      <c r="C407" s="15"/>
      <c r="D407" s="14" t="s">
        <v>1721</v>
      </c>
      <c r="E407" s="15"/>
      <c r="F407" s="14" t="s">
        <v>1722</v>
      </c>
      <c r="G407" s="15"/>
      <c r="H407" s="14" t="s">
        <v>1767</v>
      </c>
      <c r="I407" s="15"/>
    </row>
    <row r="408" ht="14.25" customHeight="1">
      <c r="A408" s="10">
        <v>199.0</v>
      </c>
      <c r="B408" s="11" t="s">
        <v>1768</v>
      </c>
      <c r="C408" s="12"/>
      <c r="D408" s="11" t="s">
        <v>1631</v>
      </c>
      <c r="E408" s="12"/>
      <c r="F408" s="11" t="s">
        <v>1444</v>
      </c>
      <c r="G408" s="12"/>
      <c r="H408" s="11" t="s">
        <v>1769</v>
      </c>
      <c r="I408" s="12"/>
    </row>
    <row r="409" ht="14.25" customHeight="1">
      <c r="A409" s="13">
        <v>200.0</v>
      </c>
      <c r="B409" s="14" t="s">
        <v>1770</v>
      </c>
      <c r="C409" s="13">
        <v>1.0</v>
      </c>
      <c r="D409" s="14" t="s">
        <v>1696</v>
      </c>
      <c r="E409" s="15"/>
      <c r="F409" s="14" t="s">
        <v>1697</v>
      </c>
      <c r="G409" s="15"/>
      <c r="H409" s="14" t="s">
        <v>1771</v>
      </c>
      <c r="I409" s="15"/>
    </row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H210:I210"/>
    <mergeCell ref="H236:I236"/>
    <mergeCell ref="H245:I245"/>
    <mergeCell ref="H351:I351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3" width="80.86"/>
    <col customWidth="1" min="4" max="4" width="28.14"/>
    <col customWidth="1" min="5" max="5" width="63.43"/>
    <col customWidth="1" min="6" max="10" width="8.71"/>
    <col customWidth="1" min="11" max="11" width="38.57"/>
    <col customWidth="1" min="12" max="12" width="31.43"/>
    <col customWidth="1" min="13" max="26" width="8.71"/>
  </cols>
  <sheetData>
    <row r="1" ht="14.25" customHeight="1">
      <c r="A1" s="18" t="s">
        <v>5</v>
      </c>
      <c r="B1" s="18" t="s">
        <v>1</v>
      </c>
      <c r="C1" s="18" t="s">
        <v>2</v>
      </c>
      <c r="D1" s="18" t="s">
        <v>3</v>
      </c>
      <c r="E1" s="18" t="s">
        <v>4</v>
      </c>
      <c r="K1" s="19" t="s">
        <v>1</v>
      </c>
      <c r="L1" s="19" t="s">
        <v>2</v>
      </c>
      <c r="M1" s="19" t="s">
        <v>3</v>
      </c>
    </row>
    <row r="2" ht="14.25" customHeight="1">
      <c r="A2" s="18">
        <v>1.0</v>
      </c>
      <c r="B2" s="20" t="s">
        <v>1815</v>
      </c>
      <c r="C2" s="20" t="s">
        <v>1816</v>
      </c>
      <c r="D2" s="20" t="s">
        <v>1817</v>
      </c>
      <c r="E2" s="20" t="s">
        <v>1818</v>
      </c>
      <c r="K2" s="21" t="str">
        <f>IFERROR(__xludf.DUMMYFUNCTION("GOOGLETRANSLATE(B2, ""th"", ""en"")"),"Before starting a sepak takraw match, what should you check in your equipment?")</f>
        <v>Before starting a sepak takraw match, what should you check in your equipment?</v>
      </c>
      <c r="L2" s="21" t="str">
        <f>IFERROR(__xludf.DUMMYFUNCTION("GOOGLETRANSLATE(C2, ""th"", ""en"")"),"A) The elasticity of the sepak takraw ball; B) The size of the net; C) The color of the court; D) The number of spectators.")</f>
        <v>A) The elasticity of the sepak takraw ball; B) The size of the net; C) The color of the court; D) The number of spectators.</v>
      </c>
      <c r="M2" s="21" t="str">
        <f>IFERROR(__xludf.DUMMYFUNCTION("GOOGLETRANSLATE(D2, ""th"", ""en"")"),"A) The flexibility of the sepak takraw ball")</f>
        <v>A) The flexibility of the sepak takraw ball</v>
      </c>
    </row>
    <row r="3" ht="14.25" customHeight="1">
      <c r="A3" s="18">
        <v>2.0</v>
      </c>
      <c r="B3" s="20" t="s">
        <v>1819</v>
      </c>
      <c r="C3" s="20" t="s">
        <v>1820</v>
      </c>
      <c r="D3" s="20" t="s">
        <v>1821</v>
      </c>
      <c r="E3" s="20" t="s">
        <v>1822</v>
      </c>
      <c r="K3" s="21" t="str">
        <f>IFERROR(__xludf.DUMMYFUNCTION("GOOGLETRANSLATE(B3, ""th"", ""en"")"),"If the sepak takraw ball touches the post or net string during a serve, what happens?")</f>
        <v>If the sepak takraw ball touches the post or net string during a serve, what happens?</v>
      </c>
      <c r="L3" s="21" t="str">
        <f>IFERROR(__xludf.DUMMYFUNCTION("GOOGLETRANSLATE(C3, ""th"", ""en"")"),"A) is considered a foul; B) play continues; C) re-serve; D) a point is awarded.")</f>
        <v>A) is considered a foul; B) play continues; C) re-serve; D) a point is awarded.</v>
      </c>
      <c r="M3" s="21" t="str">
        <f>IFERROR(__xludf.DUMMYFUNCTION("GOOGLETRANSLATE(D3, ""th"", ""en"")"),"A) It is considered a foul.")</f>
        <v>A) It is considered a foul.</v>
      </c>
    </row>
    <row r="4" ht="14.25" customHeight="1">
      <c r="A4" s="18">
        <v>3.0</v>
      </c>
      <c r="B4" s="20" t="s">
        <v>1823</v>
      </c>
      <c r="C4" s="20" t="s">
        <v>1824</v>
      </c>
      <c r="D4" s="20" t="s">
        <v>1825</v>
      </c>
      <c r="E4" s="20" t="s">
        <v>1826</v>
      </c>
      <c r="K4" s="21" t="str">
        <f>IFERROR(__xludf.DUMMYFUNCTION("GOOGLETRANSLATE(B4, ""th"", ""en"")"),"How many times in a row can a player touch the sepak takraw ball?")</f>
        <v>How many times in a row can a player touch the sepak takraw ball?</v>
      </c>
      <c r="L4" s="21" t="str">
        <f>IFERROR(__xludf.DUMMYFUNCTION("GOOGLETRANSLATE(C4, ""th"", ""en"")"),"A) 1 time; B) 2 times; C) 3 times; D) unlimited")</f>
        <v>A) 1 time; B) 2 times; C) 3 times; D) unlimited</v>
      </c>
      <c r="M4" s="21" t="str">
        <f>IFERROR(__xludf.DUMMYFUNCTION("GOOGLETRANSLATE(D4, ""th"", ""en"")"),"B) 2 times")</f>
        <v>B) 2 times</v>
      </c>
    </row>
    <row r="5" ht="14.25" customHeight="1">
      <c r="A5" s="18">
        <v>4.0</v>
      </c>
      <c r="B5" s="20" t="s">
        <v>1827</v>
      </c>
      <c r="C5" s="20" t="s">
        <v>1828</v>
      </c>
      <c r="D5" s="20" t="s">
        <v>1829</v>
      </c>
      <c r="E5" s="20" t="s">
        <v>1830</v>
      </c>
      <c r="K5" s="21" t="str">
        <f>IFERROR(__xludf.DUMMYFUNCTION("GOOGLETRANSLATE(B5, ""th"", ""en"")"),"When serving, what position should the player be in?")</f>
        <v>When serving, what position should the player be in?</v>
      </c>
      <c r="L5" s="21" t="str">
        <f>IFERROR(__xludf.DUMMYFUNCTION("GOOGLETRANSLATE(C5, ""th"", ""en"")"),"A) in the center of the field; B) behind the boundary line; C) beside the net posts; D) anywhere.")</f>
        <v>A) in the center of the field; B) behind the boundary line; C) beside the net posts; D) anywhere.</v>
      </c>
      <c r="M5" s="21" t="str">
        <f>IFERROR(__xludf.DUMMYFUNCTION("GOOGLETRANSLATE(D5, ""th"", ""en"")"),"B) Behind the border line")</f>
        <v>B) Behind the border line</v>
      </c>
    </row>
    <row r="6" ht="14.25" customHeight="1">
      <c r="A6" s="18">
        <v>5.0</v>
      </c>
      <c r="B6" s="20" t="s">
        <v>1831</v>
      </c>
      <c r="C6" s="20" t="s">
        <v>1832</v>
      </c>
      <c r="D6" s="20" t="s">
        <v>1833</v>
      </c>
      <c r="E6" s="20" t="s">
        <v>1834</v>
      </c>
      <c r="K6" s="21" t="str">
        <f>IFERROR(__xludf.DUMMYFUNCTION("GOOGLETRANSLATE(B6, ""th"", ""en"")"),"What happens if a player touches the ball with his hand?")</f>
        <v>What happens if a player touches the ball with his hand?</v>
      </c>
      <c r="L6" s="21" t="str">
        <f>IFERROR(__xludf.DUMMYFUNCTION("GOOGLETRANSLATE(C6, ""th"", ""en"")"),"A) foul; B) score; C) continue play; D) re-serve")</f>
        <v>A) foul; B) score; C) continue play; D) re-serve</v>
      </c>
      <c r="M6" s="21" t="str">
        <f>IFERROR(__xludf.DUMMYFUNCTION("GOOGLETRANSLATE(D6, ""th"", ""en"")"),"A) Foul")</f>
        <v>A) Foul</v>
      </c>
    </row>
    <row r="7" ht="14.25" customHeight="1">
      <c r="A7" s="18">
        <v>6.0</v>
      </c>
      <c r="B7" s="20" t="s">
        <v>1835</v>
      </c>
      <c r="C7" s="20" t="s">
        <v>1836</v>
      </c>
      <c r="D7" s="20" t="s">
        <v>1837</v>
      </c>
      <c r="E7" s="20" t="s">
        <v>1838</v>
      </c>
      <c r="K7" s="21" t="str">
        <f>IFERROR(__xludf.DUMMYFUNCTION("GOOGLETRANSLATE(B7, ""th"", ""en"")"),"If a player touches the ball with the back of his leg, is it considered a foul?")</f>
        <v>If a player touches the ball with the back of his leg, is it considered a foul?</v>
      </c>
      <c r="L7" s="21" t="str">
        <f>IFERROR(__xludf.DUMMYFUNCTION("GOOGLETRANSLATE(C7, ""th"", ""en"")"),"A) Wrong; B) Not wrong; C) Depends on the situation; D) Re-serve")</f>
        <v>A) Wrong; B) Not wrong; C) Depends on the situation; D) Re-serve</v>
      </c>
      <c r="M7" s="21" t="str">
        <f>IFERROR(__xludf.DUMMYFUNCTION("GOOGLETRANSLATE(D7, ""th"", ""en"")"),"B) Not wrong")</f>
        <v>B) Not wrong</v>
      </c>
    </row>
    <row r="8" ht="14.25" customHeight="1">
      <c r="A8" s="18">
        <v>7.0</v>
      </c>
      <c r="B8" s="20" t="s">
        <v>1839</v>
      </c>
      <c r="C8" s="20" t="s">
        <v>1840</v>
      </c>
      <c r="D8" s="20" t="s">
        <v>1841</v>
      </c>
      <c r="E8" s="20" t="s">
        <v>1842</v>
      </c>
      <c r="K8" s="21" t="str">
        <f>IFERROR(__xludf.DUMMYFUNCTION("GOOGLETRANSLATE(B8, ""th"", ""en"")"),"What is considered a sepak takraw ball that touches the boundary line on the court?")</f>
        <v>What is considered a sepak takraw ball that touches the boundary line on the court?</v>
      </c>
      <c r="L8" s="21" t="str">
        <f>IFERROR(__xludf.DUMMYFUNCTION("GOOGLETRANSLATE(C8, ""th"", ""en"")"),"A) out of bounds; B) on the bounds; C) foul; D) depends on the referee.")</f>
        <v>A) out of bounds; B) on the bounds; C) foul; D) depends on the referee.</v>
      </c>
      <c r="M8" s="21" t="str">
        <f>IFERROR(__xludf.DUMMYFUNCTION("GOOGLETRANSLATE(D8, ""th"", ""en"")"),"B) In the field")</f>
        <v>B) In the field</v>
      </c>
    </row>
    <row r="9" ht="14.25" customHeight="1">
      <c r="A9" s="18">
        <v>8.0</v>
      </c>
      <c r="B9" s="20" t="s">
        <v>1843</v>
      </c>
      <c r="C9" s="20" t="s">
        <v>1844</v>
      </c>
      <c r="D9" s="20" t="s">
        <v>1833</v>
      </c>
      <c r="E9" s="20" t="s">
        <v>1845</v>
      </c>
      <c r="K9" s="21" t="str">
        <f>IFERROR(__xludf.DUMMYFUNCTION("GOOGLETRANSLATE(B9, ""th"", ""en"")"),"What happens if a player intrudes into the opponent's field?")</f>
        <v>What happens if a player intrudes into the opponent's field?</v>
      </c>
      <c r="L9" s="21" t="str">
        <f>IFERROR(__xludf.DUMMYFUNCTION("GOOGLETRANSLATE(C9, ""th"", ""en"")"),"A) Foul; B) Re-serve; C) Point; D) No result")</f>
        <v>A) Foul; B) Re-serve; C) Point; D) No result</v>
      </c>
      <c r="M9" s="21" t="str">
        <f>IFERROR(__xludf.DUMMYFUNCTION("GOOGLETRANSLATE(D9, ""th"", ""en"")"),"A) Foul")</f>
        <v>A) Foul</v>
      </c>
    </row>
    <row r="10" ht="14.25" customHeight="1">
      <c r="A10" s="18">
        <v>9.0</v>
      </c>
      <c r="B10" s="20" t="s">
        <v>1846</v>
      </c>
      <c r="C10" s="20" t="s">
        <v>1847</v>
      </c>
      <c r="D10" s="20" t="s">
        <v>1848</v>
      </c>
      <c r="E10" s="20" t="s">
        <v>1849</v>
      </c>
      <c r="K10" s="21" t="str">
        <f>IFERROR(__xludf.DUMMYFUNCTION("GOOGLETRANSLATE(B10, ""th"", ""en"")"),"In the case of a tie at 20-20, how many points must be played?")</f>
        <v>In the case of a tie at 20-20, how many points must be played?</v>
      </c>
      <c r="L10" s="21" t="str">
        <f>IFERROR(__xludf.DUMMYFUNCTION("GOOGLETRANSLATE(C10, ""th"", ""en"")"),"A) 22 points; B) 23 points; C) 25 points; D) must bring 2 points")</f>
        <v>A) 22 points; B) 23 points; C) 25 points; D) must bring 2 points</v>
      </c>
      <c r="M10" s="21" t="str">
        <f>IFERROR(__xludf.DUMMYFUNCTION("GOOGLETRANSLATE(D10, ""th"", ""en"")"),"D) Must bring 2 points.")</f>
        <v>D) Must bring 2 points.</v>
      </c>
    </row>
    <row r="11" ht="14.25" customHeight="1">
      <c r="A11" s="18">
        <v>10.0</v>
      </c>
      <c r="B11" s="20" t="s">
        <v>1850</v>
      </c>
      <c r="C11" s="20" t="s">
        <v>1851</v>
      </c>
      <c r="D11" s="20" t="s">
        <v>1852</v>
      </c>
      <c r="E11" s="20" t="s">
        <v>1853</v>
      </c>
      <c r="K11" s="21" t="str">
        <f>IFERROR(__xludf.DUMMYFUNCTION("GOOGLETRANSLATE(B11, ""th"", ""en"")"),"What is scoring in sepak takraw called?")</f>
        <v>What is scoring in sepak takraw called?</v>
      </c>
      <c r="L11" s="21" t="str">
        <f>IFERROR(__xludf.DUMMYFUNCTION("GOOGLETRANSLATE(C11, ""th"", ""en"")"),"A) Points; B) Wins; C) Sets; D) Fouls")</f>
        <v>A) Points; B) Wins; C) Sets; D) Fouls</v>
      </c>
      <c r="M11" s="21" t="str">
        <f>IFERROR(__xludf.DUMMYFUNCTION("GOOGLETRANSLATE(D11, ""th"", ""en"")"),"A) Points")</f>
        <v>A) Points</v>
      </c>
    </row>
    <row r="12" ht="14.25" customHeight="1">
      <c r="A12" s="18">
        <v>11.0</v>
      </c>
      <c r="B12" s="20" t="s">
        <v>1854</v>
      </c>
      <c r="C12" s="20" t="s">
        <v>1855</v>
      </c>
      <c r="D12" s="20" t="s">
        <v>1833</v>
      </c>
      <c r="E12" s="20" t="s">
        <v>1856</v>
      </c>
      <c r="K12" s="21" t="str">
        <f>IFERROR(__xludf.DUMMYFUNCTION("GOOGLETRANSLATE(B12, ""th"", ""en"")"),"If a player touches the net while playing, what is considered?")</f>
        <v>If a player touches the net while playing, what is considered?</v>
      </c>
      <c r="L12" s="21" t="str">
        <f>IFERROR(__xludf.DUMMYFUNCTION("GOOGLETRANSLATE(C12, ""th"", ""en"")"),"A) foul; B) score; C) depending on the situation; D) play continues")</f>
        <v>A) foul; B) score; C) depending on the situation; D) play continues</v>
      </c>
      <c r="M12" s="21" t="str">
        <f>IFERROR(__xludf.DUMMYFUNCTION("GOOGLETRANSLATE(D12, ""th"", ""en"")"),"A) Foul")</f>
        <v>A) Foul</v>
      </c>
    </row>
    <row r="13" ht="14.25" customHeight="1">
      <c r="A13" s="18">
        <v>12.0</v>
      </c>
      <c r="B13" s="20" t="s">
        <v>1857</v>
      </c>
      <c r="C13" s="20" t="s">
        <v>1858</v>
      </c>
      <c r="D13" s="20" t="s">
        <v>1859</v>
      </c>
      <c r="E13" s="20" t="s">
        <v>1860</v>
      </c>
      <c r="K13" s="21" t="str">
        <f>IFERROR(__xludf.DUMMYFUNCTION("GOOGLETRANSLATE(B13, ""th"", ""en"")"),"Which player serves in each round?")</f>
        <v>Which player serves in each round?</v>
      </c>
      <c r="L13" s="21" t="str">
        <f>IFERROR(__xludf.DUMMYFUNCTION("GOOGLETRANSLATE(C13, ""th"", ""en"")"),"A) The player near the net; B) The backfield player; C) The player who scored the most points; D) The designated player.")</f>
        <v>A) The player near the net; B) The backfield player; C) The player who scored the most points; D) The designated player.</v>
      </c>
      <c r="M13" s="21" t="str">
        <f>IFERROR(__xludf.DUMMYFUNCTION("GOOGLETRANSLATE(D13, ""th"", ""en"")"),"D) Designated players")</f>
        <v>D) Designated players</v>
      </c>
    </row>
    <row r="14" ht="14.25" customHeight="1">
      <c r="A14" s="18">
        <v>13.0</v>
      </c>
      <c r="B14" s="20" t="s">
        <v>1861</v>
      </c>
      <c r="C14" s="20" t="s">
        <v>1862</v>
      </c>
      <c r="D14" s="20" t="s">
        <v>1863</v>
      </c>
      <c r="E14" s="20" t="s">
        <v>1864</v>
      </c>
      <c r="K14" s="21" t="str">
        <f>IFERROR(__xludf.DUMMYFUNCTION("GOOGLETRANSLATE(B14, ""th"", ""en"")"),"If a sepak takraw ball falls to the ground in the middle of the field, what does it mean?")</f>
        <v>If a sepak takraw ball falls to the ground in the middle of the field, what does it mean?</v>
      </c>
      <c r="L14" s="21" t="str">
        <f>IFERROR(__xludf.DUMMYFUNCTION("GOOGLETRANSLATE(C14, ""th"", ""en"")"),"A) Foul; B) Re-serve; C) Opponent's score; D) No effect.")</f>
        <v>A) Foul; B) Re-serve; C) Opponent's score; D) No effect.</v>
      </c>
      <c r="M14" s="21" t="str">
        <f>IFERROR(__xludf.DUMMYFUNCTION("GOOGLETRANSLATE(D14, ""th"", ""en"")"),"C) Opponent's score")</f>
        <v>C) Opponent's score</v>
      </c>
    </row>
    <row r="15" ht="14.25" customHeight="1">
      <c r="A15" s="18">
        <v>14.0</v>
      </c>
      <c r="B15" s="20" t="s">
        <v>1865</v>
      </c>
      <c r="C15" s="20" t="s">
        <v>1836</v>
      </c>
      <c r="D15" s="20" t="s">
        <v>1866</v>
      </c>
      <c r="E15" s="20" t="s">
        <v>1867</v>
      </c>
      <c r="K15" s="21" t="str">
        <f>IFERROR(__xludf.DUMMYFUNCTION("GOOGLETRANSLATE(B15, ""th"", ""en"")"),"Is it illegal to touch the net with your body during play?")</f>
        <v>Is it illegal to touch the net with your body during play?</v>
      </c>
      <c r="L15" s="21" t="str">
        <f>IFERROR(__xludf.DUMMYFUNCTION("GOOGLETRANSLATE(C15, ""th"", ""en"")"),"A) Wrong; B) Not wrong; C) Depends on the situation; D) Re-serve")</f>
        <v>A) Wrong; B) Not wrong; C) Depends on the situation; D) Re-serve</v>
      </c>
      <c r="M15" s="21" t="str">
        <f>IFERROR(__xludf.DUMMYFUNCTION("GOOGLETRANSLATE(D15, ""th"", ""en"")"),"A) Wrong")</f>
        <v>A) Wrong</v>
      </c>
    </row>
    <row r="16" ht="14.25" customHeight="1">
      <c r="A16" s="18">
        <v>15.0</v>
      </c>
      <c r="B16" s="20" t="s">
        <v>1868</v>
      </c>
      <c r="C16" s="20" t="s">
        <v>1869</v>
      </c>
      <c r="D16" s="20" t="s">
        <v>1870</v>
      </c>
      <c r="E16" s="20" t="s">
        <v>1871</v>
      </c>
      <c r="K16" s="21" t="str">
        <f>IFERROR(__xludf.DUMMYFUNCTION("GOOGLETRANSLATE(B16, ""th"", ""en"")"),"Where on the court should the serve be made?")</f>
        <v>Where on the court should the serve be made?</v>
      </c>
      <c r="L16" s="21" t="str">
        <f>IFERROR(__xludf.DUMMYFUNCTION("GOOGLETRANSLATE(C16, ""th"", ""en"")"),"A) behind the boundary line; B) beside the net post; C) in the center of the field; D) anywhere.")</f>
        <v>A) behind the boundary line; B) beside the net post; C) in the center of the field; D) anywhere.</v>
      </c>
      <c r="M16" s="21" t="str">
        <f>IFERROR(__xludf.DUMMYFUNCTION("GOOGLETRANSLATE(D16, ""th"", ""en"")"),"A) Behind the border line")</f>
        <v>A) Behind the border line</v>
      </c>
    </row>
    <row r="17" ht="14.25" customHeight="1">
      <c r="A17" s="18">
        <v>16.0</v>
      </c>
      <c r="B17" s="20" t="s">
        <v>1872</v>
      </c>
      <c r="C17" s="20" t="s">
        <v>1836</v>
      </c>
      <c r="D17" s="20" t="s">
        <v>1866</v>
      </c>
      <c r="E17" s="20" t="s">
        <v>1873</v>
      </c>
      <c r="K17" s="21" t="str">
        <f>IFERROR(__xludf.DUMMYFUNCTION("GOOGLETRANSLATE(B17, ""th"", ""en"")"),"Is it wrong to use your elbows to play sepak takraw?")</f>
        <v>Is it wrong to use your elbows to play sepak takraw?</v>
      </c>
      <c r="L17" s="21" t="str">
        <f>IFERROR(__xludf.DUMMYFUNCTION("GOOGLETRANSLATE(C17, ""th"", ""en"")"),"A) Wrong; B) Not wrong; C) Depends on the situation; D) Re-serve")</f>
        <v>A) Wrong; B) Not wrong; C) Depends on the situation; D) Re-serve</v>
      </c>
      <c r="M17" s="21" t="str">
        <f>IFERROR(__xludf.DUMMYFUNCTION("GOOGLETRANSLATE(D17, ""th"", ""en"")"),"A) Wrong")</f>
        <v>A) Wrong</v>
      </c>
    </row>
    <row r="18" ht="14.25" customHeight="1">
      <c r="A18" s="18">
        <v>17.0</v>
      </c>
      <c r="B18" s="20" t="s">
        <v>1874</v>
      </c>
      <c r="C18" s="20" t="s">
        <v>1824</v>
      </c>
      <c r="D18" s="20" t="s">
        <v>1825</v>
      </c>
      <c r="E18" s="20" t="s">
        <v>1875</v>
      </c>
      <c r="K18" s="21" t="str">
        <f>IFERROR(__xludf.DUMMYFUNCTION("GOOGLETRANSLATE(B18, ""th"", ""en"")"),"How many times can a player be substituted in one set?")</f>
        <v>How many times can a player be substituted in one set?</v>
      </c>
      <c r="L18" s="21" t="str">
        <f>IFERROR(__xludf.DUMMYFUNCTION("GOOGLETRANSLATE(C18, ""th"", ""en"")"),"A) 1 time; B) 2 times; C) 3 times; D) unlimited")</f>
        <v>A) 1 time; B) 2 times; C) 3 times; D) unlimited</v>
      </c>
      <c r="M18" s="21" t="str">
        <f>IFERROR(__xludf.DUMMYFUNCTION("GOOGLETRANSLATE(D18, ""th"", ""en"")"),"B) 2 times")</f>
        <v>B) 2 times</v>
      </c>
    </row>
    <row r="19" ht="14.25" customHeight="1">
      <c r="A19" s="18">
        <v>18.0</v>
      </c>
      <c r="B19" s="20" t="s">
        <v>1876</v>
      </c>
      <c r="C19" s="20" t="s">
        <v>1877</v>
      </c>
      <c r="D19" s="20" t="s">
        <v>1878</v>
      </c>
      <c r="E19" s="20" t="s">
        <v>1879</v>
      </c>
      <c r="K19" s="21" t="str">
        <f>IFERROR(__xludf.DUMMYFUNCTION("GOOGLETRANSLATE(B19, ""th"", ""en"")"),"What happens if a player stops playing during a game for no reason?")</f>
        <v>What happens if a player stops playing during a game for no reason?</v>
      </c>
      <c r="L19" s="21" t="str">
        <f>IFERROR(__xludf.DUMMYFUNCTION("GOOGLETRANSLATE(C19, ""th"", ""en"")"),"A) Loss of point; B) Re-serve; C) Foul; D) No effect.")</f>
        <v>A) Loss of point; B) Re-serve; C) Foul; D) No effect.</v>
      </c>
      <c r="M19" s="21" t="str">
        <f>IFERROR(__xludf.DUMMYFUNCTION("GOOGLETRANSLATE(D19, ""th"", ""en"")"),"A) Lose points")</f>
        <v>A) Lose points</v>
      </c>
    </row>
    <row r="20" ht="14.25" customHeight="1">
      <c r="A20" s="18">
        <v>19.0</v>
      </c>
      <c r="B20" s="20" t="s">
        <v>1880</v>
      </c>
      <c r="C20" s="20" t="s">
        <v>1881</v>
      </c>
      <c r="D20" s="20" t="s">
        <v>1882</v>
      </c>
      <c r="E20" s="20" t="s">
        <v>1883</v>
      </c>
      <c r="K20" s="21" t="str">
        <f>IFERROR(__xludf.DUMMYFUNCTION("GOOGLETRANSLATE(B20, ""th"", ""en"")"),"Which team will start a new set after a draw in the previous set?")</f>
        <v>Which team will start a new set after a draw in the previous set?</v>
      </c>
      <c r="L20" s="21" t="str">
        <f>IFERROR(__xludf.DUMMYFUNCTION("GOOGLETRANSLATE(C20, ""th"", ""en"")"),"A) The team that scores last; B) The team that scores lower; C) The team that is determined by the referee; D) The team that serves last.")</f>
        <v>A) The team that scores last; B) The team that scores lower; C) The team that is determined by the referee; D) The team that serves last.</v>
      </c>
      <c r="M20" s="21" t="str">
        <f>IFERROR(__xludf.DUMMYFUNCTION("GOOGLETRANSLATE(D20, ""th"", ""en"")"),"C) The team designated by the referee")</f>
        <v>C) The team designated by the referee</v>
      </c>
    </row>
    <row r="21" ht="14.25" customHeight="1">
      <c r="A21" s="18">
        <v>20.0</v>
      </c>
      <c r="B21" s="20" t="s">
        <v>1884</v>
      </c>
      <c r="C21" s="20" t="s">
        <v>1885</v>
      </c>
      <c r="D21" s="20" t="s">
        <v>737</v>
      </c>
      <c r="E21" s="20" t="s">
        <v>1886</v>
      </c>
      <c r="K21" s="21" t="str">
        <f>IFERROR(__xludf.DUMMYFUNCTION("GOOGLETRANSLATE(B21, ""th"", ""en"")"),"Can a player touch the sepak takraw ball with one foot?")</f>
        <v>Can a player touch the sepak takraw ball with one foot?</v>
      </c>
      <c r="L21" s="21" t="str">
        <f>IFERROR(__xludf.DUMMYFUNCTION("GOOGLETRANSLATE(C21, ""th"", ""en"")"),"A) Yes; B) No; C) Depends on the situation; D) Re-serve")</f>
        <v>A) Yes; B) No; C) Depends on the situation; D) Re-serve</v>
      </c>
      <c r="M21" s="21" t="str">
        <f>IFERROR(__xludf.DUMMYFUNCTION("GOOGLETRANSLATE(D21, ""th"", ""en"")"),"A) Yes.")</f>
        <v>A) Yes.</v>
      </c>
    </row>
    <row r="22" ht="14.25" customHeight="1">
      <c r="A22" s="18">
        <v>21.0</v>
      </c>
      <c r="B22" s="20" t="s">
        <v>1887</v>
      </c>
      <c r="C22" s="20" t="s">
        <v>1888</v>
      </c>
      <c r="D22" s="20" t="s">
        <v>1833</v>
      </c>
      <c r="E22" s="20" t="s">
        <v>1889</v>
      </c>
      <c r="K22" s="21" t="str">
        <f>IFERROR(__xludf.DUMMYFUNCTION("GOOGLETRANSLATE(B22, ""th"", ""en"")"),"If a player changes positions during a game, what does it count as?")</f>
        <v>If a player changes positions during a game, what does it count as?</v>
      </c>
      <c r="L22" s="21" t="str">
        <f>IFERROR(__xludf.DUMMYFUNCTION("GOOGLETRANSLATE(C22, ""th"", ""en"")"),"A) foul; B) score; C) re-serve; D) no result")</f>
        <v>A) foul; B) score; C) re-serve; D) no result</v>
      </c>
      <c r="M22" s="21" t="str">
        <f>IFERROR(__xludf.DUMMYFUNCTION("GOOGLETRANSLATE(D22, ""th"", ""en"")"),"A) Foul")</f>
        <v>A) Foul</v>
      </c>
    </row>
    <row r="23" ht="14.25" customHeight="1">
      <c r="A23" s="18">
        <v>22.0</v>
      </c>
      <c r="B23" s="20" t="s">
        <v>1890</v>
      </c>
      <c r="C23" s="20" t="s">
        <v>1844</v>
      </c>
      <c r="D23" s="20" t="s">
        <v>1833</v>
      </c>
      <c r="E23" s="20" t="s">
        <v>1891</v>
      </c>
      <c r="K23" s="21" t="str">
        <f>IFERROR(__xludf.DUMMYFUNCTION("GOOGLETRANSLATE(B23, ""th"", ""en"")"),"What happens if a player crosses the boundary line while playing?")</f>
        <v>What happens if a player crosses the boundary line while playing?</v>
      </c>
      <c r="L23" s="21" t="str">
        <f>IFERROR(__xludf.DUMMYFUNCTION("GOOGLETRANSLATE(C23, ""th"", ""en"")"),"A) Foul; B) Re-serve; C) Point; D) No result")</f>
        <v>A) Foul; B) Re-serve; C) Point; D) No result</v>
      </c>
      <c r="M23" s="21" t="str">
        <f>IFERROR(__xludf.DUMMYFUNCTION("GOOGLETRANSLATE(D23, ""th"", ""en"")"),"A) Foul")</f>
        <v>A) Foul</v>
      </c>
    </row>
    <row r="24" ht="14.25" customHeight="1">
      <c r="A24" s="18">
        <v>23.0</v>
      </c>
      <c r="B24" s="20" t="s">
        <v>1892</v>
      </c>
      <c r="C24" s="20" t="s">
        <v>1893</v>
      </c>
      <c r="D24" s="20" t="s">
        <v>1833</v>
      </c>
      <c r="E24" s="20" t="s">
        <v>1894</v>
      </c>
      <c r="K24" s="21" t="str">
        <f>IFERROR(__xludf.DUMMYFUNCTION("GOOGLETRANSLATE(B24, ""th"", ""en"")"),"If a player uses a part of his body that is not covered by the rules when playing the ball, what is considered?")</f>
        <v>If a player uses a part of his body that is not covered by the rules when playing the ball, what is considered?</v>
      </c>
      <c r="L24" s="21" t="str">
        <f>IFERROR(__xludf.DUMMYFUNCTION("GOOGLETRANSLATE(C24, ""th"", ""en"")"),"A) foul; B) play continues; C) score a point; D) re-serve")</f>
        <v>A) foul; B) play continues; C) score a point; D) re-serve</v>
      </c>
      <c r="M24" s="21" t="str">
        <f>IFERROR(__xludf.DUMMYFUNCTION("GOOGLETRANSLATE(D24, ""th"", ""en"")"),"A) Foul")</f>
        <v>A) Foul</v>
      </c>
    </row>
    <row r="25" ht="14.25" customHeight="1">
      <c r="A25" s="18">
        <v>24.0</v>
      </c>
      <c r="B25" s="20" t="s">
        <v>1895</v>
      </c>
      <c r="C25" s="20" t="s">
        <v>1896</v>
      </c>
      <c r="D25" s="20" t="s">
        <v>1897</v>
      </c>
      <c r="E25" s="20" t="s">
        <v>1898</v>
      </c>
      <c r="K25" s="21" t="str">
        <f>IFERROR(__xludf.DUMMYFUNCTION("GOOGLETRANSLATE(B25, ""th"", ""en"")"),"In serving, must the sepak takraw ball go over the net?")</f>
        <v>In serving, must the sepak takraw ball go over the net?</v>
      </c>
      <c r="L25" s="21" t="str">
        <f>IFERROR(__xludf.DUMMYFUNCTION("GOOGLETRANSLATE(C25, ""th"", ""en"")"),"A) over the net; B) not over the net; C) over the net in special cases; D) depending on the referee's decision.")</f>
        <v>A) over the net; B) not over the net; C) over the net in special cases; D) depending on the referee's decision.</v>
      </c>
      <c r="M25" s="21" t="str">
        <f>IFERROR(__xludf.DUMMYFUNCTION("GOOGLETRANSLATE(D25, ""th"", ""en"")"),"A) Cross the net")</f>
        <v>A) Cross the net</v>
      </c>
    </row>
    <row r="26" ht="14.25" customHeight="1">
      <c r="A26" s="18">
        <v>25.0</v>
      </c>
      <c r="B26" s="20" t="s">
        <v>1899</v>
      </c>
      <c r="C26" s="20" t="s">
        <v>1900</v>
      </c>
      <c r="D26" s="20" t="s">
        <v>1901</v>
      </c>
      <c r="E26" s="20" t="s">
        <v>1902</v>
      </c>
      <c r="K26" s="21" t="str">
        <f>IFERROR(__xludf.DUMMYFUNCTION("GOOGLETRANSLATE(B26, ""th"", ""en"")"),"Who decides the foul?")</f>
        <v>Who decides the foul?</v>
      </c>
      <c r="L26" s="21" t="str">
        <f>IFERROR(__xludf.DUMMYFUNCTION("GOOGLETRANSLATE(C26, ""th"", ""en"")"),"A) Players; B) Referee; C) Coach; D) Winning Team")</f>
        <v>A) Players; B) Referee; C) Coach; D) Winning Team</v>
      </c>
      <c r="M26" s="21" t="str">
        <f>IFERROR(__xludf.DUMMYFUNCTION("GOOGLETRANSLATE(D26, ""th"", ""en"")"),"B) Director")</f>
        <v>B) Director</v>
      </c>
    </row>
    <row r="27" ht="14.25" customHeight="1">
      <c r="A27" s="18">
        <v>26.0</v>
      </c>
      <c r="B27" s="20" t="s">
        <v>1903</v>
      </c>
      <c r="C27" s="20" t="s">
        <v>1893</v>
      </c>
      <c r="D27" s="20" t="s">
        <v>1904</v>
      </c>
      <c r="E27" s="20" t="s">
        <v>1905</v>
      </c>
      <c r="K27" s="21" t="str">
        <f>IFERROR(__xludf.DUMMYFUNCTION("GOOGLETRANSLATE(B27, ""th"", ""en"")"),"What happens if a player accidentally touches the sepak takraw ball twice in a row?")</f>
        <v>What happens if a player accidentally touches the sepak takraw ball twice in a row?</v>
      </c>
      <c r="L27" s="21" t="str">
        <f>IFERROR(__xludf.DUMMYFUNCTION("GOOGLETRANSLATE(C27, ""th"", ""en"")"),"A) foul; B) play continues; C) score a point; D) re-serve")</f>
        <v>A) foul; B) play continues; C) score a point; D) re-serve</v>
      </c>
      <c r="M27" s="21" t="str">
        <f>IFERROR(__xludf.DUMMYFUNCTION("GOOGLETRANSLATE(D27, ""th"", ""en"")"),"B) Can continue playing.")</f>
        <v>B) Can continue playing.</v>
      </c>
    </row>
    <row r="28" ht="14.25" customHeight="1">
      <c r="A28" s="18">
        <v>27.0</v>
      </c>
      <c r="B28" s="20" t="s">
        <v>1906</v>
      </c>
      <c r="C28" s="20" t="s">
        <v>1907</v>
      </c>
      <c r="D28" s="20" t="s">
        <v>1833</v>
      </c>
      <c r="E28" s="20" t="s">
        <v>1908</v>
      </c>
      <c r="K28" s="21" t="str">
        <f>IFERROR(__xludf.DUMMYFUNCTION("GOOGLETRANSLATE(B28, ""th"", ""en"")"),"If a player receives the sepak takraw ball using their hands or arms, what is considered?")</f>
        <v>If a player receives the sepak takraw ball using their hands or arms, what is considered?</v>
      </c>
      <c r="L28" s="21" t="str">
        <f>IFERROR(__xludf.DUMMYFUNCTION("GOOGLETRANSLATE(C28, ""th"", ""en"")"),"A) foul; B) score; C) re-serve; D) continue play")</f>
        <v>A) foul; B) score; C) re-serve; D) continue play</v>
      </c>
      <c r="M28" s="21" t="str">
        <f>IFERROR(__xludf.DUMMYFUNCTION("GOOGLETRANSLATE(D28, ""th"", ""en"")"),"A) Foul")</f>
        <v>A) Foul</v>
      </c>
    </row>
    <row r="29" ht="14.25" customHeight="1">
      <c r="A29" s="18">
        <v>28.0</v>
      </c>
      <c r="B29" s="20" t="s">
        <v>1909</v>
      </c>
      <c r="C29" s="20" t="s">
        <v>1910</v>
      </c>
      <c r="D29" s="20" t="s">
        <v>1911</v>
      </c>
      <c r="E29" s="20" t="s">
        <v>1912</v>
      </c>
      <c r="K29" s="21" t="str">
        <f>IFERROR(__xludf.DUMMYFUNCTION("GOOGLETRANSLATE(B29, ""th"", ""en"")"),"What happens if the sepak takraw ball goes out of the court while there is no play?")</f>
        <v>What happens if the sepak takraw ball goes out of the court while there is no play?</v>
      </c>
      <c r="L29" s="21" t="str">
        <f>IFERROR(__xludf.DUMMYFUNCTION("GOOGLETRANSLATE(C29, ""th"", ""en"")"),"A) Re-serve; B) Opponent scores a point; C) No effect; D) Player is substituted.")</f>
        <v>A) Re-serve; B) Opponent scores a point; C) No effect; D) Player is substituted.</v>
      </c>
      <c r="M29" s="21" t="str">
        <f>IFERROR(__xludf.DUMMYFUNCTION("GOOGLETRANSLATE(D29, ""th"", ""en"")"),"B) The opponent scores points.")</f>
        <v>B) The opponent scores points.</v>
      </c>
    </row>
    <row r="30" ht="14.25" customHeight="1">
      <c r="A30" s="18">
        <v>29.0</v>
      </c>
      <c r="B30" s="20" t="s">
        <v>1913</v>
      </c>
      <c r="C30" s="20" t="s">
        <v>1914</v>
      </c>
      <c r="D30" s="20" t="s">
        <v>1915</v>
      </c>
      <c r="E30" s="20" t="s">
        <v>1916</v>
      </c>
      <c r="K30" s="21" t="str">
        <f>IFERROR(__xludf.DUMMYFUNCTION("GOOGLETRANSLATE(B30, ""th"", ""en"")"),"Who must be notified of substitutions during the game?")</f>
        <v>Who must be notified of substitutions during the game?</v>
      </c>
      <c r="L30" s="21" t="str">
        <f>IFERROR(__xludf.DUMMYFUNCTION("GOOGLETRANSLATE(C30, ""th"", ""en"")"),"A) referee; B) player; C) opposing team; D) nobody")</f>
        <v>A) referee; B) player; C) opposing team; D) nobody</v>
      </c>
      <c r="M30" s="21" t="str">
        <f>IFERROR(__xludf.DUMMYFUNCTION("GOOGLETRANSLATE(D30, ""th"", ""en"")"),"A) Referee")</f>
        <v>A) Referee</v>
      </c>
    </row>
    <row r="31" ht="14.25" customHeight="1">
      <c r="A31" s="18">
        <v>30.0</v>
      </c>
      <c r="B31" s="20" t="s">
        <v>1917</v>
      </c>
      <c r="C31" s="20" t="s">
        <v>1836</v>
      </c>
      <c r="D31" s="20" t="s">
        <v>1837</v>
      </c>
      <c r="E31" s="20" t="s">
        <v>1918</v>
      </c>
      <c r="K31" s="21" t="str">
        <f>IFERROR(__xludf.DUMMYFUNCTION("GOOGLETRANSLATE(B31, ""th"", ""en"")"),"Is it wrong to play sepak takraw with your feet?")</f>
        <v>Is it wrong to play sepak takraw with your feet?</v>
      </c>
      <c r="L31" s="21" t="str">
        <f>IFERROR(__xludf.DUMMYFUNCTION("GOOGLETRANSLATE(C31, ""th"", ""en"")"),"A) Wrong; B) Not wrong; C) Depends on the situation; D) Re-serve")</f>
        <v>A) Wrong; B) Not wrong; C) Depends on the situation; D) Re-serve</v>
      </c>
      <c r="M31" s="21" t="str">
        <f>IFERROR(__xludf.DUMMYFUNCTION("GOOGLETRANSLATE(D31, ""th"", ""en"")"),"B) Not wrong")</f>
        <v>B) Not wrong</v>
      </c>
    </row>
    <row r="32" ht="14.25" customHeight="1">
      <c r="A32" s="18">
        <v>31.0</v>
      </c>
      <c r="B32" s="20" t="s">
        <v>1919</v>
      </c>
      <c r="C32" s="20" t="s">
        <v>1920</v>
      </c>
      <c r="D32" s="20" t="s">
        <v>1921</v>
      </c>
      <c r="E32" s="20" t="s">
        <v>1922</v>
      </c>
      <c r="K32" s="21" t="str">
        <f>IFERROR(__xludf.DUMMYFUNCTION("GOOGLETRANSLATE(B32, ""th"", ""en"")"),"Where should the serve in the second set start?")</f>
        <v>Where should the serve in the second set start?</v>
      </c>
      <c r="L32" s="21" t="str">
        <f>IFERROR(__xludf.DUMMYFUNCTION("GOOGLETRANSLATE(C32, ""th"", ""en"")"),"A) Position behind the boundary line; B) Position in the middle of the field; C) Any position; D) Position designated by the referee.")</f>
        <v>A) Position behind the boundary line; B) Position in the middle of the field; C) Any position; D) Position designated by the referee.</v>
      </c>
      <c r="M32" s="21" t="str">
        <f>IFERROR(__xludf.DUMMYFUNCTION("GOOGLETRANSLATE(D32, ""th"", ""en"")"),"A) Position behind the border line")</f>
        <v>A) Position behind the border line</v>
      </c>
    </row>
    <row r="33" ht="14.25" customHeight="1">
      <c r="A33" s="18">
        <v>32.0</v>
      </c>
      <c r="B33" s="20" t="s">
        <v>1923</v>
      </c>
      <c r="C33" s="20" t="s">
        <v>1924</v>
      </c>
      <c r="D33" s="20" t="s">
        <v>1925</v>
      </c>
      <c r="E33" s="20" t="s">
        <v>1926</v>
      </c>
      <c r="K33" s="21" t="str">
        <f>IFERROR(__xludf.DUMMYFUNCTION("GOOGLETRANSLATE(B33, ""th"", ""en"")"),"If a player catches the sepak takraw ball with his head, is it considered a foul?")</f>
        <v>If a player catches the sepak takraw ball with his head, is it considered a foul?</v>
      </c>
      <c r="L33" s="21" t="str">
        <f>IFERROR(__xludf.DUMMYFUNCTION("GOOGLETRANSLATE(C33, ""th"", ""en"")"),"A) Foul; B) No foul; C) Depending on the situation; D) Re-serve")</f>
        <v>A) Foul; B) No foul; C) Depending on the situation; D) Re-serve</v>
      </c>
      <c r="M33" s="21" t="str">
        <f>IFERROR(__xludf.DUMMYFUNCTION("GOOGLETRANSLATE(D33, ""th"", ""en"")"),"B) No foul.")</f>
        <v>B) No foul.</v>
      </c>
    </row>
    <row r="34" ht="14.25" customHeight="1">
      <c r="A34" s="18">
        <v>33.0</v>
      </c>
      <c r="B34" s="20" t="s">
        <v>1927</v>
      </c>
      <c r="C34" s="20" t="s">
        <v>1928</v>
      </c>
      <c r="D34" s="20" t="s">
        <v>1833</v>
      </c>
      <c r="E34" s="20" t="s">
        <v>1929</v>
      </c>
      <c r="K34" s="21" t="str">
        <f>IFERROR(__xludf.DUMMYFUNCTION("GOOGLETRANSLATE(B34, ""th"", ""en"")"),"What is considered a sepak takraw ball that is hit directly into the net?")</f>
        <v>What is considered a sepak takraw ball that is hit directly into the net?</v>
      </c>
      <c r="L34" s="21" t="str">
        <f>IFERROR(__xludf.DUMMYFUNCTION("GOOGLETRANSLATE(C34, ""th"", ""en"")"),"A) foul; B) score; C) out of bounds; D) re-serve")</f>
        <v>A) foul; B) score; C) out of bounds; D) re-serve</v>
      </c>
      <c r="M34" s="21" t="str">
        <f>IFERROR(__xludf.DUMMYFUNCTION("GOOGLETRANSLATE(D34, ""th"", ""en"")"),"A) Foul")</f>
        <v>A) Foul</v>
      </c>
    </row>
    <row r="35" ht="14.25" customHeight="1">
      <c r="A35" s="18">
        <v>34.0</v>
      </c>
      <c r="B35" s="20" t="s">
        <v>1930</v>
      </c>
      <c r="C35" s="20" t="s">
        <v>1931</v>
      </c>
      <c r="D35" s="20" t="s">
        <v>1932</v>
      </c>
      <c r="E35" s="20" t="s">
        <v>1933</v>
      </c>
      <c r="K35" s="21" t="str">
        <f>IFERROR(__xludf.DUMMYFUNCTION("GOOGLETRANSLATE(B35, ""th"", ""en"")"),"Is it against the rules to jump up to play sepak takraw?")</f>
        <v>Is it against the rules to jump up to play sepak takraw?</v>
      </c>
      <c r="L35" s="21" t="str">
        <f>IFERROR(__xludf.DUMMYFUNCTION("GOOGLETRANSLATE(C35, ""th"", ""en"")"),"A) Illegal; B) Not illegal; C) Depends on the situation; D) Re-serve.")</f>
        <v>A) Illegal; B) Not illegal; C) Depends on the situation; D) Re-serve.</v>
      </c>
      <c r="M35" s="21" t="str">
        <f>IFERROR(__xludf.DUMMYFUNCTION("GOOGLETRANSLATE(D35, ""th"", ""en"")"),"B) Not against the rules")</f>
        <v>B) Not against the rules</v>
      </c>
    </row>
    <row r="36" ht="14.25" customHeight="1">
      <c r="A36" s="18">
        <v>35.0</v>
      </c>
      <c r="B36" s="20" t="s">
        <v>1934</v>
      </c>
      <c r="C36" s="20" t="s">
        <v>1935</v>
      </c>
      <c r="D36" s="20" t="s">
        <v>1936</v>
      </c>
      <c r="E36" s="20" t="s">
        <v>1937</v>
      </c>
      <c r="K36" s="21" t="str">
        <f>IFERROR(__xludf.DUMMYFUNCTION("GOOGLETRANSLATE(B36, ""th"", ""en"")"),"What happens if a team commits three consecutive fouls?")</f>
        <v>What happens if a team commits three consecutive fouls?</v>
      </c>
      <c r="L36" s="21" t="str">
        <f>IFERROR(__xludf.DUMMYFUNCTION("GOOGLETRANSLATE(C36, ""th"", ""en"")"),"A) A new serve; B) The opposing team scores a point; C) Play is suspended; D) A team must make a substitution.")</f>
        <v>A) A new serve; B) The opposing team scores a point; C) Play is suspended; D) A team must make a substitution.</v>
      </c>
      <c r="M36" s="21" t="str">
        <f>IFERROR(__xludf.DUMMYFUNCTION("GOOGLETRANSLATE(D36, ""th"", ""en"")"),"B) The opposing team scores points.")</f>
        <v>B) The opposing team scores points.</v>
      </c>
    </row>
    <row r="37" ht="14.25" customHeight="1">
      <c r="A37" s="18">
        <v>36.0</v>
      </c>
      <c r="B37" s="20" t="s">
        <v>1938</v>
      </c>
      <c r="C37" s="20" t="s">
        <v>1939</v>
      </c>
      <c r="D37" s="20" t="s">
        <v>1940</v>
      </c>
      <c r="E37" s="20" t="s">
        <v>1941</v>
      </c>
      <c r="K37" s="21" t="str">
        <f>IFERROR(__xludf.DUMMYFUNCTION("GOOGLETRANSLATE(B37, ""th"", ""en"")"),"What happens if the sepak takraw ball goes out of the court after an opposing player hits it?")</f>
        <v>What happens if the sepak takraw ball goes out of the court after an opposing player hits it?</v>
      </c>
      <c r="L37" s="21" t="str">
        <f>IFERROR(__xludf.DUMMYFUNCTION("GOOGLETRANSLATE(C37, ""th"", ""en"")"),"A) The opponent scores a point; B) Re-serve; C) Foul; D) No result.")</f>
        <v>A) The opponent scores a point; B) Re-serve; C) Foul; D) No result.</v>
      </c>
      <c r="M37" s="21" t="str">
        <f>IFERROR(__xludf.DUMMYFUNCTION("GOOGLETRANSLATE(D37, ""th"", ""en"")"),"A) The opponent scores points.")</f>
        <v>A) The opponent scores points.</v>
      </c>
    </row>
    <row r="38" ht="14.25" customHeight="1">
      <c r="A38" s="18">
        <v>37.0</v>
      </c>
      <c r="B38" s="20" t="s">
        <v>1942</v>
      </c>
      <c r="C38" s="20" t="s">
        <v>1943</v>
      </c>
      <c r="D38" s="20" t="s">
        <v>1944</v>
      </c>
      <c r="E38" s="20" t="s">
        <v>1945</v>
      </c>
      <c r="K38" s="21" t="str">
        <f>IFERROR(__xludf.DUMMYFUNCTION("GOOGLETRANSLATE(B38, ""th"", ""en"")"),"If a player decides to change positions during the game, is this allowed?")</f>
        <v>If a player decides to change positions during the game, is this allowed?</v>
      </c>
      <c r="L38" s="21" t="str">
        <f>IFERROR(__xludf.DUMMYFUNCTION("GOOGLETRANSLATE(C38, ""th"", ""en"")"),"A) Yes; B) No; C) Depends on the situation; D) Re-serve.")</f>
        <v>A) Yes; B) No; C) Depends on the situation; D) Re-serve.</v>
      </c>
      <c r="M38" s="21" t="str">
        <f>IFERROR(__xludf.DUMMYFUNCTION("GOOGLETRANSLATE(D38, ""th"", ""en"")"),"B) Can't do it.")</f>
        <v>B) Can't do it.</v>
      </c>
    </row>
    <row r="39" ht="14.25" customHeight="1">
      <c r="A39" s="18">
        <v>38.0</v>
      </c>
      <c r="B39" s="20" t="s">
        <v>1946</v>
      </c>
      <c r="C39" s="20" t="s">
        <v>1947</v>
      </c>
      <c r="D39" s="20" t="s">
        <v>1948</v>
      </c>
      <c r="E39" s="20" t="s">
        <v>1949</v>
      </c>
      <c r="K39" s="21" t="str">
        <f>IFERROR(__xludf.DUMMYFUNCTION("GOOGLETRANSLATE(B39, ""th"", ""en"")"),"What is considered playing with feet while the ball is floating in the air?")</f>
        <v>What is considered playing with feet while the ball is floating in the air?</v>
      </c>
      <c r="L39" s="21" t="str">
        <f>IFERROR(__xludf.DUMMYFUNCTION("GOOGLETRANSLATE(C39, ""th"", ""en"")"),"A) foul; B) score; C) depending on the situation; D) re-serve")</f>
        <v>A) foul; B) score; C) depending on the situation; D) re-serve</v>
      </c>
      <c r="M39" s="21" t="str">
        <f>IFERROR(__xludf.DUMMYFUNCTION("GOOGLETRANSLATE(D39, ""th"", ""en"")"),"B) got points")</f>
        <v>B) got points</v>
      </c>
    </row>
    <row r="40" ht="14.25" customHeight="1">
      <c r="A40" s="18">
        <v>39.0</v>
      </c>
      <c r="B40" s="20" t="s">
        <v>1950</v>
      </c>
      <c r="C40" s="20" t="s">
        <v>1832</v>
      </c>
      <c r="D40" s="20" t="s">
        <v>1833</v>
      </c>
      <c r="E40" s="20" t="s">
        <v>1951</v>
      </c>
      <c r="K40" s="21" t="str">
        <f>IFERROR(__xludf.DUMMYFUNCTION("GOOGLETRANSLATE(B40, ""th"", ""en"")"),"What happens if a player touches the ball twice in a row?")</f>
        <v>What happens if a player touches the ball twice in a row?</v>
      </c>
      <c r="L40" s="21" t="str">
        <f>IFERROR(__xludf.DUMMYFUNCTION("GOOGLETRANSLATE(C40, ""th"", ""en"")"),"A) foul; B) score; C) continue play; D) re-serve")</f>
        <v>A) foul; B) score; C) continue play; D) re-serve</v>
      </c>
      <c r="M40" s="21" t="str">
        <f>IFERROR(__xludf.DUMMYFUNCTION("GOOGLETRANSLATE(D40, ""th"", ""en"")"),"A) Foul")</f>
        <v>A) Foul</v>
      </c>
    </row>
    <row r="41" ht="14.25" customHeight="1">
      <c r="A41" s="18">
        <v>40.0</v>
      </c>
      <c r="B41" s="20" t="s">
        <v>1952</v>
      </c>
      <c r="C41" s="20" t="s">
        <v>1953</v>
      </c>
      <c r="D41" s="20" t="s">
        <v>1833</v>
      </c>
      <c r="E41" s="20" t="s">
        <v>1954</v>
      </c>
      <c r="K41" s="21" t="str">
        <f>IFERROR(__xludf.DUMMYFUNCTION("GOOGLETRANSLATE(B41, ""th"", ""en"")"),"What happens if a player is in the wrong position when starting the serve?")</f>
        <v>What happens if a player is in the wrong position when starting the serve?</v>
      </c>
      <c r="L41" s="21" t="str">
        <f>IFERROR(__xludf.DUMMYFUNCTION("GOOGLETRANSLATE(C41, ""th"", ""en"")"),"A) Foul; B) Re-serve; C) Lose a point to the opponent; D) No effect.")</f>
        <v>A) Foul; B) Re-serve; C) Lose a point to the opponent; D) No effect.</v>
      </c>
      <c r="M41" s="21" t="str">
        <f>IFERROR(__xludf.DUMMYFUNCTION("GOOGLETRANSLATE(D41, ""th"", ""en"")"),"A) Foul")</f>
        <v>A) Foul</v>
      </c>
    </row>
    <row r="42" ht="14.25" customHeight="1">
      <c r="A42" s="18">
        <v>41.0</v>
      </c>
      <c r="B42" s="20" t="s">
        <v>1955</v>
      </c>
      <c r="C42" s="20" t="s">
        <v>1885</v>
      </c>
      <c r="D42" s="20" t="s">
        <v>698</v>
      </c>
      <c r="E42" s="20" t="s">
        <v>1956</v>
      </c>
      <c r="K42" s="21" t="str">
        <f>IFERROR(__xludf.DUMMYFUNCTION("GOOGLETRANSLATE(B42, ""th"", ""en"")"),"Can players use their hands to catch the sepak takraw ball?")</f>
        <v>Can players use their hands to catch the sepak takraw ball?</v>
      </c>
      <c r="L42" s="21" t="str">
        <f>IFERROR(__xludf.DUMMYFUNCTION("GOOGLETRANSLATE(C42, ""th"", ""en"")"),"A) Yes; B) No; C) Depends on the situation; D) Re-serve")</f>
        <v>A) Yes; B) No; C) Depends on the situation; D) Re-serve</v>
      </c>
      <c r="M42" s="21" t="str">
        <f>IFERROR(__xludf.DUMMYFUNCTION("GOOGLETRANSLATE(D42, ""th"", ""en"")"),"B) No.")</f>
        <v>B) No.</v>
      </c>
    </row>
    <row r="43" ht="14.25" customHeight="1">
      <c r="A43" s="18">
        <v>42.0</v>
      </c>
      <c r="B43" s="20" t="s">
        <v>1957</v>
      </c>
      <c r="C43" s="20" t="s">
        <v>1907</v>
      </c>
      <c r="D43" s="20" t="s">
        <v>1833</v>
      </c>
      <c r="E43" s="20" t="s">
        <v>1958</v>
      </c>
      <c r="K43" s="21" t="str">
        <f>IFERROR(__xludf.DUMMYFUNCTION("GOOGLETRANSLATE(B43, ""th"", ""en"")"),"What happens if a player touches the sepak takraw ball before it crosses the net?")</f>
        <v>What happens if a player touches the sepak takraw ball before it crosses the net?</v>
      </c>
      <c r="L43" s="21" t="str">
        <f>IFERROR(__xludf.DUMMYFUNCTION("GOOGLETRANSLATE(C43, ""th"", ""en"")"),"A) foul; B) score; C) re-serve; D) continue play")</f>
        <v>A) foul; B) score; C) re-serve; D) continue play</v>
      </c>
      <c r="M43" s="21" t="str">
        <f>IFERROR(__xludf.DUMMYFUNCTION("GOOGLETRANSLATE(D43, ""th"", ""en"")"),"A) Foul")</f>
        <v>A) Foul</v>
      </c>
    </row>
    <row r="44" ht="14.25" customHeight="1">
      <c r="A44" s="18">
        <v>43.0</v>
      </c>
      <c r="B44" s="20" t="s">
        <v>1959</v>
      </c>
      <c r="C44" s="20" t="s">
        <v>1960</v>
      </c>
      <c r="D44" s="20" t="s">
        <v>1961</v>
      </c>
      <c r="E44" s="20" t="s">
        <v>1962</v>
      </c>
      <c r="K44" s="21" t="str">
        <f>IFERROR(__xludf.DUMMYFUNCTION("GOOGLETRANSLATE(B44, ""th"", ""en"")"),"What must be done to score in sepak takraw?")</f>
        <v>What must be done to score in sepak takraw?</v>
      </c>
      <c r="L44" s="21" t="str">
        <f>IFERROR(__xludf.DUMMYFUNCTION("GOOGLETRANSLATE(C44, ""th"", ""en"")"),"A) Serve; B) Illegal play; C) Foul; D) Illegal reception")</f>
        <v>A) Serve; B) Illegal play; C) Foul; D) Illegal reception</v>
      </c>
      <c r="M44" s="21" t="str">
        <f>IFERROR(__xludf.DUMMYFUNCTION("GOOGLETRANSLATE(D44, ""th"", ""en"")"),"A) Serve the ball")</f>
        <v>A) Serve the ball</v>
      </c>
    </row>
    <row r="45" ht="14.25" customHeight="1">
      <c r="A45" s="18">
        <v>44.0</v>
      </c>
      <c r="B45" s="20" t="s">
        <v>1963</v>
      </c>
      <c r="C45" s="20" t="s">
        <v>1964</v>
      </c>
      <c r="D45" s="20" t="s">
        <v>1948</v>
      </c>
      <c r="E45" s="20" t="s">
        <v>1965</v>
      </c>
      <c r="K45" s="21" t="str">
        <f>IFERROR(__xludf.DUMMYFUNCTION("GOOGLETRANSLATE(B45, ""th"", ""en"")"),"If the opponent hits the ball out of bounds, what can the player do?")</f>
        <v>If the opponent hits the ball out of bounds, what can the player do?</v>
      </c>
      <c r="L45" s="21" t="str">
        <f>IFERROR(__xludf.DUMMYFUNCTION("GOOGLETRANSLATE(C45, ""th"", ""en"")"),"A) Change position; B) Score; C) Continue playing; D) Re-serve")</f>
        <v>A) Change position; B) Score; C) Continue playing; D) Re-serve</v>
      </c>
      <c r="M45" s="21" t="str">
        <f>IFERROR(__xludf.DUMMYFUNCTION("GOOGLETRANSLATE(D45, ""th"", ""en"")"),"B) got points")</f>
        <v>B) got points</v>
      </c>
    </row>
    <row r="46" ht="14.25" customHeight="1">
      <c r="A46" s="18">
        <v>45.0</v>
      </c>
      <c r="B46" s="20" t="s">
        <v>1966</v>
      </c>
      <c r="C46" s="20" t="s">
        <v>1924</v>
      </c>
      <c r="D46" s="20" t="s">
        <v>1925</v>
      </c>
      <c r="E46" s="20" t="s">
        <v>1967</v>
      </c>
      <c r="K46" s="21" t="str">
        <f>IFERROR(__xludf.DUMMYFUNCTION("GOOGLETRANSLATE(B46, ""th"", ""en"")"),"Is it considered a foul to catch the sepak takraw ball with your feet?")</f>
        <v>Is it considered a foul to catch the sepak takraw ball with your feet?</v>
      </c>
      <c r="L46" s="21" t="str">
        <f>IFERROR(__xludf.DUMMYFUNCTION("GOOGLETRANSLATE(C46, ""th"", ""en"")"),"A) Foul; B) No foul; C) Depending on the situation; D) Re-serve")</f>
        <v>A) Foul; B) No foul; C) Depending on the situation; D) Re-serve</v>
      </c>
      <c r="M46" s="21" t="str">
        <f>IFERROR(__xludf.DUMMYFUNCTION("GOOGLETRANSLATE(D46, ""th"", ""en"")"),"B) No foul.")</f>
        <v>B) No foul.</v>
      </c>
    </row>
    <row r="47" ht="14.25" customHeight="1">
      <c r="A47" s="18">
        <v>46.0</v>
      </c>
      <c r="B47" s="20" t="s">
        <v>1968</v>
      </c>
      <c r="C47" s="20" t="s">
        <v>1969</v>
      </c>
      <c r="D47" s="20" t="s">
        <v>1970</v>
      </c>
      <c r="E47" s="20" t="s">
        <v>1971</v>
      </c>
      <c r="K47" s="21" t="str">
        <f>IFERROR(__xludf.DUMMYFUNCTION("GOOGLETRANSLATE(B47, ""th"", ""en"")"),"How many seconds after serving must a player decide to play the ball?")</f>
        <v>How many seconds after serving must a player decide to play the ball?</v>
      </c>
      <c r="L47" s="21" t="str">
        <f>IFERROR(__xludf.DUMMYFUNCTION("GOOGLETRANSLATE(C47, ""th"", ""en"")"),"A) 5 seconds; B) 10 seconds; C) 15 seconds; D) 20 seconds")</f>
        <v>A) 5 seconds; B) 10 seconds; C) 15 seconds; D) 20 seconds</v>
      </c>
      <c r="M47" s="21" t="str">
        <f>IFERROR(__xludf.DUMMYFUNCTION("GOOGLETRANSLATE(D47, ""th"", ""en"")"),"B) 10 seconds")</f>
        <v>B) 10 seconds</v>
      </c>
    </row>
    <row r="48" ht="14.25" customHeight="1">
      <c r="A48" s="18">
        <v>47.0</v>
      </c>
      <c r="B48" s="20" t="s">
        <v>1972</v>
      </c>
      <c r="C48" s="20" t="s">
        <v>1888</v>
      </c>
      <c r="D48" s="20" t="s">
        <v>1833</v>
      </c>
      <c r="E48" s="20" t="s">
        <v>1973</v>
      </c>
      <c r="K48" s="21" t="str">
        <f>IFERROR(__xludf.DUMMYFUNCTION("GOOGLETRANSLATE(B48, ""th"", ""en"")"),"What happens if a player hits a sepak takraw ball into the opponent's court and it lands in an illegal area?")</f>
        <v>What happens if a player hits a sepak takraw ball into the opponent's court and it lands in an illegal area?</v>
      </c>
      <c r="L48" s="21" t="str">
        <f>IFERROR(__xludf.DUMMYFUNCTION("GOOGLETRANSLATE(C48, ""th"", ""en"")"),"A) foul; B) score; C) re-serve; D) no result")</f>
        <v>A) foul; B) score; C) re-serve; D) no result</v>
      </c>
      <c r="M48" s="21" t="str">
        <f>IFERROR(__xludf.DUMMYFUNCTION("GOOGLETRANSLATE(D48, ""th"", ""en"")"),"A) Foul")</f>
        <v>A) Foul</v>
      </c>
    </row>
    <row r="49" ht="14.25" customHeight="1">
      <c r="A49" s="18">
        <v>48.0</v>
      </c>
      <c r="B49" s="20" t="s">
        <v>1974</v>
      </c>
      <c r="C49" s="20" t="s">
        <v>1975</v>
      </c>
      <c r="D49" s="20" t="s">
        <v>1976</v>
      </c>
      <c r="E49" s="20" t="s">
        <v>1977</v>
      </c>
      <c r="K49" s="21" t="str">
        <f>IFERROR(__xludf.DUMMYFUNCTION("GOOGLETRANSLATE(B49, ""th"", ""en"")"),"How is scoring in takraw calculated?")</f>
        <v>How is scoring in takraw calculated?</v>
      </c>
      <c r="L49" s="21" t="str">
        <f>IFERROR(__xludf.DUMMYFUNCTION("GOOGLETRANSLATE(C49, ""th"", ""en"")"),"A) service points; B) number of balls hit; C) number of fouls; D) points from correct play.")</f>
        <v>A) service points; B) number of balls hit; C) number of fouls; D) points from correct play.</v>
      </c>
      <c r="M49" s="21" t="str">
        <f>IFERROR(__xludf.DUMMYFUNCTION("GOOGLETRANSLATE(D49, ""th"", ""en"")"),"D) Score from correct play")</f>
        <v>D) Score from correct play</v>
      </c>
    </row>
    <row r="50" ht="14.25" customHeight="1">
      <c r="A50" s="18">
        <v>49.0</v>
      </c>
      <c r="B50" s="20" t="s">
        <v>1978</v>
      </c>
      <c r="C50" s="20" t="s">
        <v>1979</v>
      </c>
      <c r="D50" s="20" t="s">
        <v>1980</v>
      </c>
      <c r="E50" s="20" t="s">
        <v>1981</v>
      </c>
      <c r="K50" s="21" t="str">
        <f>IFERROR(__xludf.DUMMYFUNCTION("GOOGLETRANSLATE(B50, ""th"", ""en"")"),"If a player commits two fouls in a set, what are the consequences?")</f>
        <v>If a player commits two fouls in a set, what are the consequences?</v>
      </c>
      <c r="L50" s="21" t="str">
        <f>IFERROR(__xludf.DUMMYFUNCTION("GOOGLETRANSLATE(C50, ""th"", ""en"")"),"A) A re-serve; B) The opposing team scores a point; C) A second foul is considered a foul; D) No effect.")</f>
        <v>A) A re-serve; B) The opposing team scores a point; C) A second foul is considered a foul; D) No effect.</v>
      </c>
      <c r="M50" s="21" t="str">
        <f>IFERROR(__xludf.DUMMYFUNCTION("GOOGLETRANSLATE(D50, ""th"", ""en"")"),"B) The opposing team scores points.")</f>
        <v>B) The opposing team scores points.</v>
      </c>
    </row>
    <row r="51" ht="14.25" customHeight="1">
      <c r="A51" s="18">
        <v>50.0</v>
      </c>
      <c r="B51" s="20" t="s">
        <v>1982</v>
      </c>
      <c r="C51" s="20" t="s">
        <v>1893</v>
      </c>
      <c r="D51" s="20" t="s">
        <v>1904</v>
      </c>
      <c r="E51" s="20" t="s">
        <v>1983</v>
      </c>
      <c r="K51" s="21" t="str">
        <f>IFERROR(__xludf.DUMMYFUNCTION("GOOGLETRANSLATE(B51, ""th"", ""en"")"),"What happens if the sepak takraw ball touches the boundary line?")</f>
        <v>What happens if the sepak takraw ball touches the boundary line?</v>
      </c>
      <c r="L51" s="21" t="str">
        <f>IFERROR(__xludf.DUMMYFUNCTION("GOOGLETRANSLATE(C51, ""th"", ""en"")"),"A) foul; B) play continues; C) score a point; D) re-serve")</f>
        <v>A) foul; B) play continues; C) score a point; D) re-serve</v>
      </c>
      <c r="M51" s="21" t="str">
        <f>IFERROR(__xludf.DUMMYFUNCTION("GOOGLETRANSLATE(D51, ""th"", ""en"")"),"B) Can continue playing.")</f>
        <v>B) Can continue playing.</v>
      </c>
    </row>
    <row r="52" ht="14.25" customHeight="1">
      <c r="A52" s="18">
        <v>51.0</v>
      </c>
      <c r="B52" s="20" t="s">
        <v>1984</v>
      </c>
      <c r="C52" s="20" t="s">
        <v>1907</v>
      </c>
      <c r="D52" s="20" t="s">
        <v>1833</v>
      </c>
      <c r="E52" s="20" t="s">
        <v>1985</v>
      </c>
      <c r="K52" s="21" t="str">
        <f>IFERROR(__xludf.DUMMYFUNCTION("GOOGLETRANSLATE(B52, ""th"", ""en"")"),"What is considered hitting the sepak takraw ball with too much force and going out of the court?")</f>
        <v>What is considered hitting the sepak takraw ball with too much force and going out of the court?</v>
      </c>
      <c r="L52" s="21" t="str">
        <f>IFERROR(__xludf.DUMMYFUNCTION("GOOGLETRANSLATE(C52, ""th"", ""en"")"),"A) foul; B) score; C) re-serve; D) continue play")</f>
        <v>A) foul; B) score; C) re-serve; D) continue play</v>
      </c>
      <c r="M52" s="21" t="str">
        <f>IFERROR(__xludf.DUMMYFUNCTION("GOOGLETRANSLATE(D52, ""th"", ""en"")"),"A) Foul")</f>
        <v>A) Foul</v>
      </c>
    </row>
    <row r="53" ht="14.25" customHeight="1">
      <c r="A53" s="18">
        <v>52.0</v>
      </c>
      <c r="B53" s="20" t="s">
        <v>1986</v>
      </c>
      <c r="C53" s="20" t="s">
        <v>1987</v>
      </c>
      <c r="D53" s="20" t="s">
        <v>1988</v>
      </c>
      <c r="E53" s="20" t="s">
        <v>1989</v>
      </c>
      <c r="K53" s="21" t="str">
        <f>IFERROR(__xludf.DUMMYFUNCTION("GOOGLETRANSLATE(B53, ""th"", ""en"")"),"In which position is playing sepak takraw illegal and will the opponent score a point?")</f>
        <v>In which position is playing sepak takraw illegal and will the opponent score a point?</v>
      </c>
      <c r="L53" s="21" t="str">
        <f>IFERROR(__xludf.DUMMYFUNCTION("GOOGLETRANSLATE(C53, ""th"", ""en"")"),"A) The designated position is incorrect; B) The position in the center of the field; C) The position near the boundary line; D) The position where the player stands during the game.")</f>
        <v>A) The designated position is incorrect; B) The position in the center of the field; C) The position near the boundary line; D) The position where the player stands during the game.</v>
      </c>
      <c r="M53" s="21" t="str">
        <f>IFERROR(__xludf.DUMMYFUNCTION("GOOGLETRANSLATE(D53, ""th"", ""en"")"),"A) The specified location is incorrect.")</f>
        <v>A) The specified location is incorrect.</v>
      </c>
    </row>
    <row r="54" ht="14.25" customHeight="1">
      <c r="A54" s="18">
        <v>53.0</v>
      </c>
      <c r="B54" s="20" t="s">
        <v>1990</v>
      </c>
      <c r="C54" s="20" t="s">
        <v>1832</v>
      </c>
      <c r="D54" s="20" t="s">
        <v>1833</v>
      </c>
      <c r="E54" s="20" t="s">
        <v>1991</v>
      </c>
      <c r="K54" s="21" t="str">
        <f>IFERROR(__xludf.DUMMYFUNCTION("GOOGLETRANSLATE(B54, ""th"", ""en"")"),"What happens if a player hits the ball out of bounds when he doesn't intend to?")</f>
        <v>What happens if a player hits the ball out of bounds when he doesn't intend to?</v>
      </c>
      <c r="L54" s="21" t="str">
        <f>IFERROR(__xludf.DUMMYFUNCTION("GOOGLETRANSLATE(C54, ""th"", ""en"")"),"A) foul; B) score; C) continue play; D) re-serve")</f>
        <v>A) foul; B) score; C) continue play; D) re-serve</v>
      </c>
      <c r="M54" s="21" t="str">
        <f>IFERROR(__xludf.DUMMYFUNCTION("GOOGLETRANSLATE(D54, ""th"", ""en"")"),"A) Foul")</f>
        <v>A) Foul</v>
      </c>
    </row>
    <row r="55" ht="14.25" customHeight="1">
      <c r="A55" s="18">
        <v>54.0</v>
      </c>
      <c r="B55" s="20" t="s">
        <v>1992</v>
      </c>
      <c r="C55" s="20" t="s">
        <v>1993</v>
      </c>
      <c r="D55" s="20" t="s">
        <v>1994</v>
      </c>
      <c r="E55" s="20" t="s">
        <v>1995</v>
      </c>
      <c r="K55" s="21" t="str">
        <f>IFERROR(__xludf.DUMMYFUNCTION("GOOGLETRANSLATE(B55, ""th"", ""en"")"),"What happens if the sepak takraw ball goes out of the court and a foul is committed at the same time?")</f>
        <v>What happens if the sepak takraw ball goes out of the court and a foul is committed at the same time?</v>
      </c>
      <c r="L55" s="21" t="str">
        <f>IFERROR(__xludf.DUMMYFUNCTION("GOOGLETRANSLATE(C55, ""th"", ""en"")"),"A) The fouled team loses a point; B) The serve is replayed; C) The opposing team scores a point; D) No effect.")</f>
        <v>A) The fouled team loses a point; B) The serve is replayed; C) The opposing team scores a point; D) No effect.</v>
      </c>
      <c r="M55" s="21" t="str">
        <f>IFERROR(__xludf.DUMMYFUNCTION("GOOGLETRANSLATE(D55, ""th"", ""en"")"),"A) The team that commits the foul loses a point.")</f>
        <v>A) The team that commits the foul loses a point.</v>
      </c>
    </row>
    <row r="56" ht="14.25" customHeight="1">
      <c r="A56" s="18">
        <v>55.0</v>
      </c>
      <c r="B56" s="20" t="s">
        <v>1996</v>
      </c>
      <c r="C56" s="20" t="s">
        <v>1997</v>
      </c>
      <c r="D56" s="20" t="s">
        <v>1998</v>
      </c>
      <c r="E56" s="20" t="s">
        <v>1999</v>
      </c>
      <c r="K56" s="21" t="str">
        <f>IFERROR(__xludf.DUMMYFUNCTION("GOOGLETRANSLATE(B56, ""th"", ""en"")"),"What happens if a player decides to stop playing mid-game for no reason?")</f>
        <v>What happens if a player decides to stop playing mid-game for no reason?</v>
      </c>
      <c r="L56" s="21" t="str">
        <f>IFERROR(__xludf.DUMMYFUNCTION("GOOGLETRANSLATE(C56, ""th"", ""en"")"),"A) Lose a point to the opponent; B) Re-serve; C) Foul; D) No effect.")</f>
        <v>A) Lose a point to the opponent; B) Re-serve; C) Foul; D) No effect.</v>
      </c>
      <c r="M56" s="21" t="str">
        <f>IFERROR(__xludf.DUMMYFUNCTION("GOOGLETRANSLATE(D56, ""th"", ""en"")"),"A) Lose points to the opponent.")</f>
        <v>A) Lose points to the opponent.</v>
      </c>
    </row>
    <row r="57" ht="14.25" customHeight="1">
      <c r="A57" s="18">
        <v>56.0</v>
      </c>
      <c r="B57" s="20" t="s">
        <v>2000</v>
      </c>
      <c r="C57" s="20" t="s">
        <v>2001</v>
      </c>
      <c r="D57" s="20" t="s">
        <v>2002</v>
      </c>
      <c r="E57" s="20" t="s">
        <v>2003</v>
      </c>
      <c r="K57" s="21" t="str">
        <f>IFERROR(__xludf.DUMMYFUNCTION("GOOGLETRANSLATE(B57, ""th"", ""en"")"),"Is accepting the referee's decision part of the rules?")</f>
        <v>Is accepting the referee's decision part of the rules?</v>
      </c>
      <c r="L57" s="21" t="str">
        <f>IFERROR(__xludf.DUMMYFUNCTION("GOOGLETRANSLATE(C57, ""th"", ""en"")"),"A) Not considered part of it; B) Considered part of it; C) Depends on the situation; D) Re-serve.")</f>
        <v>A) Not considered part of it; B) Considered part of it; C) Depends on the situation; D) Re-serve.</v>
      </c>
      <c r="M57" s="21" t="str">
        <f>IFERROR(__xludf.DUMMYFUNCTION("GOOGLETRANSLATE(D57, ""th"", ""en"")"),"B) Considered as part")</f>
        <v>B) Considered as part</v>
      </c>
    </row>
    <row r="58" ht="14.25" customHeight="1">
      <c r="A58" s="18">
        <v>57.0</v>
      </c>
      <c r="B58" s="20" t="s">
        <v>2004</v>
      </c>
      <c r="C58" s="20" t="s">
        <v>2005</v>
      </c>
      <c r="D58" s="20" t="s">
        <v>1911</v>
      </c>
      <c r="E58" s="20" t="s">
        <v>2006</v>
      </c>
      <c r="K58" s="21" t="str">
        <f>IFERROR(__xludf.DUMMYFUNCTION("GOOGLETRANSLATE(B58, ""th"", ""en"")"),"If a player commits a foul during the serve, what will the shuttle do?")</f>
        <v>If a player commits a foul during the serve, what will the shuttle do?</v>
      </c>
      <c r="L58" s="21" t="str">
        <f>IFERROR(__xludf.DUMMYFUNCTION("GOOGLETRANSLATE(C58, ""th"", ""en"")"),"A) Re-serve; B) Opponent scores a point; C) Foul; D) No result.")</f>
        <v>A) Re-serve; B) Opponent scores a point; C) Foul; D) No result.</v>
      </c>
      <c r="M58" s="21" t="str">
        <f>IFERROR(__xludf.DUMMYFUNCTION("GOOGLETRANSLATE(D58, ""th"", ""en"")"),"B) The opponent scores points.")</f>
        <v>B) The opponent scores points.</v>
      </c>
    </row>
    <row r="59" ht="14.25" customHeight="1">
      <c r="A59" s="18">
        <v>58.0</v>
      </c>
      <c r="B59" s="20" t="s">
        <v>2007</v>
      </c>
      <c r="C59" s="20" t="s">
        <v>1888</v>
      </c>
      <c r="D59" s="20" t="s">
        <v>1833</v>
      </c>
      <c r="E59" s="20" t="s">
        <v>2008</v>
      </c>
      <c r="K59" s="21" t="str">
        <f>IFERROR(__xludf.DUMMYFUNCTION("GOOGLETRANSLATE(B59, ""th"", ""en"")"),"If the sepak takraw ball bounces off the court and is hit by an opposing player, what is considered?")</f>
        <v>If the sepak takraw ball bounces off the court and is hit by an opposing player, what is considered?</v>
      </c>
      <c r="L59" s="21" t="str">
        <f>IFERROR(__xludf.DUMMYFUNCTION("GOOGLETRANSLATE(C59, ""th"", ""en"")"),"A) foul; B) score; C) re-serve; D) no result")</f>
        <v>A) foul; B) score; C) re-serve; D) no result</v>
      </c>
      <c r="M59" s="21" t="str">
        <f>IFERROR(__xludf.DUMMYFUNCTION("GOOGLETRANSLATE(D59, ""th"", ""en"")"),"A) Foul")</f>
        <v>A) Foul</v>
      </c>
    </row>
    <row r="60" ht="14.25" customHeight="1">
      <c r="A60" s="18">
        <v>59.0</v>
      </c>
      <c r="B60" s="20" t="s">
        <v>2009</v>
      </c>
      <c r="C60" s="20" t="s">
        <v>2010</v>
      </c>
      <c r="D60" s="20" t="s">
        <v>1940</v>
      </c>
      <c r="E60" s="20" t="s">
        <v>2011</v>
      </c>
      <c r="K60" s="21" t="str">
        <f>IFERROR(__xludf.DUMMYFUNCTION("GOOGLETRANSLATE(B60, ""th"", ""en"")"),"What happens if a player is unable to catch a floating ball?")</f>
        <v>What happens if a player is unable to catch a floating ball?</v>
      </c>
      <c r="L60" s="21" t="str">
        <f>IFERROR(__xludf.DUMMYFUNCTION("GOOGLETRANSLATE(C60, ""th"", ""en"")"),"A) The opponent scores a point; B) A foul; C) A re-serve; D) No effect.")</f>
        <v>A) The opponent scores a point; B) A foul; C) A re-serve; D) No effect.</v>
      </c>
      <c r="M60" s="21" t="str">
        <f>IFERROR(__xludf.DUMMYFUNCTION("GOOGLETRANSLATE(D60, ""th"", ""en"")"),"A) The opponent scores points.")</f>
        <v>A) The opponent scores points.</v>
      </c>
    </row>
    <row r="61" ht="14.25" customHeight="1">
      <c r="A61" s="18">
        <v>60.0</v>
      </c>
      <c r="B61" s="20" t="s">
        <v>2012</v>
      </c>
      <c r="C61" s="20" t="s">
        <v>2013</v>
      </c>
      <c r="D61" s="20" t="s">
        <v>2014</v>
      </c>
      <c r="E61" s="20" t="s">
        <v>2015</v>
      </c>
      <c r="K61" s="21" t="str">
        <f>IFERROR(__xludf.DUMMYFUNCTION("GOOGLETRANSLATE(B61, ""th"", ""en"")"),"What happens if you use inappropriate gestures during the game?")</f>
        <v>What happens if you use inappropriate gestures during the game?</v>
      </c>
      <c r="L61" s="21" t="str">
        <f>IFERROR(__xludf.DUMMYFUNCTION("GOOGLETRANSLATE(C61, ""th"", ""en"")"),"A) Re-serve; B) Opponent scores a point; C) Foul; D) Player is penalized.")</f>
        <v>A) Re-serve; B) Opponent scores a point; C) Foul; D) Player is penalized.</v>
      </c>
      <c r="M61" s="21" t="str">
        <f>IFERROR(__xludf.DUMMYFUNCTION("GOOGLETRANSLATE(D61, ""th"", ""en"")"),"D) The player is fined.")</f>
        <v>D) The player is fined.</v>
      </c>
    </row>
    <row r="62" ht="14.25" customHeight="1">
      <c r="A62" s="18">
        <v>61.0</v>
      </c>
      <c r="B62" s="20" t="s">
        <v>2016</v>
      </c>
      <c r="C62" s="20" t="s">
        <v>2017</v>
      </c>
      <c r="D62" s="20" t="s">
        <v>2018</v>
      </c>
      <c r="E62" s="20" t="s">
        <v>2019</v>
      </c>
      <c r="K62" s="21" t="str">
        <f>IFERROR(__xludf.DUMMYFUNCTION("GOOGLETRANSLATE(B62, ""th"", ""en"")"),"How to serve a sepak takraw ball?")</f>
        <v>How to serve a sepak takraw ball?</v>
      </c>
      <c r="L62" s="21" t="str">
        <f>IFERROR(__xludf.DUMMYFUNCTION("GOOGLETRANSLATE(C62, ""th"", ""en"")"),"A) Serve the ball from a designated position; B) Serve the ball from anywhere; C) Serve the ball while it is in the air; D) Serve the ball as high as possible.")</f>
        <v>A) Serve the ball from a designated position; B) Serve the ball from anywhere; C) Serve the ball while it is in the air; D) Serve the ball as high as possible.</v>
      </c>
      <c r="M62" s="21" t="str">
        <f>IFERROR(__xludf.DUMMYFUNCTION("GOOGLETRANSLATE(D62, ""th"", ""en"")"),"A) Serve the ball from the designated position.")</f>
        <v>A) Serve the ball from the designated position.</v>
      </c>
    </row>
    <row r="63" ht="14.25" customHeight="1">
      <c r="A63" s="18">
        <v>62.0</v>
      </c>
      <c r="B63" s="20" t="s">
        <v>2020</v>
      </c>
      <c r="C63" s="20" t="s">
        <v>1885</v>
      </c>
      <c r="D63" s="20" t="s">
        <v>698</v>
      </c>
      <c r="E63" s="20" t="s">
        <v>2021</v>
      </c>
      <c r="K63" s="21" t="str">
        <f>IFERROR(__xludf.DUMMYFUNCTION("GOOGLETRANSLATE(B63, ""th"", ""en"")"),"Can players stand in illegal positions?")</f>
        <v>Can players stand in illegal positions?</v>
      </c>
      <c r="L63" s="21" t="str">
        <f>IFERROR(__xludf.DUMMYFUNCTION("GOOGLETRANSLATE(C63, ""th"", ""en"")"),"A) Yes; B) No; C) Depends on the situation; D) Re-serve")</f>
        <v>A) Yes; B) No; C) Depends on the situation; D) Re-serve</v>
      </c>
      <c r="M63" s="21" t="str">
        <f>IFERROR(__xludf.DUMMYFUNCTION("GOOGLETRANSLATE(D63, ""th"", ""en"")"),"B) No.")</f>
        <v>B) No.</v>
      </c>
    </row>
    <row r="64" ht="14.25" customHeight="1">
      <c r="A64" s="18">
        <v>63.0</v>
      </c>
      <c r="B64" s="20" t="s">
        <v>2022</v>
      </c>
      <c r="C64" s="20" t="s">
        <v>2005</v>
      </c>
      <c r="D64" s="20" t="s">
        <v>1911</v>
      </c>
      <c r="E64" s="20" t="s">
        <v>2023</v>
      </c>
      <c r="K64" s="21" t="str">
        <f>IFERROR(__xludf.DUMMYFUNCTION("GOOGLETRANSLATE(B64, ""th"", ""en"")"),"If the sepak takraw ball goes out of the court during a match, what will the players do?")</f>
        <v>If the sepak takraw ball goes out of the court during a match, what will the players do?</v>
      </c>
      <c r="L64" s="21" t="str">
        <f>IFERROR(__xludf.DUMMYFUNCTION("GOOGLETRANSLATE(C64, ""th"", ""en"")"),"A) Re-serve; B) Opponent scores a point; C) Foul; D) No result.")</f>
        <v>A) Re-serve; B) Opponent scores a point; C) Foul; D) No result.</v>
      </c>
      <c r="M64" s="21" t="str">
        <f>IFERROR(__xludf.DUMMYFUNCTION("GOOGLETRANSLATE(D64, ""th"", ""en"")"),"B) The opponent scores points.")</f>
        <v>B) The opponent scores points.</v>
      </c>
    </row>
    <row r="65" ht="14.25" customHeight="1">
      <c r="A65" s="18">
        <v>64.0</v>
      </c>
      <c r="B65" s="20" t="s">
        <v>2024</v>
      </c>
      <c r="C65" s="20" t="s">
        <v>2025</v>
      </c>
      <c r="D65" s="20" t="s">
        <v>1940</v>
      </c>
      <c r="E65" s="20" t="s">
        <v>2026</v>
      </c>
      <c r="K65" s="21" t="str">
        <f>IFERROR(__xludf.DUMMYFUNCTION("GOOGLETRANSLATE(B65, ""th"", ""en"")"),"What happens when a player commits a serve foul?")</f>
        <v>What happens when a player commits a serve foul?</v>
      </c>
      <c r="L65" s="21" t="str">
        <f>IFERROR(__xludf.DUMMYFUNCTION("GOOGLETRANSLATE(C65, ""th"", ""en"")"),"A) The opponent scores a point; B) Re-serve; C) Another foul; D) No effect.")</f>
        <v>A) The opponent scores a point; B) Re-serve; C) Another foul; D) No effect.</v>
      </c>
      <c r="M65" s="21" t="str">
        <f>IFERROR(__xludf.DUMMYFUNCTION("GOOGLETRANSLATE(D65, ""th"", ""en"")"),"A) The opponent scores points.")</f>
        <v>A) The opponent scores points.</v>
      </c>
    </row>
    <row r="66" ht="14.25" customHeight="1">
      <c r="A66" s="18">
        <v>65.0</v>
      </c>
      <c r="B66" s="20" t="s">
        <v>2027</v>
      </c>
      <c r="C66" s="20" t="s">
        <v>1924</v>
      </c>
      <c r="D66" s="20" t="s">
        <v>1833</v>
      </c>
      <c r="E66" s="20" t="s">
        <v>2028</v>
      </c>
      <c r="K66" s="21" t="str">
        <f>IFERROR(__xludf.DUMMYFUNCTION("GOOGLETRANSLATE(B66, ""th"", ""en"")"),"If a player receives the ball with his hand, what is it considered?")</f>
        <v>If a player receives the ball with his hand, what is it considered?</v>
      </c>
      <c r="L66" s="21" t="str">
        <f>IFERROR(__xludf.DUMMYFUNCTION("GOOGLETRANSLATE(C66, ""th"", ""en"")"),"A) Foul; B) No foul; C) Depending on the situation; D) Re-serve")</f>
        <v>A) Foul; B) No foul; C) Depending on the situation; D) Re-serve</v>
      </c>
      <c r="M66" s="21" t="str">
        <f>IFERROR(__xludf.DUMMYFUNCTION("GOOGLETRANSLATE(D66, ""th"", ""en"")"),"A) Foul")</f>
        <v>A) Foul</v>
      </c>
    </row>
    <row r="67" ht="14.25" customHeight="1">
      <c r="A67" s="18">
        <v>66.0</v>
      </c>
      <c r="B67" s="20" t="s">
        <v>2029</v>
      </c>
      <c r="C67" s="20" t="s">
        <v>1907</v>
      </c>
      <c r="D67" s="20" t="s">
        <v>2030</v>
      </c>
      <c r="E67" s="20" t="s">
        <v>2031</v>
      </c>
      <c r="K67" s="21" t="str">
        <f>IFERROR(__xludf.DUMMYFUNCTION("GOOGLETRANSLATE(B67, ""th"", ""en"")"),"What happens if the sepak takraw ball hits the net during play?")</f>
        <v>What happens if the sepak takraw ball hits the net during play?</v>
      </c>
      <c r="L67" s="21" t="str">
        <f>IFERROR(__xludf.DUMMYFUNCTION("GOOGLETRANSLATE(C67, ""th"", ""en"")"),"A) foul; B) score; C) re-serve; D) continue play")</f>
        <v>A) foul; B) score; C) re-serve; D) continue play</v>
      </c>
      <c r="M67" s="21" t="str">
        <f>IFERROR(__xludf.DUMMYFUNCTION("GOOGLETRANSLATE(D67, ""th"", ""en"")"),"D) Can continue playing.")</f>
        <v>D) Can continue playing.</v>
      </c>
    </row>
    <row r="68" ht="14.25" customHeight="1">
      <c r="A68" s="18">
        <v>67.0</v>
      </c>
      <c r="B68" s="20" t="s">
        <v>2032</v>
      </c>
      <c r="C68" s="20" t="s">
        <v>1907</v>
      </c>
      <c r="D68" s="20" t="s">
        <v>2030</v>
      </c>
      <c r="E68" s="20" t="s">
        <v>2033</v>
      </c>
      <c r="K68" s="21" t="str">
        <f>IFERROR(__xludf.DUMMYFUNCTION("GOOGLETRANSLATE(B68, ""th"", ""en"")"),"What is considered playing a sepak takraw ball that floats in the air without hitting it immediately?")</f>
        <v>What is considered playing a sepak takraw ball that floats in the air without hitting it immediately?</v>
      </c>
      <c r="L68" s="21" t="str">
        <f>IFERROR(__xludf.DUMMYFUNCTION("GOOGLETRANSLATE(C68, ""th"", ""en"")"),"A) foul; B) score; C) re-serve; D) continue play")</f>
        <v>A) foul; B) score; C) re-serve; D) continue play</v>
      </c>
      <c r="M68" s="21" t="str">
        <f>IFERROR(__xludf.DUMMYFUNCTION("GOOGLETRANSLATE(D68, ""th"", ""en"")"),"D) Can continue playing.")</f>
        <v>D) Can continue playing.</v>
      </c>
    </row>
    <row r="69" ht="14.25" customHeight="1">
      <c r="A69" s="18">
        <v>68.0</v>
      </c>
      <c r="B69" s="20" t="s">
        <v>2034</v>
      </c>
      <c r="C69" s="20" t="s">
        <v>2005</v>
      </c>
      <c r="D69" s="20" t="s">
        <v>2035</v>
      </c>
      <c r="E69" s="20" t="s">
        <v>2036</v>
      </c>
      <c r="K69" s="21" t="str">
        <f>IFERROR(__xludf.DUMMYFUNCTION("GOOGLETRANSLATE(B69, ""th"", ""en"")"),"What happens if the opponent serves the ball incorrectly?")</f>
        <v>What happens if the opponent serves the ball incorrectly?</v>
      </c>
      <c r="L69" s="21" t="str">
        <f>IFERROR(__xludf.DUMMYFUNCTION("GOOGLETRANSLATE(C69, ""th"", ""en"")"),"A) Re-serve; B) Opponent scores a point; C) Foul; D) No result.")</f>
        <v>A) Re-serve; B) Opponent scores a point; C) Foul; D) No result.</v>
      </c>
      <c r="M69" s="21" t="str">
        <f>IFERROR(__xludf.DUMMYFUNCTION("GOOGLETRANSLATE(D69, ""th"", ""en"")"),"A) Re-serve")</f>
        <v>A) Re-serve</v>
      </c>
    </row>
    <row r="70" ht="14.25" customHeight="1">
      <c r="A70" s="18">
        <v>69.0</v>
      </c>
      <c r="B70" s="20" t="s">
        <v>2037</v>
      </c>
      <c r="C70" s="20" t="s">
        <v>1836</v>
      </c>
      <c r="D70" s="20" t="s">
        <v>1837</v>
      </c>
      <c r="E70" s="20" t="s">
        <v>2038</v>
      </c>
      <c r="K70" s="21" t="str">
        <f>IFERROR(__xludf.DUMMYFUNCTION("GOOGLETRANSLATE(B70, ""th"", ""en"")"),"Is it illegal to catch a sepak takraw ball with your feet?")</f>
        <v>Is it illegal to catch a sepak takraw ball with your feet?</v>
      </c>
      <c r="L70" s="21" t="str">
        <f>IFERROR(__xludf.DUMMYFUNCTION("GOOGLETRANSLATE(C70, ""th"", ""en"")"),"A) Wrong; B) Not wrong; C) Depends on the situation; D) Re-serve")</f>
        <v>A) Wrong; B) Not wrong; C) Depends on the situation; D) Re-serve</v>
      </c>
      <c r="M70" s="21" t="str">
        <f>IFERROR(__xludf.DUMMYFUNCTION("GOOGLETRANSLATE(D70, ""th"", ""en"")"),"B) Not wrong")</f>
        <v>B) Not wrong</v>
      </c>
    </row>
    <row r="71" ht="14.25" customHeight="1">
      <c r="A71" s="18">
        <v>70.0</v>
      </c>
      <c r="B71" s="20" t="s">
        <v>2039</v>
      </c>
      <c r="C71" s="20" t="s">
        <v>1907</v>
      </c>
      <c r="D71" s="20" t="s">
        <v>1948</v>
      </c>
      <c r="E71" s="20" t="s">
        <v>2040</v>
      </c>
      <c r="K71" s="21" t="str">
        <f>IFERROR(__xludf.DUMMYFUNCTION("GOOGLETRANSLATE(B71, ""th"", ""en"")"),"If a player receives a hit from an opponent and the ball lands on his own court, what happens?")</f>
        <v>If a player receives a hit from an opponent and the ball lands on his own court, what happens?</v>
      </c>
      <c r="L71" s="21" t="str">
        <f>IFERROR(__xludf.DUMMYFUNCTION("GOOGLETRANSLATE(C71, ""th"", ""en"")"),"A) foul; B) score; C) re-serve; D) continue play")</f>
        <v>A) foul; B) score; C) re-serve; D) continue play</v>
      </c>
      <c r="M71" s="21" t="str">
        <f>IFERROR(__xludf.DUMMYFUNCTION("GOOGLETRANSLATE(D71, ""th"", ""en"")"),"B) got points")</f>
        <v>B) got points</v>
      </c>
    </row>
    <row r="72" ht="14.25" customHeight="1">
      <c r="A72" s="18">
        <v>71.0</v>
      </c>
      <c r="B72" s="20" t="s">
        <v>2041</v>
      </c>
      <c r="C72" s="20" t="s">
        <v>2042</v>
      </c>
      <c r="D72" s="20" t="s">
        <v>1915</v>
      </c>
      <c r="E72" s="20" t="s">
        <v>2043</v>
      </c>
      <c r="K72" s="21" t="str">
        <f>IFERROR(__xludf.DUMMYFUNCTION("GOOGLETRANSLATE(B72, ""th"", ""en"")"),"Who must be notified of player substitutions?")</f>
        <v>Who must be notified of player substitutions?</v>
      </c>
      <c r="L72" s="21" t="str">
        <f>IFERROR(__xludf.DUMMYFUNCTION("GOOGLETRANSLATE(C72, ""th"", ""en"")"),"A) the referee; B) another player; C) the opposing team; D) no one")</f>
        <v>A) the referee; B) another player; C) the opposing team; D) no one</v>
      </c>
      <c r="M72" s="21" t="str">
        <f>IFERROR(__xludf.DUMMYFUNCTION("GOOGLETRANSLATE(D72, ""th"", ""en"")"),"A) Referee")</f>
        <v>A) Referee</v>
      </c>
    </row>
    <row r="73" ht="14.25" customHeight="1">
      <c r="A73" s="18">
        <v>72.0</v>
      </c>
      <c r="B73" s="20" t="s">
        <v>2044</v>
      </c>
      <c r="C73" s="20" t="s">
        <v>1888</v>
      </c>
      <c r="D73" s="20" t="s">
        <v>1948</v>
      </c>
      <c r="E73" s="20" t="s">
        <v>2045</v>
      </c>
      <c r="K73" s="21" t="str">
        <f>IFERROR(__xludf.DUMMYFUNCTION("GOOGLETRANSLATE(B73, ""th"", ""en"")"),"What happens if a player hits the ball out of bounds and is unable to catch it?")</f>
        <v>What happens if a player hits the ball out of bounds and is unable to catch it?</v>
      </c>
      <c r="L73" s="21" t="str">
        <f>IFERROR(__xludf.DUMMYFUNCTION("GOOGLETRANSLATE(C73, ""th"", ""en"")"),"A) foul; B) score; C) re-serve; D) no result")</f>
        <v>A) foul; B) score; C) re-serve; D) no result</v>
      </c>
      <c r="M73" s="21" t="str">
        <f>IFERROR(__xludf.DUMMYFUNCTION("GOOGLETRANSLATE(D73, ""th"", ""en"")"),"B) got points")</f>
        <v>B) got points</v>
      </c>
    </row>
    <row r="74" ht="14.25" customHeight="1">
      <c r="A74" s="18">
        <v>73.0</v>
      </c>
      <c r="B74" s="20" t="s">
        <v>2046</v>
      </c>
      <c r="C74" s="20" t="s">
        <v>1888</v>
      </c>
      <c r="D74" s="20" t="s">
        <v>1833</v>
      </c>
      <c r="E74" s="20" t="s">
        <v>2047</v>
      </c>
      <c r="K74" s="21" t="str">
        <f>IFERROR(__xludf.DUMMYFUNCTION("GOOGLETRANSLATE(B74, ""th"", ""en"")"),"What happens if you commit a foul while receiving the sepak takraw ball?")</f>
        <v>What happens if you commit a foul while receiving the sepak takraw ball?</v>
      </c>
      <c r="L74" s="21" t="str">
        <f>IFERROR(__xludf.DUMMYFUNCTION("GOOGLETRANSLATE(C74, ""th"", ""en"")"),"A) foul; B) score; C) re-serve; D) no result")</f>
        <v>A) foul; B) score; C) re-serve; D) no result</v>
      </c>
      <c r="M74" s="21" t="str">
        <f>IFERROR(__xludf.DUMMYFUNCTION("GOOGLETRANSLATE(D74, ""th"", ""en"")"),"A) Foul")</f>
        <v>A) Foul</v>
      </c>
    </row>
    <row r="75" ht="14.25" customHeight="1">
      <c r="A75" s="18">
        <v>74.0</v>
      </c>
      <c r="B75" s="20" t="s">
        <v>2048</v>
      </c>
      <c r="C75" s="20" t="s">
        <v>1885</v>
      </c>
      <c r="D75" s="20" t="s">
        <v>698</v>
      </c>
      <c r="E75" s="20" t="s">
        <v>2049</v>
      </c>
      <c r="K75" s="21" t="str">
        <f>IFERROR(__xludf.DUMMYFUNCTION("GOOGLETRANSLATE(B75, ""th"", ""en"")"),"Can players use their hands to play sepak takraw?")</f>
        <v>Can players use their hands to play sepak takraw?</v>
      </c>
      <c r="L75" s="21" t="str">
        <f>IFERROR(__xludf.DUMMYFUNCTION("GOOGLETRANSLATE(C75, ""th"", ""en"")"),"A) Yes; B) No; C) Depends on the situation; D) Re-serve")</f>
        <v>A) Yes; B) No; C) Depends on the situation; D) Re-serve</v>
      </c>
      <c r="M75" s="21" t="str">
        <f>IFERROR(__xludf.DUMMYFUNCTION("GOOGLETRANSLATE(D75, ""th"", ""en"")"),"B) No.")</f>
        <v>B) No.</v>
      </c>
    </row>
    <row r="76" ht="14.25" customHeight="1">
      <c r="A76" s="18">
        <v>75.0</v>
      </c>
      <c r="B76" s="20" t="s">
        <v>2050</v>
      </c>
      <c r="C76" s="20" t="s">
        <v>2051</v>
      </c>
      <c r="D76" s="20" t="s">
        <v>1940</v>
      </c>
      <c r="E76" s="20" t="s">
        <v>2052</v>
      </c>
      <c r="K76" s="21" t="str">
        <f>IFERROR(__xludf.DUMMYFUNCTION("GOOGLETRANSLATE(B76, ""th"", ""en"")"),"What happens if a team commits three consecutive fouls?")</f>
        <v>What happens if a team commits three consecutive fouls?</v>
      </c>
      <c r="L76" s="21" t="str">
        <f>IFERROR(__xludf.DUMMYFUNCTION("GOOGLETRANSLATE(C76, ""th"", ""en"")"),"A) The opponent scores a point; B) The serve is re-served; C) The team must make a substitution; D) No effect.")</f>
        <v>A) The opponent scores a point; B) The serve is re-served; C) The team must make a substitution; D) No effect.</v>
      </c>
      <c r="M76" s="21" t="str">
        <f>IFERROR(__xludf.DUMMYFUNCTION("GOOGLETRANSLATE(D76, ""th"", ""en"")"),"A) The opponent scores points.")</f>
        <v>A) The opponent scores points.</v>
      </c>
    </row>
    <row r="77" ht="14.25" customHeight="1">
      <c r="A77" s="18">
        <v>76.0</v>
      </c>
      <c r="B77" s="20" t="s">
        <v>2053</v>
      </c>
      <c r="C77" s="20" t="s">
        <v>1888</v>
      </c>
      <c r="D77" s="20" t="s">
        <v>1833</v>
      </c>
      <c r="E77" s="20" t="s">
        <v>2054</v>
      </c>
      <c r="K77" s="21" t="str">
        <f>IFERROR(__xludf.DUMMYFUNCTION("GOOGLETRANSLATE(B77, ""th"", ""en"")"),"What happens if you hit the sepak takraw ball over the net in the wrong direction?")</f>
        <v>What happens if you hit the sepak takraw ball over the net in the wrong direction?</v>
      </c>
      <c r="L77" s="21" t="str">
        <f>IFERROR(__xludf.DUMMYFUNCTION("GOOGLETRANSLATE(C77, ""th"", ""en"")"),"A) foul; B) score; C) re-serve; D) no result")</f>
        <v>A) foul; B) score; C) re-serve; D) no result</v>
      </c>
      <c r="M77" s="21" t="str">
        <f>IFERROR(__xludf.DUMMYFUNCTION("GOOGLETRANSLATE(D77, ""th"", ""en"")"),"A) Foul")</f>
        <v>A) Foul</v>
      </c>
    </row>
    <row r="78" ht="14.25" customHeight="1">
      <c r="A78" s="18">
        <v>77.0</v>
      </c>
      <c r="B78" s="20" t="s">
        <v>2055</v>
      </c>
      <c r="C78" s="20" t="s">
        <v>1844</v>
      </c>
      <c r="D78" s="20" t="s">
        <v>1833</v>
      </c>
      <c r="E78" s="20" t="s">
        <v>2056</v>
      </c>
      <c r="K78" s="21" t="str">
        <f>IFERROR(__xludf.DUMMYFUNCTION("GOOGLETRANSLATE(B78, ""th"", ""en"")"),"What happens if a player receives a sepak takraw ball from an opposing player in an illegal situation?")</f>
        <v>What happens if a player receives a sepak takraw ball from an opposing player in an illegal situation?</v>
      </c>
      <c r="L78" s="21" t="str">
        <f>IFERROR(__xludf.DUMMYFUNCTION("GOOGLETRANSLATE(C78, ""th"", ""en"")"),"A) Foul; B) Re-serve; C) Point; D) No result")</f>
        <v>A) Foul; B) Re-serve; C) Point; D) No result</v>
      </c>
      <c r="M78" s="21" t="str">
        <f>IFERROR(__xludf.DUMMYFUNCTION("GOOGLETRANSLATE(D78, ""th"", ""en"")"),"A) Foul")</f>
        <v>A) Foul</v>
      </c>
    </row>
    <row r="79" ht="14.25" customHeight="1">
      <c r="A79" s="18">
        <v>78.0</v>
      </c>
      <c r="B79" s="20" t="s">
        <v>2057</v>
      </c>
      <c r="C79" s="20" t="s">
        <v>2058</v>
      </c>
      <c r="D79" s="20" t="s">
        <v>2059</v>
      </c>
      <c r="E79" s="20" t="s">
        <v>2060</v>
      </c>
      <c r="K79" s="21" t="str">
        <f>IFERROR(__xludf.DUMMYFUNCTION("GOOGLETRANSLATE(B79, ""th"", ""en"")"),"If there is foul play during the game, what will the referee's decision be?")</f>
        <v>If there is foul play during the game, what will the referee's decision be?</v>
      </c>
      <c r="L79" s="21" t="str">
        <f>IFERROR(__xludf.DUMMYFUNCTION("GOOGLETRANSLATE(C79, ""th"", ""en"")"),"A) Foul; B) Team must substitute; C) Opponent scores a point; D) Re-serve.")</f>
        <v>A) Foul; B) Team must substitute; C) Opponent scores a point; D) Re-serve.</v>
      </c>
      <c r="M79" s="21" t="str">
        <f>IFERROR(__xludf.DUMMYFUNCTION("GOOGLETRANSLATE(D79, ""th"", ""en"")"),"C) The opponent scores points.")</f>
        <v>C) The opponent scores points.</v>
      </c>
    </row>
    <row r="80" ht="14.25" customHeight="1">
      <c r="A80" s="18">
        <v>79.0</v>
      </c>
      <c r="B80" s="20" t="s">
        <v>2061</v>
      </c>
      <c r="C80" s="20" t="s">
        <v>1888</v>
      </c>
      <c r="D80" s="20" t="s">
        <v>1833</v>
      </c>
      <c r="E80" s="20" t="s">
        <v>2062</v>
      </c>
      <c r="K80" s="21" t="str">
        <f>IFERROR(__xludf.DUMMYFUNCTION("GOOGLETRANSLATE(B80, ""th"", ""en"")"),"What happens if the sepak takraw ball leaves the court before it has been hit?")</f>
        <v>What happens if the sepak takraw ball leaves the court before it has been hit?</v>
      </c>
      <c r="L80" s="21" t="str">
        <f>IFERROR(__xludf.DUMMYFUNCTION("GOOGLETRANSLATE(C80, ""th"", ""en"")"),"A) foul; B) score; C) re-serve; D) no result")</f>
        <v>A) foul; B) score; C) re-serve; D) no result</v>
      </c>
      <c r="M80" s="21" t="str">
        <f>IFERROR(__xludf.DUMMYFUNCTION("GOOGLETRANSLATE(D80, ""th"", ""en"")"),"A) Foul")</f>
        <v>A) Foul</v>
      </c>
    </row>
    <row r="81" ht="14.25" customHeight="1">
      <c r="A81" s="18">
        <v>80.0</v>
      </c>
      <c r="B81" s="20" t="s">
        <v>2063</v>
      </c>
      <c r="C81" s="20" t="s">
        <v>1924</v>
      </c>
      <c r="D81" s="20" t="s">
        <v>1833</v>
      </c>
      <c r="E81" s="20" t="s">
        <v>2064</v>
      </c>
      <c r="K81" s="21" t="str">
        <f>IFERROR(__xludf.DUMMYFUNCTION("GOOGLETRANSLATE(B81, ""th"", ""en"")"),"What does changing positions during a game count as?")</f>
        <v>What does changing positions during a game count as?</v>
      </c>
      <c r="L81" s="21" t="str">
        <f>IFERROR(__xludf.DUMMYFUNCTION("GOOGLETRANSLATE(C81, ""th"", ""en"")"),"A) Foul; B) No foul; C) Depending on the situation; D) Re-serve")</f>
        <v>A) Foul; B) No foul; C) Depending on the situation; D) Re-serve</v>
      </c>
      <c r="M81" s="21" t="str">
        <f>IFERROR(__xludf.DUMMYFUNCTION("GOOGLETRANSLATE(D81, ""th"", ""en"")"),"A) Foul")</f>
        <v>A) Foul</v>
      </c>
    </row>
    <row r="82" ht="14.25" customHeight="1">
      <c r="A82" s="18">
        <v>81.0</v>
      </c>
      <c r="B82" s="20" t="s">
        <v>2065</v>
      </c>
      <c r="C82" s="20" t="s">
        <v>2066</v>
      </c>
      <c r="D82" s="20" t="s">
        <v>1833</v>
      </c>
      <c r="E82" s="20" t="s">
        <v>2067</v>
      </c>
      <c r="K82" s="21" t="str">
        <f>IFERROR(__xludf.DUMMYFUNCTION("GOOGLETRANSLATE(B82, ""th"", ""en"")"),"What happens if a player hits the sepak takraw ball in the wrong direction?")</f>
        <v>What happens if a player hits the sepak takraw ball in the wrong direction?</v>
      </c>
      <c r="L82" s="21" t="str">
        <f>IFERROR(__xludf.DUMMYFUNCTION("GOOGLETRANSLATE(C82, ""th"", ""en"")"),"A) foul; B) re-serve; C) score; D) continue play")</f>
        <v>A) foul; B) re-serve; C) score; D) continue play</v>
      </c>
      <c r="M82" s="21" t="str">
        <f>IFERROR(__xludf.DUMMYFUNCTION("GOOGLETRANSLATE(D82, ""th"", ""en"")"),"A) Foul")</f>
        <v>A) Foul</v>
      </c>
    </row>
    <row r="83" ht="14.25" customHeight="1">
      <c r="A83" s="18">
        <v>82.0</v>
      </c>
      <c r="B83" s="20" t="s">
        <v>2068</v>
      </c>
      <c r="C83" s="20" t="s">
        <v>1888</v>
      </c>
      <c r="D83" s="20" t="s">
        <v>1833</v>
      </c>
      <c r="E83" s="20" t="s">
        <v>2069</v>
      </c>
      <c r="K83" s="21" t="str">
        <f>IFERROR(__xludf.DUMMYFUNCTION("GOOGLETRANSLATE(B83, ""th"", ""en"")"),"What happens if a player fails to respond to a serve within the allotted time?")</f>
        <v>What happens if a player fails to respond to a serve within the allotted time?</v>
      </c>
      <c r="L83" s="21" t="str">
        <f>IFERROR(__xludf.DUMMYFUNCTION("GOOGLETRANSLATE(C83, ""th"", ""en"")"),"A) foul; B) score; C) re-serve; D) no result")</f>
        <v>A) foul; B) score; C) re-serve; D) no result</v>
      </c>
      <c r="M83" s="21" t="str">
        <f>IFERROR(__xludf.DUMMYFUNCTION("GOOGLETRANSLATE(D83, ""th"", ""en"")"),"A) Foul")</f>
        <v>A) Foul</v>
      </c>
    </row>
    <row r="84" ht="14.25" customHeight="1">
      <c r="A84" s="18">
        <v>83.0</v>
      </c>
      <c r="B84" s="20" t="s">
        <v>2037</v>
      </c>
      <c r="C84" s="20" t="s">
        <v>1836</v>
      </c>
      <c r="D84" s="20" t="s">
        <v>1837</v>
      </c>
      <c r="E84" s="20" t="s">
        <v>2070</v>
      </c>
      <c r="K84" s="21" t="str">
        <f>IFERROR(__xludf.DUMMYFUNCTION("GOOGLETRANSLATE(B84, ""th"", ""en"")"),"Is it illegal to catch a sepak takraw ball with your feet?")</f>
        <v>Is it illegal to catch a sepak takraw ball with your feet?</v>
      </c>
      <c r="L84" s="21" t="str">
        <f>IFERROR(__xludf.DUMMYFUNCTION("GOOGLETRANSLATE(C84, ""th"", ""en"")"),"A) Wrong; B) Not wrong; C) Depends on the situation; D) Re-serve")</f>
        <v>A) Wrong; B) Not wrong; C) Depends on the situation; D) Re-serve</v>
      </c>
      <c r="M84" s="21" t="str">
        <f>IFERROR(__xludf.DUMMYFUNCTION("GOOGLETRANSLATE(D84, ""th"", ""en"")"),"B) Not wrong")</f>
        <v>B) Not wrong</v>
      </c>
    </row>
    <row r="85" ht="14.25" customHeight="1">
      <c r="A85" s="18">
        <v>84.0</v>
      </c>
      <c r="B85" s="20" t="s">
        <v>2071</v>
      </c>
      <c r="C85" s="20" t="s">
        <v>1907</v>
      </c>
      <c r="D85" s="20" t="s">
        <v>1833</v>
      </c>
      <c r="E85" s="20" t="s">
        <v>1985</v>
      </c>
      <c r="K85" s="21" t="str">
        <f>IFERROR(__xludf.DUMMYFUNCTION("GOOGLETRANSLATE(B85, ""th"", ""en"")"),"What is considered a sepak takraw ball that is hit too hard and goes out of the court?")</f>
        <v>What is considered a sepak takraw ball that is hit too hard and goes out of the court?</v>
      </c>
      <c r="L85" s="21" t="str">
        <f>IFERROR(__xludf.DUMMYFUNCTION("GOOGLETRANSLATE(C85, ""th"", ""en"")"),"A) foul; B) score; C) re-serve; D) continue play")</f>
        <v>A) foul; B) score; C) re-serve; D) continue play</v>
      </c>
      <c r="M85" s="21" t="str">
        <f>IFERROR(__xludf.DUMMYFUNCTION("GOOGLETRANSLATE(D85, ""th"", ""en"")"),"A) Foul")</f>
        <v>A) Foul</v>
      </c>
    </row>
    <row r="86" ht="14.25" customHeight="1">
      <c r="A86" s="18">
        <v>85.0</v>
      </c>
      <c r="B86" s="20" t="s">
        <v>2072</v>
      </c>
      <c r="C86" s="20" t="s">
        <v>1893</v>
      </c>
      <c r="D86" s="20" t="s">
        <v>1904</v>
      </c>
      <c r="E86" s="20" t="s">
        <v>2073</v>
      </c>
      <c r="K86" s="21" t="str">
        <f>IFERROR(__xludf.DUMMYFUNCTION("GOOGLETRANSLATE(B86, ""th"", ""en"")"),"If the sepak takraw ball hits the edge of the court, what happens?")</f>
        <v>If the sepak takraw ball hits the edge of the court, what happens?</v>
      </c>
      <c r="L86" s="21" t="str">
        <f>IFERROR(__xludf.DUMMYFUNCTION("GOOGLETRANSLATE(C86, ""th"", ""en"")"),"A) foul; B) play continues; C) score a point; D) re-serve")</f>
        <v>A) foul; B) play continues; C) score a point; D) re-serve</v>
      </c>
      <c r="M86" s="21" t="str">
        <f>IFERROR(__xludf.DUMMYFUNCTION("GOOGLETRANSLATE(D86, ""th"", ""en"")"),"B) Can continue playing.")</f>
        <v>B) Can continue playing.</v>
      </c>
    </row>
    <row r="87" ht="14.25" customHeight="1">
      <c r="A87" s="18">
        <v>86.0</v>
      </c>
      <c r="B87" s="20" t="s">
        <v>2074</v>
      </c>
      <c r="C87" s="20" t="s">
        <v>1885</v>
      </c>
      <c r="D87" s="20" t="s">
        <v>698</v>
      </c>
      <c r="E87" s="20" t="s">
        <v>2075</v>
      </c>
      <c r="K87" s="21" t="str">
        <f>IFERROR(__xludf.DUMMYFUNCTION("GOOGLETRANSLATE(B87, ""th"", ""en"")"),"If a player commits a foul while receiving the ball, will the team's position be changed?")</f>
        <v>If a player commits a foul while receiving the ball, will the team's position be changed?</v>
      </c>
      <c r="L87" s="21" t="str">
        <f>IFERROR(__xludf.DUMMYFUNCTION("GOOGLETRANSLATE(C87, ""th"", ""en"")"),"A) Yes; B) No; C) Depends on the situation; D) Re-serve")</f>
        <v>A) Yes; B) No; C) Depends on the situation; D) Re-serve</v>
      </c>
      <c r="M87" s="21" t="str">
        <f>IFERROR(__xludf.DUMMYFUNCTION("GOOGLETRANSLATE(D87, ""th"", ""en"")"),"B) No.")</f>
        <v>B) No.</v>
      </c>
    </row>
    <row r="88" ht="14.25" customHeight="1">
      <c r="A88" s="18">
        <v>87.0</v>
      </c>
      <c r="B88" s="20" t="s">
        <v>2076</v>
      </c>
      <c r="C88" s="20" t="s">
        <v>2051</v>
      </c>
      <c r="D88" s="20" t="s">
        <v>1940</v>
      </c>
      <c r="E88" s="20" t="s">
        <v>2077</v>
      </c>
      <c r="K88" s="21" t="str">
        <f>IFERROR(__xludf.DUMMYFUNCTION("GOOGLETRANSLATE(B88, ""th"", ""en"")"),"What happens if a team commits a foul while serving?")</f>
        <v>What happens if a team commits a foul while serving?</v>
      </c>
      <c r="L88" s="21" t="str">
        <f>IFERROR(__xludf.DUMMYFUNCTION("GOOGLETRANSLATE(C88, ""th"", ""en"")"),"A) The opponent scores a point; B) The serve is re-served; C) The team must make a substitution; D) No effect.")</f>
        <v>A) The opponent scores a point; B) The serve is re-served; C) The team must make a substitution; D) No effect.</v>
      </c>
      <c r="M88" s="21" t="str">
        <f>IFERROR(__xludf.DUMMYFUNCTION("GOOGLETRANSLATE(D88, ""th"", ""en"")"),"A) The opponent scores points.")</f>
        <v>A) The opponent scores points.</v>
      </c>
    </row>
    <row r="89" ht="14.25" customHeight="1">
      <c r="A89" s="18">
        <v>88.0</v>
      </c>
      <c r="B89" s="20" t="s">
        <v>2078</v>
      </c>
      <c r="C89" s="20" t="s">
        <v>2079</v>
      </c>
      <c r="D89" s="20" t="s">
        <v>2014</v>
      </c>
      <c r="E89" s="20" t="s">
        <v>2080</v>
      </c>
      <c r="K89" s="21" t="str">
        <f>IFERROR(__xludf.DUMMYFUNCTION("GOOGLETRANSLATE(B89, ""th"", ""en"")"),"What happens if you use inappropriate gestures during a match?")</f>
        <v>What happens if you use inappropriate gestures during a match?</v>
      </c>
      <c r="L89" s="21" t="str">
        <f>IFERROR(__xludf.DUMMYFUNCTION("GOOGLETRANSLATE(C89, ""th"", ""en"")"),"A) foul; B) score; C) re-serve; D) player is penalized.")</f>
        <v>A) foul; B) score; C) re-serve; D) player is penalized.</v>
      </c>
      <c r="M89" s="21" t="str">
        <f>IFERROR(__xludf.DUMMYFUNCTION("GOOGLETRANSLATE(D89, ""th"", ""en"")"),"D) The player is fined.")</f>
        <v>D) The player is fined.</v>
      </c>
    </row>
    <row r="90" ht="14.25" customHeight="1">
      <c r="A90" s="18">
        <v>89.0</v>
      </c>
      <c r="B90" s="20" t="s">
        <v>2081</v>
      </c>
      <c r="C90" s="20" t="s">
        <v>2082</v>
      </c>
      <c r="D90" s="20" t="s">
        <v>2083</v>
      </c>
      <c r="E90" s="20" t="s">
        <v>2084</v>
      </c>
      <c r="K90" s="21" t="str">
        <f>IFERROR(__xludf.DUMMYFUNCTION("GOOGLETRANSLATE(B90, ""th"", ""en"")"),"What happens if a player is substituted during a match?")</f>
        <v>What happens if a player is substituted during a match?</v>
      </c>
      <c r="L90" s="21" t="str">
        <f>IFERROR(__xludf.DUMMYFUNCTION("GOOGLETRANSLATE(C90, ""th"", ""en"")"),"A) foul; B) score; C) re-serve; D) must inform the referee.")</f>
        <v>A) foul; B) score; C) re-serve; D) must inform the referee.</v>
      </c>
      <c r="M90" s="21" t="str">
        <f>IFERROR(__xludf.DUMMYFUNCTION("GOOGLETRANSLATE(D90, ""th"", ""en"")"),"D) Must inform the referee.")</f>
        <v>D) Must inform the referee.</v>
      </c>
    </row>
    <row r="91" ht="14.25" customHeight="1">
      <c r="A91" s="18">
        <v>90.0</v>
      </c>
      <c r="B91" s="20" t="s">
        <v>2085</v>
      </c>
      <c r="C91" s="20" t="s">
        <v>2086</v>
      </c>
      <c r="D91" s="20" t="s">
        <v>2087</v>
      </c>
      <c r="E91" s="20" t="s">
        <v>2088</v>
      </c>
      <c r="K91" s="21" t="str">
        <f>IFERROR(__xludf.DUMMYFUNCTION("GOOGLETRANSLATE(B91, ""th"", ""en"")"),"How many times can a player be substituted during a game?")</f>
        <v>How many times can a player be substituted during a game?</v>
      </c>
      <c r="L91" s="21" t="str">
        <f>IFERROR(__xludf.DUMMYFUNCTION("GOOGLETRANSLATE(C91, ""th"", ""en"")"),"A) 1 time; B) 2 times; C) Depends on the situation; D) Unlimited")</f>
        <v>A) 1 time; B) 2 times; C) Depends on the situation; D) Unlimited</v>
      </c>
      <c r="M91" s="21" t="str">
        <f>IFERROR(__xludf.DUMMYFUNCTION("GOOGLETRANSLATE(D91, ""th"", ""en"")"),"C) Depends on the situation.")</f>
        <v>C) Depends on the situation.</v>
      </c>
    </row>
    <row r="92" ht="14.25" customHeight="1">
      <c r="A92" s="18">
        <v>91.0</v>
      </c>
      <c r="B92" s="20" t="s">
        <v>2089</v>
      </c>
      <c r="C92" s="20" t="s">
        <v>2025</v>
      </c>
      <c r="D92" s="20" t="s">
        <v>1940</v>
      </c>
      <c r="E92" s="20" t="s">
        <v>2090</v>
      </c>
      <c r="K92" s="21" t="str">
        <f>IFERROR(__xludf.DUMMYFUNCTION("GOOGLETRANSLATE(B92, ""th"", ""en"")"),"What happens if you commit a foul during the serve?")</f>
        <v>What happens if you commit a foul during the serve?</v>
      </c>
      <c r="L92" s="21" t="str">
        <f>IFERROR(__xludf.DUMMYFUNCTION("GOOGLETRANSLATE(C92, ""th"", ""en"")"),"A) The opponent scores a point; B) Re-serve; C) Another foul; D) No effect.")</f>
        <v>A) The opponent scores a point; B) Re-serve; C) Another foul; D) No effect.</v>
      </c>
      <c r="M92" s="21" t="str">
        <f>IFERROR(__xludf.DUMMYFUNCTION("GOOGLETRANSLATE(D92, ""th"", ""en"")"),"A) The opponent scores points.")</f>
        <v>A) The opponent scores points.</v>
      </c>
    </row>
    <row r="93" ht="14.25" customHeight="1">
      <c r="A93" s="18">
        <v>92.0</v>
      </c>
      <c r="B93" s="20" t="s">
        <v>2091</v>
      </c>
      <c r="C93" s="20" t="s">
        <v>2066</v>
      </c>
      <c r="D93" s="20" t="s">
        <v>1833</v>
      </c>
      <c r="E93" s="20" t="s">
        <v>2092</v>
      </c>
      <c r="K93" s="21" t="str">
        <f>IFERROR(__xludf.DUMMYFUNCTION("GOOGLETRANSLATE(B93, ""th"", ""en"")"),"What happens if the sepak takraw ball bounces off the court before it is hit?")</f>
        <v>What happens if the sepak takraw ball bounces off the court before it is hit?</v>
      </c>
      <c r="L93" s="21" t="str">
        <f>IFERROR(__xludf.DUMMYFUNCTION("GOOGLETRANSLATE(C93, ""th"", ""en"")"),"A) foul; B) re-serve; C) score; D) continue play")</f>
        <v>A) foul; B) re-serve; C) score; D) continue play</v>
      </c>
      <c r="M93" s="21" t="str">
        <f>IFERROR(__xludf.DUMMYFUNCTION("GOOGLETRANSLATE(D93, ""th"", ""en"")"),"A) Foul")</f>
        <v>A) Foul</v>
      </c>
    </row>
    <row r="94" ht="14.25" customHeight="1">
      <c r="A94" s="18">
        <v>93.0</v>
      </c>
      <c r="B94" s="20" t="s">
        <v>2093</v>
      </c>
      <c r="C94" s="20" t="s">
        <v>1924</v>
      </c>
      <c r="D94" s="20" t="s">
        <v>1925</v>
      </c>
      <c r="E94" s="20" t="s">
        <v>2094</v>
      </c>
      <c r="K94" s="21" t="str">
        <f>IFERROR(__xludf.DUMMYFUNCTION("GOOGLETRANSLATE(B94, ""th"", ""en"")"),"What is considered using feet to play sepak takraw during the game?")</f>
        <v>What is considered using feet to play sepak takraw during the game?</v>
      </c>
      <c r="L94" s="21" t="str">
        <f>IFERROR(__xludf.DUMMYFUNCTION("GOOGLETRANSLATE(C94, ""th"", ""en"")"),"A) Foul; B) No foul; C) Depending on the situation; D) Re-serve")</f>
        <v>A) Foul; B) No foul; C) Depending on the situation; D) Re-serve</v>
      </c>
      <c r="M94" s="21" t="str">
        <f>IFERROR(__xludf.DUMMYFUNCTION("GOOGLETRANSLATE(D94, ""th"", ""en"")"),"B) No foul.")</f>
        <v>B) No foul.</v>
      </c>
    </row>
    <row r="95" ht="14.25" customHeight="1">
      <c r="A95" s="18">
        <v>94.0</v>
      </c>
      <c r="B95" s="20" t="s">
        <v>2095</v>
      </c>
      <c r="C95" s="20" t="s">
        <v>2096</v>
      </c>
      <c r="D95" s="20" t="s">
        <v>1833</v>
      </c>
      <c r="E95" s="20" t="s">
        <v>2097</v>
      </c>
      <c r="K95" s="21" t="str">
        <f>IFERROR(__xludf.DUMMYFUNCTION("GOOGLETRANSLATE(B95, ""th"", ""en"")"),"What happens if a player does not stand in the correct position when serving?")</f>
        <v>What happens if a player does not stand in the correct position when serving?</v>
      </c>
      <c r="L95" s="21" t="str">
        <f>IFERROR(__xludf.DUMMYFUNCTION("GOOGLETRANSLATE(C95, ""th"", ""en"")"),"A) Foul; B) Re-serve; C) Opponent scores a point; D) No result.")</f>
        <v>A) Foul; B) Re-serve; C) Opponent scores a point; D) No result.</v>
      </c>
      <c r="M95" s="21" t="str">
        <f>IFERROR(__xludf.DUMMYFUNCTION("GOOGLETRANSLATE(D95, ""th"", ""en"")"),"A) Foul")</f>
        <v>A) Foul</v>
      </c>
    </row>
    <row r="96" ht="14.25" customHeight="1">
      <c r="A96" s="18">
        <v>95.0</v>
      </c>
      <c r="B96" s="20" t="s">
        <v>2098</v>
      </c>
      <c r="C96" s="20" t="s">
        <v>2099</v>
      </c>
      <c r="D96" s="20" t="s">
        <v>2059</v>
      </c>
      <c r="E96" s="20" t="s">
        <v>2100</v>
      </c>
      <c r="K96" s="21" t="str">
        <f>IFERROR(__xludf.DUMMYFUNCTION("GOOGLETRANSLATE(B96, ""th"", ""en"")"),"What happens if the shuttlecock is hit incorrectly by a serve?")</f>
        <v>What happens if the shuttlecock is hit incorrectly by a serve?</v>
      </c>
      <c r="L96" s="21" t="str">
        <f>IFERROR(__xludf.DUMMYFUNCTION("GOOGLETRANSLATE(C96, ""th"", ""en"")"),"A) foul; B) re-serve; C) opponent scores a point; D) play continues.")</f>
        <v>A) foul; B) re-serve; C) opponent scores a point; D) play continues.</v>
      </c>
      <c r="M96" s="21" t="str">
        <f>IFERROR(__xludf.DUMMYFUNCTION("GOOGLETRANSLATE(D96, ""th"", ""en"")"),"C) The opponent scores points.")</f>
        <v>C) The opponent scores points.</v>
      </c>
    </row>
    <row r="97" ht="14.25" customHeight="1">
      <c r="A97" s="18">
        <v>96.0</v>
      </c>
      <c r="B97" s="20" t="s">
        <v>2101</v>
      </c>
      <c r="C97" s="20" t="s">
        <v>1888</v>
      </c>
      <c r="D97" s="20" t="s">
        <v>1833</v>
      </c>
      <c r="E97" s="20" t="s">
        <v>2102</v>
      </c>
      <c r="K97" s="21" t="str">
        <f>IFERROR(__xludf.DUMMYFUNCTION("GOOGLETRANSLATE(B97, ""th"", ""en"")"),"What happens if a player forgets to make a substitution according to the rules?")</f>
        <v>What happens if a player forgets to make a substitution according to the rules?</v>
      </c>
      <c r="L97" s="21" t="str">
        <f>IFERROR(__xludf.DUMMYFUNCTION("GOOGLETRANSLATE(C97, ""th"", ""en"")"),"A) foul; B) score; C) re-serve; D) no result")</f>
        <v>A) foul; B) score; C) re-serve; D) no result</v>
      </c>
      <c r="M97" s="21" t="str">
        <f>IFERROR(__xludf.DUMMYFUNCTION("GOOGLETRANSLATE(D97, ""th"", ""en"")"),"A) Foul")</f>
        <v>A) Foul</v>
      </c>
    </row>
    <row r="98" ht="14.25" customHeight="1">
      <c r="A98" s="18">
        <v>97.0</v>
      </c>
      <c r="B98" s="20" t="s">
        <v>2103</v>
      </c>
      <c r="C98" s="20" t="s">
        <v>2104</v>
      </c>
      <c r="D98" s="20" t="s">
        <v>2105</v>
      </c>
      <c r="E98" s="20" t="s">
        <v>2106</v>
      </c>
      <c r="K98" s="21" t="str">
        <f>IFERROR(__xludf.DUMMYFUNCTION("GOOGLETRANSLATE(B98, ""th"", ""en"")"),"What are the consequences of using inappropriate gestures in competition?")</f>
        <v>What are the consequences of using inappropriate gestures in competition?</v>
      </c>
      <c r="L98" s="21" t="str">
        <f>IFERROR(__xludf.DUMMYFUNCTION("GOOGLETRANSLATE(C98, ""th"", ""en"")"),"A) foul; B) score; C) player is penalized; D) no effect")</f>
        <v>A) foul; B) score; C) player is penalized; D) no effect</v>
      </c>
      <c r="M98" s="21" t="str">
        <f>IFERROR(__xludf.DUMMYFUNCTION("GOOGLETRANSLATE(D98, ""th"", ""en"")"),"C) The player is fined.")</f>
        <v>C) The player is fined.</v>
      </c>
    </row>
    <row r="99" ht="14.25" customHeight="1">
      <c r="A99" s="18">
        <v>98.0</v>
      </c>
      <c r="B99" s="20" t="s">
        <v>2107</v>
      </c>
      <c r="C99" s="20" t="s">
        <v>1844</v>
      </c>
      <c r="D99" s="20" t="s">
        <v>1833</v>
      </c>
      <c r="E99" s="20" t="s">
        <v>2108</v>
      </c>
      <c r="K99" s="21" t="str">
        <f>IFERROR(__xludf.DUMMYFUNCTION("GOOGLETRANSLATE(B99, ""th"", ""en"")"),"What happens if a player uses their hands to play sepak takraw?")</f>
        <v>What happens if a player uses their hands to play sepak takraw?</v>
      </c>
      <c r="L99" s="21" t="str">
        <f>IFERROR(__xludf.DUMMYFUNCTION("GOOGLETRANSLATE(C99, ""th"", ""en"")"),"A) Foul; B) Re-serve; C) Point; D) No result")</f>
        <v>A) Foul; B) Re-serve; C) Point; D) No result</v>
      </c>
      <c r="M99" s="21" t="str">
        <f>IFERROR(__xludf.DUMMYFUNCTION("GOOGLETRANSLATE(D99, ""th"", ""en"")"),"A) Foul")</f>
        <v>A) Foul</v>
      </c>
    </row>
    <row r="100" ht="14.25" customHeight="1">
      <c r="A100" s="18">
        <v>99.0</v>
      </c>
      <c r="B100" s="20" t="s">
        <v>2109</v>
      </c>
      <c r="C100" s="20" t="s">
        <v>1907</v>
      </c>
      <c r="D100" s="20" t="s">
        <v>1948</v>
      </c>
      <c r="E100" s="20" t="s">
        <v>2110</v>
      </c>
      <c r="K100" s="21" t="str">
        <f>IFERROR(__xludf.DUMMYFUNCTION("GOOGLETRANSLATE(B100, ""th"", ""en"")"),"What is considered hitting the sepak takraw ball to the edge of the court?")</f>
        <v>What is considered hitting the sepak takraw ball to the edge of the court?</v>
      </c>
      <c r="L100" s="21" t="str">
        <f>IFERROR(__xludf.DUMMYFUNCTION("GOOGLETRANSLATE(C100, ""th"", ""en"")"),"A) foul; B) score; C) re-serve; D) continue play")</f>
        <v>A) foul; B) score; C) re-serve; D) continue play</v>
      </c>
      <c r="M100" s="21" t="str">
        <f>IFERROR(__xludf.DUMMYFUNCTION("GOOGLETRANSLATE(D100, ""th"", ""en"")"),"B) got points")</f>
        <v>B) got points</v>
      </c>
    </row>
    <row r="101" ht="14.25" customHeight="1">
      <c r="A101" s="18">
        <v>100.0</v>
      </c>
      <c r="B101" s="20" t="s">
        <v>2111</v>
      </c>
      <c r="C101" s="20" t="s">
        <v>1888</v>
      </c>
      <c r="D101" s="20" t="s">
        <v>2112</v>
      </c>
      <c r="E101" s="20" t="s">
        <v>2113</v>
      </c>
      <c r="K101" s="21" t="str">
        <f>IFERROR(__xludf.DUMMYFUNCTION("GOOGLETRANSLATE(B101, ""th"", ""en"")"),"What happens if I apologize to the referee after committing a foul?")</f>
        <v>What happens if I apologize to the referee after committing a foul?</v>
      </c>
      <c r="L101" s="21" t="str">
        <f>IFERROR(__xludf.DUMMYFUNCTION("GOOGLETRANSLATE(C101, ""th"", ""en"")"),"A) foul; B) score; C) re-serve; D) no result")</f>
        <v>A) foul; B) score; C) re-serve; D) no result</v>
      </c>
      <c r="M101" s="21" t="str">
        <f>IFERROR(__xludf.DUMMYFUNCTION("GOOGLETRANSLATE(D101, ""th"", ""en"")"),"D) No effect")</f>
        <v>D) No effect</v>
      </c>
    </row>
    <row r="102" ht="14.25" customHeight="1">
      <c r="A102" s="18">
        <v>101.0</v>
      </c>
      <c r="B102" s="20" t="s">
        <v>2114</v>
      </c>
      <c r="C102" s="20" t="s">
        <v>1907</v>
      </c>
      <c r="D102" s="20" t="s">
        <v>2030</v>
      </c>
      <c r="E102" s="20" t="s">
        <v>2115</v>
      </c>
      <c r="K102" s="21" t="str">
        <f>IFERROR(__xludf.DUMMYFUNCTION("GOOGLETRANSLATE(B102, ""th"", ""en"")"),"If the sepak takraw ball is in the court but one side does not hit it immediately, what is considered?")</f>
        <v>If the sepak takraw ball is in the court but one side does not hit it immediately, what is considered?</v>
      </c>
      <c r="L102" s="21" t="str">
        <f>IFERROR(__xludf.DUMMYFUNCTION("GOOGLETRANSLATE(C102, ""th"", ""en"")"),"A) foul; B) score; C) re-serve; D) continue play")</f>
        <v>A) foul; B) score; C) re-serve; D) continue play</v>
      </c>
      <c r="M102" s="21" t="str">
        <f>IFERROR(__xludf.DUMMYFUNCTION("GOOGLETRANSLATE(D102, ""th"", ""en"")"),"D) Can continue playing.")</f>
        <v>D) Can continue playing.</v>
      </c>
    </row>
    <row r="103" ht="14.25" customHeight="1">
      <c r="A103" s="18">
        <v>102.0</v>
      </c>
      <c r="B103" s="20" t="s">
        <v>2116</v>
      </c>
      <c r="C103" s="20" t="s">
        <v>2117</v>
      </c>
      <c r="D103" s="20" t="s">
        <v>2118</v>
      </c>
      <c r="E103" s="20" t="s">
        <v>2119</v>
      </c>
      <c r="K103" s="21" t="str">
        <f>IFERROR(__xludf.DUMMYFUNCTION("GOOGLETRANSLATE(B103, ""th"", ""en"")"),"How does the judges' scoring affect the results?")</f>
        <v>How does the judges' scoring affect the results?</v>
      </c>
      <c r="L103" s="21" t="str">
        <f>IFERROR(__xludf.DUMMYFUNCTION("GOOGLETRANSLATE(C103, ""th"", ""en"")"),"A) will take effect immediately; B) depends on the situation; C) will be reviewed again; D) will not take effect.")</f>
        <v>A) will take effect immediately; B) depends on the situation; C) will be reviewed again; D) will not take effect.</v>
      </c>
      <c r="M103" s="21" t="str">
        <f>IFERROR(__xludf.DUMMYFUNCTION("GOOGLETRANSLATE(D103, ""th"", ""en"")"),"A) It will take effect immediately.")</f>
        <v>A) It will take effect immediately.</v>
      </c>
    </row>
    <row r="104" ht="14.25" customHeight="1">
      <c r="A104" s="18">
        <v>103.0</v>
      </c>
      <c r="B104" s="20" t="s">
        <v>2120</v>
      </c>
      <c r="C104" s="20" t="s">
        <v>1888</v>
      </c>
      <c r="D104" s="20" t="s">
        <v>1948</v>
      </c>
      <c r="E104" s="20" t="s">
        <v>2023</v>
      </c>
      <c r="K104" s="21" t="str">
        <f>IFERROR(__xludf.DUMMYFUNCTION("GOOGLETRANSLATE(B104, ""th"", ""en"")"),"What happens if the sepak takraw ball goes out of the court during a game?")</f>
        <v>What happens if the sepak takraw ball goes out of the court during a game?</v>
      </c>
      <c r="L104" s="21" t="str">
        <f>IFERROR(__xludf.DUMMYFUNCTION("GOOGLETRANSLATE(C104, ""th"", ""en"")"),"A) foul; B) score; C) re-serve; D) no result")</f>
        <v>A) foul; B) score; C) re-serve; D) no result</v>
      </c>
      <c r="M104" s="21" t="str">
        <f>IFERROR(__xludf.DUMMYFUNCTION("GOOGLETRANSLATE(D104, ""th"", ""en"")"),"B) got points")</f>
        <v>B) got points</v>
      </c>
    </row>
    <row r="105" ht="14.25" customHeight="1">
      <c r="A105" s="18">
        <v>104.0</v>
      </c>
      <c r="B105" s="20" t="s">
        <v>2121</v>
      </c>
      <c r="C105" s="20" t="s">
        <v>2025</v>
      </c>
      <c r="D105" s="20" t="s">
        <v>1940</v>
      </c>
      <c r="E105" s="20" t="s">
        <v>2122</v>
      </c>
      <c r="K105" s="21" t="str">
        <f>IFERROR(__xludf.DUMMYFUNCTION("GOOGLETRANSLATE(B105, ""th"", ""en"")"),"What happens if a player commits a foul while serving?")</f>
        <v>What happens if a player commits a foul while serving?</v>
      </c>
      <c r="L105" s="21" t="str">
        <f>IFERROR(__xludf.DUMMYFUNCTION("GOOGLETRANSLATE(C105, ""th"", ""en"")"),"A) The opponent scores a point; B) Re-serve; C) Another foul; D) No effect.")</f>
        <v>A) The opponent scores a point; B) Re-serve; C) Another foul; D) No effect.</v>
      </c>
      <c r="M105" s="21" t="str">
        <f>IFERROR(__xludf.DUMMYFUNCTION("GOOGLETRANSLATE(D105, ""th"", ""en"")"),"A) The opponent scores points.")</f>
        <v>A) The opponent scores points.</v>
      </c>
    </row>
    <row r="106" ht="14.25" customHeight="1">
      <c r="A106" s="18">
        <v>105.0</v>
      </c>
      <c r="B106" s="20" t="s">
        <v>2123</v>
      </c>
      <c r="C106" s="20" t="s">
        <v>2096</v>
      </c>
      <c r="D106" s="20" t="s">
        <v>2059</v>
      </c>
      <c r="E106" s="20" t="s">
        <v>2124</v>
      </c>
      <c r="K106" s="21" t="str">
        <f>IFERROR(__xludf.DUMMYFUNCTION("GOOGLETRANSLATE(B106, ""th"", ""en"")"),"What happens if a player doesn't correctly catch a floating ball?")</f>
        <v>What happens if a player doesn't correctly catch a floating ball?</v>
      </c>
      <c r="L106" s="21" t="str">
        <f>IFERROR(__xludf.DUMMYFUNCTION("GOOGLETRANSLATE(C106, ""th"", ""en"")"),"A) Foul; B) Re-serve; C) Opponent scores a point; D) No result.")</f>
        <v>A) Foul; B) Re-serve; C) Opponent scores a point; D) No result.</v>
      </c>
      <c r="M106" s="21" t="str">
        <f>IFERROR(__xludf.DUMMYFUNCTION("GOOGLETRANSLATE(D106, ""th"", ""en"")"),"C) The opponent scores points.")</f>
        <v>C) The opponent scores points.</v>
      </c>
    </row>
    <row r="107" ht="14.25" customHeight="1">
      <c r="A107" s="18">
        <v>106.0</v>
      </c>
      <c r="B107" s="20" t="s">
        <v>2125</v>
      </c>
      <c r="C107" s="20" t="s">
        <v>1939</v>
      </c>
      <c r="D107" s="20" t="s">
        <v>1940</v>
      </c>
      <c r="E107" s="20" t="s">
        <v>2126</v>
      </c>
      <c r="K107" s="21" t="str">
        <f>IFERROR(__xludf.DUMMYFUNCTION("GOOGLETRANSLATE(B107, ""th"", ""en"")"),"What will the referee's decision be if the sepak takraw ball bounces out of the court?")</f>
        <v>What will the referee's decision be if the sepak takraw ball bounces out of the court?</v>
      </c>
      <c r="L107" s="21" t="str">
        <f>IFERROR(__xludf.DUMMYFUNCTION("GOOGLETRANSLATE(C107, ""th"", ""en"")"),"A) The opponent scores a point; B) Re-serve; C) Foul; D) No result.")</f>
        <v>A) The opponent scores a point; B) Re-serve; C) Foul; D) No result.</v>
      </c>
      <c r="M107" s="21" t="str">
        <f>IFERROR(__xludf.DUMMYFUNCTION("GOOGLETRANSLATE(D107, ""th"", ""en"")"),"A) The opponent scores points.")</f>
        <v>A) The opponent scores points.</v>
      </c>
    </row>
    <row r="108" ht="14.25" customHeight="1">
      <c r="A108" s="18">
        <v>107.0</v>
      </c>
      <c r="B108" s="20" t="s">
        <v>2127</v>
      </c>
      <c r="C108" s="20" t="s">
        <v>2066</v>
      </c>
      <c r="D108" s="20" t="s">
        <v>1833</v>
      </c>
      <c r="E108" s="20" t="s">
        <v>2067</v>
      </c>
      <c r="K108" s="21" t="str">
        <f>IFERROR(__xludf.DUMMYFUNCTION("GOOGLETRANSLATE(B108, ""th"", ""en"")"),"What happens if you hit the sepak takraw ball in the wrong direction?")</f>
        <v>What happens if you hit the sepak takraw ball in the wrong direction?</v>
      </c>
      <c r="L108" s="21" t="str">
        <f>IFERROR(__xludf.DUMMYFUNCTION("GOOGLETRANSLATE(C108, ""th"", ""en"")"),"A) foul; B) re-serve; C) score; D) continue play")</f>
        <v>A) foul; B) re-serve; C) score; D) continue play</v>
      </c>
      <c r="M108" s="21" t="str">
        <f>IFERROR(__xludf.DUMMYFUNCTION("GOOGLETRANSLATE(D108, ""th"", ""en"")"),"A) Foul")</f>
        <v>A) Foul</v>
      </c>
    </row>
    <row r="109" ht="14.25" customHeight="1">
      <c r="A109" s="18">
        <v>108.0</v>
      </c>
      <c r="B109" s="20" t="s">
        <v>2128</v>
      </c>
      <c r="C109" s="20" t="s">
        <v>2005</v>
      </c>
      <c r="D109" s="20" t="s">
        <v>1911</v>
      </c>
      <c r="E109" s="20" t="s">
        <v>2129</v>
      </c>
      <c r="K109" s="21" t="str">
        <f>IFERROR(__xludf.DUMMYFUNCTION("GOOGLETRANSLATE(B109, ""th"", ""en"")"),"What happens if a player commits a foul while playing the ball?")</f>
        <v>What happens if a player commits a foul while playing the ball?</v>
      </c>
      <c r="L109" s="21" t="str">
        <f>IFERROR(__xludf.DUMMYFUNCTION("GOOGLETRANSLATE(C109, ""th"", ""en"")"),"A) Re-serve; B) Opponent scores a point; C) Foul; D) No result.")</f>
        <v>A) Re-serve; B) Opponent scores a point; C) Foul; D) No result.</v>
      </c>
      <c r="M109" s="21" t="str">
        <f>IFERROR(__xludf.DUMMYFUNCTION("GOOGLETRANSLATE(D109, ""th"", ""en"")"),"B) The opponent scores points.")</f>
        <v>B) The opponent scores points.</v>
      </c>
    </row>
    <row r="110" ht="14.25" customHeight="1">
      <c r="A110" s="18">
        <v>109.0</v>
      </c>
      <c r="B110" s="20" t="s">
        <v>2130</v>
      </c>
      <c r="C110" s="20" t="s">
        <v>1844</v>
      </c>
      <c r="D110" s="20" t="s">
        <v>1833</v>
      </c>
      <c r="E110" s="20" t="s">
        <v>2131</v>
      </c>
      <c r="K110" s="21" t="str">
        <f>IFERROR(__xludf.DUMMYFUNCTION("GOOGLETRANSLATE(B110, ""th"", ""en"")"),"What happens if a player changes position during play?")</f>
        <v>What happens if a player changes position during play?</v>
      </c>
      <c r="L110" s="21" t="str">
        <f>IFERROR(__xludf.DUMMYFUNCTION("GOOGLETRANSLATE(C110, ""th"", ""en"")"),"A) Foul; B) Re-serve; C) Point; D) No result")</f>
        <v>A) Foul; B) Re-serve; C) Point; D) No result</v>
      </c>
      <c r="M110" s="21" t="str">
        <f>IFERROR(__xludf.DUMMYFUNCTION("GOOGLETRANSLATE(D110, ""th"", ""en"")"),"A) Foul")</f>
        <v>A) Foul</v>
      </c>
    </row>
    <row r="111" ht="14.25" customHeight="1">
      <c r="A111" s="18">
        <v>110.0</v>
      </c>
      <c r="B111" s="20" t="s">
        <v>2132</v>
      </c>
      <c r="C111" s="20" t="s">
        <v>2133</v>
      </c>
      <c r="D111" s="20" t="s">
        <v>1911</v>
      </c>
      <c r="E111" s="20" t="s">
        <v>2134</v>
      </c>
      <c r="K111" s="21" t="str">
        <f>IFERROR(__xludf.DUMMYFUNCTION("GOOGLETRANSLATE(B111, ""th"", ""en"")"),"What happens if you commit three fouls in a row?")</f>
        <v>What happens if you commit three fouls in a row?</v>
      </c>
      <c r="L111" s="21" t="str">
        <f>IFERROR(__xludf.DUMMYFUNCTION("GOOGLETRANSLATE(C111, ""th"", ""en"")"),"A) Re-serve; B) Opponent scores a point; C) Another foul; D) No effect.")</f>
        <v>A) Re-serve; B) Opponent scores a point; C) Another foul; D) No effect.</v>
      </c>
      <c r="M111" s="21" t="str">
        <f>IFERROR(__xludf.DUMMYFUNCTION("GOOGLETRANSLATE(D111, ""th"", ""en"")"),"B) The opponent scores points.")</f>
        <v>B) The opponent scores points.</v>
      </c>
    </row>
    <row r="112" ht="14.25" customHeight="1">
      <c r="A112" s="18">
        <v>111.0</v>
      </c>
      <c r="B112" s="20" t="s">
        <v>2135</v>
      </c>
      <c r="C112" s="20" t="s">
        <v>1888</v>
      </c>
      <c r="D112" s="20" t="s">
        <v>1833</v>
      </c>
      <c r="E112" s="20" t="s">
        <v>2136</v>
      </c>
      <c r="K112" s="21" t="str">
        <f>IFERROR(__xludf.DUMMYFUNCTION("GOOGLETRANSLATE(B112, ""th"", ""en"")"),"What happens if a player uses their hands to play sepak takraw?")</f>
        <v>What happens if a player uses their hands to play sepak takraw?</v>
      </c>
      <c r="L112" s="21" t="str">
        <f>IFERROR(__xludf.DUMMYFUNCTION("GOOGLETRANSLATE(C112, ""th"", ""en"")"),"A) foul; B) score; C) re-serve; D) no result")</f>
        <v>A) foul; B) score; C) re-serve; D) no result</v>
      </c>
      <c r="M112" s="21" t="str">
        <f>IFERROR(__xludf.DUMMYFUNCTION("GOOGLETRANSLATE(D112, ""th"", ""en"")"),"A) Foul")</f>
        <v>A) Foul</v>
      </c>
    </row>
    <row r="113" ht="14.25" customHeight="1">
      <c r="A113" s="18">
        <v>112.0</v>
      </c>
      <c r="B113" s="20" t="s">
        <v>2137</v>
      </c>
      <c r="C113" s="20" t="s">
        <v>1888</v>
      </c>
      <c r="D113" s="20" t="s">
        <v>1833</v>
      </c>
      <c r="E113" s="20" t="s">
        <v>2138</v>
      </c>
      <c r="K113" s="21" t="str">
        <f>IFERROR(__xludf.DUMMYFUNCTION("GOOGLETRANSLATE(B113, ""th"", ""en"")"),"What happens if one side commits a foul while receiving the ball?")</f>
        <v>What happens if one side commits a foul while receiving the ball?</v>
      </c>
      <c r="L113" s="21" t="str">
        <f>IFERROR(__xludf.DUMMYFUNCTION("GOOGLETRANSLATE(C113, ""th"", ""en"")"),"A) foul; B) score; C) re-serve; D) no result")</f>
        <v>A) foul; B) score; C) re-serve; D) no result</v>
      </c>
      <c r="M113" s="21" t="str">
        <f>IFERROR(__xludf.DUMMYFUNCTION("GOOGLETRANSLATE(D113, ""th"", ""en"")"),"A) Foul")</f>
        <v>A) Foul</v>
      </c>
    </row>
    <row r="114" ht="14.25" customHeight="1">
      <c r="A114" s="18">
        <v>113.0</v>
      </c>
      <c r="B114" s="20" t="s">
        <v>2139</v>
      </c>
      <c r="C114" s="20" t="s">
        <v>1907</v>
      </c>
      <c r="D114" s="20" t="s">
        <v>1948</v>
      </c>
      <c r="E114" s="20" t="s">
        <v>2140</v>
      </c>
      <c r="K114" s="21" t="str">
        <f>IFERROR(__xludf.DUMMYFUNCTION("GOOGLETRANSLATE(B114, ""th"", ""en"")"),"What happens if the sepak takraw ball goes out of the court?")</f>
        <v>What happens if the sepak takraw ball goes out of the court?</v>
      </c>
      <c r="L114" s="21" t="str">
        <f>IFERROR(__xludf.DUMMYFUNCTION("GOOGLETRANSLATE(C114, ""th"", ""en"")"),"A) foul; B) score; C) re-serve; D) continue play")</f>
        <v>A) foul; B) score; C) re-serve; D) continue play</v>
      </c>
      <c r="M114" s="21" t="str">
        <f>IFERROR(__xludf.DUMMYFUNCTION("GOOGLETRANSLATE(D114, ""th"", ""en"")"),"B) got points")</f>
        <v>B) got points</v>
      </c>
    </row>
    <row r="115" ht="14.25" customHeight="1">
      <c r="A115" s="18">
        <v>114.0</v>
      </c>
      <c r="B115" s="20" t="s">
        <v>2141</v>
      </c>
      <c r="C115" s="20" t="s">
        <v>2066</v>
      </c>
      <c r="D115" s="20" t="s">
        <v>1833</v>
      </c>
      <c r="E115" s="20" t="s">
        <v>2142</v>
      </c>
      <c r="K115" s="21" t="str">
        <f>IFERROR(__xludf.DUMMYFUNCTION("GOOGLETRANSLATE(B115, ""th"", ""en"")"),"What is considered hitting the sepak takraw ball in the wrong direction?")</f>
        <v>What is considered hitting the sepak takraw ball in the wrong direction?</v>
      </c>
      <c r="L115" s="21" t="str">
        <f>IFERROR(__xludf.DUMMYFUNCTION("GOOGLETRANSLATE(C115, ""th"", ""en"")"),"A) foul; B) re-serve; C) score; D) continue play")</f>
        <v>A) foul; B) re-serve; C) score; D) continue play</v>
      </c>
      <c r="M115" s="21" t="str">
        <f>IFERROR(__xludf.DUMMYFUNCTION("GOOGLETRANSLATE(D115, ""th"", ""en"")"),"A) Foul")</f>
        <v>A) Foul</v>
      </c>
    </row>
    <row r="116" ht="14.25" customHeight="1">
      <c r="A116" s="18">
        <v>115.0</v>
      </c>
      <c r="B116" s="20" t="s">
        <v>2143</v>
      </c>
      <c r="C116" s="20" t="s">
        <v>2144</v>
      </c>
      <c r="D116" s="20" t="s">
        <v>1925</v>
      </c>
      <c r="E116" s="20" t="s">
        <v>2070</v>
      </c>
      <c r="K116" s="21" t="str">
        <f>IFERROR(__xludf.DUMMYFUNCTION("GOOGLETRANSLATE(B116, ""th"", ""en"")"),"What happens if a player uses their feet to receive the sepak takraw ball?")</f>
        <v>What happens if a player uses their feet to receive the sepak takraw ball?</v>
      </c>
      <c r="L116" s="21" t="str">
        <f>IFERROR(__xludf.DUMMYFUNCTION("GOOGLETRANSLATE(C116, ""th"", ""en"")"),"A) foul; B) no foul; C) re-serve; D) score")</f>
        <v>A) foul; B) no foul; C) re-serve; D) score</v>
      </c>
      <c r="M116" s="21" t="str">
        <f>IFERROR(__xludf.DUMMYFUNCTION("GOOGLETRANSLATE(D116, ""th"", ""en"")"),"B) No foul.")</f>
        <v>B) No foul.</v>
      </c>
    </row>
    <row r="117" ht="14.25" customHeight="1">
      <c r="A117" s="18">
        <v>116.0</v>
      </c>
      <c r="B117" s="20" t="s">
        <v>2145</v>
      </c>
      <c r="C117" s="20" t="s">
        <v>1907</v>
      </c>
      <c r="D117" s="20" t="s">
        <v>1948</v>
      </c>
      <c r="E117" s="20" t="s">
        <v>2146</v>
      </c>
      <c r="K117" s="21" t="str">
        <f>IFERROR(__xludf.DUMMYFUNCTION("GOOGLETRANSLATE(B117, ""th"", ""en"")"),"What is considered when a player hits the sepak takraw ball so that it hits the edge of the court?")</f>
        <v>What is considered when a player hits the sepak takraw ball so that it hits the edge of the court?</v>
      </c>
      <c r="L117" s="21" t="str">
        <f>IFERROR(__xludf.DUMMYFUNCTION("GOOGLETRANSLATE(C117, ""th"", ""en"")"),"A) foul; B) score; C) re-serve; D) continue play")</f>
        <v>A) foul; B) score; C) re-serve; D) continue play</v>
      </c>
      <c r="M117" s="21" t="str">
        <f>IFERROR(__xludf.DUMMYFUNCTION("GOOGLETRANSLATE(D117, ""th"", ""en"")"),"B) got points")</f>
        <v>B) got points</v>
      </c>
    </row>
    <row r="118" ht="14.25" customHeight="1">
      <c r="A118" s="18">
        <v>117.0</v>
      </c>
      <c r="B118" s="20" t="s">
        <v>2147</v>
      </c>
      <c r="C118" s="20" t="s">
        <v>2096</v>
      </c>
      <c r="D118" s="20" t="s">
        <v>1833</v>
      </c>
      <c r="E118" s="20" t="s">
        <v>2148</v>
      </c>
      <c r="K118" s="21" t="str">
        <f>IFERROR(__xludf.DUMMYFUNCTION("GOOGLETRANSLATE(B118, ""th"", ""en"")"),"What happens if you serve in an illegal position?")</f>
        <v>What happens if you serve in an illegal position?</v>
      </c>
      <c r="L118" s="21" t="str">
        <f>IFERROR(__xludf.DUMMYFUNCTION("GOOGLETRANSLATE(C118, ""th"", ""en"")"),"A) Foul; B) Re-serve; C) Opponent scores a point; D) No result.")</f>
        <v>A) Foul; B) Re-serve; C) Opponent scores a point; D) No result.</v>
      </c>
      <c r="M118" s="21" t="str">
        <f>IFERROR(__xludf.DUMMYFUNCTION("GOOGLETRANSLATE(D118, ""th"", ""en"")"),"A) Foul")</f>
        <v>A) Foul</v>
      </c>
    </row>
    <row r="119" ht="14.25" customHeight="1">
      <c r="A119" s="18">
        <v>118.0</v>
      </c>
      <c r="B119" s="20" t="s">
        <v>2149</v>
      </c>
      <c r="C119" s="20" t="s">
        <v>2005</v>
      </c>
      <c r="D119" s="20" t="s">
        <v>1911</v>
      </c>
      <c r="E119" s="20" t="s">
        <v>2090</v>
      </c>
      <c r="K119" s="21" t="str">
        <f>IFERROR(__xludf.DUMMYFUNCTION("GOOGLETRANSLATE(B119, ""th"", ""en"")"),"What happens if you commit a serve foul?")</f>
        <v>What happens if you commit a serve foul?</v>
      </c>
      <c r="L119" s="21" t="str">
        <f>IFERROR(__xludf.DUMMYFUNCTION("GOOGLETRANSLATE(C119, ""th"", ""en"")"),"A) Re-serve; B) Opponent scores a point; C) Foul; D) No result.")</f>
        <v>A) Re-serve; B) Opponent scores a point; C) Foul; D) No result.</v>
      </c>
      <c r="M119" s="21" t="str">
        <f>IFERROR(__xludf.DUMMYFUNCTION("GOOGLETRANSLATE(D119, ""th"", ""en"")"),"B) The opponent scores points.")</f>
        <v>B) The opponent scores points.</v>
      </c>
    </row>
    <row r="120" ht="14.25" customHeight="1">
      <c r="A120" s="18">
        <v>119.0</v>
      </c>
      <c r="B120" s="20" t="s">
        <v>2150</v>
      </c>
      <c r="C120" s="20" t="s">
        <v>2005</v>
      </c>
      <c r="D120" s="20" t="s">
        <v>1911</v>
      </c>
      <c r="E120" s="20" t="s">
        <v>2129</v>
      </c>
      <c r="K120" s="21" t="str">
        <f>IFERROR(__xludf.DUMMYFUNCTION("GOOGLETRANSLATE(B120, ""th"", ""en"")"),"What happens if you commit a foul while playing sepak takraw?")</f>
        <v>What happens if you commit a foul while playing sepak takraw?</v>
      </c>
      <c r="L120" s="21" t="str">
        <f>IFERROR(__xludf.DUMMYFUNCTION("GOOGLETRANSLATE(C120, ""th"", ""en"")"),"A) Re-serve; B) Opponent scores a point; C) Foul; D) No result.")</f>
        <v>A) Re-serve; B) Opponent scores a point; C) Foul; D) No result.</v>
      </c>
      <c r="M120" s="21" t="str">
        <f>IFERROR(__xludf.DUMMYFUNCTION("GOOGLETRANSLATE(D120, ""th"", ""en"")"),"B) The opponent scores points.")</f>
        <v>B) The opponent scores points.</v>
      </c>
    </row>
    <row r="121" ht="14.25" customHeight="1">
      <c r="A121" s="18">
        <v>120.0</v>
      </c>
      <c r="B121" s="20" t="s">
        <v>2151</v>
      </c>
      <c r="C121" s="20" t="s">
        <v>2152</v>
      </c>
      <c r="D121" s="20" t="s">
        <v>2153</v>
      </c>
      <c r="E121" s="20" t="s">
        <v>2154</v>
      </c>
      <c r="K121" s="21" t="str">
        <f>IFERROR(__xludf.DUMMYFUNCTION("GOOGLETRANSLATE(B121, ""th"", ""en"")"),"How do I make a player substitution during a match?")</f>
        <v>How do I make a player substitution during a match?</v>
      </c>
      <c r="L121" s="21" t="str">
        <f>IFERROR(__xludf.DUMMYFUNCTION("GOOGLETRANSLATE(C121, ""th"", ""en"")"),"A) Inform the referee; B) Do not inform the referee; C) Substitute as desired; D) No effect.")</f>
        <v>A) Inform the referee; B) Do not inform the referee; C) Substitute as desired; D) No effect.</v>
      </c>
      <c r="M121" s="21" t="str">
        <f>IFERROR(__xludf.DUMMYFUNCTION("GOOGLETRANSLATE(D121, ""th"", ""en"")"),"A) Inform the referee.")</f>
        <v>A) Inform the referee.</v>
      </c>
    </row>
    <row r="122" ht="14.25" customHeight="1">
      <c r="A122" s="18">
        <v>121.0</v>
      </c>
      <c r="B122" s="20" t="s">
        <v>2155</v>
      </c>
      <c r="C122" s="20" t="s">
        <v>2096</v>
      </c>
      <c r="D122" s="20" t="s">
        <v>1833</v>
      </c>
      <c r="E122" s="20" t="s">
        <v>2156</v>
      </c>
      <c r="K122" s="21" t="str">
        <f>IFERROR(__xludf.DUMMYFUNCTION("GOOGLETRANSLATE(B122, ""th"", ""en"")"),"What happens if a player serves the ball into an illegal area?")</f>
        <v>What happens if a player serves the ball into an illegal area?</v>
      </c>
      <c r="L122" s="21" t="str">
        <f>IFERROR(__xludf.DUMMYFUNCTION("GOOGLETRANSLATE(C122, ""th"", ""en"")"),"A) Foul; B) Re-serve; C) Opponent scores a point; D) No result.")</f>
        <v>A) Foul; B) Re-serve; C) Opponent scores a point; D) No result.</v>
      </c>
      <c r="M122" s="21" t="str">
        <f>IFERROR(__xludf.DUMMYFUNCTION("GOOGLETRANSLATE(D122, ""th"", ""en"")"),"A) Foul")</f>
        <v>A) Foul</v>
      </c>
    </row>
    <row r="123" ht="14.25" customHeight="1">
      <c r="A123" s="18">
        <v>122.0</v>
      </c>
      <c r="B123" s="20" t="s">
        <v>2157</v>
      </c>
      <c r="C123" s="20" t="s">
        <v>1844</v>
      </c>
      <c r="D123" s="20" t="s">
        <v>1833</v>
      </c>
      <c r="E123" s="20" t="s">
        <v>2158</v>
      </c>
      <c r="K123" s="21" t="str">
        <f>IFERROR(__xludf.DUMMYFUNCTION("GOOGLETRANSLATE(B123, ""th"", ""en"")"),"What is considered when a player uses their hands to catch the sepak takraw ball?")</f>
        <v>What is considered when a player uses their hands to catch the sepak takraw ball?</v>
      </c>
      <c r="L123" s="21" t="str">
        <f>IFERROR(__xludf.DUMMYFUNCTION("GOOGLETRANSLATE(C123, ""th"", ""en"")"),"A) Foul; B) Re-serve; C) Point; D) No result")</f>
        <v>A) Foul; B) Re-serve; C) Point; D) No result</v>
      </c>
      <c r="M123" s="21" t="str">
        <f>IFERROR(__xludf.DUMMYFUNCTION("GOOGLETRANSLATE(D123, ""th"", ""en"")"),"A) Foul")</f>
        <v>A) Foul</v>
      </c>
    </row>
    <row r="124" ht="14.25" customHeight="1">
      <c r="A124" s="18">
        <v>123.0</v>
      </c>
      <c r="B124" s="20" t="s">
        <v>2159</v>
      </c>
      <c r="C124" s="20" t="s">
        <v>2066</v>
      </c>
      <c r="D124" s="20" t="s">
        <v>1833</v>
      </c>
      <c r="E124" s="20" t="s">
        <v>2160</v>
      </c>
      <c r="K124" s="21" t="str">
        <f>IFERROR(__xludf.DUMMYFUNCTION("GOOGLETRANSLATE(B124, ""th"", ""en"")"),"What is considered if the sepak takraw ball does not cross the net after serving?")</f>
        <v>What is considered if the sepak takraw ball does not cross the net after serving?</v>
      </c>
      <c r="L124" s="21" t="str">
        <f>IFERROR(__xludf.DUMMYFUNCTION("GOOGLETRANSLATE(C124, ""th"", ""en"")"),"A) foul; B) re-serve; C) score; D) continue play")</f>
        <v>A) foul; B) re-serve; C) score; D) continue play</v>
      </c>
      <c r="M124" s="21" t="str">
        <f>IFERROR(__xludf.DUMMYFUNCTION("GOOGLETRANSLATE(D124, ""th"", ""en"")"),"A) Foul")</f>
        <v>A) Foul</v>
      </c>
    </row>
    <row r="125" ht="14.25" customHeight="1">
      <c r="A125" s="18">
        <v>124.0</v>
      </c>
      <c r="B125" s="20" t="s">
        <v>2161</v>
      </c>
      <c r="C125" s="20" t="s">
        <v>2162</v>
      </c>
      <c r="D125" s="20" t="s">
        <v>2153</v>
      </c>
      <c r="E125" s="20" t="s">
        <v>2163</v>
      </c>
      <c r="K125" s="21" t="str">
        <f>IFERROR(__xludf.DUMMYFUNCTION("GOOGLETRANSLATE(B125, ""th"", ""en"")"),"What if your opponent serves while you are not ready?")</f>
        <v>What if your opponent serves while you are not ready?</v>
      </c>
      <c r="L125" s="21" t="str">
        <f>IFERROR(__xludf.DUMMYFUNCTION("GOOGLETRANSLATE(C125, ""th"", ""en"")"),"A) Notify the referee; B) Wait for a new serve; C) Continue playing; D) Notify the team.")</f>
        <v>A) Notify the referee; B) Wait for a new serve; C) Continue playing; D) Notify the team.</v>
      </c>
      <c r="M125" s="21" t="str">
        <f>IFERROR(__xludf.DUMMYFUNCTION("GOOGLETRANSLATE(D125, ""th"", ""en"")"),"A) Inform the referee.")</f>
        <v>A) Inform the referee.</v>
      </c>
    </row>
    <row r="126" ht="14.25" customHeight="1">
      <c r="A126" s="18">
        <v>125.0</v>
      </c>
      <c r="B126" s="20" t="s">
        <v>2164</v>
      </c>
      <c r="C126" s="20" t="s">
        <v>2133</v>
      </c>
      <c r="D126" s="20" t="s">
        <v>1911</v>
      </c>
      <c r="E126" s="20" t="s">
        <v>2165</v>
      </c>
      <c r="K126" s="21" t="str">
        <f>IFERROR(__xludf.DUMMYFUNCTION("GOOGLETRANSLATE(B126, ""th"", ""en"")"),"What happens if you commit two fouls in a row?")</f>
        <v>What happens if you commit two fouls in a row?</v>
      </c>
      <c r="L126" s="21" t="str">
        <f>IFERROR(__xludf.DUMMYFUNCTION("GOOGLETRANSLATE(C126, ""th"", ""en"")"),"A) Re-serve; B) Opponent scores a point; C) Another foul; D) No effect.")</f>
        <v>A) Re-serve; B) Opponent scores a point; C) Another foul; D) No effect.</v>
      </c>
      <c r="M126" s="21" t="str">
        <f>IFERROR(__xludf.DUMMYFUNCTION("GOOGLETRANSLATE(D126, ""th"", ""en"")"),"B) The opponent scores points.")</f>
        <v>B) The opponent scores points.</v>
      </c>
    </row>
    <row r="127" ht="14.25" customHeight="1">
      <c r="A127" s="18">
        <v>126.0</v>
      </c>
      <c r="B127" s="20" t="s">
        <v>2166</v>
      </c>
      <c r="C127" s="20" t="s">
        <v>2005</v>
      </c>
      <c r="D127" s="20" t="s">
        <v>1911</v>
      </c>
      <c r="E127" s="20" t="s">
        <v>2167</v>
      </c>
      <c r="K127" s="21" t="str">
        <f>IFERROR(__xludf.DUMMYFUNCTION("GOOGLETRANSLATE(B127, ""th"", ""en"")"),"What happens if a player commits a foul during the game?")</f>
        <v>What happens if a player commits a foul during the game?</v>
      </c>
      <c r="L127" s="21" t="str">
        <f>IFERROR(__xludf.DUMMYFUNCTION("GOOGLETRANSLATE(C127, ""th"", ""en"")"),"A) Re-serve; B) Opponent scores a point; C) Foul; D) No result.")</f>
        <v>A) Re-serve; B) Opponent scores a point; C) Foul; D) No result.</v>
      </c>
      <c r="M127" s="21" t="str">
        <f>IFERROR(__xludf.DUMMYFUNCTION("GOOGLETRANSLATE(D127, ""th"", ""en"")"),"B) The opponent scores points.")</f>
        <v>B) The opponent scores points.</v>
      </c>
    </row>
    <row r="128" ht="14.25" customHeight="1">
      <c r="A128" s="18">
        <v>127.0</v>
      </c>
      <c r="B128" s="20" t="s">
        <v>2168</v>
      </c>
      <c r="C128" s="20" t="s">
        <v>1907</v>
      </c>
      <c r="D128" s="20" t="s">
        <v>1948</v>
      </c>
      <c r="E128" s="20" t="s">
        <v>2169</v>
      </c>
      <c r="K128" s="21" t="str">
        <f>IFERROR(__xludf.DUMMYFUNCTION("GOOGLETRANSLATE(B128, ""th"", ""en"")"),"If the sepak takraw ball bounces out of the court after a player hits it, what will happen?")</f>
        <v>If the sepak takraw ball bounces out of the court after a player hits it, what will happen?</v>
      </c>
      <c r="L128" s="21" t="str">
        <f>IFERROR(__xludf.DUMMYFUNCTION("GOOGLETRANSLATE(C128, ""th"", ""en"")"),"A) foul; B) score; C) re-serve; D) continue play")</f>
        <v>A) foul; B) score; C) re-serve; D) continue play</v>
      </c>
      <c r="M128" s="21" t="str">
        <f>IFERROR(__xludf.DUMMYFUNCTION("GOOGLETRANSLATE(D128, ""th"", ""en"")"),"B) got points")</f>
        <v>B) got points</v>
      </c>
    </row>
    <row r="129" ht="14.25" customHeight="1">
      <c r="A129" s="18">
        <v>128.0</v>
      </c>
      <c r="B129" s="20" t="s">
        <v>2170</v>
      </c>
      <c r="C129" s="20" t="s">
        <v>2096</v>
      </c>
      <c r="D129" s="20" t="s">
        <v>1833</v>
      </c>
      <c r="E129" s="20" t="s">
        <v>2171</v>
      </c>
      <c r="K129" s="21" t="str">
        <f>IFERROR(__xludf.DUMMYFUNCTION("GOOGLETRANSLATE(B129, ""th"", ""en"")"),"What happens if a player is not in the correct position while serving?")</f>
        <v>What happens if a player is not in the correct position while serving?</v>
      </c>
      <c r="L129" s="21" t="str">
        <f>IFERROR(__xludf.DUMMYFUNCTION("GOOGLETRANSLATE(C129, ""th"", ""en"")"),"A) Foul; B) Re-serve; C) Opponent scores a point; D) No result.")</f>
        <v>A) Foul; B) Re-serve; C) Opponent scores a point; D) No result.</v>
      </c>
      <c r="M129" s="21" t="str">
        <f>IFERROR(__xludf.DUMMYFUNCTION("GOOGLETRANSLATE(D129, ""th"", ""en"")"),"A) Foul")</f>
        <v>A) Foul</v>
      </c>
    </row>
    <row r="130" ht="14.25" customHeight="1">
      <c r="A130" s="18">
        <v>129.0</v>
      </c>
      <c r="B130" s="20" t="s">
        <v>2172</v>
      </c>
      <c r="C130" s="20" t="s">
        <v>1844</v>
      </c>
      <c r="D130" s="20" t="s">
        <v>1833</v>
      </c>
      <c r="E130" s="20" t="s">
        <v>2173</v>
      </c>
      <c r="K130" s="21" t="str">
        <f>IFERROR(__xludf.DUMMYFUNCTION("GOOGLETRANSLATE(B130, ""th"", ""en"")"),"What is considered hitting the sepak takraw ball with the side of the foot?")</f>
        <v>What is considered hitting the sepak takraw ball with the side of the foot?</v>
      </c>
      <c r="L130" s="21" t="str">
        <f>IFERROR(__xludf.DUMMYFUNCTION("GOOGLETRANSLATE(C130, ""th"", ""en"")"),"A) Foul; B) Re-serve; C) Point; D) No result")</f>
        <v>A) Foul; B) Re-serve; C) Point; D) No result</v>
      </c>
      <c r="M130" s="21" t="str">
        <f>IFERROR(__xludf.DUMMYFUNCTION("GOOGLETRANSLATE(D130, ""th"", ""en"")"),"A) Foul")</f>
        <v>A) Foul</v>
      </c>
    </row>
    <row r="131" ht="14.25" customHeight="1">
      <c r="A131" s="18">
        <v>130.0</v>
      </c>
      <c r="B131" s="20" t="s">
        <v>2174</v>
      </c>
      <c r="C131" s="20" t="s">
        <v>2104</v>
      </c>
      <c r="D131" s="20" t="s">
        <v>2105</v>
      </c>
      <c r="E131" s="20" t="s">
        <v>2175</v>
      </c>
      <c r="K131" s="21" t="str">
        <f>IFERROR(__xludf.DUMMYFUNCTION("GOOGLETRANSLATE(B131, ""th"", ""en"")"),"What happens if a player behaves inappropriately during a match?")</f>
        <v>What happens if a player behaves inappropriately during a match?</v>
      </c>
      <c r="L131" s="21" t="str">
        <f>IFERROR(__xludf.DUMMYFUNCTION("GOOGLETRANSLATE(C131, ""th"", ""en"")"),"A) foul; B) score; C) player is penalized; D) no effect")</f>
        <v>A) foul; B) score; C) player is penalized; D) no effect</v>
      </c>
      <c r="M131" s="21" t="str">
        <f>IFERROR(__xludf.DUMMYFUNCTION("GOOGLETRANSLATE(D131, ""th"", ""en"")"),"C) The player is fined.")</f>
        <v>C) The player is fined.</v>
      </c>
    </row>
    <row r="132" ht="14.25" customHeight="1">
      <c r="A132" s="18">
        <v>131.0</v>
      </c>
      <c r="B132" s="20" t="s">
        <v>2176</v>
      </c>
      <c r="C132" s="20" t="s">
        <v>1844</v>
      </c>
      <c r="D132" s="20" t="s">
        <v>1833</v>
      </c>
      <c r="E132" s="20" t="s">
        <v>2177</v>
      </c>
      <c r="K132" s="21" t="str">
        <f>IFERROR(__xludf.DUMMYFUNCTION("GOOGLETRANSLATE(B132, ""th"", ""en"")"),"What happens if a player changes positions within the team during a game?")</f>
        <v>What happens if a player changes positions within the team during a game?</v>
      </c>
      <c r="L132" s="21" t="str">
        <f>IFERROR(__xludf.DUMMYFUNCTION("GOOGLETRANSLATE(C132, ""th"", ""en"")"),"A) Foul; B) Re-serve; C) Point; D) No result")</f>
        <v>A) Foul; B) Re-serve; C) Point; D) No result</v>
      </c>
      <c r="M132" s="21" t="str">
        <f>IFERROR(__xludf.DUMMYFUNCTION("GOOGLETRANSLATE(D132, ""th"", ""en"")"),"A) Foul")</f>
        <v>A) Foul</v>
      </c>
    </row>
    <row r="133" ht="14.25" customHeight="1">
      <c r="A133" s="18">
        <v>132.0</v>
      </c>
      <c r="B133" s="20" t="s">
        <v>2178</v>
      </c>
      <c r="C133" s="20" t="s">
        <v>2066</v>
      </c>
      <c r="D133" s="20" t="s">
        <v>1833</v>
      </c>
      <c r="E133" s="20" t="s">
        <v>2179</v>
      </c>
      <c r="K133" s="21" t="str">
        <f>IFERROR(__xludf.DUMMYFUNCTION("GOOGLETRANSLATE(B133, ""th"", ""en"")"),"What happens if the sepak takraw ball does not pass the net during a serve?")</f>
        <v>What happens if the sepak takraw ball does not pass the net during a serve?</v>
      </c>
      <c r="L133" s="21" t="str">
        <f>IFERROR(__xludf.DUMMYFUNCTION("GOOGLETRANSLATE(C133, ""th"", ""en"")"),"A) foul; B) re-serve; C) score; D) continue play")</f>
        <v>A) foul; B) re-serve; C) score; D) continue play</v>
      </c>
      <c r="M133" s="21" t="str">
        <f>IFERROR(__xludf.DUMMYFUNCTION("GOOGLETRANSLATE(D133, ""th"", ""en"")"),"A) Foul")</f>
        <v>A) Foul</v>
      </c>
    </row>
    <row r="134" ht="14.25" customHeight="1">
      <c r="A134" s="18">
        <v>133.0</v>
      </c>
      <c r="B134" s="20" t="s">
        <v>2180</v>
      </c>
      <c r="C134" s="20" t="s">
        <v>2005</v>
      </c>
      <c r="D134" s="20" t="s">
        <v>1911</v>
      </c>
      <c r="E134" s="20" t="s">
        <v>2181</v>
      </c>
      <c r="K134" s="21" t="str">
        <f>IFERROR(__xludf.DUMMYFUNCTION("GOOGLETRANSLATE(B134, ""th"", ""en"")"),"What happens if you foul after hitting the ball?")</f>
        <v>What happens if you foul after hitting the ball?</v>
      </c>
      <c r="L134" s="21" t="str">
        <f>IFERROR(__xludf.DUMMYFUNCTION("GOOGLETRANSLATE(C134, ""th"", ""en"")"),"A) Re-serve; B) Opponent scores a point; C) Foul; D) No result.")</f>
        <v>A) Re-serve; B) Opponent scores a point; C) Foul; D) No result.</v>
      </c>
      <c r="M134" s="21" t="str">
        <f>IFERROR(__xludf.DUMMYFUNCTION("GOOGLETRANSLATE(D134, ""th"", ""en"")"),"B) The opponent scores points.")</f>
        <v>B) The opponent scores points.</v>
      </c>
    </row>
    <row r="135" ht="14.25" customHeight="1">
      <c r="A135" s="18">
        <v>134.0</v>
      </c>
      <c r="B135" s="20" t="s">
        <v>2182</v>
      </c>
      <c r="C135" s="20" t="s">
        <v>1844</v>
      </c>
      <c r="D135" s="20" t="s">
        <v>1833</v>
      </c>
      <c r="E135" s="20" t="s">
        <v>2183</v>
      </c>
      <c r="K135" s="21" t="str">
        <f>IFERROR(__xludf.DUMMYFUNCTION("GOOGLETRANSLATE(B135, ""th"", ""en"")"),"What happens if a player is hit by a hand?")</f>
        <v>What happens if a player is hit by a hand?</v>
      </c>
      <c r="L135" s="21" t="str">
        <f>IFERROR(__xludf.DUMMYFUNCTION("GOOGLETRANSLATE(C135, ""th"", ""en"")"),"A) Foul; B) Re-serve; C) Point; D) No result")</f>
        <v>A) Foul; B) Re-serve; C) Point; D) No result</v>
      </c>
      <c r="M135" s="21" t="str">
        <f>IFERROR(__xludf.DUMMYFUNCTION("GOOGLETRANSLATE(D135, ""th"", ""en"")"),"A) Foul")</f>
        <v>A) Foul</v>
      </c>
    </row>
    <row r="136" ht="14.25" customHeight="1">
      <c r="A136" s="18">
        <v>135.0</v>
      </c>
      <c r="B136" s="20" t="s">
        <v>2184</v>
      </c>
      <c r="C136" s="20" t="s">
        <v>1844</v>
      </c>
      <c r="D136" s="20" t="s">
        <v>2185</v>
      </c>
      <c r="E136" s="20" t="s">
        <v>2186</v>
      </c>
      <c r="K136" s="21" t="str">
        <f>IFERROR(__xludf.DUMMYFUNCTION("GOOGLETRANSLATE(B136, ""th"", ""en"")"),"What is considered using your feet to play sepak takraw while the ball has not yet dropped?")</f>
        <v>What is considered using your feet to play sepak takraw while the ball has not yet dropped?</v>
      </c>
      <c r="L136" s="21" t="str">
        <f>IFERROR(__xludf.DUMMYFUNCTION("GOOGLETRANSLATE(C136, ""th"", ""en"")"),"A) Foul; B) Re-serve; C) Point; D) No result")</f>
        <v>A) Foul; B) Re-serve; C) Point; D) No result</v>
      </c>
      <c r="M136" s="21" t="str">
        <f>IFERROR(__xludf.DUMMYFUNCTION("GOOGLETRANSLATE(D136, ""th"", ""en"")"),"B) Re-serve")</f>
        <v>B) Re-serve</v>
      </c>
    </row>
    <row r="137" ht="14.25" customHeight="1">
      <c r="A137" s="18">
        <v>136.0</v>
      </c>
      <c r="B137" s="20" t="s">
        <v>2187</v>
      </c>
      <c r="C137" s="20" t="s">
        <v>1844</v>
      </c>
      <c r="D137" s="20" t="s">
        <v>1833</v>
      </c>
      <c r="E137" s="20" t="s">
        <v>2188</v>
      </c>
      <c r="K137" s="21" t="str">
        <f>IFERROR(__xludf.DUMMYFUNCTION("GOOGLETRANSLATE(B137, ""th"", ""en"")"),"What happens if a team doesn't make contact with the shuttlecock during a serve?")</f>
        <v>What happens if a team doesn't make contact with the shuttlecock during a serve?</v>
      </c>
      <c r="L137" s="21" t="str">
        <f>IFERROR(__xludf.DUMMYFUNCTION("GOOGLETRANSLATE(C137, ""th"", ""en"")"),"A) Foul; B) Re-serve; C) Point; D) No result")</f>
        <v>A) Foul; B) Re-serve; C) Point; D) No result</v>
      </c>
      <c r="M137" s="21" t="str">
        <f>IFERROR(__xludf.DUMMYFUNCTION("GOOGLETRANSLATE(D137, ""th"", ""en"")"),"A) Foul")</f>
        <v>A) Foul</v>
      </c>
    </row>
    <row r="138" ht="14.25" customHeight="1">
      <c r="A138" s="18">
        <v>137.0</v>
      </c>
      <c r="B138" s="20" t="s">
        <v>2189</v>
      </c>
      <c r="C138" s="20" t="s">
        <v>2005</v>
      </c>
      <c r="D138" s="20" t="s">
        <v>1911</v>
      </c>
      <c r="E138" s="20" t="s">
        <v>2190</v>
      </c>
      <c r="K138" s="21" t="str">
        <f>IFERROR(__xludf.DUMMYFUNCTION("GOOGLETRANSLATE(B138, ""th"", ""en"")"),"What happens if you foul while the ball is in play?")</f>
        <v>What happens if you foul while the ball is in play?</v>
      </c>
      <c r="L138" s="21" t="str">
        <f>IFERROR(__xludf.DUMMYFUNCTION("GOOGLETRANSLATE(C138, ""th"", ""en"")"),"A) Re-serve; B) Opponent scores a point; C) Foul; D) No result.")</f>
        <v>A) Re-serve; B) Opponent scores a point; C) Foul; D) No result.</v>
      </c>
      <c r="M138" s="21" t="str">
        <f>IFERROR(__xludf.DUMMYFUNCTION("GOOGLETRANSLATE(D138, ""th"", ""en"")"),"B) The opponent scores points.")</f>
        <v>B) The opponent scores points.</v>
      </c>
    </row>
    <row r="139" ht="14.25" customHeight="1">
      <c r="A139" s="18">
        <v>138.0</v>
      </c>
      <c r="B139" s="20" t="s">
        <v>2191</v>
      </c>
      <c r="C139" s="20" t="s">
        <v>1888</v>
      </c>
      <c r="D139" s="20" t="s">
        <v>1948</v>
      </c>
      <c r="E139" s="20" t="s">
        <v>2192</v>
      </c>
      <c r="K139" s="21" t="str">
        <f>IFERROR(__xludf.DUMMYFUNCTION("GOOGLETRANSLATE(B139, ""th"", ""en"")"),"What happens if a player uses his feet to receive the sepak takraw ball?")</f>
        <v>What happens if a player uses his feet to receive the sepak takraw ball?</v>
      </c>
      <c r="L139" s="21" t="str">
        <f>IFERROR(__xludf.DUMMYFUNCTION("GOOGLETRANSLATE(C139, ""th"", ""en"")"),"A) foul; B) score; C) re-serve; D) no result")</f>
        <v>A) foul; B) score; C) re-serve; D) no result</v>
      </c>
      <c r="M139" s="21" t="str">
        <f>IFERROR(__xludf.DUMMYFUNCTION("GOOGLETRANSLATE(D139, ""th"", ""en"")"),"B) got points")</f>
        <v>B) got points</v>
      </c>
    </row>
    <row r="140" ht="14.25" customHeight="1">
      <c r="A140" s="18">
        <v>139.0</v>
      </c>
      <c r="B140" s="20" t="s">
        <v>2193</v>
      </c>
      <c r="C140" s="20" t="s">
        <v>2025</v>
      </c>
      <c r="D140" s="20" t="s">
        <v>1940</v>
      </c>
      <c r="E140" s="20" t="s">
        <v>2090</v>
      </c>
      <c r="K140" s="21" t="str">
        <f>IFERROR(__xludf.DUMMYFUNCTION("GOOGLETRANSLATE(B140, ""th"", ""en"")"),"What happens if a player commits a foul during the serve?")</f>
        <v>What happens if a player commits a foul during the serve?</v>
      </c>
      <c r="L140" s="21" t="str">
        <f>IFERROR(__xludf.DUMMYFUNCTION("GOOGLETRANSLATE(C140, ""th"", ""en"")"),"A) The opponent scores a point; B) Re-serve; C) Another foul; D) No effect.")</f>
        <v>A) The opponent scores a point; B) Re-serve; C) Another foul; D) No effect.</v>
      </c>
      <c r="M140" s="21" t="str">
        <f>IFERROR(__xludf.DUMMYFUNCTION("GOOGLETRANSLATE(D140, ""th"", ""en"")"),"A) The opponent scores points.")</f>
        <v>A) The opponent scores points.</v>
      </c>
    </row>
    <row r="141" ht="14.25" customHeight="1">
      <c r="A141" s="18">
        <v>140.0</v>
      </c>
      <c r="B141" s="20" t="s">
        <v>2194</v>
      </c>
      <c r="C141" s="20" t="s">
        <v>1844</v>
      </c>
      <c r="D141" s="20" t="s">
        <v>1833</v>
      </c>
      <c r="E141" s="20" t="s">
        <v>2195</v>
      </c>
      <c r="K141" s="21" t="str">
        <f>IFERROR(__xludf.DUMMYFUNCTION("GOOGLETRANSLATE(B141, ""th"", ""en"")"),"What happens if you hit the sepak takraw ball in the wrong direction?")</f>
        <v>What happens if you hit the sepak takraw ball in the wrong direction?</v>
      </c>
      <c r="L141" s="21" t="str">
        <f>IFERROR(__xludf.DUMMYFUNCTION("GOOGLETRANSLATE(C141, ""th"", ""en"")"),"A) Foul; B) Re-serve; C) Point; D) No result")</f>
        <v>A) Foul; B) Re-serve; C) Point; D) No result</v>
      </c>
      <c r="M141" s="21" t="str">
        <f>IFERROR(__xludf.DUMMYFUNCTION("GOOGLETRANSLATE(D141, ""th"", ""en"")"),"A) Foul")</f>
        <v>A) Foul</v>
      </c>
    </row>
    <row r="142" ht="14.25" customHeight="1">
      <c r="A142" s="18">
        <v>141.0</v>
      </c>
      <c r="B142" s="20" t="s">
        <v>2196</v>
      </c>
      <c r="C142" s="20" t="s">
        <v>1907</v>
      </c>
      <c r="D142" s="20" t="s">
        <v>1948</v>
      </c>
      <c r="E142" s="20" t="s">
        <v>2197</v>
      </c>
      <c r="K142" s="21" t="str">
        <f>IFERROR(__xludf.DUMMYFUNCTION("GOOGLETRANSLATE(B142, ""th"", ""en"")"),"What happens if the rattan ball leaves the court?")</f>
        <v>What happens if the rattan ball leaves the court?</v>
      </c>
      <c r="L142" s="21" t="str">
        <f>IFERROR(__xludf.DUMMYFUNCTION("GOOGLETRANSLATE(C142, ""th"", ""en"")"),"A) foul; B) score; C) re-serve; D) continue play")</f>
        <v>A) foul; B) score; C) re-serve; D) continue play</v>
      </c>
      <c r="M142" s="21" t="str">
        <f>IFERROR(__xludf.DUMMYFUNCTION("GOOGLETRANSLATE(D142, ""th"", ""en"")"),"B) got points")</f>
        <v>B) got points</v>
      </c>
    </row>
    <row r="143" ht="14.25" customHeight="1">
      <c r="A143" s="18">
        <v>142.0</v>
      </c>
      <c r="B143" s="20" t="s">
        <v>2198</v>
      </c>
      <c r="C143" s="20" t="s">
        <v>1888</v>
      </c>
      <c r="D143" s="20" t="s">
        <v>1833</v>
      </c>
      <c r="E143" s="20" t="s">
        <v>2102</v>
      </c>
      <c r="K143" s="21" t="str">
        <f>IFERROR(__xludf.DUMMYFUNCTION("GOOGLETRANSLATE(B143, ""th"", ""en"")"),"What happens if a player forgets to make a substitution according to the rules?")</f>
        <v>What happens if a player forgets to make a substitution according to the rules?</v>
      </c>
      <c r="L143" s="21" t="str">
        <f>IFERROR(__xludf.DUMMYFUNCTION("GOOGLETRANSLATE(C143, ""th"", ""en"")"),"A) foul; B) score; C) re-serve; D) no result")</f>
        <v>A) foul; B) score; C) re-serve; D) no result</v>
      </c>
      <c r="M143" s="21" t="str">
        <f>IFERROR(__xludf.DUMMYFUNCTION("GOOGLETRANSLATE(D143, ""th"", ""en"")"),"A) Foul")</f>
        <v>A) Foul</v>
      </c>
    </row>
    <row r="144" ht="14.25" customHeight="1">
      <c r="A144" s="18">
        <v>143.0</v>
      </c>
      <c r="B144" s="20" t="s">
        <v>2199</v>
      </c>
      <c r="C144" s="20" t="s">
        <v>1939</v>
      </c>
      <c r="D144" s="20" t="s">
        <v>1940</v>
      </c>
      <c r="E144" s="20" t="s">
        <v>2200</v>
      </c>
      <c r="K144" s="21" t="str">
        <f>IFERROR(__xludf.DUMMYFUNCTION("GOOGLETRANSLATE(B144, ""th"", ""en"")"),"What happens if I commit a foul during a substitution?")</f>
        <v>What happens if I commit a foul during a substitution?</v>
      </c>
      <c r="L144" s="21" t="str">
        <f>IFERROR(__xludf.DUMMYFUNCTION("GOOGLETRANSLATE(C144, ""th"", ""en"")"),"A) The opponent scores a point; B) Re-serve; C) Foul; D) No result.")</f>
        <v>A) The opponent scores a point; B) Re-serve; C) Foul; D) No result.</v>
      </c>
      <c r="M144" s="21" t="str">
        <f>IFERROR(__xludf.DUMMYFUNCTION("GOOGLETRANSLATE(D144, ""th"", ""en"")"),"A) The opponent scores points.")</f>
        <v>A) The opponent scores points.</v>
      </c>
    </row>
    <row r="145" ht="14.25" customHeight="1">
      <c r="A145" s="18">
        <v>144.0</v>
      </c>
      <c r="B145" s="20" t="s">
        <v>2201</v>
      </c>
      <c r="C145" s="20" t="s">
        <v>2066</v>
      </c>
      <c r="D145" s="20" t="s">
        <v>1833</v>
      </c>
      <c r="E145" s="20" t="s">
        <v>2202</v>
      </c>
      <c r="K145" s="21" t="str">
        <f>IFERROR(__xludf.DUMMYFUNCTION("GOOGLETRANSLATE(B145, ""th"", ""en"")"),"What happens if a serve is fouled?")</f>
        <v>What happens if a serve is fouled?</v>
      </c>
      <c r="L145" s="21" t="str">
        <f>IFERROR(__xludf.DUMMYFUNCTION("GOOGLETRANSLATE(C145, ""th"", ""en"")"),"A) foul; B) re-serve; C) score; D) continue play")</f>
        <v>A) foul; B) re-serve; C) score; D) continue play</v>
      </c>
      <c r="M145" s="21" t="str">
        <f>IFERROR(__xludf.DUMMYFUNCTION("GOOGLETRANSLATE(D145, ""th"", ""en"")"),"A) Foul")</f>
        <v>A) Foul</v>
      </c>
    </row>
    <row r="146" ht="14.25" customHeight="1">
      <c r="A146" s="18">
        <v>145.0</v>
      </c>
      <c r="B146" s="20" t="s">
        <v>2203</v>
      </c>
      <c r="C146" s="20" t="s">
        <v>1888</v>
      </c>
      <c r="D146" s="20" t="s">
        <v>1833</v>
      </c>
      <c r="E146" s="20" t="s">
        <v>2138</v>
      </c>
      <c r="K146" s="21" t="str">
        <f>IFERROR(__xludf.DUMMYFUNCTION("GOOGLETRANSLATE(B146, ""th"", ""en"")"),"What happens if you commit a foul while receiving the ball?")</f>
        <v>What happens if you commit a foul while receiving the ball?</v>
      </c>
      <c r="L146" s="21" t="str">
        <f>IFERROR(__xludf.DUMMYFUNCTION("GOOGLETRANSLATE(C146, ""th"", ""en"")"),"A) foul; B) score; C) re-serve; D) no result")</f>
        <v>A) foul; B) score; C) re-serve; D) no result</v>
      </c>
      <c r="M146" s="21" t="str">
        <f>IFERROR(__xludf.DUMMYFUNCTION("GOOGLETRANSLATE(D146, ""th"", ""en"")"),"A) Foul")</f>
        <v>A) Foul</v>
      </c>
    </row>
    <row r="147" ht="14.25" customHeight="1">
      <c r="A147" s="18">
        <v>146.0</v>
      </c>
      <c r="B147" s="20" t="s">
        <v>2204</v>
      </c>
      <c r="C147" s="20" t="s">
        <v>2066</v>
      </c>
      <c r="D147" s="20" t="s">
        <v>1833</v>
      </c>
      <c r="E147" s="20" t="s">
        <v>2205</v>
      </c>
      <c r="K147" s="21" t="str">
        <f>IFERROR(__xludf.DUMMYFUNCTION("GOOGLETRANSLATE(B147, ""th"", ""en"")"),"What happens if the sepak takraw ball passes the net incorrectly?")</f>
        <v>What happens if the sepak takraw ball passes the net incorrectly?</v>
      </c>
      <c r="L147" s="21" t="str">
        <f>IFERROR(__xludf.DUMMYFUNCTION("GOOGLETRANSLATE(C147, ""th"", ""en"")"),"A) foul; B) re-serve; C) score; D) continue play")</f>
        <v>A) foul; B) re-serve; C) score; D) continue play</v>
      </c>
      <c r="M147" s="21" t="str">
        <f>IFERROR(__xludf.DUMMYFUNCTION("GOOGLETRANSLATE(D147, ""th"", ""en"")"),"A) Foul")</f>
        <v>A) Foul</v>
      </c>
    </row>
    <row r="148" ht="14.25" customHeight="1">
      <c r="A148" s="18">
        <v>147.0</v>
      </c>
      <c r="B148" s="20" t="s">
        <v>2206</v>
      </c>
      <c r="C148" s="20" t="s">
        <v>2025</v>
      </c>
      <c r="D148" s="20" t="s">
        <v>1940</v>
      </c>
      <c r="E148" s="20" t="s">
        <v>2207</v>
      </c>
      <c r="K148" s="21" t="str">
        <f>IFERROR(__xludf.DUMMYFUNCTION("GOOGLETRANSLATE(B148, ""th"", ""en"")"),"What happens if a player commits a foul while serving?")</f>
        <v>What happens if a player commits a foul while serving?</v>
      </c>
      <c r="L148" s="21" t="str">
        <f>IFERROR(__xludf.DUMMYFUNCTION("GOOGLETRANSLATE(C148, ""th"", ""en"")"),"A) The opponent scores a point; B) Re-serve; C) Another foul; D) No effect.")</f>
        <v>A) The opponent scores a point; B) Re-serve; C) Another foul; D) No effect.</v>
      </c>
      <c r="M148" s="21" t="str">
        <f>IFERROR(__xludf.DUMMYFUNCTION("GOOGLETRANSLATE(D148, ""th"", ""en"")"),"A) The opponent scores points.")</f>
        <v>A) The opponent scores points.</v>
      </c>
    </row>
    <row r="149" ht="14.25" customHeight="1">
      <c r="A149" s="18">
        <v>148.0</v>
      </c>
      <c r="B149" s="20" t="s">
        <v>2208</v>
      </c>
      <c r="C149" s="20" t="s">
        <v>1939</v>
      </c>
      <c r="D149" s="20" t="s">
        <v>1940</v>
      </c>
      <c r="E149" s="20" t="s">
        <v>2209</v>
      </c>
      <c r="K149" s="21" t="str">
        <f>IFERROR(__xludf.DUMMYFUNCTION("GOOGLETRANSLATE(B149, ""th"", ""en"")"),"What happens if you commit a foul while playing sepak takraw?")</f>
        <v>What happens if you commit a foul while playing sepak takraw?</v>
      </c>
      <c r="L149" s="21" t="str">
        <f>IFERROR(__xludf.DUMMYFUNCTION("GOOGLETRANSLATE(C149, ""th"", ""en"")"),"A) The opponent scores a point; B) Re-serve; C) Foul; D) No result.")</f>
        <v>A) The opponent scores a point; B) Re-serve; C) Foul; D) No result.</v>
      </c>
      <c r="M149" s="21" t="str">
        <f>IFERROR(__xludf.DUMMYFUNCTION("GOOGLETRANSLATE(D149, ""th"", ""en"")"),"A) The opponent scores points.")</f>
        <v>A) The opponent scores points.</v>
      </c>
    </row>
    <row r="150" ht="14.25" customHeight="1">
      <c r="A150" s="18">
        <v>149.0</v>
      </c>
      <c r="B150" s="20" t="s">
        <v>2210</v>
      </c>
      <c r="C150" s="20" t="s">
        <v>1939</v>
      </c>
      <c r="D150" s="20" t="s">
        <v>1940</v>
      </c>
      <c r="E150" s="20" t="s">
        <v>2211</v>
      </c>
      <c r="K150" s="21" t="str">
        <f>IFERROR(__xludf.DUMMYFUNCTION("GOOGLETRANSLATE(B150, ""th"", ""en"")"),"What happens if a player commits a foul after receiving the ball?")</f>
        <v>What happens if a player commits a foul after receiving the ball?</v>
      </c>
      <c r="L150" s="21" t="str">
        <f>IFERROR(__xludf.DUMMYFUNCTION("GOOGLETRANSLATE(C150, ""th"", ""en"")"),"A) The opponent scores a point; B) Re-serve; C) Foul; D) No result.")</f>
        <v>A) The opponent scores a point; B) Re-serve; C) Foul; D) No result.</v>
      </c>
      <c r="M150" s="21" t="str">
        <f>IFERROR(__xludf.DUMMYFUNCTION("GOOGLETRANSLATE(D150, ""th"", ""en"")"),"A) The opponent scores points.")</f>
        <v>A) The opponent scores points.</v>
      </c>
    </row>
    <row r="151" ht="14.25" customHeight="1">
      <c r="A151" s="18">
        <v>150.0</v>
      </c>
      <c r="B151" s="20" t="s">
        <v>2212</v>
      </c>
      <c r="C151" s="20" t="s">
        <v>1844</v>
      </c>
      <c r="D151" s="20" t="s">
        <v>1833</v>
      </c>
      <c r="E151" s="20" t="s">
        <v>2213</v>
      </c>
      <c r="K151" s="21" t="str">
        <f>IFERROR(__xludf.DUMMYFUNCTION("GOOGLETRANSLATE(B151, ""th"", ""en"")"),"What happens if you commit a foul while hitting the sepak takraw ball?")</f>
        <v>What happens if you commit a foul while hitting the sepak takraw ball?</v>
      </c>
      <c r="L151" s="21" t="str">
        <f>IFERROR(__xludf.DUMMYFUNCTION("GOOGLETRANSLATE(C151, ""th"", ""en"")"),"A) Foul; B) Re-serve; C) Point; D) No result")</f>
        <v>A) Foul; B) Re-serve; C) Point; D) No result</v>
      </c>
      <c r="M151" s="21" t="str">
        <f>IFERROR(__xludf.DUMMYFUNCTION("GOOGLETRANSLATE(D151, ""th"", ""en"")"),"A) Foul")</f>
        <v>A) Foul</v>
      </c>
    </row>
    <row r="152" ht="14.25" customHeight="1">
      <c r="A152" s="18">
        <v>151.0</v>
      </c>
      <c r="B152" s="20" t="s">
        <v>2214</v>
      </c>
      <c r="C152" s="20" t="s">
        <v>1844</v>
      </c>
      <c r="D152" s="20" t="s">
        <v>1833</v>
      </c>
      <c r="E152" s="20" t="s">
        <v>2215</v>
      </c>
      <c r="K152" s="21" t="str">
        <f>IFERROR(__xludf.DUMMYFUNCTION("GOOGLETRANSLATE(B152, ""th"", ""en"")"),"What happens if a player serves the ball out of bounds?")</f>
        <v>What happens if a player serves the ball out of bounds?</v>
      </c>
      <c r="L152" s="21" t="str">
        <f>IFERROR(__xludf.DUMMYFUNCTION("GOOGLETRANSLATE(C152, ""th"", ""en"")"),"A) Foul; B) Re-serve; C) Point; D) No result")</f>
        <v>A) Foul; B) Re-serve; C) Point; D) No result</v>
      </c>
      <c r="M152" s="21" t="str">
        <f>IFERROR(__xludf.DUMMYFUNCTION("GOOGLETRANSLATE(D152, ""th"", ""en"")"),"A) Foul")</f>
        <v>A) Foul</v>
      </c>
    </row>
    <row r="153" ht="14.25" customHeight="1">
      <c r="A153" s="18">
        <v>152.0</v>
      </c>
      <c r="B153" s="20" t="s">
        <v>2216</v>
      </c>
      <c r="C153" s="20" t="s">
        <v>1844</v>
      </c>
      <c r="D153" s="20" t="s">
        <v>1833</v>
      </c>
      <c r="E153" s="20" t="s">
        <v>2217</v>
      </c>
      <c r="K153" s="21" t="str">
        <f>IFERROR(__xludf.DUMMYFUNCTION("GOOGLETRANSLATE(B153, ""th"", ""en"")"),"What happens if you serve the ball when your opponent is not ready?")</f>
        <v>What happens if you serve the ball when your opponent is not ready?</v>
      </c>
      <c r="L153" s="21" t="str">
        <f>IFERROR(__xludf.DUMMYFUNCTION("GOOGLETRANSLATE(C153, ""th"", ""en"")"),"A) Foul; B) Re-serve; C) Point; D) No result")</f>
        <v>A) Foul; B) Re-serve; C) Point; D) No result</v>
      </c>
      <c r="M153" s="21" t="str">
        <f>IFERROR(__xludf.DUMMYFUNCTION("GOOGLETRANSLATE(D153, ""th"", ""en"")"),"A) Foul")</f>
        <v>A) Foul</v>
      </c>
    </row>
    <row r="154" ht="14.25" customHeight="1">
      <c r="A154" s="18">
        <v>153.0</v>
      </c>
      <c r="B154" s="20" t="s">
        <v>2218</v>
      </c>
      <c r="C154" s="20" t="s">
        <v>1888</v>
      </c>
      <c r="D154" s="20" t="s">
        <v>1948</v>
      </c>
      <c r="E154" s="20" t="s">
        <v>2219</v>
      </c>
      <c r="K154" s="21" t="str">
        <f>IFERROR(__xludf.DUMMYFUNCTION("GOOGLETRANSLATE(B154, ""th"", ""en"")"),"If the sepak takraw ball bounces off the court, what will happen?")</f>
        <v>If the sepak takraw ball bounces off the court, what will happen?</v>
      </c>
      <c r="L154" s="21" t="str">
        <f>IFERROR(__xludf.DUMMYFUNCTION("GOOGLETRANSLATE(C154, ""th"", ""en"")"),"A) foul; B) score; C) re-serve; D) no result")</f>
        <v>A) foul; B) score; C) re-serve; D) no result</v>
      </c>
      <c r="M154" s="21" t="str">
        <f>IFERROR(__xludf.DUMMYFUNCTION("GOOGLETRANSLATE(D154, ""th"", ""en"")"),"B) got points")</f>
        <v>B) got points</v>
      </c>
    </row>
    <row r="155" ht="14.25" customHeight="1">
      <c r="A155" s="18">
        <v>154.0</v>
      </c>
      <c r="B155" s="20" t="s">
        <v>2220</v>
      </c>
      <c r="C155" s="20" t="s">
        <v>1844</v>
      </c>
      <c r="D155" s="20" t="s">
        <v>1833</v>
      </c>
      <c r="E155" s="20" t="s">
        <v>2221</v>
      </c>
      <c r="K155" s="21" t="str">
        <f>IFERROR(__xludf.DUMMYFUNCTION("GOOGLETRANSLATE(B155, ""th"", ""en"")"),"What happens if you change player positions during the game?")</f>
        <v>What happens if you change player positions during the game?</v>
      </c>
      <c r="L155" s="21" t="str">
        <f>IFERROR(__xludf.DUMMYFUNCTION("GOOGLETRANSLATE(C155, ""th"", ""en"")"),"A) Foul; B) Re-serve; C) Point; D) No result")</f>
        <v>A) Foul; B) Re-serve; C) Point; D) No result</v>
      </c>
      <c r="M155" s="21" t="str">
        <f>IFERROR(__xludf.DUMMYFUNCTION("GOOGLETRANSLATE(D155, ""th"", ""en"")"),"A) Foul")</f>
        <v>A) Foul</v>
      </c>
    </row>
    <row r="156" ht="14.25" customHeight="1">
      <c r="A156" s="18">
        <v>155.0</v>
      </c>
      <c r="B156" s="20" t="s">
        <v>2222</v>
      </c>
      <c r="C156" s="20" t="s">
        <v>1888</v>
      </c>
      <c r="D156" s="20" t="s">
        <v>1833</v>
      </c>
      <c r="E156" s="20" t="s">
        <v>2223</v>
      </c>
      <c r="K156" s="21" t="str">
        <f>IFERROR(__xludf.DUMMYFUNCTION("GOOGLETRANSLATE(B156, ""th"", ""en"")"),"What happens if the sepak takraw ball crosses the net in an illegal manner?")</f>
        <v>What happens if the sepak takraw ball crosses the net in an illegal manner?</v>
      </c>
      <c r="L156" s="21" t="str">
        <f>IFERROR(__xludf.DUMMYFUNCTION("GOOGLETRANSLATE(C156, ""th"", ""en"")"),"A) foul; B) score; C) re-serve; D) no result")</f>
        <v>A) foul; B) score; C) re-serve; D) no result</v>
      </c>
      <c r="M156" s="21" t="str">
        <f>IFERROR(__xludf.DUMMYFUNCTION("GOOGLETRANSLATE(D156, ""th"", ""en"")"),"A) Foul")</f>
        <v>A) Foul</v>
      </c>
    </row>
    <row r="157" ht="14.25" customHeight="1">
      <c r="A157" s="18">
        <v>156.0</v>
      </c>
      <c r="B157" s="20" t="s">
        <v>2224</v>
      </c>
      <c r="C157" s="20" t="s">
        <v>1888</v>
      </c>
      <c r="D157" s="20" t="s">
        <v>1833</v>
      </c>
      <c r="E157" s="20" t="s">
        <v>2225</v>
      </c>
      <c r="K157" s="21" t="str">
        <f>IFERROR(__xludf.DUMMYFUNCTION("GOOGLETRANSLATE(B157, ""th"", ""en"")"),"What happens if a player uses their feet to hit the ball?")</f>
        <v>What happens if a player uses their feet to hit the ball?</v>
      </c>
      <c r="L157" s="21" t="str">
        <f>IFERROR(__xludf.DUMMYFUNCTION("GOOGLETRANSLATE(C157, ""th"", ""en"")"),"A) foul; B) score; C) re-serve; D) no result")</f>
        <v>A) foul; B) score; C) re-serve; D) no result</v>
      </c>
      <c r="M157" s="21" t="str">
        <f>IFERROR(__xludf.DUMMYFUNCTION("GOOGLETRANSLATE(D157, ""th"", ""en"")"),"A) Foul")</f>
        <v>A) Foul</v>
      </c>
    </row>
    <row r="158" ht="14.25" customHeight="1">
      <c r="A158" s="18">
        <v>157.0</v>
      </c>
      <c r="B158" s="20" t="s">
        <v>2226</v>
      </c>
      <c r="C158" s="20" t="s">
        <v>2227</v>
      </c>
      <c r="D158" s="20" t="s">
        <v>1940</v>
      </c>
      <c r="E158" s="20" t="s">
        <v>2228</v>
      </c>
      <c r="K158" s="21" t="str">
        <f>IFERROR(__xludf.DUMMYFUNCTION("GOOGLETRANSLATE(B158, ""th"", ""en"")"),"What happens if you commit a foul during a serve?")</f>
        <v>What happens if you commit a foul during a serve?</v>
      </c>
      <c r="L158" s="21" t="str">
        <f>IFERROR(__xludf.DUMMYFUNCTION("GOOGLETRANSLATE(C158, ""th"", ""en"")"),"A) The opponent scores a point; B) The serve is re-served; C) The score is scored; D) No effect.")</f>
        <v>A) The opponent scores a point; B) The serve is re-served; C) The score is scored; D) No effect.</v>
      </c>
      <c r="M158" s="21" t="str">
        <f>IFERROR(__xludf.DUMMYFUNCTION("GOOGLETRANSLATE(D158, ""th"", ""en"")"),"A) The opponent scores points.")</f>
        <v>A) The opponent scores points.</v>
      </c>
    </row>
    <row r="159" ht="14.25" customHeight="1">
      <c r="A159" s="18">
        <v>158.0</v>
      </c>
      <c r="B159" s="20" t="s">
        <v>2229</v>
      </c>
      <c r="C159" s="20" t="s">
        <v>1888</v>
      </c>
      <c r="D159" s="20" t="s">
        <v>1833</v>
      </c>
      <c r="E159" s="20" t="s">
        <v>2230</v>
      </c>
      <c r="K159" s="21" t="str">
        <f>IFERROR(__xludf.DUMMYFUNCTION("GOOGLETRANSLATE(B159, ""th"", ""en"")"),"What happens if a player doesn't hit the ball correctly?")</f>
        <v>What happens if a player doesn't hit the ball correctly?</v>
      </c>
      <c r="L159" s="21" t="str">
        <f>IFERROR(__xludf.DUMMYFUNCTION("GOOGLETRANSLATE(C159, ""th"", ""en"")"),"A) foul; B) score; C) re-serve; D) no result")</f>
        <v>A) foul; B) score; C) re-serve; D) no result</v>
      </c>
      <c r="M159" s="21" t="str">
        <f>IFERROR(__xludf.DUMMYFUNCTION("GOOGLETRANSLATE(D159, ""th"", ""en"")"),"A) Foul")</f>
        <v>A) Foul</v>
      </c>
    </row>
    <row r="160" ht="14.25" customHeight="1">
      <c r="A160" s="18">
        <v>159.0</v>
      </c>
      <c r="B160" s="20" t="s">
        <v>2231</v>
      </c>
      <c r="C160" s="20" t="s">
        <v>1888</v>
      </c>
      <c r="D160" s="20" t="s">
        <v>1833</v>
      </c>
      <c r="E160" s="20" t="s">
        <v>2232</v>
      </c>
      <c r="K160" s="21" t="str">
        <f>IFERROR(__xludf.DUMMYFUNCTION("GOOGLETRANSLATE(B160, ""th"", ""en"")"),"What happens if you use your arm to catch the ball?")</f>
        <v>What happens if you use your arm to catch the ball?</v>
      </c>
      <c r="L160" s="21" t="str">
        <f>IFERROR(__xludf.DUMMYFUNCTION("GOOGLETRANSLATE(C160, ""th"", ""en"")"),"A) foul; B) score; C) re-serve; D) no result")</f>
        <v>A) foul; B) score; C) re-serve; D) no result</v>
      </c>
      <c r="M160" s="21" t="str">
        <f>IFERROR(__xludf.DUMMYFUNCTION("GOOGLETRANSLATE(D160, ""th"", ""en"")"),"A) Foul")</f>
        <v>A) Foul</v>
      </c>
    </row>
    <row r="161" ht="14.25" customHeight="1">
      <c r="A161" s="18">
        <v>160.0</v>
      </c>
      <c r="B161" s="20" t="s">
        <v>2233</v>
      </c>
      <c r="C161" s="20" t="s">
        <v>1939</v>
      </c>
      <c r="D161" s="20" t="s">
        <v>1940</v>
      </c>
      <c r="E161" s="20" t="s">
        <v>2234</v>
      </c>
      <c r="K161" s="21" t="str">
        <f>IFERROR(__xludf.DUMMYFUNCTION("GOOGLETRANSLATE(B161, ""th"", ""en"")"),"What happens if a player commits a foul on a shot after it has crossed the net?")</f>
        <v>What happens if a player commits a foul on a shot after it has crossed the net?</v>
      </c>
      <c r="L161" s="21" t="str">
        <f>IFERROR(__xludf.DUMMYFUNCTION("GOOGLETRANSLATE(C161, ""th"", ""en"")"),"A) The opponent scores a point; B) Re-serve; C) Foul; D) No result.")</f>
        <v>A) The opponent scores a point; B) Re-serve; C) Foul; D) No result.</v>
      </c>
      <c r="M161" s="21" t="str">
        <f>IFERROR(__xludf.DUMMYFUNCTION("GOOGLETRANSLATE(D161, ""th"", ""en"")"),"A) The opponent scores points.")</f>
        <v>A) The opponent scores points.</v>
      </c>
    </row>
    <row r="162" ht="14.25" customHeight="1">
      <c r="A162" s="18">
        <v>161.0</v>
      </c>
      <c r="B162" s="20" t="s">
        <v>2235</v>
      </c>
      <c r="C162" s="20" t="s">
        <v>1844</v>
      </c>
      <c r="D162" s="20" t="s">
        <v>1833</v>
      </c>
      <c r="E162" s="20" t="s">
        <v>2236</v>
      </c>
      <c r="K162" s="21" t="str">
        <f>IFERROR(__xludf.DUMMYFUNCTION("GOOGLETRANSLATE(B162, ""th"", ""en"")"),"What happens if a serve is misplaced?")</f>
        <v>What happens if a serve is misplaced?</v>
      </c>
      <c r="L162" s="21" t="str">
        <f>IFERROR(__xludf.DUMMYFUNCTION("GOOGLETRANSLATE(C162, ""th"", ""en"")"),"A) Foul; B) Re-serve; C) Point; D) No result")</f>
        <v>A) Foul; B) Re-serve; C) Point; D) No result</v>
      </c>
      <c r="M162" s="21" t="str">
        <f>IFERROR(__xludf.DUMMYFUNCTION("GOOGLETRANSLATE(D162, ""th"", ""en"")"),"A) Foul")</f>
        <v>A) Foul</v>
      </c>
    </row>
    <row r="163" ht="14.25" customHeight="1">
      <c r="A163" s="18">
        <v>162.0</v>
      </c>
      <c r="B163" s="20" t="s">
        <v>2237</v>
      </c>
      <c r="C163" s="20" t="s">
        <v>1844</v>
      </c>
      <c r="D163" s="20" t="s">
        <v>1833</v>
      </c>
      <c r="E163" s="20" t="s">
        <v>2238</v>
      </c>
      <c r="K163" s="21" t="str">
        <f>IFERROR(__xludf.DUMMYFUNCTION("GOOGLETRANSLATE(B163, ""th"", ""en"")"),"What happens if a player tries to hit the ball but is unable to?")</f>
        <v>What happens if a player tries to hit the ball but is unable to?</v>
      </c>
      <c r="L163" s="21" t="str">
        <f>IFERROR(__xludf.DUMMYFUNCTION("GOOGLETRANSLATE(C163, ""th"", ""en"")"),"A) Foul; B) Re-serve; C) Point; D) No result")</f>
        <v>A) Foul; B) Re-serve; C) Point; D) No result</v>
      </c>
      <c r="M163" s="21" t="str">
        <f>IFERROR(__xludf.DUMMYFUNCTION("GOOGLETRANSLATE(D163, ""th"", ""en"")"),"A) Foul")</f>
        <v>A) Foul</v>
      </c>
    </row>
    <row r="164" ht="14.25" customHeight="1">
      <c r="A164" s="18">
        <v>163.0</v>
      </c>
      <c r="B164" s="20" t="s">
        <v>2239</v>
      </c>
      <c r="C164" s="20" t="s">
        <v>1888</v>
      </c>
      <c r="D164" s="20" t="s">
        <v>1833</v>
      </c>
      <c r="E164" s="20" t="s">
        <v>2240</v>
      </c>
      <c r="K164" s="21" t="str">
        <f>IFERROR(__xludf.DUMMYFUNCTION("GOOGLETRANSLATE(B164, ""th"", ""en"")"),"What happens if you hit a ball that hasn't landed on the court?")</f>
        <v>What happens if you hit a ball that hasn't landed on the court?</v>
      </c>
      <c r="L164" s="21" t="str">
        <f>IFERROR(__xludf.DUMMYFUNCTION("GOOGLETRANSLATE(C164, ""th"", ""en"")"),"A) foul; B) score; C) re-serve; D) no result")</f>
        <v>A) foul; B) score; C) re-serve; D) no result</v>
      </c>
      <c r="M164" s="21" t="str">
        <f>IFERROR(__xludf.DUMMYFUNCTION("GOOGLETRANSLATE(D164, ""th"", ""en"")"),"A) Foul")</f>
        <v>A) Foul</v>
      </c>
    </row>
    <row r="165" ht="14.25" customHeight="1">
      <c r="A165" s="18">
        <v>164.0</v>
      </c>
      <c r="B165" s="20" t="s">
        <v>2241</v>
      </c>
      <c r="C165" s="20" t="s">
        <v>1844</v>
      </c>
      <c r="D165" s="20" t="s">
        <v>1833</v>
      </c>
      <c r="E165" s="20" t="s">
        <v>2242</v>
      </c>
      <c r="K165" s="21" t="str">
        <f>IFERROR(__xludf.DUMMYFUNCTION("GOOGLETRANSLATE(B165, ""th"", ""en"")"),"What happens if a player uses their hands to serve?")</f>
        <v>What happens if a player uses their hands to serve?</v>
      </c>
      <c r="L165" s="21" t="str">
        <f>IFERROR(__xludf.DUMMYFUNCTION("GOOGLETRANSLATE(C165, ""th"", ""en"")"),"A) Foul; B) Re-serve; C) Point; D) No result")</f>
        <v>A) Foul; B) Re-serve; C) Point; D) No result</v>
      </c>
      <c r="M165" s="21" t="str">
        <f>IFERROR(__xludf.DUMMYFUNCTION("GOOGLETRANSLATE(D165, ""th"", ""en"")"),"A) Foul")</f>
        <v>A) Foul</v>
      </c>
    </row>
    <row r="166" ht="14.25" customHeight="1">
      <c r="A166" s="18">
        <v>165.0</v>
      </c>
      <c r="B166" s="20" t="s">
        <v>2243</v>
      </c>
      <c r="C166" s="20" t="s">
        <v>2227</v>
      </c>
      <c r="D166" s="20" t="s">
        <v>1940</v>
      </c>
      <c r="E166" s="20" t="s">
        <v>2244</v>
      </c>
      <c r="K166" s="21" t="str">
        <f>IFERROR(__xludf.DUMMYFUNCTION("GOOGLETRANSLATE(B166, ""th"", ""en"")"),"What happens if you commit a foul while in serving position?")</f>
        <v>What happens if you commit a foul while in serving position?</v>
      </c>
      <c r="L166" s="21" t="str">
        <f>IFERROR(__xludf.DUMMYFUNCTION("GOOGLETRANSLATE(C166, ""th"", ""en"")"),"A) The opponent scores a point; B) The serve is re-served; C) The score is scored; D) No effect.")</f>
        <v>A) The opponent scores a point; B) The serve is re-served; C) The score is scored; D) No effect.</v>
      </c>
      <c r="M166" s="21" t="str">
        <f>IFERROR(__xludf.DUMMYFUNCTION("GOOGLETRANSLATE(D166, ""th"", ""en"")"),"A) The opponent scores points.")</f>
        <v>A) The opponent scores points.</v>
      </c>
    </row>
    <row r="167" ht="14.25" customHeight="1">
      <c r="A167" s="18">
        <v>166.0</v>
      </c>
      <c r="B167" s="20" t="s">
        <v>2245</v>
      </c>
      <c r="C167" s="20" t="s">
        <v>1844</v>
      </c>
      <c r="D167" s="20" t="s">
        <v>1833</v>
      </c>
      <c r="E167" s="20" t="s">
        <v>2246</v>
      </c>
      <c r="K167" s="21" t="str">
        <f>IFERROR(__xludf.DUMMYFUNCTION("GOOGLETRANSLATE(B167, ""th"", ""en"")"),"What happens if a player is not in the correct position to serve?")</f>
        <v>What happens if a player is not in the correct position to serve?</v>
      </c>
      <c r="L167" s="21" t="str">
        <f>IFERROR(__xludf.DUMMYFUNCTION("GOOGLETRANSLATE(C167, ""th"", ""en"")"),"A) Foul; B) Re-serve; C) Point; D) No result")</f>
        <v>A) Foul; B) Re-serve; C) Point; D) No result</v>
      </c>
      <c r="M167" s="21" t="str">
        <f>IFERROR(__xludf.DUMMYFUNCTION("GOOGLETRANSLATE(D167, ""th"", ""en"")"),"A) Foul")</f>
        <v>A) Foul</v>
      </c>
    </row>
    <row r="168" ht="14.25" customHeight="1">
      <c r="A168" s="18">
        <v>167.0</v>
      </c>
      <c r="B168" s="20" t="s">
        <v>2247</v>
      </c>
      <c r="C168" s="20" t="s">
        <v>1888</v>
      </c>
      <c r="D168" s="20" t="s">
        <v>1833</v>
      </c>
      <c r="E168" s="20" t="s">
        <v>2248</v>
      </c>
      <c r="K168" s="21" t="str">
        <f>IFERROR(__xludf.DUMMYFUNCTION("GOOGLETRANSLATE(B168, ""th"", ""en"")"),"What happens if a player commits a foul while receiving the ball?")</f>
        <v>What happens if a player commits a foul while receiving the ball?</v>
      </c>
      <c r="L168" s="21" t="str">
        <f>IFERROR(__xludf.DUMMYFUNCTION("GOOGLETRANSLATE(C168, ""th"", ""en"")"),"A) foul; B) score; C) re-serve; D) no result")</f>
        <v>A) foul; B) score; C) re-serve; D) no result</v>
      </c>
      <c r="M168" s="21" t="str">
        <f>IFERROR(__xludf.DUMMYFUNCTION("GOOGLETRANSLATE(D168, ""th"", ""en"")"),"A) Foul")</f>
        <v>A) Foul</v>
      </c>
    </row>
    <row r="169" ht="14.25" customHeight="1">
      <c r="A169" s="18">
        <v>168.0</v>
      </c>
      <c r="B169" s="20" t="s">
        <v>2249</v>
      </c>
      <c r="C169" s="20" t="s">
        <v>1888</v>
      </c>
      <c r="D169" s="20" t="s">
        <v>1948</v>
      </c>
      <c r="E169" s="20" t="s">
        <v>2250</v>
      </c>
      <c r="K169" s="21" t="str">
        <f>IFERROR(__xludf.DUMMYFUNCTION("GOOGLETRANSLATE(B169, ""th"", ""en"")"),"What happens if the sepak takraw ball bounces off the court after being hit?")</f>
        <v>What happens if the sepak takraw ball bounces off the court after being hit?</v>
      </c>
      <c r="L169" s="21" t="str">
        <f>IFERROR(__xludf.DUMMYFUNCTION("GOOGLETRANSLATE(C169, ""th"", ""en"")"),"A) foul; B) score; C) re-serve; D) no result")</f>
        <v>A) foul; B) score; C) re-serve; D) no result</v>
      </c>
      <c r="M169" s="21" t="str">
        <f>IFERROR(__xludf.DUMMYFUNCTION("GOOGLETRANSLATE(D169, ""th"", ""en"")"),"B) got points")</f>
        <v>B) got points</v>
      </c>
    </row>
    <row r="170" ht="14.25" customHeight="1">
      <c r="A170" s="18">
        <v>169.0</v>
      </c>
      <c r="B170" s="20" t="s">
        <v>2251</v>
      </c>
      <c r="C170" s="20" t="s">
        <v>1844</v>
      </c>
      <c r="D170" s="20" t="s">
        <v>1833</v>
      </c>
      <c r="E170" s="20" t="s">
        <v>2252</v>
      </c>
      <c r="K170" s="21" t="str">
        <f>IFERROR(__xludf.DUMMYFUNCTION("GOOGLETRANSLATE(B170, ""th"", ""en"")"),"What happens if a player changes position without notifying the referee?")</f>
        <v>What happens if a player changes position without notifying the referee?</v>
      </c>
      <c r="L170" s="21" t="str">
        <f>IFERROR(__xludf.DUMMYFUNCTION("GOOGLETRANSLATE(C170, ""th"", ""en"")"),"A) Foul; B) Re-serve; C) Point; D) No result")</f>
        <v>A) Foul; B) Re-serve; C) Point; D) No result</v>
      </c>
      <c r="M170" s="21" t="str">
        <f>IFERROR(__xludf.DUMMYFUNCTION("GOOGLETRANSLATE(D170, ""th"", ""en"")"),"A) Foul")</f>
        <v>A) Foul</v>
      </c>
    </row>
    <row r="171" ht="14.25" customHeight="1">
      <c r="A171" s="18">
        <v>170.0</v>
      </c>
      <c r="B171" s="20" t="s">
        <v>2253</v>
      </c>
      <c r="C171" s="20" t="s">
        <v>1844</v>
      </c>
      <c r="D171" s="20" t="s">
        <v>1833</v>
      </c>
      <c r="E171" s="20" t="s">
        <v>2254</v>
      </c>
      <c r="K171" s="21" t="str">
        <f>IFERROR(__xludf.DUMMYFUNCTION("GOOGLETRANSLATE(B171, ""th"", ""en"")"),"What happens if you serve the ball to the wrong place?")</f>
        <v>What happens if you serve the ball to the wrong place?</v>
      </c>
      <c r="L171" s="21" t="str">
        <f>IFERROR(__xludf.DUMMYFUNCTION("GOOGLETRANSLATE(C171, ""th"", ""en"")"),"A) Foul; B) Re-serve; C) Point; D) No result")</f>
        <v>A) Foul; B) Re-serve; C) Point; D) No result</v>
      </c>
      <c r="M171" s="21" t="str">
        <f>IFERROR(__xludf.DUMMYFUNCTION("GOOGLETRANSLATE(D171, ""th"", ""en"")"),"A) Foul")</f>
        <v>A) Foul</v>
      </c>
    </row>
    <row r="172" ht="14.25" customHeight="1">
      <c r="A172" s="18">
        <v>171.0</v>
      </c>
      <c r="B172" s="20" t="s">
        <v>2255</v>
      </c>
      <c r="C172" s="20" t="s">
        <v>1844</v>
      </c>
      <c r="D172" s="20" t="s">
        <v>1833</v>
      </c>
      <c r="E172" s="20" t="s">
        <v>2160</v>
      </c>
      <c r="K172" s="21" t="str">
        <f>IFERROR(__xludf.DUMMYFUNCTION("GOOGLETRANSLATE(B172, ""th"", ""en"")"),"What happens if the sepak takraw ball does not cross the net during a serve?")</f>
        <v>What happens if the sepak takraw ball does not cross the net during a serve?</v>
      </c>
      <c r="L172" s="21" t="str">
        <f>IFERROR(__xludf.DUMMYFUNCTION("GOOGLETRANSLATE(C172, ""th"", ""en"")"),"A) Foul; B) Re-serve; C) Point; D) No result")</f>
        <v>A) Foul; B) Re-serve; C) Point; D) No result</v>
      </c>
      <c r="M172" s="21" t="str">
        <f>IFERROR(__xludf.DUMMYFUNCTION("GOOGLETRANSLATE(D172, ""th"", ""en"")"),"A) Foul")</f>
        <v>A) Foul</v>
      </c>
    </row>
    <row r="173" ht="14.25" customHeight="1">
      <c r="A173" s="18">
        <v>172.0</v>
      </c>
      <c r="B173" s="20" t="s">
        <v>2256</v>
      </c>
      <c r="C173" s="20" t="s">
        <v>2227</v>
      </c>
      <c r="D173" s="20" t="s">
        <v>1940</v>
      </c>
      <c r="E173" s="20" t="s">
        <v>2257</v>
      </c>
      <c r="K173" s="21" t="str">
        <f>IFERROR(__xludf.DUMMYFUNCTION("GOOGLETRANSLATE(B173, ""th"", ""en"")"),"What happens if you commit a foul after serving?")</f>
        <v>What happens if you commit a foul after serving?</v>
      </c>
      <c r="L173" s="21" t="str">
        <f>IFERROR(__xludf.DUMMYFUNCTION("GOOGLETRANSLATE(C173, ""th"", ""en"")"),"A) The opponent scores a point; B) The serve is re-served; C) The score is scored; D) No effect.")</f>
        <v>A) The opponent scores a point; B) The serve is re-served; C) The score is scored; D) No effect.</v>
      </c>
      <c r="M173" s="21" t="str">
        <f>IFERROR(__xludf.DUMMYFUNCTION("GOOGLETRANSLATE(D173, ""th"", ""en"")"),"A) The opponent scores points.")</f>
        <v>A) The opponent scores points.</v>
      </c>
    </row>
    <row r="174" ht="14.25" customHeight="1">
      <c r="A174" s="18">
        <v>173.0</v>
      </c>
      <c r="B174" s="20" t="s">
        <v>2258</v>
      </c>
      <c r="C174" s="20" t="s">
        <v>1888</v>
      </c>
      <c r="D174" s="20" t="s">
        <v>1948</v>
      </c>
      <c r="E174" s="20" t="s">
        <v>2259</v>
      </c>
      <c r="K174" s="21" t="str">
        <f>IFERROR(__xludf.DUMMYFUNCTION("GOOGLETRANSLATE(B174, ""th"", ""en"")"),"What happens if the sepak takraw ball falls out of the court during a match?")</f>
        <v>What happens if the sepak takraw ball falls out of the court during a match?</v>
      </c>
      <c r="L174" s="21" t="str">
        <f>IFERROR(__xludf.DUMMYFUNCTION("GOOGLETRANSLATE(C174, ""th"", ""en"")"),"A) foul; B) score; C) re-serve; D) no result")</f>
        <v>A) foul; B) score; C) re-serve; D) no result</v>
      </c>
      <c r="M174" s="21" t="str">
        <f>IFERROR(__xludf.DUMMYFUNCTION("GOOGLETRANSLATE(D174, ""th"", ""en"")"),"B) got points")</f>
        <v>B) got points</v>
      </c>
    </row>
    <row r="175" ht="14.25" customHeight="1">
      <c r="A175" s="18">
        <v>174.0</v>
      </c>
      <c r="B175" s="20" t="s">
        <v>2260</v>
      </c>
      <c r="C175" s="20" t="s">
        <v>1939</v>
      </c>
      <c r="D175" s="20" t="s">
        <v>1940</v>
      </c>
      <c r="E175" s="20" t="s">
        <v>2261</v>
      </c>
      <c r="K175" s="21" t="str">
        <f>IFERROR(__xludf.DUMMYFUNCTION("GOOGLETRANSLATE(B175, ""th"", ""en"")"),"What happens if you commit a foul without notifying the referee?")</f>
        <v>What happens if you commit a foul without notifying the referee?</v>
      </c>
      <c r="L175" s="21" t="str">
        <f>IFERROR(__xludf.DUMMYFUNCTION("GOOGLETRANSLATE(C175, ""th"", ""en"")"),"A) The opponent scores a point; B) Re-serve; C) Foul; D) No result.")</f>
        <v>A) The opponent scores a point; B) Re-serve; C) Foul; D) No result.</v>
      </c>
      <c r="M175" s="21" t="str">
        <f>IFERROR(__xludf.DUMMYFUNCTION("GOOGLETRANSLATE(D175, ""th"", ""en"")"),"A) The opponent scores points.")</f>
        <v>A) The opponent scores points.</v>
      </c>
    </row>
    <row r="176" ht="14.25" customHeight="1">
      <c r="A176" s="18">
        <v>175.0</v>
      </c>
      <c r="B176" s="20" t="s">
        <v>2262</v>
      </c>
      <c r="C176" s="20" t="s">
        <v>1844</v>
      </c>
      <c r="D176" s="20" t="s">
        <v>1833</v>
      </c>
      <c r="E176" s="20" t="s">
        <v>2263</v>
      </c>
      <c r="K176" s="21" t="str">
        <f>IFERROR(__xludf.DUMMYFUNCTION("GOOGLETRANSLATE(B176, ""th"", ""en"")"),"What happens if you hit the sepak takraw ball while you are not ready?")</f>
        <v>What happens if you hit the sepak takraw ball while you are not ready?</v>
      </c>
      <c r="L176" s="21" t="str">
        <f>IFERROR(__xludf.DUMMYFUNCTION("GOOGLETRANSLATE(C176, ""th"", ""en"")"),"A) Foul; B) Re-serve; C) Point; D) No result")</f>
        <v>A) Foul; B) Re-serve; C) Point; D) No result</v>
      </c>
      <c r="M176" s="21" t="str">
        <f>IFERROR(__xludf.DUMMYFUNCTION("GOOGLETRANSLATE(D176, ""th"", ""en"")"),"A) Foul")</f>
        <v>A) Foul</v>
      </c>
    </row>
    <row r="177" ht="14.25" customHeight="1">
      <c r="A177" s="18">
        <v>176.0</v>
      </c>
      <c r="B177" s="20" t="s">
        <v>2264</v>
      </c>
      <c r="C177" s="20" t="s">
        <v>1888</v>
      </c>
      <c r="D177" s="20" t="s">
        <v>1948</v>
      </c>
      <c r="E177" s="20" t="s">
        <v>2265</v>
      </c>
      <c r="K177" s="21" t="str">
        <f>IFERROR(__xludf.DUMMYFUNCTION("GOOGLETRANSLATE(B177, ""th"", ""en"")"),"If a player uses his legs to receive the sepak takraw ball, what will happen?")</f>
        <v>If a player uses his legs to receive the sepak takraw ball, what will happen?</v>
      </c>
      <c r="L177" s="21" t="str">
        <f>IFERROR(__xludf.DUMMYFUNCTION("GOOGLETRANSLATE(C177, ""th"", ""en"")"),"A) foul; B) score; C) re-serve; D) no result")</f>
        <v>A) foul; B) score; C) re-serve; D) no result</v>
      </c>
      <c r="M177" s="21" t="str">
        <f>IFERROR(__xludf.DUMMYFUNCTION("GOOGLETRANSLATE(D177, ""th"", ""en"")"),"B) got points")</f>
        <v>B) got points</v>
      </c>
    </row>
    <row r="178" ht="14.25" customHeight="1">
      <c r="A178" s="18">
        <v>177.0</v>
      </c>
      <c r="B178" s="20" t="s">
        <v>2266</v>
      </c>
      <c r="C178" s="20" t="s">
        <v>1844</v>
      </c>
      <c r="D178" s="20" t="s">
        <v>1833</v>
      </c>
      <c r="E178" s="20" t="s">
        <v>2267</v>
      </c>
      <c r="K178" s="21" t="str">
        <f>IFERROR(__xludf.DUMMYFUNCTION("GOOGLETRANSLATE(B178, ""th"", ""en"")"),"What happens if the serve doesn't reach the designated position?")</f>
        <v>What happens if the serve doesn't reach the designated position?</v>
      </c>
      <c r="L178" s="21" t="str">
        <f>IFERROR(__xludf.DUMMYFUNCTION("GOOGLETRANSLATE(C178, ""th"", ""en"")"),"A) Foul; B) Re-serve; C) Point; D) No result")</f>
        <v>A) Foul; B) Re-serve; C) Point; D) No result</v>
      </c>
      <c r="M178" s="21" t="str">
        <f>IFERROR(__xludf.DUMMYFUNCTION("GOOGLETRANSLATE(D178, ""th"", ""en"")"),"A) Foul")</f>
        <v>A) Foul</v>
      </c>
    </row>
    <row r="179" ht="14.25" customHeight="1">
      <c r="A179" s="18">
        <v>178.0</v>
      </c>
      <c r="B179" s="20" t="s">
        <v>2268</v>
      </c>
      <c r="C179" s="20" t="s">
        <v>2227</v>
      </c>
      <c r="D179" s="20" t="s">
        <v>1940</v>
      </c>
      <c r="E179" s="20" t="s">
        <v>2269</v>
      </c>
      <c r="K179" s="21" t="str">
        <f>IFERROR(__xludf.DUMMYFUNCTION("GOOGLETRANSLATE(B179, ""th"", ""en"")"),"What happens if a player commits a foul on a return?")</f>
        <v>What happens if a player commits a foul on a return?</v>
      </c>
      <c r="L179" s="21" t="str">
        <f>IFERROR(__xludf.DUMMYFUNCTION("GOOGLETRANSLATE(C179, ""th"", ""en"")"),"A) The opponent scores a point; B) The serve is re-served; C) The score is scored; D) No effect.")</f>
        <v>A) The opponent scores a point; B) The serve is re-served; C) The score is scored; D) No effect.</v>
      </c>
      <c r="M179" s="21" t="str">
        <f>IFERROR(__xludf.DUMMYFUNCTION("GOOGLETRANSLATE(D179, ""th"", ""en"")"),"A) The opponent scores points.")</f>
        <v>A) The opponent scores points.</v>
      </c>
    </row>
    <row r="180" ht="14.25" customHeight="1">
      <c r="A180" s="18">
        <v>179.0</v>
      </c>
      <c r="B180" s="20" t="s">
        <v>2270</v>
      </c>
      <c r="C180" s="20" t="s">
        <v>1844</v>
      </c>
      <c r="D180" s="20" t="s">
        <v>1833</v>
      </c>
      <c r="E180" s="20" t="s">
        <v>2271</v>
      </c>
      <c r="K180" s="21" t="str">
        <f>IFERROR(__xludf.DUMMYFUNCTION("GOOGLETRANSLATE(B180, ""th"", ""en"")"),"What happens when using your feet to serve?")</f>
        <v>What happens when using your feet to serve?</v>
      </c>
      <c r="L180" s="21" t="str">
        <f>IFERROR(__xludf.DUMMYFUNCTION("GOOGLETRANSLATE(C180, ""th"", ""en"")"),"A) Foul; B) Re-serve; C) Point; D) No result")</f>
        <v>A) Foul; B) Re-serve; C) Point; D) No result</v>
      </c>
      <c r="M180" s="21" t="str">
        <f>IFERROR(__xludf.DUMMYFUNCTION("GOOGLETRANSLATE(D180, ""th"", ""en"")"),"A) Foul")</f>
        <v>A) Foul</v>
      </c>
    </row>
    <row r="181" ht="14.25" customHeight="1">
      <c r="A181" s="18">
        <v>180.0</v>
      </c>
      <c r="B181" s="20" t="s">
        <v>2272</v>
      </c>
      <c r="C181" s="20" t="s">
        <v>1888</v>
      </c>
      <c r="D181" s="20" t="s">
        <v>1833</v>
      </c>
      <c r="E181" s="20" t="s">
        <v>2273</v>
      </c>
      <c r="K181" s="21" t="str">
        <f>IFERROR(__xludf.DUMMYFUNCTION("GOOGLETRANSLATE(B181, ""th"", ""en"")"),"What happens if a player hits the ball in the wrong position?")</f>
        <v>What happens if a player hits the ball in the wrong position?</v>
      </c>
      <c r="L181" s="21" t="str">
        <f>IFERROR(__xludf.DUMMYFUNCTION("GOOGLETRANSLATE(C181, ""th"", ""en"")"),"A) foul; B) score; C) re-serve; D) no result")</f>
        <v>A) foul; B) score; C) re-serve; D) no result</v>
      </c>
      <c r="M181" s="21" t="str">
        <f>IFERROR(__xludf.DUMMYFUNCTION("GOOGLETRANSLATE(D181, ""th"", ""en"")"),"A) Foul")</f>
        <v>A) Foul</v>
      </c>
    </row>
    <row r="182" ht="14.25" customHeight="1">
      <c r="A182" s="18">
        <v>181.0</v>
      </c>
      <c r="B182" s="20" t="s">
        <v>2274</v>
      </c>
      <c r="C182" s="20" t="s">
        <v>1844</v>
      </c>
      <c r="D182" s="20" t="s">
        <v>1833</v>
      </c>
      <c r="E182" s="20" t="s">
        <v>2275</v>
      </c>
      <c r="K182" s="21" t="str">
        <f>IFERROR(__xludf.DUMMYFUNCTION("GOOGLETRANSLATE(B182, ""th"", ""en"")"),"What happens if a player is not in the correct position when serving?")</f>
        <v>What happens if a player is not in the correct position when serving?</v>
      </c>
      <c r="L182" s="21" t="str">
        <f>IFERROR(__xludf.DUMMYFUNCTION("GOOGLETRANSLATE(C182, ""th"", ""en"")"),"A) Foul; B) Re-serve; C) Point; D) No result")</f>
        <v>A) Foul; B) Re-serve; C) Point; D) No result</v>
      </c>
      <c r="M182" s="21" t="str">
        <f>IFERROR(__xludf.DUMMYFUNCTION("GOOGLETRANSLATE(D182, ""th"", ""en"")"),"A) Foul")</f>
        <v>A) Foul</v>
      </c>
    </row>
    <row r="183" ht="14.25" customHeight="1">
      <c r="A183" s="18">
        <v>182.0</v>
      </c>
      <c r="B183" s="20" t="s">
        <v>2276</v>
      </c>
      <c r="C183" s="20" t="s">
        <v>1844</v>
      </c>
      <c r="D183" s="20" t="s">
        <v>1833</v>
      </c>
      <c r="E183" s="20" t="s">
        <v>2277</v>
      </c>
      <c r="K183" s="21" t="str">
        <f>IFERROR(__xludf.DUMMYFUNCTION("GOOGLETRANSLATE(B183, ""th"", ""en"")"),"What happens if the serve does not cross the net?")</f>
        <v>What happens if the serve does not cross the net?</v>
      </c>
      <c r="L183" s="21" t="str">
        <f>IFERROR(__xludf.DUMMYFUNCTION("GOOGLETRANSLATE(C183, ""th"", ""en"")"),"A) Foul; B) Re-serve; C) Point; D) No result")</f>
        <v>A) Foul; B) Re-serve; C) Point; D) No result</v>
      </c>
      <c r="M183" s="21" t="str">
        <f>IFERROR(__xludf.DUMMYFUNCTION("GOOGLETRANSLATE(D183, ""th"", ""en"")"),"A) Foul")</f>
        <v>A) Foul</v>
      </c>
    </row>
    <row r="184" ht="14.25" customHeight="1">
      <c r="A184" s="18">
        <v>183.0</v>
      </c>
      <c r="B184" s="20" t="s">
        <v>2278</v>
      </c>
      <c r="C184" s="20" t="s">
        <v>2227</v>
      </c>
      <c r="D184" s="20" t="s">
        <v>1940</v>
      </c>
      <c r="E184" s="20" t="s">
        <v>2279</v>
      </c>
      <c r="K184" s="21" t="str">
        <f>IFERROR(__xludf.DUMMYFUNCTION("GOOGLETRANSLATE(B184, ""th"", ""en"")"),"What happens if a player commits a foul after receiving the ball?")</f>
        <v>What happens if a player commits a foul after receiving the ball?</v>
      </c>
      <c r="L184" s="21" t="str">
        <f>IFERROR(__xludf.DUMMYFUNCTION("GOOGLETRANSLATE(C184, ""th"", ""en"")"),"A) The opponent scores a point; B) The serve is re-served; C) The score is scored; D) No effect.")</f>
        <v>A) The opponent scores a point; B) The serve is re-served; C) The score is scored; D) No effect.</v>
      </c>
      <c r="M184" s="21" t="str">
        <f>IFERROR(__xludf.DUMMYFUNCTION("GOOGLETRANSLATE(D184, ""th"", ""en"")"),"A) The opponent scores points.")</f>
        <v>A) The opponent scores points.</v>
      </c>
    </row>
    <row r="185" ht="14.25" customHeight="1">
      <c r="A185" s="18">
        <v>184.0</v>
      </c>
      <c r="B185" s="20" t="s">
        <v>2280</v>
      </c>
      <c r="C185" s="20" t="s">
        <v>1888</v>
      </c>
      <c r="D185" s="20" t="s">
        <v>1833</v>
      </c>
      <c r="E185" s="20" t="s">
        <v>2281</v>
      </c>
      <c r="K185" s="21" t="str">
        <f>IFERROR(__xludf.DUMMYFUNCTION("GOOGLETRANSLATE(B185, ""th"", ""en"")"),"What happens if you hit a ball that hasn't crossed the net?")</f>
        <v>What happens if you hit a ball that hasn't crossed the net?</v>
      </c>
      <c r="L185" s="21" t="str">
        <f>IFERROR(__xludf.DUMMYFUNCTION("GOOGLETRANSLATE(C185, ""th"", ""en"")"),"A) foul; B) score; C) re-serve; D) no result")</f>
        <v>A) foul; B) score; C) re-serve; D) no result</v>
      </c>
      <c r="M185" s="21" t="str">
        <f>IFERROR(__xludf.DUMMYFUNCTION("GOOGLETRANSLATE(D185, ""th"", ""en"")"),"A) Foul")</f>
        <v>A) Foul</v>
      </c>
    </row>
    <row r="186" ht="14.25" customHeight="1">
      <c r="A186" s="18">
        <v>185.0</v>
      </c>
      <c r="B186" s="20" t="s">
        <v>2282</v>
      </c>
      <c r="C186" s="20" t="s">
        <v>1888</v>
      </c>
      <c r="D186" s="20" t="s">
        <v>1833</v>
      </c>
      <c r="E186" s="20" t="s">
        <v>2283</v>
      </c>
      <c r="K186" s="21" t="str">
        <f>IFERROR(__xludf.DUMMYFUNCTION("GOOGLETRANSLATE(B186, ""th"", ""en"")"),"What happens if you hit the ball with both hands?")</f>
        <v>What happens if you hit the ball with both hands?</v>
      </c>
      <c r="L186" s="21" t="str">
        <f>IFERROR(__xludf.DUMMYFUNCTION("GOOGLETRANSLATE(C186, ""th"", ""en"")"),"A) foul; B) score; C) re-serve; D) no result")</f>
        <v>A) foul; B) score; C) re-serve; D) no result</v>
      </c>
      <c r="M186" s="21" t="str">
        <f>IFERROR(__xludf.DUMMYFUNCTION("GOOGLETRANSLATE(D186, ""th"", ""en"")"),"A) Foul")</f>
        <v>A) Foul</v>
      </c>
    </row>
    <row r="187" ht="14.25" customHeight="1">
      <c r="A187" s="18">
        <v>186.0</v>
      </c>
      <c r="B187" s="20" t="s">
        <v>2284</v>
      </c>
      <c r="C187" s="20" t="s">
        <v>1844</v>
      </c>
      <c r="D187" s="20" t="s">
        <v>1833</v>
      </c>
      <c r="E187" s="20" t="s">
        <v>2285</v>
      </c>
      <c r="K187" s="21" t="str">
        <f>IFERROR(__xludf.DUMMYFUNCTION("GOOGLETRANSLATE(B187, ""th"", ""en"")"),"What happens if a player serves the ball out of position?")</f>
        <v>What happens if a player serves the ball out of position?</v>
      </c>
      <c r="L187" s="21" t="str">
        <f>IFERROR(__xludf.DUMMYFUNCTION("GOOGLETRANSLATE(C187, ""th"", ""en"")"),"A) Foul; B) Re-serve; C) Point; D) No result")</f>
        <v>A) Foul; B) Re-serve; C) Point; D) No result</v>
      </c>
      <c r="M187" s="21" t="str">
        <f>IFERROR(__xludf.DUMMYFUNCTION("GOOGLETRANSLATE(D187, ""th"", ""en"")"),"A) Foul")</f>
        <v>A) Foul</v>
      </c>
    </row>
    <row r="188" ht="14.25" customHeight="1">
      <c r="A188" s="18">
        <v>187.0</v>
      </c>
      <c r="B188" s="20" t="s">
        <v>2286</v>
      </c>
      <c r="C188" s="20" t="s">
        <v>1888</v>
      </c>
      <c r="D188" s="20" t="s">
        <v>1833</v>
      </c>
      <c r="E188" s="20" t="s">
        <v>2287</v>
      </c>
      <c r="K188" s="21" t="str">
        <f>IFERROR(__xludf.DUMMYFUNCTION("GOOGLETRANSLATE(B188, ""th"", ""en"")"),"What happens if a player doesn't hit the sepak takraw ball correctly?")</f>
        <v>What happens if a player doesn't hit the sepak takraw ball correctly?</v>
      </c>
      <c r="L188" s="21" t="str">
        <f>IFERROR(__xludf.DUMMYFUNCTION("GOOGLETRANSLATE(C188, ""th"", ""en"")"),"A) foul; B) score; C) re-serve; D) no result")</f>
        <v>A) foul; B) score; C) re-serve; D) no result</v>
      </c>
      <c r="M188" s="21" t="str">
        <f>IFERROR(__xludf.DUMMYFUNCTION("GOOGLETRANSLATE(D188, ""th"", ""en"")"),"A) Foul")</f>
        <v>A) Foul</v>
      </c>
    </row>
    <row r="189" ht="14.25" customHeight="1">
      <c r="A189" s="18">
        <v>188.0</v>
      </c>
      <c r="B189" s="20" t="s">
        <v>2288</v>
      </c>
      <c r="C189" s="20" t="s">
        <v>1888</v>
      </c>
      <c r="D189" s="20" t="s">
        <v>1948</v>
      </c>
      <c r="E189" s="20" t="s">
        <v>2289</v>
      </c>
      <c r="K189" s="21" t="str">
        <f>IFERROR(__xludf.DUMMYFUNCTION("GOOGLETRANSLATE(B189, ""th"", ""en"")"),"What happens if the sepak takraw ball goes out of the court after being hit?")</f>
        <v>What happens if the sepak takraw ball goes out of the court after being hit?</v>
      </c>
      <c r="L189" s="21" t="str">
        <f>IFERROR(__xludf.DUMMYFUNCTION("GOOGLETRANSLATE(C189, ""th"", ""en"")"),"A) foul; B) score; C) re-serve; D) no result")</f>
        <v>A) foul; B) score; C) re-serve; D) no result</v>
      </c>
      <c r="M189" s="21" t="str">
        <f>IFERROR(__xludf.DUMMYFUNCTION("GOOGLETRANSLATE(D189, ""th"", ""en"")"),"B) got points")</f>
        <v>B) got points</v>
      </c>
    </row>
    <row r="190" ht="14.25" customHeight="1">
      <c r="A190" s="18">
        <v>189.0</v>
      </c>
      <c r="B190" s="20" t="s">
        <v>2203</v>
      </c>
      <c r="C190" s="20" t="s">
        <v>2227</v>
      </c>
      <c r="D190" s="20" t="s">
        <v>1940</v>
      </c>
      <c r="E190" s="20" t="s">
        <v>2290</v>
      </c>
      <c r="K190" s="21" t="str">
        <f>IFERROR(__xludf.DUMMYFUNCTION("GOOGLETRANSLATE(B190, ""th"", ""en"")"),"What happens if you commit a foul while receiving the ball?")</f>
        <v>What happens if you commit a foul while receiving the ball?</v>
      </c>
      <c r="L190" s="21" t="str">
        <f>IFERROR(__xludf.DUMMYFUNCTION("GOOGLETRANSLATE(C190, ""th"", ""en"")"),"A) The opponent scores a point; B) The serve is re-served; C) The score is scored; D) No effect.")</f>
        <v>A) The opponent scores a point; B) The serve is re-served; C) The score is scored; D) No effect.</v>
      </c>
      <c r="M190" s="21" t="str">
        <f>IFERROR(__xludf.DUMMYFUNCTION("GOOGLETRANSLATE(D190, ""th"", ""en"")"),"A) The opponent scores points.")</f>
        <v>A) The opponent scores points.</v>
      </c>
    </row>
    <row r="191" ht="14.25" customHeight="1">
      <c r="A191" s="18">
        <v>190.0</v>
      </c>
      <c r="B191" s="20" t="s">
        <v>2291</v>
      </c>
      <c r="C191" s="20" t="s">
        <v>1844</v>
      </c>
      <c r="D191" s="20" t="s">
        <v>1833</v>
      </c>
      <c r="E191" s="20" t="s">
        <v>2292</v>
      </c>
      <c r="K191" s="21" t="str">
        <f>IFERROR(__xludf.DUMMYFUNCTION("GOOGLETRANSLATE(B191, ""th"", ""en"")"),"What happens if a player is not ready when serving?")</f>
        <v>What happens if a player is not ready when serving?</v>
      </c>
      <c r="L191" s="21" t="str">
        <f>IFERROR(__xludf.DUMMYFUNCTION("GOOGLETRANSLATE(C191, ""th"", ""en"")"),"A) Foul; B) Re-serve; C) Point; D) No result")</f>
        <v>A) Foul; B) Re-serve; C) Point; D) No result</v>
      </c>
      <c r="M191" s="21" t="str">
        <f>IFERROR(__xludf.DUMMYFUNCTION("GOOGLETRANSLATE(D191, ""th"", ""en"")"),"A) Foul")</f>
        <v>A) Foul</v>
      </c>
    </row>
    <row r="192" ht="14.25" customHeight="1">
      <c r="A192" s="18">
        <v>191.0</v>
      </c>
      <c r="B192" s="20" t="s">
        <v>2293</v>
      </c>
      <c r="C192" s="20" t="s">
        <v>1844</v>
      </c>
      <c r="D192" s="20" t="s">
        <v>1833</v>
      </c>
      <c r="E192" s="20" t="s">
        <v>2294</v>
      </c>
      <c r="K192" s="21" t="str">
        <f>IFERROR(__xludf.DUMMYFUNCTION("GOOGLETRANSLATE(B192, ""th"", ""en"")"),"What happens if you change the position of a player without informing the referee?")</f>
        <v>What happens if you change the position of a player without informing the referee?</v>
      </c>
      <c r="L192" s="21" t="str">
        <f>IFERROR(__xludf.DUMMYFUNCTION("GOOGLETRANSLATE(C192, ""th"", ""en"")"),"A) Foul; B) Re-serve; C) Point; D) No result")</f>
        <v>A) Foul; B) Re-serve; C) Point; D) No result</v>
      </c>
      <c r="M192" s="21" t="str">
        <f>IFERROR(__xludf.DUMMYFUNCTION("GOOGLETRANSLATE(D192, ""th"", ""en"")"),"A) Foul")</f>
        <v>A) Foul</v>
      </c>
    </row>
    <row r="193" ht="14.25" customHeight="1">
      <c r="A193" s="18">
        <v>192.0</v>
      </c>
      <c r="B193" s="20" t="s">
        <v>2295</v>
      </c>
      <c r="C193" s="20" t="s">
        <v>1888</v>
      </c>
      <c r="D193" s="20" t="s">
        <v>1833</v>
      </c>
      <c r="E193" s="20" t="s">
        <v>2296</v>
      </c>
      <c r="K193" s="21" t="str">
        <f>IFERROR(__xludf.DUMMYFUNCTION("GOOGLETRANSLATE(B193, ""th"", ""en"")"),"If a player uses his arms to catch the sepak takraw ball, what will happen?")</f>
        <v>If a player uses his arms to catch the sepak takraw ball, what will happen?</v>
      </c>
      <c r="L193" s="21" t="str">
        <f>IFERROR(__xludf.DUMMYFUNCTION("GOOGLETRANSLATE(C193, ""th"", ""en"")"),"A) foul; B) score; C) re-serve; D) no result")</f>
        <v>A) foul; B) score; C) re-serve; D) no result</v>
      </c>
      <c r="M193" s="21" t="str">
        <f>IFERROR(__xludf.DUMMYFUNCTION("GOOGLETRANSLATE(D193, ""th"", ""en"")"),"A) Foul")</f>
        <v>A) Foul</v>
      </c>
    </row>
    <row r="194" ht="14.25" customHeight="1">
      <c r="A194" s="18">
        <v>193.0</v>
      </c>
      <c r="B194" s="20" t="s">
        <v>2297</v>
      </c>
      <c r="C194" s="20" t="s">
        <v>1844</v>
      </c>
      <c r="D194" s="20" t="s">
        <v>1833</v>
      </c>
      <c r="E194" s="20" t="s">
        <v>2298</v>
      </c>
      <c r="K194" s="21" t="str">
        <f>IFERROR(__xludf.DUMMYFUNCTION("GOOGLETRANSLATE(B194, ""th"", ""en"")"),"What happens if a serve is played without the player using their feet as per the rules?")</f>
        <v>What happens if a serve is played without the player using their feet as per the rules?</v>
      </c>
      <c r="L194" s="21" t="str">
        <f>IFERROR(__xludf.DUMMYFUNCTION("GOOGLETRANSLATE(C194, ""th"", ""en"")"),"A) Foul; B) Re-serve; C) Point; D) No result")</f>
        <v>A) Foul; B) Re-serve; C) Point; D) No result</v>
      </c>
      <c r="M194" s="21" t="str">
        <f>IFERROR(__xludf.DUMMYFUNCTION("GOOGLETRANSLATE(D194, ""th"", ""en"")"),"A) Foul")</f>
        <v>A) Foul</v>
      </c>
    </row>
    <row r="195" ht="14.25" customHeight="1">
      <c r="A195" s="18">
        <v>194.0</v>
      </c>
      <c r="B195" s="20" t="s">
        <v>2299</v>
      </c>
      <c r="C195" s="20" t="s">
        <v>1844</v>
      </c>
      <c r="D195" s="20" t="s">
        <v>1833</v>
      </c>
      <c r="E195" s="20" t="s">
        <v>2300</v>
      </c>
      <c r="K195" s="21" t="str">
        <f>IFERROR(__xludf.DUMMYFUNCTION("GOOGLETRANSLATE(B195, ""th"", ""en"")"),"What happens if the sepak takraw ball does not cross the correct side of the field?")</f>
        <v>What happens if the sepak takraw ball does not cross the correct side of the field?</v>
      </c>
      <c r="L195" s="21" t="str">
        <f>IFERROR(__xludf.DUMMYFUNCTION("GOOGLETRANSLATE(C195, ""th"", ""en"")"),"A) Foul; B) Re-serve; C) Point; D) No result")</f>
        <v>A) Foul; B) Re-serve; C) Point; D) No result</v>
      </c>
      <c r="M195" s="21" t="str">
        <f>IFERROR(__xludf.DUMMYFUNCTION("GOOGLETRANSLATE(D195, ""th"", ""en"")"),"A) Foul")</f>
        <v>A) Foul</v>
      </c>
    </row>
    <row r="196" ht="14.25" customHeight="1">
      <c r="A196" s="18">
        <v>195.0</v>
      </c>
      <c r="B196" s="20" t="s">
        <v>2301</v>
      </c>
      <c r="C196" s="20" t="s">
        <v>1844</v>
      </c>
      <c r="D196" s="20" t="s">
        <v>1833</v>
      </c>
      <c r="E196" s="20" t="s">
        <v>2302</v>
      </c>
      <c r="K196" s="21" t="str">
        <f>IFERROR(__xludf.DUMMYFUNCTION("GOOGLETRANSLATE(B196, ""th"", ""en"")"),"What happens if a serve does not reach the designated position by the rules?")</f>
        <v>What happens if a serve does not reach the designated position by the rules?</v>
      </c>
      <c r="L196" s="21" t="str">
        <f>IFERROR(__xludf.DUMMYFUNCTION("GOOGLETRANSLATE(C196, ""th"", ""en"")"),"A) Foul; B) Re-serve; C) Point; D) No result")</f>
        <v>A) Foul; B) Re-serve; C) Point; D) No result</v>
      </c>
      <c r="M196" s="21" t="str">
        <f>IFERROR(__xludf.DUMMYFUNCTION("GOOGLETRANSLATE(D196, ""th"", ""en"")"),"A) Foul")</f>
        <v>A) Foul</v>
      </c>
    </row>
    <row r="197" ht="14.25" customHeight="1">
      <c r="A197" s="18">
        <v>196.0</v>
      </c>
      <c r="B197" s="20" t="s">
        <v>2303</v>
      </c>
      <c r="C197" s="20" t="s">
        <v>1888</v>
      </c>
      <c r="D197" s="20" t="s">
        <v>1948</v>
      </c>
      <c r="E197" s="20" t="s">
        <v>2304</v>
      </c>
      <c r="K197" s="21" t="str">
        <f>IFERROR(__xludf.DUMMYFUNCTION("GOOGLETRANSLATE(B197, ""th"", ""en"")"),"If a player uses his legs to hit the ball, what will happen?")</f>
        <v>If a player uses his legs to hit the ball, what will happen?</v>
      </c>
      <c r="L197" s="21" t="str">
        <f>IFERROR(__xludf.DUMMYFUNCTION("GOOGLETRANSLATE(C197, ""th"", ""en"")"),"A) foul; B) score; C) re-serve; D) no result")</f>
        <v>A) foul; B) score; C) re-serve; D) no result</v>
      </c>
      <c r="M197" s="21" t="str">
        <f>IFERROR(__xludf.DUMMYFUNCTION("GOOGLETRANSLATE(D197, ""th"", ""en"")"),"B) got points")</f>
        <v>B) got points</v>
      </c>
    </row>
    <row r="198" ht="14.25" customHeight="1">
      <c r="A198" s="18">
        <v>197.0</v>
      </c>
      <c r="B198" s="20" t="s">
        <v>2305</v>
      </c>
      <c r="C198" s="20" t="s">
        <v>1888</v>
      </c>
      <c r="D198" s="20" t="s">
        <v>1833</v>
      </c>
      <c r="E198" s="20" t="s">
        <v>2306</v>
      </c>
      <c r="K198" s="21" t="str">
        <f>IFERROR(__xludf.DUMMYFUNCTION("GOOGLETRANSLATE(B198, ""th"", ""en"")"),"What happens if a player hits the net?")</f>
        <v>What happens if a player hits the net?</v>
      </c>
      <c r="L198" s="21" t="str">
        <f>IFERROR(__xludf.DUMMYFUNCTION("GOOGLETRANSLATE(C198, ""th"", ""en"")"),"A) foul; B) score; C) re-serve; D) no result")</f>
        <v>A) foul; B) score; C) re-serve; D) no result</v>
      </c>
      <c r="M198" s="21" t="str">
        <f>IFERROR(__xludf.DUMMYFUNCTION("GOOGLETRANSLATE(D198, ""th"", ""en"")"),"A) Foul")</f>
        <v>A) Foul</v>
      </c>
    </row>
    <row r="199" ht="14.25" customHeight="1">
      <c r="A199" s="18">
        <v>198.0</v>
      </c>
      <c r="B199" s="20" t="s">
        <v>2235</v>
      </c>
      <c r="C199" s="20" t="s">
        <v>1844</v>
      </c>
      <c r="D199" s="20" t="s">
        <v>1833</v>
      </c>
      <c r="E199" s="20" t="s">
        <v>2307</v>
      </c>
      <c r="K199" s="21" t="str">
        <f>IFERROR(__xludf.DUMMYFUNCTION("GOOGLETRANSLATE(B199, ""th"", ""en"")"),"What happens if a serve is misplaced?")</f>
        <v>What happens if a serve is misplaced?</v>
      </c>
      <c r="L199" s="21" t="str">
        <f>IFERROR(__xludf.DUMMYFUNCTION("GOOGLETRANSLATE(C199, ""th"", ""en"")"),"A) Foul; B) Re-serve; C) Point; D) No result")</f>
        <v>A) Foul; B) Re-serve; C) Point; D) No result</v>
      </c>
      <c r="M199" s="21" t="str">
        <f>IFERROR(__xludf.DUMMYFUNCTION("GOOGLETRANSLATE(D199, ""th"", ""en"")"),"A) Foul")</f>
        <v>A) Foul</v>
      </c>
    </row>
    <row r="200" ht="14.25" customHeight="1">
      <c r="A200" s="18">
        <v>199.0</v>
      </c>
      <c r="B200" s="20" t="s">
        <v>2308</v>
      </c>
      <c r="C200" s="20" t="s">
        <v>1888</v>
      </c>
      <c r="D200" s="20" t="s">
        <v>1833</v>
      </c>
      <c r="E200" s="20" t="s">
        <v>2309</v>
      </c>
      <c r="K200" s="21" t="str">
        <f>IFERROR(__xludf.DUMMYFUNCTION("GOOGLETRANSLATE(B200, ""th"", ""en"")"),"What happens if you hit the ball with your feet while playing?")</f>
        <v>What happens if you hit the ball with your feet while playing?</v>
      </c>
      <c r="L200" s="21" t="str">
        <f>IFERROR(__xludf.DUMMYFUNCTION("GOOGLETRANSLATE(C200, ""th"", ""en"")"),"A) foul; B) score; C) re-serve; D) no result")</f>
        <v>A) foul; B) score; C) re-serve; D) no result</v>
      </c>
      <c r="M200" s="21" t="str">
        <f>IFERROR(__xludf.DUMMYFUNCTION("GOOGLETRANSLATE(D200, ""th"", ""en"")"),"A) Foul")</f>
        <v>A) Foul</v>
      </c>
    </row>
    <row r="201" ht="14.25" customHeight="1">
      <c r="A201" s="18">
        <v>200.0</v>
      </c>
      <c r="B201" s="20" t="s">
        <v>2310</v>
      </c>
      <c r="C201" s="20" t="s">
        <v>1844</v>
      </c>
      <c r="D201" s="20" t="s">
        <v>1833</v>
      </c>
      <c r="E201" s="20" t="s">
        <v>2311</v>
      </c>
      <c r="K201" s="21" t="str">
        <f>IFERROR(__xludf.DUMMYFUNCTION("GOOGLETRANSLATE(B201, ""th"", ""en"")"),"What happens if a player serves when their opponent is not ready?")</f>
        <v>What happens if a player serves when their opponent is not ready?</v>
      </c>
      <c r="L201" s="21" t="str">
        <f>IFERROR(__xludf.DUMMYFUNCTION("GOOGLETRANSLATE(C201, ""th"", ""en"")"),"A) Foul; B) Re-serve; C) Point; D) No result")</f>
        <v>A) Foul; B) Re-serve; C) Point; D) No result</v>
      </c>
      <c r="M201" s="21" t="str">
        <f>IFERROR(__xludf.DUMMYFUNCTION("GOOGLETRANSLATE(D201, ""th"", ""en"")"),"A) Foul")</f>
        <v>A) Foul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28.14"/>
    <col customWidth="1" min="3" max="3" width="27.0"/>
    <col customWidth="1" min="4" max="4" width="20.57"/>
    <col customWidth="1" min="5" max="5" width="52.86"/>
    <col customWidth="1" min="6" max="6" width="8.71"/>
    <col customWidth="1" min="7" max="7" width="14.29"/>
    <col customWidth="1" min="8" max="8" width="21.57"/>
    <col customWidth="1" min="9" max="9" width="25.86"/>
    <col customWidth="1" min="10" max="10" width="26.0"/>
    <col customWidth="1" min="11" max="11" width="35.14"/>
    <col customWidth="1" min="12" max="21" width="8.71"/>
  </cols>
  <sheetData>
    <row r="1" ht="14.25" customHeight="1">
      <c r="A1" s="22" t="s">
        <v>5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ht="14.25" customHeight="1">
      <c r="A2" s="5">
        <v>1.0</v>
      </c>
      <c r="B2" s="6" t="s">
        <v>2312</v>
      </c>
      <c r="C2" s="6" t="s">
        <v>2313</v>
      </c>
      <c r="D2" s="6" t="s">
        <v>2314</v>
      </c>
      <c r="E2" s="6" t="str">
        <f>IFERROR(__xludf.DUMMYFUNCTION("GOOGLETRANSLATE(K2, ""th"", ""en"")"),"Boxers must wear full equipment according to the rules.")</f>
        <v>Boxers must wear full equipment according to the rules.</v>
      </c>
      <c r="G2" s="6">
        <v>1.0</v>
      </c>
      <c r="H2" s="7" t="s">
        <v>2315</v>
      </c>
      <c r="I2" s="7" t="s">
        <v>2316</v>
      </c>
      <c r="J2" s="7" t="s">
        <v>2317</v>
      </c>
      <c r="K2" s="7" t="s">
        <v>2318</v>
      </c>
    </row>
    <row r="3" ht="14.25" customHeight="1">
      <c r="A3" s="5">
        <v>2.0</v>
      </c>
      <c r="B3" s="6" t="s">
        <v>2319</v>
      </c>
      <c r="C3" s="6" t="s">
        <v>2320</v>
      </c>
      <c r="D3" s="6" t="s">
        <v>2314</v>
      </c>
      <c r="E3" s="6" t="str">
        <f>IFERROR(__xludf.DUMMYFUNCTION("GOOGLETRANSLATE(K3, ""th"", ""en"")"),"Muay Thai uses fists, elbows, knees, and feet in combat.")</f>
        <v>Muay Thai uses fists, elbows, knees, and feet in combat.</v>
      </c>
      <c r="G3" s="6">
        <v>2.0</v>
      </c>
      <c r="H3" s="7" t="s">
        <v>2321</v>
      </c>
      <c r="I3" s="7" t="s">
        <v>2322</v>
      </c>
      <c r="J3" s="7" t="s">
        <v>2317</v>
      </c>
      <c r="K3" s="7" t="s">
        <v>2323</v>
      </c>
    </row>
    <row r="4" ht="14.25" customHeight="1">
      <c r="A4" s="5">
        <v>3.0</v>
      </c>
      <c r="B4" s="6" t="s">
        <v>2324</v>
      </c>
      <c r="C4" s="6" t="s">
        <v>2325</v>
      </c>
      <c r="D4" s="6" t="s">
        <v>2326</v>
      </c>
      <c r="E4" s="6" t="str">
        <f>IFERROR(__xludf.DUMMYFUNCTION("GOOGLETRANSLATE(K4, ""th"", ""en"")"),"A punch to the back of the neck is an illegal action.")</f>
        <v>A punch to the back of the neck is an illegal action.</v>
      </c>
      <c r="G4" s="6">
        <v>3.0</v>
      </c>
      <c r="H4" s="7" t="s">
        <v>2327</v>
      </c>
      <c r="I4" s="7" t="s">
        <v>2328</v>
      </c>
      <c r="J4" s="7" t="s">
        <v>2329</v>
      </c>
      <c r="K4" s="7" t="s">
        <v>2330</v>
      </c>
    </row>
    <row r="5" ht="14.25" customHeight="1">
      <c r="A5" s="5">
        <v>4.0</v>
      </c>
      <c r="B5" s="6" t="s">
        <v>2331</v>
      </c>
      <c r="C5" s="6" t="s">
        <v>2332</v>
      </c>
      <c r="D5" s="6" t="s">
        <v>2314</v>
      </c>
      <c r="E5" s="6" t="str">
        <f>IFERROR(__xludf.DUMMYFUNCTION("GOOGLETRANSLATE(K5, ""th"", ""en"")"),"The referee stops the match in various cases according to the rules.")</f>
        <v>The referee stops the match in various cases according to the rules.</v>
      </c>
      <c r="G5" s="6">
        <v>4.0</v>
      </c>
      <c r="H5" s="7" t="s">
        <v>2333</v>
      </c>
      <c r="I5" s="7" t="s">
        <v>2334</v>
      </c>
      <c r="J5" s="7" t="s">
        <v>2317</v>
      </c>
      <c r="K5" s="7" t="s">
        <v>2335</v>
      </c>
    </row>
    <row r="6" ht="14.25" customHeight="1">
      <c r="A6" s="5">
        <v>5.0</v>
      </c>
      <c r="B6" s="6" t="s">
        <v>2336</v>
      </c>
      <c r="C6" s="6" t="s">
        <v>2337</v>
      </c>
      <c r="D6" s="6" t="s">
        <v>2314</v>
      </c>
      <c r="E6" s="6" t="str">
        <f>IFERROR(__xludf.DUMMYFUNCTION("GOOGLETRANSLATE(K6, ""th"", ""en"")"),"The vote counting is based on several factors.")</f>
        <v>The vote counting is based on several factors.</v>
      </c>
      <c r="G6" s="6">
        <v>5.0</v>
      </c>
      <c r="H6" s="7" t="s">
        <v>2338</v>
      </c>
      <c r="I6" s="7" t="s">
        <v>2339</v>
      </c>
      <c r="J6" s="7" t="s">
        <v>2317</v>
      </c>
      <c r="K6" s="7" t="s">
        <v>2340</v>
      </c>
    </row>
    <row r="7" ht="14.25" customHeight="1">
      <c r="A7" s="5">
        <v>6.0</v>
      </c>
      <c r="B7" s="6" t="s">
        <v>2341</v>
      </c>
      <c r="C7" s="6" t="s">
        <v>2342</v>
      </c>
      <c r="D7" s="6" t="s">
        <v>2314</v>
      </c>
      <c r="E7" s="6" t="str">
        <f>IFERROR(__xludf.DUMMYFUNCTION("GOOGLETRANSLATE(K7, ""th"", ""en"")"),"Boxers will be awarded points for these moves.")</f>
        <v>Boxers will be awarded points for these moves.</v>
      </c>
      <c r="G7" s="6">
        <v>6.0</v>
      </c>
      <c r="H7" s="7" t="s">
        <v>2343</v>
      </c>
      <c r="I7" s="7" t="s">
        <v>2344</v>
      </c>
      <c r="J7" s="7" t="s">
        <v>2317</v>
      </c>
      <c r="K7" s="7" t="s">
        <v>2345</v>
      </c>
    </row>
    <row r="8" ht="14.25" customHeight="1">
      <c r="A8" s="5">
        <v>7.0</v>
      </c>
      <c r="B8" s="6" t="s">
        <v>2346</v>
      </c>
      <c r="C8" s="6" t="s">
        <v>2347</v>
      </c>
      <c r="D8" s="6" t="s">
        <v>2348</v>
      </c>
      <c r="E8" s="6" t="str">
        <f>IFERROR(__xludf.DUMMYFUNCTION("GOOGLETRANSLATE(K8, ""th"", ""en"")"),"The use of elbows must be done carefully according to the rules.")</f>
        <v>The use of elbows must be done carefully according to the rules.</v>
      </c>
      <c r="G8" s="6">
        <v>7.0</v>
      </c>
      <c r="H8" s="7" t="s">
        <v>2349</v>
      </c>
      <c r="I8" s="7" t="s">
        <v>2350</v>
      </c>
      <c r="J8" s="7" t="s">
        <v>2351</v>
      </c>
      <c r="K8" s="7" t="s">
        <v>2352</v>
      </c>
    </row>
    <row r="9" ht="14.25" customHeight="1">
      <c r="A9" s="5">
        <v>8.0</v>
      </c>
      <c r="B9" s="6" t="s">
        <v>2353</v>
      </c>
      <c r="C9" s="6" t="s">
        <v>2354</v>
      </c>
      <c r="D9" s="6" t="s">
        <v>2355</v>
      </c>
      <c r="E9" s="6" t="str">
        <f>IFERROR(__xludf.DUMMYFUNCTION("GOOGLETRANSLATE(K9, ""th"", ""en"")"),"Kicking the legs or lower body is a legitimate action.")</f>
        <v>Kicking the legs or lower body is a legitimate action.</v>
      </c>
      <c r="G9" s="6">
        <v>8.0</v>
      </c>
      <c r="H9" s="7" t="s">
        <v>2356</v>
      </c>
      <c r="I9" s="7" t="s">
        <v>2357</v>
      </c>
      <c r="J9" s="7" t="s">
        <v>2358</v>
      </c>
      <c r="K9" s="7" t="s">
        <v>2359</v>
      </c>
    </row>
    <row r="10" ht="14.25" customHeight="1">
      <c r="A10" s="5">
        <v>9.0</v>
      </c>
      <c r="B10" s="6" t="s">
        <v>2360</v>
      </c>
      <c r="C10" s="6" t="s">
        <v>2361</v>
      </c>
      <c r="D10" s="6" t="s">
        <v>2362</v>
      </c>
      <c r="E10" s="6" t="str">
        <f>IFERROR(__xludf.DUMMYFUNCTION("GOOGLETRANSLATE(K10, ""th"", ""en"")"),"The referee gives the opponent 10 seconds to recover.")</f>
        <v>The referee gives the opponent 10 seconds to recover.</v>
      </c>
      <c r="G10" s="6">
        <v>9.0</v>
      </c>
      <c r="H10" s="7" t="s">
        <v>2363</v>
      </c>
      <c r="I10" s="7" t="s">
        <v>2364</v>
      </c>
      <c r="J10" s="7" t="s">
        <v>2365</v>
      </c>
      <c r="K10" s="7" t="s">
        <v>2366</v>
      </c>
    </row>
    <row r="11" ht="14.25" customHeight="1">
      <c r="A11" s="5">
        <v>10.0</v>
      </c>
      <c r="B11" s="6" t="s">
        <v>2367</v>
      </c>
      <c r="C11" s="6" t="s">
        <v>2342</v>
      </c>
      <c r="D11" s="6" t="s">
        <v>2314</v>
      </c>
      <c r="E11" s="6" t="str">
        <f>IFERROR(__xludf.DUMMYFUNCTION("GOOGLETRANSLATE(K11, ""th"", ""en"")"),"Boxers can punch with fists, elbows, and knees.")</f>
        <v>Boxers can punch with fists, elbows, and knees.</v>
      </c>
      <c r="G11" s="6">
        <v>10.0</v>
      </c>
      <c r="H11" s="7" t="s">
        <v>2368</v>
      </c>
      <c r="I11" s="7" t="s">
        <v>2344</v>
      </c>
      <c r="J11" s="7" t="s">
        <v>2317</v>
      </c>
      <c r="K11" s="7" t="s">
        <v>2369</v>
      </c>
    </row>
    <row r="12" ht="14.25" customHeight="1">
      <c r="A12" s="5">
        <v>11.0</v>
      </c>
      <c r="B12" s="6" t="s">
        <v>2370</v>
      </c>
      <c r="C12" s="6" t="s">
        <v>2371</v>
      </c>
      <c r="D12" s="6" t="s">
        <v>2314</v>
      </c>
      <c r="E12" s="6" t="str">
        <f>IFERROR(__xludf.DUMMYFUNCTION("GOOGLETRANSLATE(K12, ""th"", ""en"")"),"There are many ways to defend yourself in Muay Thai.")</f>
        <v>There are many ways to defend yourself in Muay Thai.</v>
      </c>
      <c r="G12" s="6">
        <v>11.0</v>
      </c>
      <c r="H12" s="7" t="s">
        <v>2372</v>
      </c>
      <c r="I12" s="7" t="s">
        <v>2373</v>
      </c>
      <c r="J12" s="7" t="s">
        <v>2317</v>
      </c>
      <c r="K12" s="7" t="s">
        <v>2374</v>
      </c>
    </row>
    <row r="13" ht="14.25" customHeight="1">
      <c r="A13" s="5">
        <v>12.0</v>
      </c>
      <c r="B13" s="6" t="s">
        <v>2375</v>
      </c>
      <c r="C13" s="6" t="s">
        <v>2376</v>
      </c>
      <c r="D13" s="6" t="s">
        <v>2314</v>
      </c>
      <c r="E13" s="6" t="str">
        <f>IFERROR(__xludf.DUMMYFUNCTION("GOOGLETRANSLATE(K13, ""th"", ""en"")"),"All three actions are prohibited according to the rules.")</f>
        <v>All three actions are prohibited according to the rules.</v>
      </c>
      <c r="G13" s="6">
        <v>12.0</v>
      </c>
      <c r="H13" s="7" t="s">
        <v>2377</v>
      </c>
      <c r="I13" s="7" t="s">
        <v>2378</v>
      </c>
      <c r="J13" s="7" t="s">
        <v>2317</v>
      </c>
      <c r="K13" s="7" t="s">
        <v>2379</v>
      </c>
    </row>
    <row r="14" ht="14.25" customHeight="1">
      <c r="A14" s="5">
        <v>13.0</v>
      </c>
      <c r="B14" s="6" t="s">
        <v>2380</v>
      </c>
      <c r="C14" s="6" t="s">
        <v>2381</v>
      </c>
      <c r="D14" s="6" t="s">
        <v>2382</v>
      </c>
      <c r="E14" s="6" t="str">
        <f>IFERROR(__xludf.DUMMYFUNCTION("GOOGLETRANSLATE(K14, ""th"", ""en"")"),"It is important to maintain distance before the start of the competition.")</f>
        <v>It is important to maintain distance before the start of the competition.</v>
      </c>
      <c r="G14" s="6">
        <v>13.0</v>
      </c>
      <c r="H14" s="7" t="s">
        <v>2383</v>
      </c>
      <c r="I14" s="7" t="s">
        <v>2384</v>
      </c>
      <c r="J14" s="7" t="s">
        <v>2385</v>
      </c>
      <c r="K14" s="7" t="s">
        <v>2386</v>
      </c>
    </row>
    <row r="15" ht="14.25" customHeight="1">
      <c r="A15" s="5">
        <v>14.0</v>
      </c>
      <c r="B15" s="6" t="s">
        <v>2387</v>
      </c>
      <c r="C15" s="6" t="s">
        <v>2388</v>
      </c>
      <c r="D15" s="6" t="s">
        <v>2389</v>
      </c>
      <c r="E15" s="6" t="str">
        <f>IFERROR(__xludf.DUMMYFUNCTION("GOOGLETRANSLATE(K15, ""th"", ""en"")"),"Throwing weight illegally will result in an immediate loss.")</f>
        <v>Throwing weight illegally will result in an immediate loss.</v>
      </c>
      <c r="G15" s="6">
        <v>14.0</v>
      </c>
      <c r="H15" s="7" t="s">
        <v>2390</v>
      </c>
      <c r="I15" s="7" t="s">
        <v>2391</v>
      </c>
      <c r="J15" s="7" t="s">
        <v>2392</v>
      </c>
      <c r="K15" s="7" t="s">
        <v>2393</v>
      </c>
    </row>
    <row r="16" ht="14.25" customHeight="1">
      <c r="A16" s="5">
        <v>15.0</v>
      </c>
      <c r="B16" s="6" t="s">
        <v>2394</v>
      </c>
      <c r="C16" s="6" t="s">
        <v>2395</v>
      </c>
      <c r="D16" s="6" t="s">
        <v>2396</v>
      </c>
      <c r="E16" s="6" t="str">
        <f>IFERROR(__xludf.DUMMYFUNCTION("GOOGLETRANSLATE(K16, ""th"", ""en"")"),"Headbutting is an illegal act.")</f>
        <v>Headbutting is an illegal act.</v>
      </c>
      <c r="G16" s="6">
        <v>15.0</v>
      </c>
      <c r="H16" s="7" t="s">
        <v>2397</v>
      </c>
      <c r="I16" s="7" t="s">
        <v>2398</v>
      </c>
      <c r="J16" s="7" t="s">
        <v>2399</v>
      </c>
      <c r="K16" s="7" t="s">
        <v>2400</v>
      </c>
    </row>
    <row r="17" ht="14.25" customHeight="1">
      <c r="A17" s="5">
        <v>16.0</v>
      </c>
      <c r="B17" s="6" t="s">
        <v>2401</v>
      </c>
      <c r="C17" s="6" t="s">
        <v>2402</v>
      </c>
      <c r="D17" s="6" t="s">
        <v>2403</v>
      </c>
      <c r="E17" s="6" t="str">
        <f>IFERROR(__xludf.DUMMYFUNCTION("GOOGLETRANSLATE(K17, ""th"", ""en"")"),"If the injury is serious, the game will stop.")</f>
        <v>If the injury is serious, the game will stop.</v>
      </c>
      <c r="G17" s="6">
        <v>16.0</v>
      </c>
      <c r="H17" s="7" t="s">
        <v>2404</v>
      </c>
      <c r="I17" s="7" t="s">
        <v>2405</v>
      </c>
      <c r="J17" s="7" t="s">
        <v>2406</v>
      </c>
      <c r="K17" s="7" t="s">
        <v>2407</v>
      </c>
    </row>
    <row r="18" ht="14.25" customHeight="1">
      <c r="A18" s="5">
        <v>17.0</v>
      </c>
      <c r="B18" s="6" t="s">
        <v>2408</v>
      </c>
      <c r="C18" s="6" t="s">
        <v>2409</v>
      </c>
      <c r="D18" s="6" t="s">
        <v>2410</v>
      </c>
      <c r="E18" s="6" t="str">
        <f>IFERROR(__xludf.DUMMYFUNCTION("GOOGLETRANSLATE(K18, ""th"", ""en"")"),"The count occurs when the opponent is down.")</f>
        <v>The count occurs when the opponent is down.</v>
      </c>
      <c r="G18" s="6">
        <v>17.0</v>
      </c>
      <c r="H18" s="7" t="s">
        <v>2411</v>
      </c>
      <c r="I18" s="7" t="s">
        <v>2412</v>
      </c>
      <c r="J18" s="7" t="s">
        <v>2413</v>
      </c>
      <c r="K18" s="7" t="s">
        <v>2414</v>
      </c>
    </row>
    <row r="19" ht="14.25" customHeight="1">
      <c r="A19" s="5">
        <v>18.0</v>
      </c>
      <c r="B19" s="6" t="s">
        <v>2415</v>
      </c>
      <c r="C19" s="6" t="s">
        <v>2416</v>
      </c>
      <c r="D19" s="6" t="s">
        <v>2417</v>
      </c>
      <c r="E19" s="6" t="str">
        <f>IFERROR(__xludf.DUMMYFUNCTION("GOOGLETRANSLATE(K19, ""th"", ""en"")"),"Boxing is a show of respect.")</f>
        <v>Boxing is a show of respect.</v>
      </c>
      <c r="G19" s="6">
        <v>18.0</v>
      </c>
      <c r="H19" s="7" t="s">
        <v>2418</v>
      </c>
      <c r="I19" s="7" t="s">
        <v>2419</v>
      </c>
      <c r="J19" s="7" t="s">
        <v>2420</v>
      </c>
      <c r="K19" s="7" t="s">
        <v>2421</v>
      </c>
    </row>
    <row r="20" ht="14.25" customHeight="1">
      <c r="A20" s="5">
        <v>19.0</v>
      </c>
      <c r="B20" s="6" t="s">
        <v>2422</v>
      </c>
      <c r="C20" s="6" t="s">
        <v>2423</v>
      </c>
      <c r="D20" s="6" t="s">
        <v>2314</v>
      </c>
      <c r="E20" s="6" t="str">
        <f>IFERROR(__xludf.DUMMYFUNCTION("GOOGLETRANSLATE(K20, ""th"", ""en"")"),"Judges consider several factors in scoring.")</f>
        <v>Judges consider several factors in scoring.</v>
      </c>
      <c r="G20" s="6">
        <v>19.0</v>
      </c>
      <c r="H20" s="7" t="s">
        <v>2424</v>
      </c>
      <c r="I20" s="7" t="s">
        <v>2425</v>
      </c>
      <c r="J20" s="7" t="s">
        <v>2317</v>
      </c>
      <c r="K20" s="7" t="s">
        <v>2426</v>
      </c>
    </row>
    <row r="21" ht="14.25" customHeight="1">
      <c r="A21" s="5">
        <v>20.0</v>
      </c>
      <c r="B21" s="6" t="s">
        <v>2427</v>
      </c>
      <c r="C21" s="6" t="s">
        <v>2428</v>
      </c>
      <c r="D21" s="6" t="s">
        <v>2314</v>
      </c>
      <c r="E21" s="6" t="str">
        <f>IFERROR(__xludf.DUMMYFUNCTION("GOOGLETRANSLATE(K21, ""th"", ""en"")"),"Do not use moves that cause harm to your opponent.")</f>
        <v>Do not use moves that cause harm to your opponent.</v>
      </c>
      <c r="G21" s="6">
        <v>20.0</v>
      </c>
      <c r="H21" s="7" t="s">
        <v>2429</v>
      </c>
      <c r="I21" s="7" t="s">
        <v>2430</v>
      </c>
      <c r="J21" s="7" t="s">
        <v>2317</v>
      </c>
      <c r="K21" s="7" t="s">
        <v>2431</v>
      </c>
    </row>
    <row r="22" ht="14.25" customHeight="1">
      <c r="A22" s="5">
        <v>21.0</v>
      </c>
      <c r="B22" s="6" t="s">
        <v>2432</v>
      </c>
      <c r="C22" s="6" t="s">
        <v>2433</v>
      </c>
      <c r="D22" s="6" t="s">
        <v>2434</v>
      </c>
      <c r="E22" s="6" t="str">
        <f>IFERROR(__xludf.DUMMYFUNCTION("GOOGLETRANSLATE(K22, ""th"", ""en"")"),"A punch to the chin will get full points.")</f>
        <v>A punch to the chin will get full points.</v>
      </c>
      <c r="G22" s="6">
        <v>21.0</v>
      </c>
      <c r="H22" s="7" t="s">
        <v>2435</v>
      </c>
      <c r="I22" s="7" t="s">
        <v>2436</v>
      </c>
      <c r="J22" s="7" t="s">
        <v>2437</v>
      </c>
      <c r="K22" s="7" t="s">
        <v>2438</v>
      </c>
    </row>
    <row r="23" ht="14.25" customHeight="1">
      <c r="A23" s="5">
        <v>22.0</v>
      </c>
      <c r="B23" s="6" t="s">
        <v>2439</v>
      </c>
      <c r="C23" s="6" t="s">
        <v>2440</v>
      </c>
      <c r="D23" s="6" t="s">
        <v>2441</v>
      </c>
      <c r="E23" s="6" t="str">
        <f>IFERROR(__xludf.DUMMYFUNCTION("GOOGLETRANSLATE(K23, ""th"", ""en"")"),"If a boxer is unable to compete, he will lose.")</f>
        <v>If a boxer is unable to compete, he will lose.</v>
      </c>
      <c r="G23" s="6">
        <v>22.0</v>
      </c>
      <c r="H23" s="7" t="s">
        <v>2442</v>
      </c>
      <c r="I23" s="7" t="s">
        <v>2443</v>
      </c>
      <c r="J23" s="7" t="s">
        <v>2444</v>
      </c>
      <c r="K23" s="7" t="s">
        <v>2445</v>
      </c>
    </row>
    <row r="24" ht="14.25" customHeight="1">
      <c r="A24" s="5">
        <v>23.0</v>
      </c>
      <c r="B24" s="6" t="s">
        <v>2446</v>
      </c>
      <c r="C24" s="6" t="s">
        <v>2447</v>
      </c>
      <c r="D24" s="6" t="s">
        <v>2448</v>
      </c>
      <c r="E24" s="6" t="str">
        <f>IFERROR(__xludf.DUMMYFUNCTION("GOOGLETRANSLATE(K24, ""th"", ""en"")"),"Physical examination is part of the rules.")</f>
        <v>Physical examination is part of the rules.</v>
      </c>
      <c r="G24" s="6">
        <v>23.0</v>
      </c>
      <c r="H24" s="7" t="s">
        <v>2449</v>
      </c>
      <c r="I24" s="7" t="s">
        <v>2450</v>
      </c>
      <c r="J24" s="7" t="s">
        <v>2451</v>
      </c>
      <c r="K24" s="7" t="s">
        <v>2452</v>
      </c>
    </row>
    <row r="25" ht="14.25" customHeight="1">
      <c r="A25" s="5">
        <v>24.0</v>
      </c>
      <c r="B25" s="6" t="s">
        <v>2453</v>
      </c>
      <c r="C25" s="6" t="s">
        <v>2454</v>
      </c>
      <c r="D25" s="6" t="s">
        <v>2314</v>
      </c>
      <c r="E25" s="6" t="str">
        <f>IFERROR(__xludf.DUMMYFUNCTION("GOOGLETRANSLATE(K25, ""th"", ""en"")"),"The vote counting will take into account all factors.")</f>
        <v>The vote counting will take into account all factors.</v>
      </c>
      <c r="G25" s="6">
        <v>24.0</v>
      </c>
      <c r="H25" s="7" t="s">
        <v>2455</v>
      </c>
      <c r="I25" s="7" t="s">
        <v>2456</v>
      </c>
      <c r="J25" s="7" t="s">
        <v>2317</v>
      </c>
      <c r="K25" s="7" t="s">
        <v>2457</v>
      </c>
    </row>
    <row r="26" ht="14.25" customHeight="1">
      <c r="A26" s="5">
        <v>25.0</v>
      </c>
      <c r="B26" s="6" t="s">
        <v>2458</v>
      </c>
      <c r="C26" s="6" t="s">
        <v>2459</v>
      </c>
      <c r="D26" s="6" t="s">
        <v>2396</v>
      </c>
      <c r="E26" s="6" t="str">
        <f>IFERROR(__xludf.DUMMYFUNCTION("GOOGLETRANSLATE(K26, ""th"", ""en"")"),"Kicks to the head are a foul.")</f>
        <v>Kicks to the head are a foul.</v>
      </c>
      <c r="G26" s="6">
        <v>25.0</v>
      </c>
      <c r="H26" s="7" t="s">
        <v>2460</v>
      </c>
      <c r="I26" s="7" t="s">
        <v>2461</v>
      </c>
      <c r="J26" s="7" t="s">
        <v>2399</v>
      </c>
      <c r="K26" s="7" t="s">
        <v>2462</v>
      </c>
    </row>
    <row r="27" ht="14.25" customHeight="1">
      <c r="A27" s="5">
        <v>26.0</v>
      </c>
      <c r="B27" s="6" t="s">
        <v>2463</v>
      </c>
      <c r="C27" s="6" t="s">
        <v>2464</v>
      </c>
      <c r="D27" s="6" t="s">
        <v>2465</v>
      </c>
      <c r="E27" s="6" t="str">
        <f>IFERROR(__xludf.DUMMYFUNCTION("GOOGLETRANSLATE(K27, ""th"", ""en"")"),"Maintaining distance is important.")</f>
        <v>Maintaining distance is important.</v>
      </c>
      <c r="G27" s="6">
        <v>26.0</v>
      </c>
      <c r="H27" s="7" t="s">
        <v>2466</v>
      </c>
      <c r="I27" s="7" t="s">
        <v>2467</v>
      </c>
      <c r="J27" s="7" t="s">
        <v>2468</v>
      </c>
      <c r="K27" s="7" t="s">
        <v>2469</v>
      </c>
    </row>
    <row r="28" ht="14.25" customHeight="1">
      <c r="A28" s="5">
        <v>27.0</v>
      </c>
      <c r="B28" s="6" t="s">
        <v>2470</v>
      </c>
      <c r="C28" s="6" t="s">
        <v>2471</v>
      </c>
      <c r="D28" s="6" t="s">
        <v>2472</v>
      </c>
      <c r="E28" s="6" t="str">
        <f>IFERROR(__xludf.DUMMYFUNCTION("GOOGLETRANSLATE(K28, ""th"", ""en"")"),"Violation is a violation of the rules.")</f>
        <v>Violation is a violation of the rules.</v>
      </c>
      <c r="G28" s="6">
        <v>27.0</v>
      </c>
      <c r="H28" s="7" t="s">
        <v>2473</v>
      </c>
      <c r="I28" s="7" t="s">
        <v>2474</v>
      </c>
      <c r="J28" s="7" t="s">
        <v>2475</v>
      </c>
      <c r="K28" s="7" t="s">
        <v>2476</v>
      </c>
    </row>
    <row r="29" ht="14.25" customHeight="1">
      <c r="A29" s="5">
        <v>28.0</v>
      </c>
      <c r="B29" s="6" t="s">
        <v>2477</v>
      </c>
      <c r="C29" s="6" t="s">
        <v>2478</v>
      </c>
      <c r="D29" s="6" t="s">
        <v>2314</v>
      </c>
      <c r="E29" s="6" t="str">
        <f>IFERROR(__xludf.DUMMYFUNCTION("GOOGLETRANSLATE(K29, ""th"", ""en"")"),"The use of these moves is prohibited by the rules.")</f>
        <v>The use of these moves is prohibited by the rules.</v>
      </c>
      <c r="G29" s="6">
        <v>28.0</v>
      </c>
      <c r="H29" s="7" t="s">
        <v>2479</v>
      </c>
      <c r="I29" s="7" t="s">
        <v>2480</v>
      </c>
      <c r="J29" s="7" t="s">
        <v>2317</v>
      </c>
      <c r="K29" s="7" t="s">
        <v>2481</v>
      </c>
    </row>
    <row r="30" ht="14.25" customHeight="1">
      <c r="A30" s="5">
        <v>29.0</v>
      </c>
      <c r="B30" s="6" t="s">
        <v>2482</v>
      </c>
      <c r="C30" s="6" t="s">
        <v>2483</v>
      </c>
      <c r="D30" s="6" t="s">
        <v>2484</v>
      </c>
      <c r="E30" s="6" t="str">
        <f>IFERROR(__xludf.DUMMYFUNCTION("GOOGLETRANSLATE(K30, ""th"", ""en"")"),"Changing your punching stance will affect your score.")</f>
        <v>Changing your punching stance will affect your score.</v>
      </c>
      <c r="G30" s="6">
        <v>29.0</v>
      </c>
      <c r="H30" s="7" t="s">
        <v>2485</v>
      </c>
      <c r="I30" s="7" t="s">
        <v>2486</v>
      </c>
      <c r="J30" s="7" t="s">
        <v>2487</v>
      </c>
      <c r="K30" s="7" t="s">
        <v>2488</v>
      </c>
    </row>
    <row r="31" ht="14.25" customHeight="1">
      <c r="A31" s="5">
        <v>30.0</v>
      </c>
      <c r="B31" s="6" t="s">
        <v>2489</v>
      </c>
      <c r="C31" s="6" t="s">
        <v>2490</v>
      </c>
      <c r="D31" s="6" t="s">
        <v>2314</v>
      </c>
      <c r="E31" s="6" t="str">
        <f>IFERROR(__xludf.DUMMYFUNCTION("GOOGLETRANSLATE(K31, ""th"", ""en"")"),"Violating the rules will result in various penalties.")</f>
        <v>Violating the rules will result in various penalties.</v>
      </c>
      <c r="G31" s="6">
        <v>30.0</v>
      </c>
      <c r="H31" s="7" t="s">
        <v>2491</v>
      </c>
      <c r="I31" s="7" t="s">
        <v>2492</v>
      </c>
      <c r="J31" s="7" t="s">
        <v>2317</v>
      </c>
      <c r="K31" s="7" t="s">
        <v>2493</v>
      </c>
    </row>
    <row r="32" ht="14.25" customHeight="1">
      <c r="A32" s="5">
        <v>31.0</v>
      </c>
      <c r="B32" s="6" t="s">
        <v>2494</v>
      </c>
      <c r="C32" s="6" t="s">
        <v>2342</v>
      </c>
      <c r="D32" s="6" t="s">
        <v>2314</v>
      </c>
      <c r="E32" s="6" t="str">
        <f>IFERROR(__xludf.DUMMYFUNCTION("GOOGLETRANSLATE(K32, ""th"", ""en"")"),"Muay Thai uses these moves in fighting.")</f>
        <v>Muay Thai uses these moves in fighting.</v>
      </c>
      <c r="G32" s="6">
        <v>31.0</v>
      </c>
      <c r="H32" s="7" t="s">
        <v>2495</v>
      </c>
      <c r="I32" s="7" t="s">
        <v>2344</v>
      </c>
      <c r="J32" s="7" t="s">
        <v>2317</v>
      </c>
      <c r="K32" s="7" t="s">
        <v>2496</v>
      </c>
    </row>
    <row r="33" ht="14.25" customHeight="1">
      <c r="A33" s="5">
        <v>32.0</v>
      </c>
      <c r="B33" s="6" t="s">
        <v>2497</v>
      </c>
      <c r="C33" s="6" t="s">
        <v>2498</v>
      </c>
      <c r="D33" s="6" t="s">
        <v>2314</v>
      </c>
      <c r="E33" s="6" t="str">
        <f>IFERROR(__xludf.DUMMYFUNCTION("GOOGLETRANSLATE(K33, ""th"", ""en"")"),"Boxers must wear full equipment according to the rules.")</f>
        <v>Boxers must wear full equipment according to the rules.</v>
      </c>
      <c r="G33" s="6">
        <v>32.0</v>
      </c>
      <c r="H33" s="7" t="s">
        <v>2499</v>
      </c>
      <c r="I33" s="7" t="s">
        <v>2500</v>
      </c>
      <c r="J33" s="7" t="s">
        <v>2317</v>
      </c>
      <c r="K33" s="7" t="s">
        <v>2501</v>
      </c>
    </row>
    <row r="34" ht="14.25" customHeight="1">
      <c r="A34" s="5">
        <v>33.0</v>
      </c>
      <c r="B34" s="6" t="s">
        <v>2502</v>
      </c>
      <c r="C34" s="6" t="s">
        <v>2503</v>
      </c>
      <c r="D34" s="6" t="s">
        <v>2504</v>
      </c>
      <c r="E34" s="6" t="str">
        <f>IFERROR(__xludf.DUMMYFUNCTION("GOOGLETRANSLATE(K34, ""th"", ""en"")"),"Any illegal action will result in an immediate loss.")</f>
        <v>Any illegal action will result in an immediate loss.</v>
      </c>
      <c r="G34" s="6">
        <v>33.0</v>
      </c>
      <c r="H34" s="7" t="s">
        <v>2505</v>
      </c>
      <c r="I34" s="7" t="s">
        <v>2506</v>
      </c>
      <c r="J34" s="7" t="s">
        <v>2507</v>
      </c>
      <c r="K34" s="7" t="s">
        <v>2508</v>
      </c>
    </row>
    <row r="35" ht="14.25" customHeight="1">
      <c r="A35" s="5">
        <v>34.0</v>
      </c>
      <c r="B35" s="6" t="s">
        <v>2509</v>
      </c>
      <c r="C35" s="6" t="s">
        <v>2510</v>
      </c>
      <c r="D35" s="6" t="s">
        <v>2511</v>
      </c>
      <c r="E35" s="6" t="str">
        <f>IFERROR(__xludf.DUMMYFUNCTION("GOOGLETRANSLATE(K35, ""th"", ""en"")"),"Attacks at vital points will earn high scores.")</f>
        <v>Attacks at vital points will earn high scores.</v>
      </c>
      <c r="G35" s="6">
        <v>34.0</v>
      </c>
      <c r="H35" s="7" t="s">
        <v>2512</v>
      </c>
      <c r="I35" s="7" t="s">
        <v>2513</v>
      </c>
      <c r="J35" s="7" t="s">
        <v>2514</v>
      </c>
      <c r="K35" s="7" t="s">
        <v>2515</v>
      </c>
    </row>
    <row r="36" ht="14.25" customHeight="1">
      <c r="A36" s="5">
        <v>35.0</v>
      </c>
      <c r="B36" s="6" t="s">
        <v>2516</v>
      </c>
      <c r="C36" s="6" t="s">
        <v>2517</v>
      </c>
      <c r="D36" s="6" t="s">
        <v>2314</v>
      </c>
      <c r="E36" s="6" t="str">
        <f>IFERROR(__xludf.DUMMYFUNCTION("GOOGLETRANSLATE(K36, ""th"", ""en"")"),"Boxers can hit any part of the body according to the rules.")</f>
        <v>Boxers can hit any part of the body according to the rules.</v>
      </c>
      <c r="G36" s="6">
        <v>35.0</v>
      </c>
      <c r="H36" s="7" t="s">
        <v>2518</v>
      </c>
      <c r="I36" s="7" t="s">
        <v>2519</v>
      </c>
      <c r="J36" s="7" t="s">
        <v>2317</v>
      </c>
      <c r="K36" s="7" t="s">
        <v>2520</v>
      </c>
    </row>
    <row r="37" ht="14.25" customHeight="1">
      <c r="A37" s="5">
        <v>36.0</v>
      </c>
      <c r="B37" s="6" t="s">
        <v>2521</v>
      </c>
      <c r="C37" s="6" t="s">
        <v>2522</v>
      </c>
      <c r="D37" s="6" t="s">
        <v>2523</v>
      </c>
      <c r="E37" s="6" t="str">
        <f>IFERROR(__xludf.DUMMYFUNCTION("GOOGLETRANSLATE(K37, ""th"", ""en"")"),"Requests to stop the match must be notified to the referee.")</f>
        <v>Requests to stop the match must be notified to the referee.</v>
      </c>
      <c r="G37" s="6">
        <v>36.0</v>
      </c>
      <c r="H37" s="7" t="s">
        <v>2524</v>
      </c>
      <c r="I37" s="7" t="s">
        <v>2525</v>
      </c>
      <c r="J37" s="7" t="s">
        <v>2153</v>
      </c>
      <c r="K37" s="7" t="s">
        <v>2526</v>
      </c>
    </row>
    <row r="38" ht="14.25" customHeight="1">
      <c r="A38" s="5">
        <v>37.0</v>
      </c>
      <c r="B38" s="6" t="s">
        <v>2527</v>
      </c>
      <c r="C38" s="6" t="s">
        <v>2528</v>
      </c>
      <c r="D38" s="6" t="s">
        <v>2529</v>
      </c>
      <c r="E38" s="6" t="str">
        <f>IFERROR(__xludf.DUMMYFUNCTION("GOOGLETRANSLATE(K38, ""th"", ""en"")"),"A punch to the back of the neck is considered a foul.")</f>
        <v>A punch to the back of the neck is considered a foul.</v>
      </c>
      <c r="G38" s="6">
        <v>37.0</v>
      </c>
      <c r="H38" s="7" t="s">
        <v>2530</v>
      </c>
      <c r="I38" s="7" t="s">
        <v>2531</v>
      </c>
      <c r="J38" s="7" t="s">
        <v>2532</v>
      </c>
      <c r="K38" s="7" t="s">
        <v>2533</v>
      </c>
    </row>
    <row r="39" ht="14.25" customHeight="1">
      <c r="A39" s="5">
        <v>38.0</v>
      </c>
      <c r="B39" s="6" t="s">
        <v>2534</v>
      </c>
      <c r="C39" s="6" t="s">
        <v>2535</v>
      </c>
      <c r="D39" s="6" t="s">
        <v>2314</v>
      </c>
      <c r="E39" s="6" t="str">
        <f>IFERROR(__xludf.DUMMYFUNCTION("GOOGLETRANSLATE(K39, ""th"", ""en"")"),"The referee stops the game when these events occur.")</f>
        <v>The referee stops the game when these events occur.</v>
      </c>
      <c r="G39" s="6">
        <v>38.0</v>
      </c>
      <c r="H39" s="7" t="s">
        <v>2536</v>
      </c>
      <c r="I39" s="7" t="s">
        <v>2537</v>
      </c>
      <c r="J39" s="7" t="s">
        <v>2317</v>
      </c>
      <c r="K39" s="7" t="s">
        <v>2538</v>
      </c>
    </row>
    <row r="40" ht="14.25" customHeight="1">
      <c r="A40" s="5">
        <v>39.0</v>
      </c>
      <c r="B40" s="6" t="s">
        <v>2539</v>
      </c>
      <c r="C40" s="6" t="s">
        <v>2540</v>
      </c>
      <c r="D40" s="6" t="s">
        <v>2314</v>
      </c>
      <c r="E40" s="6" t="str">
        <f>IFERROR(__xludf.DUMMYFUNCTION("GOOGLETRANSLATE(K40, ""th"", ""en"")"),"These actions are considered violations of the rules.")</f>
        <v>These actions are considered violations of the rules.</v>
      </c>
      <c r="G40" s="6">
        <v>39.0</v>
      </c>
      <c r="H40" s="7" t="s">
        <v>2541</v>
      </c>
      <c r="I40" s="7" t="s">
        <v>2542</v>
      </c>
      <c r="J40" s="7" t="s">
        <v>2317</v>
      </c>
      <c r="K40" s="7" t="s">
        <v>2543</v>
      </c>
    </row>
    <row r="41" ht="14.25" customHeight="1">
      <c r="A41" s="5">
        <v>40.0</v>
      </c>
      <c r="B41" s="6" t="s">
        <v>2544</v>
      </c>
      <c r="C41" s="6" t="s">
        <v>2545</v>
      </c>
      <c r="D41" s="6" t="s">
        <v>2546</v>
      </c>
      <c r="E41" s="6" t="str">
        <f>IFERROR(__xludf.DUMMYFUNCTION("GOOGLETRANSLATE(K41, ""th"", ""en"")"),"Using your elbows must be done with caution.")</f>
        <v>Using your elbows must be done with caution.</v>
      </c>
      <c r="G41" s="6">
        <v>40.0</v>
      </c>
      <c r="H41" s="7" t="s">
        <v>2547</v>
      </c>
      <c r="I41" s="7" t="s">
        <v>2548</v>
      </c>
      <c r="J41" s="7" t="s">
        <v>2549</v>
      </c>
      <c r="K41" s="7" t="s">
        <v>2550</v>
      </c>
    </row>
    <row r="42" ht="14.25" customHeight="1">
      <c r="A42" s="5">
        <v>41.0</v>
      </c>
      <c r="B42" s="6" t="s">
        <v>2551</v>
      </c>
      <c r="C42" s="6" t="s">
        <v>2552</v>
      </c>
      <c r="D42" s="6" t="s">
        <v>2553</v>
      </c>
      <c r="E42" s="6" t="str">
        <f>IFERROR(__xludf.DUMMYFUNCTION("GOOGLETRANSLATE(K42, ""th"", ""en"")"),"Boxers can use these moves to attack.")</f>
        <v>Boxers can use these moves to attack.</v>
      </c>
      <c r="G42" s="6">
        <v>41.0</v>
      </c>
      <c r="H42" s="7" t="s">
        <v>2554</v>
      </c>
      <c r="I42" s="7" t="s">
        <v>2555</v>
      </c>
      <c r="J42" s="7" t="s">
        <v>2556</v>
      </c>
      <c r="K42" s="7" t="s">
        <v>2557</v>
      </c>
    </row>
    <row r="43" ht="14.25" customHeight="1">
      <c r="A43" s="5">
        <v>42.0</v>
      </c>
      <c r="B43" s="6" t="s">
        <v>2558</v>
      </c>
      <c r="C43" s="6" t="s">
        <v>2559</v>
      </c>
      <c r="D43" s="6" t="s">
        <v>2560</v>
      </c>
      <c r="E43" s="6" t="str">
        <f>IFERROR(__xludf.DUMMYFUNCTION("GOOGLETRANSLATE(K43, ""th"", ""en"")"),"Boxers are prohibited from using shoes in competitions.")</f>
        <v>Boxers are prohibited from using shoes in competitions.</v>
      </c>
      <c r="G43" s="6">
        <v>42.0</v>
      </c>
      <c r="H43" s="7" t="s">
        <v>2561</v>
      </c>
      <c r="I43" s="7" t="s">
        <v>2562</v>
      </c>
      <c r="J43" s="7" t="s">
        <v>2563</v>
      </c>
      <c r="K43" s="7" t="s">
        <v>2564</v>
      </c>
    </row>
    <row r="44" ht="14.25" customHeight="1">
      <c r="A44" s="5">
        <v>43.0</v>
      </c>
      <c r="B44" s="6" t="s">
        <v>2565</v>
      </c>
      <c r="C44" s="6" t="s">
        <v>2566</v>
      </c>
      <c r="D44" s="6" t="s">
        <v>2567</v>
      </c>
      <c r="E44" s="6" t="str">
        <f>IFERROR(__xludf.DUMMYFUNCTION("GOOGLETRANSLATE(K44, ""th"", ""en"")"),"Violating the rules will result in a deduction of points.")</f>
        <v>Violating the rules will result in a deduction of points.</v>
      </c>
      <c r="G44" s="6">
        <v>43.0</v>
      </c>
      <c r="H44" s="7" t="s">
        <v>2568</v>
      </c>
      <c r="I44" s="7" t="s">
        <v>2569</v>
      </c>
      <c r="J44" s="7" t="s">
        <v>2570</v>
      </c>
      <c r="K44" s="7" t="s">
        <v>2571</v>
      </c>
    </row>
    <row r="45" ht="14.25" customHeight="1">
      <c r="A45" s="5">
        <v>44.0</v>
      </c>
      <c r="B45" s="6" t="s">
        <v>2572</v>
      </c>
      <c r="C45" s="6" t="s">
        <v>2573</v>
      </c>
      <c r="D45" s="6" t="s">
        <v>2574</v>
      </c>
      <c r="E45" s="6" t="str">
        <f>IFERROR(__xludf.DUMMYFUNCTION("GOOGLETRANSLATE(K45, ""th"", ""en"")"),"A punch to the chin will get a high score.")</f>
        <v>A punch to the chin will get a high score.</v>
      </c>
      <c r="G45" s="6">
        <v>44.0</v>
      </c>
      <c r="H45" s="7" t="s">
        <v>2575</v>
      </c>
      <c r="I45" s="7" t="s">
        <v>2576</v>
      </c>
      <c r="J45" s="7" t="s">
        <v>2577</v>
      </c>
      <c r="K45" s="7" t="s">
        <v>2578</v>
      </c>
    </row>
    <row r="46" ht="14.25" customHeight="1">
      <c r="A46" s="5">
        <v>45.0</v>
      </c>
      <c r="B46" s="6" t="s">
        <v>2579</v>
      </c>
      <c r="C46" s="6" t="s">
        <v>2580</v>
      </c>
      <c r="D46" s="6" t="s">
        <v>2581</v>
      </c>
      <c r="E46" s="6" t="str">
        <f>IFERROR(__xludf.DUMMYFUNCTION("GOOGLETRANSLATE(K46, ""th"", ""en"")"),"If the boxer cannot recover, he will lose.")</f>
        <v>If the boxer cannot recover, he will lose.</v>
      </c>
      <c r="G46" s="6">
        <v>45.0</v>
      </c>
      <c r="H46" s="7" t="s">
        <v>2582</v>
      </c>
      <c r="I46" s="7" t="s">
        <v>2583</v>
      </c>
      <c r="J46" s="7" t="s">
        <v>2584</v>
      </c>
      <c r="K46" s="7" t="s">
        <v>2585</v>
      </c>
    </row>
    <row r="47" ht="14.25" customHeight="1">
      <c r="A47" s="5">
        <v>46.0</v>
      </c>
      <c r="B47" s="6" t="s">
        <v>2586</v>
      </c>
      <c r="C47" s="6" t="s">
        <v>2587</v>
      </c>
      <c r="D47" s="6" t="s">
        <v>2588</v>
      </c>
      <c r="E47" s="6" t="str">
        <f>IFERROR(__xludf.DUMMYFUNCTION("GOOGLETRANSLATE(K47, ""th"", ""en"")"),"Throwing is an illegal act in Muay Thai.")</f>
        <v>Throwing is an illegal act in Muay Thai.</v>
      </c>
      <c r="G47" s="6">
        <v>46.0</v>
      </c>
      <c r="H47" s="7" t="s">
        <v>2589</v>
      </c>
      <c r="I47" s="7" t="s">
        <v>2590</v>
      </c>
      <c r="J47" s="7" t="s">
        <v>698</v>
      </c>
      <c r="K47" s="7" t="s">
        <v>2591</v>
      </c>
    </row>
    <row r="48" ht="14.25" customHeight="1">
      <c r="A48" s="5">
        <v>47.0</v>
      </c>
      <c r="B48" s="6" t="s">
        <v>2592</v>
      </c>
      <c r="C48" s="6" t="s">
        <v>2593</v>
      </c>
      <c r="D48" s="6" t="s">
        <v>2594</v>
      </c>
      <c r="E48" s="6" t="str">
        <f>IFERROR(__xludf.DUMMYFUNCTION("GOOGLETRANSLATE(K48, ""th"", ""en"")"),"The use of the knee must be done from the front.")</f>
        <v>The use of the knee must be done from the front.</v>
      </c>
      <c r="G48" s="6">
        <v>47.0</v>
      </c>
      <c r="H48" s="7" t="s">
        <v>2595</v>
      </c>
      <c r="I48" s="7" t="s">
        <v>2596</v>
      </c>
      <c r="J48" s="7" t="s">
        <v>2597</v>
      </c>
      <c r="K48" s="7" t="s">
        <v>2598</v>
      </c>
    </row>
    <row r="49" ht="14.25" customHeight="1">
      <c r="A49" s="5">
        <v>48.0</v>
      </c>
      <c r="B49" s="6" t="s">
        <v>2599</v>
      </c>
      <c r="C49" s="6" t="s">
        <v>2600</v>
      </c>
      <c r="D49" s="6" t="s">
        <v>2601</v>
      </c>
      <c r="E49" s="6" t="str">
        <f>IFERROR(__xludf.DUMMYFUNCTION("GOOGLETRANSLATE(K49, ""th"", ""en"")"),"Matching in an incorrect manner will result in a deduction of points.")</f>
        <v>Matching in an incorrect manner will result in a deduction of points.</v>
      </c>
      <c r="G49" s="6">
        <v>48.0</v>
      </c>
      <c r="H49" s="7" t="s">
        <v>2602</v>
      </c>
      <c r="I49" s="7" t="s">
        <v>2603</v>
      </c>
      <c r="J49" s="7" t="s">
        <v>2604</v>
      </c>
      <c r="K49" s="7" t="s">
        <v>2605</v>
      </c>
    </row>
    <row r="50" ht="14.25" customHeight="1">
      <c r="A50" s="5">
        <v>49.0</v>
      </c>
      <c r="B50" s="6" t="s">
        <v>2606</v>
      </c>
      <c r="C50" s="6" t="s">
        <v>2607</v>
      </c>
      <c r="D50" s="6" t="s">
        <v>2523</v>
      </c>
      <c r="E50" s="6" t="str">
        <f>IFERROR(__xludf.DUMMYFUNCTION("GOOGLETRANSLATE(K50, ""th"", ""en"")"),"It is important to inform the referee.")</f>
        <v>It is important to inform the referee.</v>
      </c>
      <c r="G50" s="6">
        <v>49.0</v>
      </c>
      <c r="H50" s="7" t="s">
        <v>2608</v>
      </c>
      <c r="I50" s="7" t="s">
        <v>2609</v>
      </c>
      <c r="J50" s="7" t="s">
        <v>2153</v>
      </c>
      <c r="K50" s="7" t="s">
        <v>2610</v>
      </c>
    </row>
    <row r="51" ht="14.25" customHeight="1">
      <c r="A51" s="5">
        <v>50.0</v>
      </c>
      <c r="B51" s="6" t="s">
        <v>2611</v>
      </c>
      <c r="C51" s="6" t="s">
        <v>2612</v>
      </c>
      <c r="D51" s="6" t="s">
        <v>2314</v>
      </c>
      <c r="E51" s="6" t="str">
        <f>IFERROR(__xludf.DUMMYFUNCTION("GOOGLETRANSLATE(K51, ""th"", ""en"")"),"The judges consider many factors when determining the score.")</f>
        <v>The judges consider many factors when determining the score.</v>
      </c>
      <c r="G51" s="6">
        <v>50.0</v>
      </c>
      <c r="H51" s="7" t="s">
        <v>2613</v>
      </c>
      <c r="I51" s="7" t="s">
        <v>2614</v>
      </c>
      <c r="J51" s="7" t="s">
        <v>2317</v>
      </c>
      <c r="K51" s="7" t="s">
        <v>2615</v>
      </c>
    </row>
    <row r="52" ht="14.25" customHeight="1">
      <c r="A52" s="5">
        <v>51.0</v>
      </c>
      <c r="B52" s="6" t="s">
        <v>2616</v>
      </c>
      <c r="C52" s="6" t="s">
        <v>2617</v>
      </c>
      <c r="D52" s="6" t="s">
        <v>2618</v>
      </c>
      <c r="E52" s="6" t="str">
        <f>IFERROR(__xludf.DUMMYFUNCTION("GOOGLETRANSLATE(K52, ""th"", ""en"")"),"Scoring is an important part of the outcome of the competition.")</f>
        <v>Scoring is an important part of the outcome of the competition.</v>
      </c>
      <c r="G52" s="6">
        <v>51.0</v>
      </c>
      <c r="H52" s="7" t="s">
        <v>2619</v>
      </c>
      <c r="I52" s="7" t="s">
        <v>2620</v>
      </c>
      <c r="J52" s="7" t="s">
        <v>2621</v>
      </c>
      <c r="K52" s="7" t="s">
        <v>2622</v>
      </c>
    </row>
    <row r="53" ht="14.25" customHeight="1">
      <c r="A53" s="5">
        <v>52.0</v>
      </c>
      <c r="B53" s="6" t="s">
        <v>2375</v>
      </c>
      <c r="C53" s="6" t="s">
        <v>2623</v>
      </c>
      <c r="D53" s="6" t="s">
        <v>2314</v>
      </c>
      <c r="E53" s="6" t="str">
        <f>IFERROR(__xludf.DUMMYFUNCTION("GOOGLETRANSLATE(K53, ""th"", ""en"")"),"These actions are against the rules.")</f>
        <v>These actions are against the rules.</v>
      </c>
      <c r="G53" s="6">
        <v>52.0</v>
      </c>
      <c r="H53" s="7" t="s">
        <v>2377</v>
      </c>
      <c r="I53" s="7" t="s">
        <v>2624</v>
      </c>
      <c r="J53" s="7" t="s">
        <v>2317</v>
      </c>
      <c r="K53" s="7" t="s">
        <v>2625</v>
      </c>
    </row>
    <row r="54" ht="14.25" customHeight="1">
      <c r="A54" s="5">
        <v>53.0</v>
      </c>
      <c r="B54" s="6" t="s">
        <v>2626</v>
      </c>
      <c r="C54" s="6" t="s">
        <v>2627</v>
      </c>
      <c r="D54" s="6" t="s">
        <v>2314</v>
      </c>
      <c r="E54" s="6" t="str">
        <f>IFERROR(__xludf.DUMMYFUNCTION("GOOGLETRANSLATE(K54, ""th"", ""en"")"),"Any illegal actions will be punished.")</f>
        <v>Any illegal actions will be punished.</v>
      </c>
      <c r="G54" s="6">
        <v>53.0</v>
      </c>
      <c r="H54" s="7" t="s">
        <v>2628</v>
      </c>
      <c r="I54" s="7" t="s">
        <v>2629</v>
      </c>
      <c r="J54" s="7" t="s">
        <v>2317</v>
      </c>
      <c r="K54" s="7" t="s">
        <v>2630</v>
      </c>
    </row>
    <row r="55" ht="14.25" customHeight="1">
      <c r="A55" s="5">
        <v>54.0</v>
      </c>
      <c r="B55" s="6" t="s">
        <v>2631</v>
      </c>
      <c r="C55" s="6" t="s">
        <v>2632</v>
      </c>
      <c r="D55" s="6" t="s">
        <v>2314</v>
      </c>
      <c r="E55" s="6" t="str">
        <f>IFERROR(__xludf.DUMMYFUNCTION("GOOGLETRANSLATE(K55, ""th"", ""en"")"),"The rankings are based on several factors.")</f>
        <v>The rankings are based on several factors.</v>
      </c>
      <c r="G55" s="6">
        <v>54.0</v>
      </c>
      <c r="H55" s="7" t="s">
        <v>2633</v>
      </c>
      <c r="I55" s="7" t="s">
        <v>2634</v>
      </c>
      <c r="J55" s="7" t="s">
        <v>2317</v>
      </c>
      <c r="K55" s="7" t="s">
        <v>2635</v>
      </c>
    </row>
    <row r="56" ht="14.25" customHeight="1">
      <c r="A56" s="5">
        <v>55.0</v>
      </c>
      <c r="B56" s="6" t="s">
        <v>2636</v>
      </c>
      <c r="C56" s="6" t="s">
        <v>2637</v>
      </c>
      <c r="D56" s="6" t="s">
        <v>2638</v>
      </c>
      <c r="E56" s="6" t="str">
        <f>IFERROR(__xludf.DUMMYFUNCTION("GOOGLETRANSLATE(K56, ""th"", ""en"")"),"Violating the rules will result in a deduction of points.")</f>
        <v>Violating the rules will result in a deduction of points.</v>
      </c>
      <c r="G56" s="6">
        <v>55.0</v>
      </c>
      <c r="H56" s="7" t="s">
        <v>2639</v>
      </c>
      <c r="I56" s="7" t="s">
        <v>2640</v>
      </c>
      <c r="J56" s="7" t="s">
        <v>2641</v>
      </c>
      <c r="K56" s="7" t="s">
        <v>2571</v>
      </c>
    </row>
    <row r="57" ht="14.25" customHeight="1">
      <c r="A57" s="5">
        <v>56.0</v>
      </c>
      <c r="B57" s="6" t="s">
        <v>2642</v>
      </c>
      <c r="C57" s="6" t="s">
        <v>2643</v>
      </c>
      <c r="D57" s="6" t="s">
        <v>2644</v>
      </c>
      <c r="E57" s="6" t="str">
        <f>IFERROR(__xludf.DUMMYFUNCTION("GOOGLETRANSLATE(K57, ""th"", ""en"")"),"A punch to the back of the neck is considered a foul.")</f>
        <v>A punch to the back of the neck is considered a foul.</v>
      </c>
      <c r="G57" s="6">
        <v>56.0</v>
      </c>
      <c r="H57" s="7" t="s">
        <v>2645</v>
      </c>
      <c r="I57" s="7" t="s">
        <v>2646</v>
      </c>
      <c r="J57" s="7" t="s">
        <v>2647</v>
      </c>
      <c r="K57" s="7" t="s">
        <v>2648</v>
      </c>
    </row>
    <row r="58" ht="14.25" customHeight="1">
      <c r="A58" s="5">
        <v>57.0</v>
      </c>
      <c r="B58" s="6" t="s">
        <v>2649</v>
      </c>
      <c r="C58" s="6" t="s">
        <v>2650</v>
      </c>
      <c r="D58" s="6" t="s">
        <v>2651</v>
      </c>
      <c r="E58" s="6" t="str">
        <f>IFERROR(__xludf.DUMMYFUNCTION("GOOGLETRANSLATE(K58, ""th"", ""en"")"),"The scoring method is often based on the accuracy of the attack.")</f>
        <v>The scoring method is often based on the accuracy of the attack.</v>
      </c>
      <c r="G58" s="6">
        <v>57.0</v>
      </c>
      <c r="H58" s="7" t="s">
        <v>2652</v>
      </c>
      <c r="I58" s="7" t="s">
        <v>2653</v>
      </c>
      <c r="J58" s="7" t="s">
        <v>2654</v>
      </c>
      <c r="K58" s="7" t="s">
        <v>2655</v>
      </c>
    </row>
    <row r="59" ht="14.25" customHeight="1">
      <c r="A59" s="5">
        <v>58.0</v>
      </c>
      <c r="B59" s="6" t="s">
        <v>2656</v>
      </c>
      <c r="C59" s="6" t="s">
        <v>2657</v>
      </c>
      <c r="D59" s="6" t="s">
        <v>2314</v>
      </c>
      <c r="E59" s="6" t="str">
        <f>IFERROR(__xludf.DUMMYFUNCTION("GOOGLETRANSLATE(K59, ""th"", ""en"")"),"In cases of severe injury, several factors must be considered.")</f>
        <v>In cases of severe injury, several factors must be considered.</v>
      </c>
      <c r="G59" s="6">
        <v>58.0</v>
      </c>
      <c r="H59" s="7" t="s">
        <v>2658</v>
      </c>
      <c r="I59" s="7" t="s">
        <v>2659</v>
      </c>
      <c r="J59" s="7" t="s">
        <v>2317</v>
      </c>
      <c r="K59" s="7" t="s">
        <v>2660</v>
      </c>
    </row>
    <row r="60" ht="14.25" customHeight="1">
      <c r="A60" s="5">
        <v>59.0</v>
      </c>
      <c r="B60" s="6" t="s">
        <v>2661</v>
      </c>
      <c r="C60" s="6" t="s">
        <v>2662</v>
      </c>
      <c r="D60" s="6" t="s">
        <v>2314</v>
      </c>
      <c r="E60" s="6" t="str">
        <f>IFERROR(__xludf.DUMMYFUNCTION("GOOGLETRANSLATE(K60, ""th"", ""en"")"),"Violating the rules will result in many consequences.")</f>
        <v>Violating the rules will result in many consequences.</v>
      </c>
      <c r="G60" s="6">
        <v>59.0</v>
      </c>
      <c r="H60" s="7" t="s">
        <v>2663</v>
      </c>
      <c r="I60" s="7" t="s">
        <v>2664</v>
      </c>
      <c r="J60" s="7" t="s">
        <v>2317</v>
      </c>
      <c r="K60" s="7" t="s">
        <v>2665</v>
      </c>
    </row>
    <row r="61" ht="14.25" customHeight="1">
      <c r="A61" s="5">
        <v>60.0</v>
      </c>
      <c r="B61" s="6" t="s">
        <v>2666</v>
      </c>
      <c r="C61" s="6" t="s">
        <v>2667</v>
      </c>
      <c r="D61" s="6" t="s">
        <v>2529</v>
      </c>
      <c r="E61" s="6" t="str">
        <f>IFERROR(__xludf.DUMMYFUNCTION("GOOGLETRANSLATE(K61, ""th"", ""en"")"),"A punch to the back of the neck is a foul.")</f>
        <v>A punch to the back of the neck is a foul.</v>
      </c>
      <c r="G61" s="6">
        <v>60.0</v>
      </c>
      <c r="H61" s="7" t="s">
        <v>2668</v>
      </c>
      <c r="I61" s="7" t="s">
        <v>2669</v>
      </c>
      <c r="J61" s="7" t="s">
        <v>2532</v>
      </c>
      <c r="K61" s="7" t="s">
        <v>2670</v>
      </c>
    </row>
    <row r="62" ht="14.25" customHeight="1">
      <c r="A62" s="5">
        <v>61.0</v>
      </c>
      <c r="B62" s="6" t="s">
        <v>2671</v>
      </c>
      <c r="C62" s="6" t="s">
        <v>2672</v>
      </c>
      <c r="D62" s="6" t="s">
        <v>2314</v>
      </c>
      <c r="E62" s="6" t="str">
        <f>IFERROR(__xludf.DUMMYFUNCTION("GOOGLETRANSLATE(K62, ""th"", ""en"")"),"Boxers can attack with their hands, legs, knees, and elbows.")</f>
        <v>Boxers can attack with their hands, legs, knees, and elbows.</v>
      </c>
      <c r="G62" s="6">
        <v>61.0</v>
      </c>
      <c r="H62" s="7" t="s">
        <v>2673</v>
      </c>
      <c r="I62" s="7" t="s">
        <v>2674</v>
      </c>
      <c r="J62" s="7" t="s">
        <v>2317</v>
      </c>
      <c r="K62" s="7" t="s">
        <v>2675</v>
      </c>
    </row>
    <row r="63" ht="14.25" customHeight="1">
      <c r="A63" s="5">
        <v>62.0</v>
      </c>
      <c r="B63" s="6" t="s">
        <v>2676</v>
      </c>
      <c r="C63" s="6" t="s">
        <v>2677</v>
      </c>
      <c r="D63" s="6" t="s">
        <v>2314</v>
      </c>
      <c r="E63" s="6" t="str">
        <f>IFERROR(__xludf.DUMMYFUNCTION("GOOGLETRANSLATE(K63, ""th"", ""en"")"),"These actions are considered violations of the rules.")</f>
        <v>These actions are considered violations of the rules.</v>
      </c>
      <c r="G63" s="6">
        <v>62.0</v>
      </c>
      <c r="H63" s="7" t="s">
        <v>2678</v>
      </c>
      <c r="I63" s="7" t="s">
        <v>2679</v>
      </c>
      <c r="J63" s="7" t="s">
        <v>2317</v>
      </c>
      <c r="K63" s="7" t="s">
        <v>2543</v>
      </c>
    </row>
    <row r="64" ht="14.25" customHeight="1">
      <c r="A64" s="5">
        <v>63.0</v>
      </c>
      <c r="B64" s="6" t="s">
        <v>2558</v>
      </c>
      <c r="C64" s="6" t="s">
        <v>2680</v>
      </c>
      <c r="D64" s="6" t="s">
        <v>2560</v>
      </c>
      <c r="E64" s="6" t="str">
        <f>IFERROR(__xludf.DUMMYFUNCTION("GOOGLETRANSLATE(K64, ""th"", ""en"")"),"Boxers are prohibited from using shoes in competitions.")</f>
        <v>Boxers are prohibited from using shoes in competitions.</v>
      </c>
      <c r="G64" s="6">
        <v>63.0</v>
      </c>
      <c r="H64" s="7" t="s">
        <v>2681</v>
      </c>
      <c r="I64" s="7" t="s">
        <v>2682</v>
      </c>
      <c r="J64" s="7" t="s">
        <v>2563</v>
      </c>
      <c r="K64" s="7" t="s">
        <v>2564</v>
      </c>
    </row>
    <row r="65" ht="14.25" customHeight="1">
      <c r="A65" s="5">
        <v>64.0</v>
      </c>
      <c r="B65" s="6" t="s">
        <v>2683</v>
      </c>
      <c r="C65" s="6" t="s">
        <v>2684</v>
      </c>
      <c r="D65" s="6" t="s">
        <v>2685</v>
      </c>
      <c r="E65" s="6" t="str">
        <f>IFERROR(__xludf.DUMMYFUNCTION("GOOGLETRANSLATE(K65, ""th"", ""en"")"),"Throwing is considered a foul.")</f>
        <v>Throwing is considered a foul.</v>
      </c>
      <c r="G65" s="6">
        <v>64.0</v>
      </c>
      <c r="H65" s="7" t="s">
        <v>2686</v>
      </c>
      <c r="I65" s="7" t="s">
        <v>2687</v>
      </c>
      <c r="J65" s="7" t="s">
        <v>2688</v>
      </c>
      <c r="K65" s="7" t="s">
        <v>2689</v>
      </c>
    </row>
    <row r="66" ht="14.25" customHeight="1">
      <c r="A66" s="5">
        <v>65.0</v>
      </c>
      <c r="B66" s="6" t="s">
        <v>2690</v>
      </c>
      <c r="C66" s="6" t="s">
        <v>2691</v>
      </c>
      <c r="D66" s="6" t="s">
        <v>2314</v>
      </c>
      <c r="E66" s="6" t="str">
        <f>IFERROR(__xludf.DUMMYFUNCTION("GOOGLETRANSLATE(K66, ""th"", ""en"")"),"These actions may lead to deduction of points.")</f>
        <v>These actions may lead to deduction of points.</v>
      </c>
      <c r="G66" s="6">
        <v>65.0</v>
      </c>
      <c r="H66" s="7" t="s">
        <v>2692</v>
      </c>
      <c r="I66" s="7" t="s">
        <v>2693</v>
      </c>
      <c r="J66" s="7" t="s">
        <v>2317</v>
      </c>
      <c r="K66" s="7" t="s">
        <v>2694</v>
      </c>
    </row>
    <row r="67" ht="14.25" customHeight="1">
      <c r="A67" s="5">
        <v>66.0</v>
      </c>
      <c r="B67" s="6" t="s">
        <v>2695</v>
      </c>
      <c r="C67" s="6" t="s">
        <v>2696</v>
      </c>
      <c r="D67" s="6" t="s">
        <v>2697</v>
      </c>
      <c r="E67" s="6" t="str">
        <f>IFERROR(__xludf.DUMMYFUNCTION("GOOGLETRANSLATE(K67, ""th"", ""en"")"),"An attack to the back of the neck is a foul.")</f>
        <v>An attack to the back of the neck is a foul.</v>
      </c>
      <c r="G67" s="6">
        <v>66.0</v>
      </c>
      <c r="H67" s="7" t="s">
        <v>2698</v>
      </c>
      <c r="I67" s="7" t="s">
        <v>2699</v>
      </c>
      <c r="J67" s="7" t="s">
        <v>2700</v>
      </c>
      <c r="K67" s="7" t="s">
        <v>2701</v>
      </c>
    </row>
    <row r="68" ht="14.25" customHeight="1">
      <c r="A68" s="5">
        <v>67.0</v>
      </c>
      <c r="B68" s="6" t="s">
        <v>2702</v>
      </c>
      <c r="C68" s="6" t="s">
        <v>2703</v>
      </c>
      <c r="D68" s="6" t="s">
        <v>2314</v>
      </c>
      <c r="E68" s="6" t="str">
        <f>IFERROR(__xludf.DUMMYFUNCTION("GOOGLETRANSLATE(K68, ""th"", ""en"")"),"Scoring is based on several factors.")</f>
        <v>Scoring is based on several factors.</v>
      </c>
      <c r="G68" s="6">
        <v>67.0</v>
      </c>
      <c r="H68" s="7" t="s">
        <v>2704</v>
      </c>
      <c r="I68" s="7" t="s">
        <v>2705</v>
      </c>
      <c r="J68" s="7" t="s">
        <v>2317</v>
      </c>
      <c r="K68" s="7" t="s">
        <v>2706</v>
      </c>
    </row>
    <row r="69" ht="14.25" customHeight="1">
      <c r="A69" s="5">
        <v>68.0</v>
      </c>
      <c r="B69" s="6" t="s">
        <v>2707</v>
      </c>
      <c r="C69" s="6" t="s">
        <v>2708</v>
      </c>
      <c r="D69" s="6" t="s">
        <v>2314</v>
      </c>
      <c r="E69" s="6" t="str">
        <f>IFERROR(__xludf.DUMMYFUNCTION("GOOGLETRANSLATE(K69, ""th"", ""en"")"),"Violations of the rules will result in various penalties.")</f>
        <v>Violations of the rules will result in various penalties.</v>
      </c>
      <c r="G69" s="6">
        <v>68.0</v>
      </c>
      <c r="H69" s="7" t="s">
        <v>2709</v>
      </c>
      <c r="I69" s="7" t="s">
        <v>2710</v>
      </c>
      <c r="J69" s="7" t="s">
        <v>2317</v>
      </c>
      <c r="K69" s="7" t="s">
        <v>2711</v>
      </c>
    </row>
    <row r="70" ht="14.25" customHeight="1">
      <c r="A70" s="5">
        <v>69.0</v>
      </c>
      <c r="B70" s="6" t="s">
        <v>2712</v>
      </c>
      <c r="C70" s="6" t="s">
        <v>2713</v>
      </c>
      <c r="D70" s="6" t="s">
        <v>2314</v>
      </c>
      <c r="E70" s="6" t="str">
        <f>IFERROR(__xludf.DUMMYFUNCTION("GOOGLETRANSLATE(K70, ""th"", ""en"")"),"Boxers can use these moves for self-defense.")</f>
        <v>Boxers can use these moves for self-defense.</v>
      </c>
      <c r="G70" s="6">
        <v>69.0</v>
      </c>
      <c r="H70" s="7" t="s">
        <v>2714</v>
      </c>
      <c r="I70" s="7" t="s">
        <v>2715</v>
      </c>
      <c r="J70" s="7" t="s">
        <v>2317</v>
      </c>
      <c r="K70" s="7" t="s">
        <v>2716</v>
      </c>
    </row>
    <row r="71" ht="14.25" customHeight="1">
      <c r="A71" s="5">
        <v>70.0</v>
      </c>
      <c r="B71" s="6" t="s">
        <v>2717</v>
      </c>
      <c r="C71" s="6" t="s">
        <v>2718</v>
      </c>
      <c r="D71" s="6" t="s">
        <v>2567</v>
      </c>
      <c r="E71" s="6" t="str">
        <f>IFERROR(__xludf.DUMMYFUNCTION("GOOGLETRANSLATE(K71, ""th"", ""en"")"),"Hitting the wrong part will result in a deduction of points.")</f>
        <v>Hitting the wrong part will result in a deduction of points.</v>
      </c>
      <c r="G71" s="6">
        <v>70.0</v>
      </c>
      <c r="H71" s="7" t="s">
        <v>2719</v>
      </c>
      <c r="I71" s="7" t="s">
        <v>2720</v>
      </c>
      <c r="J71" s="7" t="s">
        <v>2570</v>
      </c>
      <c r="K71" s="7" t="s">
        <v>2721</v>
      </c>
    </row>
    <row r="72" ht="14.25" customHeight="1">
      <c r="A72" s="5">
        <v>71.0</v>
      </c>
      <c r="B72" s="6" t="s">
        <v>2722</v>
      </c>
      <c r="C72" s="6" t="s">
        <v>2723</v>
      </c>
      <c r="D72" s="6" t="s">
        <v>2724</v>
      </c>
      <c r="E72" s="6" t="str">
        <f>IFERROR(__xludf.DUMMYFUNCTION("GOOGLETRANSLATE(K72, ""th"", ""en"")"),"Using elbow strikes will get you high scores.")</f>
        <v>Using elbow strikes will get you high scores.</v>
      </c>
      <c r="G72" s="6">
        <v>71.0</v>
      </c>
      <c r="H72" s="7" t="s">
        <v>2725</v>
      </c>
      <c r="I72" s="7" t="s">
        <v>2726</v>
      </c>
      <c r="J72" s="7" t="s">
        <v>2727</v>
      </c>
      <c r="K72" s="7" t="s">
        <v>2728</v>
      </c>
    </row>
    <row r="73" ht="14.25" customHeight="1">
      <c r="A73" s="5">
        <v>72.0</v>
      </c>
      <c r="B73" s="6" t="s">
        <v>2729</v>
      </c>
      <c r="C73" s="6" t="s">
        <v>2730</v>
      </c>
      <c r="D73" s="6" t="s">
        <v>2314</v>
      </c>
      <c r="E73" s="6" t="str">
        <f>IFERROR(__xludf.DUMMYFUNCTION("GOOGLETRANSLATE(K73, ""th"", ""en"")"),"These actions are considered inappropriate.")</f>
        <v>These actions are considered inappropriate.</v>
      </c>
      <c r="G73" s="6">
        <v>72.0</v>
      </c>
      <c r="H73" s="7" t="s">
        <v>2731</v>
      </c>
      <c r="I73" s="7" t="s">
        <v>2732</v>
      </c>
      <c r="J73" s="7" t="s">
        <v>2317</v>
      </c>
      <c r="K73" s="7" t="s">
        <v>2733</v>
      </c>
    </row>
    <row r="74" ht="14.25" customHeight="1">
      <c r="A74" s="5">
        <v>73.0</v>
      </c>
      <c r="B74" s="6" t="s">
        <v>2734</v>
      </c>
      <c r="C74" s="6" t="s">
        <v>2735</v>
      </c>
      <c r="D74" s="6" t="s">
        <v>2314</v>
      </c>
      <c r="E74" s="6" t="str">
        <f>IFERROR(__xludf.DUMMYFUNCTION("GOOGLETRANSLATE(K74, ""th"", ""en"")"),"A boxer can surrender in these cases.")</f>
        <v>A boxer can surrender in these cases.</v>
      </c>
      <c r="G74" s="6">
        <v>73.0</v>
      </c>
      <c r="H74" s="7" t="s">
        <v>2736</v>
      </c>
      <c r="I74" s="7" t="s">
        <v>2737</v>
      </c>
      <c r="J74" s="7" t="s">
        <v>2317</v>
      </c>
      <c r="K74" s="7" t="s">
        <v>2738</v>
      </c>
    </row>
    <row r="75" ht="14.25" customHeight="1">
      <c r="A75" s="5">
        <v>74.0</v>
      </c>
      <c r="B75" s="6" t="s">
        <v>2739</v>
      </c>
      <c r="C75" s="6" t="s">
        <v>2740</v>
      </c>
      <c r="D75" s="6" t="s">
        <v>2724</v>
      </c>
      <c r="E75" s="6" t="str">
        <f>IFERROR(__xludf.DUMMYFUNCTION("GOOGLETRANSLATE(K75, ""th"", ""en"")"),"Head attacks will get high scores.")</f>
        <v>Head attacks will get high scores.</v>
      </c>
      <c r="G75" s="6">
        <v>74.0</v>
      </c>
      <c r="H75" s="7" t="s">
        <v>2741</v>
      </c>
      <c r="I75" s="7" t="s">
        <v>2742</v>
      </c>
      <c r="J75" s="7" t="s">
        <v>2727</v>
      </c>
      <c r="K75" s="7" t="s">
        <v>2743</v>
      </c>
    </row>
    <row r="76" ht="14.25" customHeight="1">
      <c r="A76" s="5">
        <v>75.0</v>
      </c>
      <c r="B76" s="6" t="s">
        <v>2744</v>
      </c>
      <c r="C76" s="6" t="s">
        <v>2745</v>
      </c>
      <c r="D76" s="6" t="s">
        <v>2746</v>
      </c>
      <c r="E76" s="6" t="str">
        <f>IFERROR(__xludf.DUMMYFUNCTION("GOOGLETRANSLATE(K76, ""th"", ""en"")"),"The referee will stop the match if the boxer is seriously injured.")</f>
        <v>The referee will stop the match if the boxer is seriously injured.</v>
      </c>
      <c r="G76" s="6">
        <v>75.0</v>
      </c>
      <c r="H76" s="7" t="s">
        <v>2747</v>
      </c>
      <c r="I76" s="7" t="s">
        <v>2748</v>
      </c>
      <c r="J76" s="7" t="s">
        <v>1657</v>
      </c>
      <c r="K76" s="7" t="s">
        <v>2749</v>
      </c>
    </row>
    <row r="77" ht="14.25" customHeight="1">
      <c r="A77" s="5">
        <v>76.0</v>
      </c>
      <c r="B77" s="6" t="s">
        <v>2750</v>
      </c>
      <c r="C77" s="6" t="s">
        <v>2517</v>
      </c>
      <c r="D77" s="6" t="s">
        <v>2314</v>
      </c>
      <c r="E77" s="6" t="str">
        <f>IFERROR(__xludf.DUMMYFUNCTION("GOOGLETRANSLATE(K77, ""th"", ""en"")"),"Fisting can be used on any part of the body.")</f>
        <v>Fisting can be used on any part of the body.</v>
      </c>
      <c r="G77" s="6">
        <v>76.0</v>
      </c>
      <c r="H77" s="7" t="s">
        <v>2751</v>
      </c>
      <c r="I77" s="7" t="s">
        <v>2519</v>
      </c>
      <c r="J77" s="7" t="s">
        <v>2317</v>
      </c>
      <c r="K77" s="7" t="s">
        <v>2752</v>
      </c>
    </row>
    <row r="78" ht="14.25" customHeight="1">
      <c r="A78" s="5">
        <v>77.0</v>
      </c>
      <c r="B78" s="6" t="s">
        <v>2753</v>
      </c>
      <c r="C78" s="6" t="s">
        <v>2754</v>
      </c>
      <c r="D78" s="6" t="s">
        <v>2697</v>
      </c>
      <c r="E78" s="6" t="str">
        <f>IFERROR(__xludf.DUMMYFUNCTION("GOOGLETRANSLATE(K78, ""th"", ""en"")"),"Attacks to the back of the neck are considered a foul.")</f>
        <v>Attacks to the back of the neck are considered a foul.</v>
      </c>
      <c r="G78" s="6">
        <v>77.0</v>
      </c>
      <c r="H78" s="7" t="s">
        <v>2755</v>
      </c>
      <c r="I78" s="7" t="s">
        <v>2756</v>
      </c>
      <c r="J78" s="7" t="s">
        <v>2757</v>
      </c>
      <c r="K78" s="7" t="s">
        <v>2758</v>
      </c>
    </row>
    <row r="79" ht="14.25" customHeight="1">
      <c r="A79" s="5">
        <v>78.0</v>
      </c>
      <c r="B79" s="6" t="s">
        <v>2759</v>
      </c>
      <c r="C79" s="6" t="s">
        <v>2760</v>
      </c>
      <c r="D79" s="6" t="s">
        <v>2761</v>
      </c>
      <c r="E79" s="6" t="str">
        <f>IFERROR(__xludf.DUMMYFUNCTION("GOOGLETRANSLATE(K79, ""th"", ""en"")"),"Violating the rules will result in a loss of points.")</f>
        <v>Violating the rules will result in a loss of points.</v>
      </c>
      <c r="G79" s="6">
        <v>78.0</v>
      </c>
      <c r="H79" s="7" t="s">
        <v>2762</v>
      </c>
      <c r="I79" s="7" t="s">
        <v>2763</v>
      </c>
      <c r="J79" s="7" t="s">
        <v>2764</v>
      </c>
      <c r="K79" s="7" t="s">
        <v>2765</v>
      </c>
    </row>
    <row r="80" ht="14.25" customHeight="1">
      <c r="A80" s="5">
        <v>79.0</v>
      </c>
      <c r="B80" s="6" t="s">
        <v>2766</v>
      </c>
      <c r="C80" s="6" t="s">
        <v>2767</v>
      </c>
      <c r="D80" s="6" t="s">
        <v>2768</v>
      </c>
      <c r="E80" s="6" t="str">
        <f>IFERROR(__xludf.DUMMYFUNCTION("GOOGLETRANSLATE(K80, ""th"", ""en"")"),"Using your feet to punch is a technique that can be used.")</f>
        <v>Using your feet to punch is a technique that can be used.</v>
      </c>
      <c r="G80" s="6">
        <v>79.0</v>
      </c>
      <c r="H80" s="7" t="s">
        <v>2769</v>
      </c>
      <c r="I80" s="7" t="s">
        <v>2770</v>
      </c>
      <c r="J80" s="7" t="s">
        <v>2771</v>
      </c>
      <c r="K80" s="7" t="s">
        <v>2772</v>
      </c>
    </row>
    <row r="81" ht="14.25" customHeight="1">
      <c r="A81" s="5">
        <v>80.0</v>
      </c>
      <c r="B81" s="6" t="s">
        <v>2773</v>
      </c>
      <c r="C81" s="6" t="s">
        <v>2774</v>
      </c>
      <c r="D81" s="6" t="s">
        <v>2775</v>
      </c>
      <c r="E81" s="6" t="str">
        <f>IFERROR(__xludf.DUMMYFUNCTION("GOOGLETRANSLATE(K81, ""th"", ""en"")"),"Falling off the stage is a violation of the rules.")</f>
        <v>Falling off the stage is a violation of the rules.</v>
      </c>
      <c r="G81" s="6">
        <v>80.0</v>
      </c>
      <c r="H81" s="7" t="s">
        <v>2776</v>
      </c>
      <c r="I81" s="7" t="s">
        <v>2777</v>
      </c>
      <c r="J81" s="7" t="s">
        <v>2778</v>
      </c>
      <c r="K81" s="7" t="s">
        <v>2779</v>
      </c>
    </row>
    <row r="82" ht="14.25" customHeight="1">
      <c r="A82" s="5">
        <v>81.0</v>
      </c>
      <c r="B82" s="6" t="s">
        <v>2780</v>
      </c>
      <c r="C82" s="6" t="s">
        <v>2781</v>
      </c>
      <c r="D82" s="6" t="s">
        <v>2314</v>
      </c>
      <c r="E82" s="6" t="str">
        <f>IFERROR(__xludf.DUMMYFUNCTION("GOOGLETRANSLATE(K82, ""th"", ""en"")"),"Boxers can use these moves in fighting.")</f>
        <v>Boxers can use these moves in fighting.</v>
      </c>
      <c r="G82" s="6">
        <v>81.0</v>
      </c>
      <c r="H82" s="7" t="s">
        <v>2782</v>
      </c>
      <c r="I82" s="7" t="s">
        <v>2783</v>
      </c>
      <c r="J82" s="7" t="s">
        <v>2317</v>
      </c>
      <c r="K82" s="7" t="s">
        <v>2784</v>
      </c>
    </row>
    <row r="83" ht="14.25" customHeight="1">
      <c r="A83" s="5">
        <v>82.0</v>
      </c>
      <c r="B83" s="6" t="s">
        <v>2785</v>
      </c>
      <c r="C83" s="6" t="s">
        <v>2786</v>
      </c>
      <c r="D83" s="6" t="s">
        <v>2638</v>
      </c>
      <c r="E83" s="6" t="str">
        <f>IFERROR(__xludf.DUMMYFUNCTION("GOOGLETRANSLATE(K83, ""th"", ""en"")"),"Using illegal equipment will result in a deduction of points.")</f>
        <v>Using illegal equipment will result in a deduction of points.</v>
      </c>
      <c r="G83" s="6">
        <v>82.0</v>
      </c>
      <c r="H83" s="7" t="s">
        <v>2787</v>
      </c>
      <c r="I83" s="7" t="s">
        <v>2788</v>
      </c>
      <c r="J83" s="7" t="s">
        <v>2641</v>
      </c>
      <c r="K83" s="7" t="s">
        <v>2789</v>
      </c>
    </row>
    <row r="84" ht="14.25" customHeight="1">
      <c r="A84" s="5">
        <v>83.0</v>
      </c>
      <c r="B84" s="6" t="s">
        <v>2790</v>
      </c>
      <c r="C84" s="6" t="s">
        <v>2791</v>
      </c>
      <c r="D84" s="6" t="s">
        <v>2792</v>
      </c>
      <c r="E84" s="6" t="str">
        <f>IFERROR(__xludf.DUMMYFUNCTION("GOOGLETRANSLATE(K84, ""th"", ""en"")"),"Using an elbow strike is considered a foul.")</f>
        <v>Using an elbow strike is considered a foul.</v>
      </c>
      <c r="G84" s="6">
        <v>83.0</v>
      </c>
      <c r="H84" s="7" t="s">
        <v>2793</v>
      </c>
      <c r="I84" s="7" t="s">
        <v>2794</v>
      </c>
      <c r="J84" s="7" t="s">
        <v>2795</v>
      </c>
      <c r="K84" s="7" t="s">
        <v>2796</v>
      </c>
    </row>
    <row r="85" ht="14.25" customHeight="1">
      <c r="A85" s="5">
        <v>84.0</v>
      </c>
      <c r="B85" s="6" t="s">
        <v>2797</v>
      </c>
      <c r="C85" s="6" t="s">
        <v>2798</v>
      </c>
      <c r="D85" s="6" t="s">
        <v>2799</v>
      </c>
      <c r="E85" s="6" t="str">
        <f>IFERROR(__xludf.DUMMYFUNCTION("GOOGLETRANSLATE(K85, ""th"", ""en"")"),"The boxer must continue to follow the attack.")</f>
        <v>The boxer must continue to follow the attack.</v>
      </c>
      <c r="G85" s="6">
        <v>84.0</v>
      </c>
      <c r="H85" s="7" t="s">
        <v>2800</v>
      </c>
      <c r="I85" s="7" t="s">
        <v>2801</v>
      </c>
      <c r="J85" s="7" t="s">
        <v>2802</v>
      </c>
      <c r="K85" s="7" t="s">
        <v>2803</v>
      </c>
    </row>
    <row r="86" ht="14.25" customHeight="1">
      <c r="A86" s="5">
        <v>85.0</v>
      </c>
      <c r="B86" s="6" t="s">
        <v>2804</v>
      </c>
      <c r="C86" s="6" t="s">
        <v>2805</v>
      </c>
      <c r="D86" s="6" t="s">
        <v>2314</v>
      </c>
      <c r="E86" s="6" t="str">
        <f>IFERROR(__xludf.DUMMYFUNCTION("GOOGLETRANSLATE(K86, ""th"", ""en"")"),"The scoring is based on several factors.")</f>
        <v>The scoring is based on several factors.</v>
      </c>
      <c r="G86" s="6">
        <v>85.0</v>
      </c>
      <c r="H86" s="7" t="s">
        <v>2806</v>
      </c>
      <c r="I86" s="7" t="s">
        <v>2807</v>
      </c>
      <c r="J86" s="7" t="s">
        <v>2317</v>
      </c>
      <c r="K86" s="7" t="s">
        <v>2808</v>
      </c>
    </row>
    <row r="87" ht="14.25" customHeight="1">
      <c r="A87" s="5">
        <v>86.0</v>
      </c>
      <c r="B87" s="6" t="s">
        <v>2809</v>
      </c>
      <c r="C87" s="6" t="s">
        <v>2810</v>
      </c>
      <c r="D87" s="6" t="s">
        <v>2724</v>
      </c>
      <c r="E87" s="6" t="str">
        <f>IFERROR(__xludf.DUMMYFUNCTION("GOOGLETRANSLATE(K87, ""th"", ""en"")"),"Using knee attacks will get high scores.")</f>
        <v>Using knee attacks will get high scores.</v>
      </c>
      <c r="G87" s="6">
        <v>86.0</v>
      </c>
      <c r="H87" s="7" t="s">
        <v>2811</v>
      </c>
      <c r="I87" s="7" t="s">
        <v>2812</v>
      </c>
      <c r="J87" s="7" t="s">
        <v>2727</v>
      </c>
      <c r="K87" s="7" t="s">
        <v>2813</v>
      </c>
    </row>
    <row r="88" ht="14.25" customHeight="1">
      <c r="A88" s="5">
        <v>87.0</v>
      </c>
      <c r="B88" s="6" t="s">
        <v>2814</v>
      </c>
      <c r="C88" s="6" t="s">
        <v>2815</v>
      </c>
      <c r="D88" s="6" t="s">
        <v>2816</v>
      </c>
      <c r="E88" s="6" t="str">
        <f>IFERROR(__xludf.DUMMYFUNCTION("GOOGLETRANSLATE(K88, ""th"", ""en"")"),"The doctor will take care of the injured boxer.")</f>
        <v>The doctor will take care of the injured boxer.</v>
      </c>
      <c r="G88" s="6">
        <v>87.0</v>
      </c>
      <c r="H88" s="7" t="s">
        <v>2817</v>
      </c>
      <c r="I88" s="7" t="s">
        <v>2818</v>
      </c>
      <c r="J88" s="7" t="s">
        <v>2819</v>
      </c>
      <c r="K88" s="7" t="s">
        <v>2820</v>
      </c>
    </row>
    <row r="89" ht="14.25" customHeight="1">
      <c r="A89" s="5">
        <v>88.0</v>
      </c>
      <c r="B89" s="6" t="s">
        <v>2821</v>
      </c>
      <c r="C89" s="6" t="s">
        <v>2810</v>
      </c>
      <c r="D89" s="6" t="s">
        <v>2724</v>
      </c>
      <c r="E89" s="6" t="str">
        <f>IFERROR(__xludf.DUMMYFUNCTION("GOOGLETRANSLATE(K89, ""th"", ""en"")"),"Using elbow strikes will get you high scores.")</f>
        <v>Using elbow strikes will get you high scores.</v>
      </c>
      <c r="G89" s="6">
        <v>88.0</v>
      </c>
      <c r="H89" s="7" t="s">
        <v>2822</v>
      </c>
      <c r="I89" s="7" t="s">
        <v>2812</v>
      </c>
      <c r="J89" s="7" t="s">
        <v>2727</v>
      </c>
      <c r="K89" s="7" t="s">
        <v>2823</v>
      </c>
    </row>
    <row r="90" ht="14.25" customHeight="1">
      <c r="A90" s="5">
        <v>89.0</v>
      </c>
      <c r="B90" s="6" t="s">
        <v>2824</v>
      </c>
      <c r="C90" s="6" t="s">
        <v>2825</v>
      </c>
      <c r="D90" s="6" t="s">
        <v>2314</v>
      </c>
      <c r="E90" s="6" t="str">
        <f>IFERROR(__xludf.DUMMYFUNCTION("GOOGLETRANSLATE(K90, ""th"", ""en"")"),"Violating the rules can result in a deduction of points or a forfeit.")</f>
        <v>Violating the rules can result in a deduction of points or a forfeit.</v>
      </c>
      <c r="G90" s="6">
        <v>89.0</v>
      </c>
      <c r="H90" s="7" t="s">
        <v>2826</v>
      </c>
      <c r="I90" s="7" t="s">
        <v>2827</v>
      </c>
      <c r="J90" s="7" t="s">
        <v>2317</v>
      </c>
      <c r="K90" s="7" t="s">
        <v>2828</v>
      </c>
    </row>
    <row r="91" ht="14.25" customHeight="1">
      <c r="A91" s="5">
        <v>90.0</v>
      </c>
      <c r="B91" s="6" t="s">
        <v>2829</v>
      </c>
      <c r="C91" s="6" t="s">
        <v>2830</v>
      </c>
      <c r="D91" s="6" t="s">
        <v>2831</v>
      </c>
      <c r="E91" s="6" t="str">
        <f>IFERROR(__xludf.DUMMYFUNCTION("GOOGLETRANSLATE(K91, ""th"", ""en"")"),"Hitting the back of the neck is a violation.")</f>
        <v>Hitting the back of the neck is a violation.</v>
      </c>
      <c r="G91" s="6">
        <v>90.0</v>
      </c>
      <c r="H91" s="7" t="s">
        <v>2832</v>
      </c>
      <c r="I91" s="7" t="s">
        <v>2833</v>
      </c>
      <c r="J91" s="7" t="s">
        <v>2834</v>
      </c>
      <c r="K91" s="7" t="s">
        <v>2835</v>
      </c>
    </row>
    <row r="92" ht="14.25" customHeight="1">
      <c r="A92" s="5">
        <v>91.0</v>
      </c>
      <c r="B92" s="6" t="s">
        <v>2836</v>
      </c>
      <c r="C92" s="6" t="s">
        <v>2837</v>
      </c>
      <c r="D92" s="6" t="s">
        <v>2314</v>
      </c>
      <c r="E92" s="6" t="str">
        <f>IFERROR(__xludf.DUMMYFUNCTION("GOOGLETRANSLATE(K92, ""th"", ""en"")"),"Boxers can use their feet, fists, and elbows to attack.")</f>
        <v>Boxers can use their feet, fists, and elbows to attack.</v>
      </c>
      <c r="G92" s="6">
        <v>91.0</v>
      </c>
      <c r="H92" s="7" t="s">
        <v>2838</v>
      </c>
      <c r="I92" s="7" t="s">
        <v>2839</v>
      </c>
      <c r="J92" s="7" t="s">
        <v>2317</v>
      </c>
      <c r="K92" s="7" t="s">
        <v>2840</v>
      </c>
    </row>
    <row r="93" ht="14.25" customHeight="1">
      <c r="A93" s="5">
        <v>92.0</v>
      </c>
      <c r="B93" s="6" t="s">
        <v>2841</v>
      </c>
      <c r="C93" s="6" t="s">
        <v>2842</v>
      </c>
      <c r="D93" s="6" t="s">
        <v>2843</v>
      </c>
      <c r="E93" s="6" t="str">
        <f>IFERROR(__xludf.DUMMYFUNCTION("GOOGLETRANSLATE(K93, ""th"", ""en"")"),"A punch to the back of the neck is considered a foul.")</f>
        <v>A punch to the back of the neck is considered a foul.</v>
      </c>
      <c r="G93" s="6">
        <v>92.0</v>
      </c>
      <c r="H93" s="7" t="s">
        <v>2844</v>
      </c>
      <c r="I93" s="7" t="s">
        <v>2845</v>
      </c>
      <c r="J93" s="7" t="s">
        <v>2846</v>
      </c>
      <c r="K93" s="7" t="s">
        <v>2847</v>
      </c>
    </row>
    <row r="94" ht="14.25" customHeight="1">
      <c r="A94" s="5">
        <v>93.0</v>
      </c>
      <c r="B94" s="6" t="s">
        <v>2848</v>
      </c>
      <c r="C94" s="6" t="s">
        <v>2849</v>
      </c>
      <c r="D94" s="6" t="s">
        <v>2314</v>
      </c>
      <c r="E94" s="6" t="str">
        <f>IFERROR(__xludf.DUMMYFUNCTION("GOOGLETRANSLATE(K94, ""th"", ""en"")"),"Boxers can hit any part of the body that is not against the rules.")</f>
        <v>Boxers can hit any part of the body that is not against the rules.</v>
      </c>
      <c r="G94" s="6">
        <v>93.0</v>
      </c>
      <c r="H94" s="7" t="s">
        <v>2850</v>
      </c>
      <c r="I94" s="7" t="s">
        <v>2851</v>
      </c>
      <c r="J94" s="7" t="s">
        <v>2317</v>
      </c>
      <c r="K94" s="7" t="s">
        <v>2852</v>
      </c>
    </row>
    <row r="95" ht="14.25" customHeight="1">
      <c r="A95" s="5">
        <v>94.0</v>
      </c>
      <c r="B95" s="6" t="s">
        <v>2853</v>
      </c>
      <c r="C95" s="6" t="s">
        <v>2854</v>
      </c>
      <c r="D95" s="6" t="s">
        <v>2855</v>
      </c>
      <c r="E95" s="6" t="str">
        <f>IFERROR(__xludf.DUMMYFUNCTION("GOOGLETRANSLATE(K95, ""th"", ""en"")"),"Attacks to the stomach are not illegal.")</f>
        <v>Attacks to the stomach are not illegal.</v>
      </c>
      <c r="G95" s="6">
        <v>94.0</v>
      </c>
      <c r="H95" s="7" t="s">
        <v>2856</v>
      </c>
      <c r="I95" s="7" t="s">
        <v>2857</v>
      </c>
      <c r="J95" s="7" t="s">
        <v>2858</v>
      </c>
      <c r="K95" s="7" t="s">
        <v>2859</v>
      </c>
    </row>
    <row r="96" ht="14.25" customHeight="1">
      <c r="A96" s="5">
        <v>95.0</v>
      </c>
      <c r="B96" s="6" t="s">
        <v>2534</v>
      </c>
      <c r="C96" s="6" t="s">
        <v>2860</v>
      </c>
      <c r="D96" s="6" t="s">
        <v>2314</v>
      </c>
      <c r="E96" s="6" t="str">
        <f>IFERROR(__xludf.DUMMYFUNCTION("GOOGLETRANSLATE(K96, ""th"", ""en"")"),"The referee can stop the match in many cases.")</f>
        <v>The referee can stop the match in many cases.</v>
      </c>
      <c r="G96" s="6">
        <v>95.0</v>
      </c>
      <c r="H96" s="7" t="s">
        <v>2536</v>
      </c>
      <c r="I96" s="7" t="s">
        <v>2861</v>
      </c>
      <c r="J96" s="7" t="s">
        <v>2317</v>
      </c>
      <c r="K96" s="7" t="s">
        <v>2862</v>
      </c>
    </row>
    <row r="97" ht="14.25" customHeight="1">
      <c r="A97" s="5">
        <v>96.0</v>
      </c>
      <c r="B97" s="6" t="s">
        <v>2863</v>
      </c>
      <c r="C97" s="6" t="s">
        <v>2864</v>
      </c>
      <c r="D97" s="6" t="s">
        <v>2865</v>
      </c>
      <c r="E97" s="6" t="str">
        <f>IFERROR(__xludf.DUMMYFUNCTION("GOOGLETRANSLATE(K97, ""th"", ""en"")"),"Using a straight punch is possible.")</f>
        <v>Using a straight punch is possible.</v>
      </c>
      <c r="G97" s="6">
        <v>96.0</v>
      </c>
      <c r="H97" s="7" t="s">
        <v>2866</v>
      </c>
      <c r="I97" s="7" t="s">
        <v>2867</v>
      </c>
      <c r="J97" s="7" t="s">
        <v>737</v>
      </c>
      <c r="K97" s="7" t="s">
        <v>2868</v>
      </c>
    </row>
    <row r="98" ht="14.25" customHeight="1">
      <c r="A98" s="5">
        <v>97.0</v>
      </c>
      <c r="B98" s="6" t="s">
        <v>2869</v>
      </c>
      <c r="C98" s="6" t="s">
        <v>2870</v>
      </c>
      <c r="D98" s="6" t="s">
        <v>2871</v>
      </c>
      <c r="E98" s="6" t="str">
        <f>IFERROR(__xludf.DUMMYFUNCTION("GOOGLETRANSLATE(K98, ""th"", ""en"")"),"Throwing is considered a foul.")</f>
        <v>Throwing is considered a foul.</v>
      </c>
      <c r="G98" s="6">
        <v>97.0</v>
      </c>
      <c r="H98" s="7" t="s">
        <v>2872</v>
      </c>
      <c r="I98" s="7" t="s">
        <v>2873</v>
      </c>
      <c r="J98" s="7" t="s">
        <v>2874</v>
      </c>
      <c r="K98" s="7" t="s">
        <v>2689</v>
      </c>
    </row>
    <row r="99" ht="14.25" customHeight="1">
      <c r="A99" s="5">
        <v>98.0</v>
      </c>
      <c r="B99" s="6" t="s">
        <v>2875</v>
      </c>
      <c r="C99" s="6" t="s">
        <v>2876</v>
      </c>
      <c r="D99" s="6" t="s">
        <v>2314</v>
      </c>
      <c r="E99" s="6" t="str">
        <f>IFERROR(__xludf.DUMMYFUNCTION("GOOGLETRANSLATE(K99, ""th"", ""en"")"),"A boxer can surrender in these cases.")</f>
        <v>A boxer can surrender in these cases.</v>
      </c>
      <c r="G99" s="6">
        <v>98.0</v>
      </c>
      <c r="H99" s="7" t="s">
        <v>2877</v>
      </c>
      <c r="I99" s="7" t="s">
        <v>2878</v>
      </c>
      <c r="J99" s="7" t="s">
        <v>2317</v>
      </c>
      <c r="K99" s="7" t="s">
        <v>2738</v>
      </c>
    </row>
    <row r="100" ht="14.25" customHeight="1">
      <c r="A100" s="5">
        <v>99.0</v>
      </c>
      <c r="B100" s="6" t="s">
        <v>2879</v>
      </c>
      <c r="C100" s="6" t="s">
        <v>2880</v>
      </c>
      <c r="D100" s="6" t="s">
        <v>2724</v>
      </c>
      <c r="E100" s="6" t="str">
        <f>IFERROR(__xludf.DUMMYFUNCTION("GOOGLETRANSLATE(K100, ""th"", ""en"")"),"Using elbow strikes will get you high scores.")</f>
        <v>Using elbow strikes will get you high scores.</v>
      </c>
      <c r="G100" s="6">
        <v>99.0</v>
      </c>
      <c r="H100" s="7" t="s">
        <v>2881</v>
      </c>
      <c r="I100" s="7" t="s">
        <v>2882</v>
      </c>
      <c r="J100" s="7" t="s">
        <v>2727</v>
      </c>
      <c r="K100" s="7" t="s">
        <v>2823</v>
      </c>
    </row>
    <row r="101" ht="14.25" customHeight="1">
      <c r="A101" s="5">
        <v>100.0</v>
      </c>
      <c r="B101" s="6" t="s">
        <v>2883</v>
      </c>
      <c r="C101" s="6" t="s">
        <v>2884</v>
      </c>
      <c r="D101" s="6" t="s">
        <v>2865</v>
      </c>
      <c r="E101" s="6" t="str">
        <f>IFERROR(__xludf.DUMMYFUNCTION("GOOGLETRANSLATE(K101, ""th"", ""en"")"),"Attacks to the back of the neck are considered a foul.")</f>
        <v>Attacks to the back of the neck are considered a foul.</v>
      </c>
      <c r="G101" s="6">
        <v>100.0</v>
      </c>
      <c r="H101" s="7" t="s">
        <v>2885</v>
      </c>
      <c r="I101" s="7" t="s">
        <v>2886</v>
      </c>
      <c r="J101" s="7" t="s">
        <v>737</v>
      </c>
      <c r="K101" s="7" t="s">
        <v>2887</v>
      </c>
    </row>
    <row r="102" ht="14.25" customHeight="1">
      <c r="A102" s="5">
        <v>101.0</v>
      </c>
      <c r="B102" s="6" t="s">
        <v>2888</v>
      </c>
      <c r="C102" s="6" t="s">
        <v>2723</v>
      </c>
      <c r="D102" s="6" t="s">
        <v>2889</v>
      </c>
      <c r="E102" s="6" t="str">
        <f>IFERROR(__xludf.DUMMYFUNCTION("GOOGLETRANSLATE(K102, ""th"", ""en"")"),"Spins in attacks may score normal points depending on the outcome.")</f>
        <v>Spins in attacks may score normal points depending on the outcome.</v>
      </c>
      <c r="G102" s="6">
        <v>101.0</v>
      </c>
      <c r="H102" s="7" t="s">
        <v>2890</v>
      </c>
      <c r="I102" s="7" t="s">
        <v>2726</v>
      </c>
      <c r="J102" s="7" t="s">
        <v>2891</v>
      </c>
      <c r="K102" s="7" t="s">
        <v>2892</v>
      </c>
    </row>
    <row r="103" ht="14.25" customHeight="1">
      <c r="A103" s="5">
        <v>102.0</v>
      </c>
      <c r="B103" s="6" t="s">
        <v>2893</v>
      </c>
      <c r="C103" s="6" t="s">
        <v>2894</v>
      </c>
      <c r="D103" s="6" t="s">
        <v>2314</v>
      </c>
      <c r="E103" s="6" t="str">
        <f>IFERROR(__xludf.DUMMYFUNCTION("GOOGLETRANSLATE(K103, ""th"", ""en"")"),"Kicks can be made in any part of the body that is not against the rules.")</f>
        <v>Kicks can be made in any part of the body that is not against the rules.</v>
      </c>
      <c r="G103" s="6">
        <v>102.0</v>
      </c>
      <c r="H103" s="7" t="s">
        <v>2895</v>
      </c>
      <c r="I103" s="7" t="s">
        <v>2896</v>
      </c>
      <c r="J103" s="7" t="s">
        <v>2317</v>
      </c>
      <c r="K103" s="7" t="s">
        <v>2897</v>
      </c>
    </row>
    <row r="104" ht="14.25" customHeight="1">
      <c r="A104" s="5">
        <v>103.0</v>
      </c>
      <c r="B104" s="6" t="s">
        <v>2898</v>
      </c>
      <c r="C104" s="6" t="s">
        <v>2899</v>
      </c>
      <c r="D104" s="6" t="s">
        <v>2314</v>
      </c>
      <c r="E104" s="6" t="str">
        <f>IFERROR(__xludf.DUMMYFUNCTION("GOOGLETRANSLATE(K104, ""th"", ""en"")"),"An incorrect attack can change the outcome of a match.")</f>
        <v>An incorrect attack can change the outcome of a match.</v>
      </c>
      <c r="G104" s="6">
        <v>103.0</v>
      </c>
      <c r="H104" s="7" t="s">
        <v>2900</v>
      </c>
      <c r="I104" s="7" t="s">
        <v>2901</v>
      </c>
      <c r="J104" s="7" t="s">
        <v>2317</v>
      </c>
      <c r="K104" s="7" t="s">
        <v>2902</v>
      </c>
    </row>
    <row r="105" ht="14.25" customHeight="1">
      <c r="A105" s="5">
        <v>104.0</v>
      </c>
      <c r="B105" s="6" t="s">
        <v>2903</v>
      </c>
      <c r="C105" s="6" t="s">
        <v>2904</v>
      </c>
      <c r="D105" s="6" t="s">
        <v>2314</v>
      </c>
      <c r="E105" s="6" t="str">
        <f>IFERROR(__xludf.DUMMYFUNCTION("GOOGLETRANSLATE(K105, ""th"", ""en"")"),"Boxers can use dodges, blocks, and stand to defend themselves.")</f>
        <v>Boxers can use dodges, blocks, and stand to defend themselves.</v>
      </c>
      <c r="G105" s="6">
        <v>104.0</v>
      </c>
      <c r="H105" s="7" t="s">
        <v>2905</v>
      </c>
      <c r="I105" s="7" t="s">
        <v>2906</v>
      </c>
      <c r="J105" s="7" t="s">
        <v>2317</v>
      </c>
      <c r="K105" s="7" t="s">
        <v>2907</v>
      </c>
    </row>
    <row r="106" ht="14.25" customHeight="1">
      <c r="A106" s="5">
        <v>105.0</v>
      </c>
      <c r="B106" s="6" t="s">
        <v>2908</v>
      </c>
      <c r="C106" s="6" t="s">
        <v>2662</v>
      </c>
      <c r="D106" s="6" t="s">
        <v>2314</v>
      </c>
      <c r="E106" s="6" t="str">
        <f>IFERROR(__xludf.DUMMYFUNCTION("GOOGLETRANSLATE(K106, ""th"", ""en"")"),"Illegal actions will result in multiple consequences.")</f>
        <v>Illegal actions will result in multiple consequences.</v>
      </c>
      <c r="G106" s="6">
        <v>105.0</v>
      </c>
      <c r="H106" s="7" t="s">
        <v>2909</v>
      </c>
      <c r="I106" s="7" t="s">
        <v>2664</v>
      </c>
      <c r="J106" s="7" t="s">
        <v>2317</v>
      </c>
      <c r="K106" s="7" t="s">
        <v>2910</v>
      </c>
    </row>
    <row r="107" ht="14.25" customHeight="1">
      <c r="A107" s="5">
        <v>106.0</v>
      </c>
      <c r="B107" s="6" t="s">
        <v>2911</v>
      </c>
      <c r="C107" s="6" t="s">
        <v>2912</v>
      </c>
      <c r="D107" s="6" t="s">
        <v>2314</v>
      </c>
      <c r="E107" s="6" t="str">
        <f>IFERROR(__xludf.DUMMYFUNCTION("GOOGLETRANSLATE(K107, ""th"", ""en"")"),"The judges will make their decision based on several relevant factors.")</f>
        <v>The judges will make their decision based on several relevant factors.</v>
      </c>
      <c r="G107" s="6">
        <v>106.0</v>
      </c>
      <c r="H107" s="7" t="s">
        <v>2913</v>
      </c>
      <c r="I107" s="7" t="s">
        <v>2914</v>
      </c>
      <c r="J107" s="7" t="s">
        <v>2317</v>
      </c>
      <c r="K107" s="7" t="s">
        <v>2915</v>
      </c>
    </row>
    <row r="108" ht="14.25" customHeight="1">
      <c r="A108" s="5">
        <v>107.0</v>
      </c>
      <c r="B108" s="6" t="s">
        <v>2916</v>
      </c>
      <c r="C108" s="6" t="s">
        <v>2917</v>
      </c>
      <c r="D108" s="6" t="s">
        <v>2918</v>
      </c>
      <c r="E108" s="6" t="str">
        <f>IFERROR(__xludf.DUMMYFUNCTION("GOOGLETRANSLATE(K108, ""th"", ""en"")"),"Elbow strikes can be used when the opponent is close.")</f>
        <v>Elbow strikes can be used when the opponent is close.</v>
      </c>
      <c r="G108" s="6">
        <v>107.0</v>
      </c>
      <c r="H108" s="7" t="s">
        <v>2919</v>
      </c>
      <c r="I108" s="7" t="s">
        <v>2920</v>
      </c>
      <c r="J108" s="7" t="s">
        <v>2921</v>
      </c>
      <c r="K108" s="7" t="s">
        <v>2922</v>
      </c>
    </row>
    <row r="109" ht="14.25" customHeight="1">
      <c r="A109" s="5">
        <v>108.0</v>
      </c>
      <c r="B109" s="6" t="s">
        <v>2923</v>
      </c>
      <c r="C109" s="6" t="s">
        <v>2924</v>
      </c>
      <c r="D109" s="6" t="s">
        <v>2925</v>
      </c>
      <c r="E109" s="6" t="str">
        <f>IFERROR(__xludf.DUMMYFUNCTION("GOOGLETRANSLATE(K109, ""th"", ""en"")"),"Attacks to the arms can count as points.")</f>
        <v>Attacks to the arms can count as points.</v>
      </c>
      <c r="G109" s="6">
        <v>108.0</v>
      </c>
      <c r="H109" s="7" t="s">
        <v>2926</v>
      </c>
      <c r="I109" s="7" t="s">
        <v>2927</v>
      </c>
      <c r="J109" s="7" t="s">
        <v>2928</v>
      </c>
      <c r="K109" s="7" t="s">
        <v>2929</v>
      </c>
    </row>
    <row r="110" ht="14.25" customHeight="1">
      <c r="A110" s="5">
        <v>109.0</v>
      </c>
      <c r="B110" s="6" t="s">
        <v>2930</v>
      </c>
      <c r="C110" s="6" t="s">
        <v>2931</v>
      </c>
      <c r="D110" s="6" t="s">
        <v>2314</v>
      </c>
      <c r="E110" s="6" t="str">
        <f>IFERROR(__xludf.DUMMYFUNCTION("GOOGLETRANSLATE(K110, ""th"", ""en"")"),"Violating the rules will result in a deduction of points or a disqualification.")</f>
        <v>Violating the rules will result in a deduction of points or a disqualification.</v>
      </c>
      <c r="G110" s="6">
        <v>109.0</v>
      </c>
      <c r="H110" s="7" t="s">
        <v>2932</v>
      </c>
      <c r="I110" s="7" t="s">
        <v>2933</v>
      </c>
      <c r="J110" s="7" t="s">
        <v>2317</v>
      </c>
      <c r="K110" s="7" t="s">
        <v>2934</v>
      </c>
    </row>
    <row r="111" ht="14.25" customHeight="1">
      <c r="A111" s="5">
        <v>110.0</v>
      </c>
      <c r="B111" s="6" t="s">
        <v>2935</v>
      </c>
      <c r="C111" s="6" t="s">
        <v>2936</v>
      </c>
      <c r="D111" s="6" t="s">
        <v>2314</v>
      </c>
      <c r="E111" s="6" t="str">
        <f>IFERROR(__xludf.DUMMYFUNCTION("GOOGLETRANSLATE(K111, ""th"", ""en"")"),"Boxers can use their fists, elbows, and knees to attack.")</f>
        <v>Boxers can use their fists, elbows, and knees to attack.</v>
      </c>
      <c r="G111" s="6">
        <v>110.0</v>
      </c>
      <c r="H111" s="7" t="s">
        <v>2937</v>
      </c>
      <c r="I111" s="7" t="s">
        <v>2938</v>
      </c>
      <c r="J111" s="7" t="s">
        <v>2317</v>
      </c>
      <c r="K111" s="7" t="s">
        <v>2939</v>
      </c>
    </row>
    <row r="112" ht="14.25" customHeight="1">
      <c r="A112" s="5">
        <v>111.0</v>
      </c>
      <c r="B112" s="6" t="s">
        <v>2940</v>
      </c>
      <c r="C112" s="6" t="s">
        <v>2941</v>
      </c>
      <c r="D112" s="6" t="s">
        <v>2942</v>
      </c>
      <c r="E112" s="6" t="str">
        <f>IFERROR(__xludf.DUMMYFUNCTION("GOOGLETRANSLATE(K112, ""th"", ""en"")"),"Using kicks in Muay Thai matches will score points.")</f>
        <v>Using kicks in Muay Thai matches will score points.</v>
      </c>
      <c r="G112" s="6">
        <v>111.0</v>
      </c>
      <c r="H112" s="7" t="s">
        <v>2943</v>
      </c>
      <c r="I112" s="7" t="s">
        <v>2944</v>
      </c>
      <c r="J112" s="7" t="s">
        <v>2945</v>
      </c>
      <c r="K112" s="7" t="s">
        <v>2946</v>
      </c>
    </row>
    <row r="113" ht="14.25" customHeight="1">
      <c r="A113" s="5">
        <v>112.0</v>
      </c>
      <c r="B113" s="6" t="s">
        <v>2947</v>
      </c>
      <c r="C113" s="6" t="s">
        <v>2948</v>
      </c>
      <c r="D113" s="6" t="s">
        <v>2865</v>
      </c>
      <c r="E113" s="6" t="str">
        <f>IFERROR(__xludf.DUMMYFUNCTION("GOOGLETRANSLATE(K113, ""th"", ""en"")"),"Will be deducted points or disqualified.")</f>
        <v>Will be deducted points or disqualified.</v>
      </c>
      <c r="G113" s="6">
        <v>112.0</v>
      </c>
      <c r="H113" s="7" t="s">
        <v>2949</v>
      </c>
      <c r="I113" s="7" t="s">
        <v>2950</v>
      </c>
      <c r="J113" s="7" t="s">
        <v>682</v>
      </c>
      <c r="K113" s="7" t="s">
        <v>2951</v>
      </c>
    </row>
    <row r="114" ht="14.25" customHeight="1">
      <c r="A114" s="5">
        <v>113.0</v>
      </c>
      <c r="B114" s="6" t="s">
        <v>2952</v>
      </c>
      <c r="C114" s="6" t="s">
        <v>2953</v>
      </c>
      <c r="D114" s="6" t="s">
        <v>2314</v>
      </c>
      <c r="E114" s="6" t="str">
        <f>IFERROR(__xludf.DUMMYFUNCTION("GOOGLETRANSLATE(K114, ""th"", ""en"")"),"Surrendering will stop the match and the boxer will be disqualified.")</f>
        <v>Surrendering will stop the match and the boxer will be disqualified.</v>
      </c>
      <c r="G114" s="6">
        <v>113.0</v>
      </c>
      <c r="H114" s="7" t="s">
        <v>2954</v>
      </c>
      <c r="I114" s="7" t="s">
        <v>2955</v>
      </c>
      <c r="J114" s="7" t="s">
        <v>2317</v>
      </c>
      <c r="K114" s="7" t="s">
        <v>2956</v>
      </c>
    </row>
    <row r="115" ht="14.25" customHeight="1">
      <c r="A115" s="5">
        <v>114.0</v>
      </c>
      <c r="B115" s="6" t="s">
        <v>2957</v>
      </c>
      <c r="C115" s="6" t="s">
        <v>2958</v>
      </c>
      <c r="D115" s="6" t="s">
        <v>2959</v>
      </c>
      <c r="E115" s="6" t="str">
        <f>IFERROR(__xludf.DUMMYFUNCTION("GOOGLETRANSLATE(K115, ""th"", ""en"")"),"It is a permitted attack.")</f>
        <v>It is a permitted attack.</v>
      </c>
      <c r="G115" s="6">
        <v>114.0</v>
      </c>
      <c r="H115" s="7" t="s">
        <v>2960</v>
      </c>
      <c r="I115" s="7" t="s">
        <v>2961</v>
      </c>
      <c r="J115" s="7" t="s">
        <v>2962</v>
      </c>
      <c r="K115" s="7" t="s">
        <v>2963</v>
      </c>
    </row>
    <row r="116" ht="14.25" customHeight="1">
      <c r="A116" s="5">
        <v>115.0</v>
      </c>
      <c r="B116" s="6" t="s">
        <v>2964</v>
      </c>
      <c r="C116" s="6" t="s">
        <v>2965</v>
      </c>
      <c r="D116" s="6" t="s">
        <v>2314</v>
      </c>
      <c r="E116" s="6" t="str">
        <f>IFERROR(__xludf.DUMMYFUNCTION("GOOGLETRANSLATE(K116, ""th"", ""en"")"),"The referee can stop the match in many cases.")</f>
        <v>The referee can stop the match in many cases.</v>
      </c>
      <c r="G116" s="6">
        <v>115.0</v>
      </c>
      <c r="H116" s="7" t="s">
        <v>2966</v>
      </c>
      <c r="I116" s="7" t="s">
        <v>2967</v>
      </c>
      <c r="J116" s="7" t="s">
        <v>2317</v>
      </c>
      <c r="K116" s="7" t="s">
        <v>2862</v>
      </c>
    </row>
    <row r="117" ht="14.25" customHeight="1">
      <c r="A117" s="5">
        <v>116.0</v>
      </c>
      <c r="B117" s="6" t="s">
        <v>2968</v>
      </c>
      <c r="C117" s="6" t="s">
        <v>2969</v>
      </c>
      <c r="D117" s="6" t="s">
        <v>2314</v>
      </c>
      <c r="E117" s="6" t="str">
        <f>IFERROR(__xludf.DUMMYFUNCTION("GOOGLETRANSLATE(K117, ""th"", ""en"")"),"Using illegal attacks can result in a deduction or disqualification.")</f>
        <v>Using illegal attacks can result in a deduction or disqualification.</v>
      </c>
      <c r="G117" s="6">
        <v>116.0</v>
      </c>
      <c r="H117" s="7" t="s">
        <v>2970</v>
      </c>
      <c r="I117" s="7" t="s">
        <v>2971</v>
      </c>
      <c r="J117" s="7" t="s">
        <v>2317</v>
      </c>
      <c r="K117" s="7" t="s">
        <v>2972</v>
      </c>
    </row>
    <row r="118" ht="14.25" customHeight="1">
      <c r="A118" s="5">
        <v>117.0</v>
      </c>
      <c r="B118" s="6" t="s">
        <v>2973</v>
      </c>
      <c r="C118" s="6" t="s">
        <v>2974</v>
      </c>
      <c r="D118" s="6" t="s">
        <v>2314</v>
      </c>
      <c r="E118" s="6" t="str">
        <f>IFERROR(__xludf.DUMMYFUNCTION("GOOGLETRANSLATE(K118, ""th"", ""en"")"),"Knee exercises can be performed on many parts of the body.")</f>
        <v>Knee exercises can be performed on many parts of the body.</v>
      </c>
      <c r="G118" s="6">
        <v>117.0</v>
      </c>
      <c r="H118" s="7" t="s">
        <v>2975</v>
      </c>
      <c r="I118" s="7" t="s">
        <v>2976</v>
      </c>
      <c r="J118" s="7" t="s">
        <v>2317</v>
      </c>
      <c r="K118" s="7" t="s">
        <v>2977</v>
      </c>
    </row>
    <row r="119" ht="14.25" customHeight="1">
      <c r="A119" s="5">
        <v>118.0</v>
      </c>
      <c r="B119" s="6" t="s">
        <v>2978</v>
      </c>
      <c r="C119" s="6" t="s">
        <v>2979</v>
      </c>
      <c r="D119" s="6" t="s">
        <v>2889</v>
      </c>
      <c r="E119" s="6" t="str">
        <f>IFERROR(__xludf.DUMMYFUNCTION("GOOGLETRANSLATE(K119, ""th"", ""en"")"),"Spin attacks are scored normally.")</f>
        <v>Spin attacks are scored normally.</v>
      </c>
      <c r="G119" s="6">
        <v>118.0</v>
      </c>
      <c r="H119" s="7" t="s">
        <v>2980</v>
      </c>
      <c r="I119" s="7" t="s">
        <v>2981</v>
      </c>
      <c r="J119" s="7" t="s">
        <v>2891</v>
      </c>
      <c r="K119" s="7" t="s">
        <v>2982</v>
      </c>
    </row>
    <row r="120" ht="14.25" customHeight="1">
      <c r="A120" s="5">
        <v>119.0</v>
      </c>
      <c r="B120" s="6" t="s">
        <v>2983</v>
      </c>
      <c r="C120" s="6" t="s">
        <v>2984</v>
      </c>
      <c r="D120" s="6" t="s">
        <v>2985</v>
      </c>
      <c r="E120" s="6" t="str">
        <f>IFERROR(__xludf.DUMMYFUNCTION("GOOGLETRANSLATE(K120, ""th"", ""en"")"),"As long as it doesn't break the rules")</f>
        <v>As long as it doesn't break the rules</v>
      </c>
      <c r="G120" s="6">
        <v>119.0</v>
      </c>
      <c r="H120" s="7" t="s">
        <v>2986</v>
      </c>
      <c r="I120" s="7" t="s">
        <v>2987</v>
      </c>
      <c r="J120" s="7" t="s">
        <v>2988</v>
      </c>
      <c r="K120" s="7" t="s">
        <v>2989</v>
      </c>
    </row>
    <row r="121" ht="14.25" customHeight="1">
      <c r="A121" s="5">
        <v>120.0</v>
      </c>
      <c r="B121" s="6" t="s">
        <v>2990</v>
      </c>
      <c r="C121" s="6" t="s">
        <v>2991</v>
      </c>
      <c r="D121" s="6" t="s">
        <v>2992</v>
      </c>
      <c r="E121" s="6" t="str">
        <f>IFERROR(__xludf.DUMMYFUNCTION("GOOGLETRANSLATE(K121, ""th"", ""en"")"),"Incorrect matchmaking will result in a deduction of points.")</f>
        <v>Incorrect matchmaking will result in a deduction of points.</v>
      </c>
      <c r="G121" s="6">
        <v>120.0</v>
      </c>
      <c r="H121" s="7" t="s">
        <v>2993</v>
      </c>
      <c r="I121" s="7" t="s">
        <v>2994</v>
      </c>
      <c r="J121" s="7" t="s">
        <v>2995</v>
      </c>
      <c r="K121" s="7" t="s">
        <v>2996</v>
      </c>
    </row>
    <row r="122" ht="14.25" customHeight="1">
      <c r="A122" s="5">
        <v>121.0</v>
      </c>
      <c r="B122" s="6" t="s">
        <v>2997</v>
      </c>
      <c r="C122" s="6" t="s">
        <v>2998</v>
      </c>
      <c r="D122" s="6" t="s">
        <v>2314</v>
      </c>
      <c r="E122" s="6" t="str">
        <f>IFERROR(__xludf.DUMMYFUNCTION("GOOGLETRANSLATE(K122, ""th"", ""en"")"),"The attack can be done on any part of the body that is not illegal.")</f>
        <v>The attack can be done on any part of the body that is not illegal.</v>
      </c>
      <c r="G122" s="6">
        <v>121.0</v>
      </c>
      <c r="H122" s="7" t="s">
        <v>2999</v>
      </c>
      <c r="I122" s="7" t="s">
        <v>3000</v>
      </c>
      <c r="J122" s="7" t="s">
        <v>2317</v>
      </c>
      <c r="K122" s="7" t="s">
        <v>3001</v>
      </c>
    </row>
    <row r="123" ht="14.25" customHeight="1">
      <c r="A123" s="5">
        <v>122.0</v>
      </c>
      <c r="B123" s="6" t="s">
        <v>3002</v>
      </c>
      <c r="C123" s="6" t="s">
        <v>3003</v>
      </c>
      <c r="D123" s="6" t="s">
        <v>3004</v>
      </c>
      <c r="E123" s="6" t="str">
        <f>IFERROR(__xludf.DUMMYFUNCTION("GOOGLETRANSLATE(K123, ""th"", ""en"")"),"Kicks to the legs are scored normally.")</f>
        <v>Kicks to the legs are scored normally.</v>
      </c>
      <c r="G123" s="6">
        <v>122.0</v>
      </c>
      <c r="H123" s="7" t="s">
        <v>3005</v>
      </c>
      <c r="I123" s="7" t="s">
        <v>3006</v>
      </c>
      <c r="J123" s="7" t="s">
        <v>3007</v>
      </c>
      <c r="K123" s="7" t="s">
        <v>3008</v>
      </c>
    </row>
    <row r="124" ht="14.25" customHeight="1">
      <c r="A124" s="5">
        <v>123.0</v>
      </c>
      <c r="B124" s="6" t="s">
        <v>3009</v>
      </c>
      <c r="C124" s="6" t="s">
        <v>2810</v>
      </c>
      <c r="D124" s="6" t="s">
        <v>2724</v>
      </c>
      <c r="E124" s="6" t="str">
        <f>IFERROR(__xludf.DUMMYFUNCTION("GOOGLETRANSLATE(K124, ""th"", ""en"")"),"Punches to the face get high marks.")</f>
        <v>Punches to the face get high marks.</v>
      </c>
      <c r="G124" s="6">
        <v>123.0</v>
      </c>
      <c r="H124" s="7" t="s">
        <v>3010</v>
      </c>
      <c r="I124" s="7" t="s">
        <v>2812</v>
      </c>
      <c r="J124" s="7" t="s">
        <v>2727</v>
      </c>
      <c r="K124" s="7" t="s">
        <v>3011</v>
      </c>
    </row>
    <row r="125" ht="14.25" customHeight="1">
      <c r="A125" s="5">
        <v>124.0</v>
      </c>
      <c r="B125" s="6" t="s">
        <v>3012</v>
      </c>
      <c r="C125" s="6" t="s">
        <v>3013</v>
      </c>
      <c r="D125" s="6" t="s">
        <v>2314</v>
      </c>
      <c r="E125" s="6" t="str">
        <f>IFERROR(__xludf.DUMMYFUNCTION("GOOGLETRANSLATE(K125, ""th"", ""en"")"),"The referee can deduct points, give a warning, or disqualify a match.")</f>
        <v>The referee can deduct points, give a warning, or disqualify a match.</v>
      </c>
      <c r="G125" s="6">
        <v>124.0</v>
      </c>
      <c r="H125" s="7" t="s">
        <v>3014</v>
      </c>
      <c r="I125" s="7" t="s">
        <v>3015</v>
      </c>
      <c r="J125" s="7" t="s">
        <v>2317</v>
      </c>
      <c r="K125" s="7" t="s">
        <v>3016</v>
      </c>
    </row>
    <row r="126" ht="14.25" customHeight="1">
      <c r="A126" s="5">
        <v>125.0</v>
      </c>
      <c r="B126" s="6" t="s">
        <v>3017</v>
      </c>
      <c r="C126" s="6" t="s">
        <v>2723</v>
      </c>
      <c r="D126" s="6" t="s">
        <v>2889</v>
      </c>
      <c r="E126" s="6" t="str">
        <f>IFERROR(__xludf.DUMMYFUNCTION("GOOGLETRANSLATE(K126, ""th"", ""en"")"),"Leg attacks are scored normally.")</f>
        <v>Leg attacks are scored normally.</v>
      </c>
      <c r="G126" s="6">
        <v>125.0</v>
      </c>
      <c r="H126" s="7" t="s">
        <v>3018</v>
      </c>
      <c r="I126" s="7" t="s">
        <v>2726</v>
      </c>
      <c r="J126" s="7" t="s">
        <v>2891</v>
      </c>
      <c r="K126" s="7" t="s">
        <v>3019</v>
      </c>
    </row>
    <row r="127" ht="14.25" customHeight="1">
      <c r="A127" s="5">
        <v>126.0</v>
      </c>
      <c r="B127" s="6" t="s">
        <v>3020</v>
      </c>
      <c r="C127" s="6" t="s">
        <v>3021</v>
      </c>
      <c r="D127" s="6" t="s">
        <v>3022</v>
      </c>
      <c r="E127" s="6" t="str">
        <f>IFERROR(__xludf.DUMMYFUNCTION("GOOGLETRANSLATE(K127, ""th"", ""en"")"),"If a boxer is unable to fight due to injury, the referee will disqualify him.")</f>
        <v>If a boxer is unable to fight due to injury, the referee will disqualify him.</v>
      </c>
      <c r="G127" s="6">
        <v>126.0</v>
      </c>
      <c r="H127" s="7" t="s">
        <v>3023</v>
      </c>
      <c r="I127" s="7" t="s">
        <v>3024</v>
      </c>
      <c r="J127" s="7" t="s">
        <v>3025</v>
      </c>
      <c r="K127" s="7" t="s">
        <v>3026</v>
      </c>
    </row>
    <row r="128" ht="14.25" customHeight="1">
      <c r="A128" s="5">
        <v>127.0</v>
      </c>
      <c r="B128" s="6" t="s">
        <v>3027</v>
      </c>
      <c r="C128" s="6" t="s">
        <v>3028</v>
      </c>
      <c r="D128" s="6" t="s">
        <v>3029</v>
      </c>
      <c r="E128" s="6" t="str">
        <f>IFERROR(__xludf.DUMMYFUNCTION("GOOGLETRANSLATE(K128, ""th"", ""en"")"),"Hitting the back of the neck is a violation.")</f>
        <v>Hitting the back of the neck is a violation.</v>
      </c>
      <c r="G128" s="6">
        <v>127.0</v>
      </c>
      <c r="H128" s="7" t="s">
        <v>3030</v>
      </c>
      <c r="I128" s="7" t="s">
        <v>3031</v>
      </c>
      <c r="J128" s="7" t="s">
        <v>3032</v>
      </c>
      <c r="K128" s="7" t="s">
        <v>3033</v>
      </c>
    </row>
    <row r="129" ht="14.25" customHeight="1">
      <c r="A129" s="5">
        <v>128.0</v>
      </c>
      <c r="B129" s="6" t="s">
        <v>3034</v>
      </c>
      <c r="C129" s="6" t="s">
        <v>3035</v>
      </c>
      <c r="D129" s="6" t="s">
        <v>2724</v>
      </c>
      <c r="E129" s="6" t="str">
        <f>IFERROR(__xludf.DUMMYFUNCTION("GOOGLETRANSLATE(K129, ""th"", ""en"")"),"The jumping kick is a highly scoring technique.")</f>
        <v>The jumping kick is a highly scoring technique.</v>
      </c>
      <c r="G129" s="6">
        <v>128.0</v>
      </c>
      <c r="H129" s="7" t="s">
        <v>3036</v>
      </c>
      <c r="I129" s="7" t="s">
        <v>3037</v>
      </c>
      <c r="J129" s="7" t="s">
        <v>2727</v>
      </c>
      <c r="K129" s="7" t="s">
        <v>3038</v>
      </c>
    </row>
    <row r="130" ht="14.25" customHeight="1">
      <c r="A130" s="5">
        <v>129.0</v>
      </c>
      <c r="B130" s="6" t="s">
        <v>3039</v>
      </c>
      <c r="C130" s="6" t="s">
        <v>3040</v>
      </c>
      <c r="D130" s="6" t="s">
        <v>2314</v>
      </c>
      <c r="E130" s="6" t="str">
        <f>IFERROR(__xludf.DUMMYFUNCTION("GOOGLETRANSLATE(K130, ""th"", ""en"")"),"Surrendering will stop the match and the boxer will be disqualified.")</f>
        <v>Surrendering will stop the match and the boxer will be disqualified.</v>
      </c>
      <c r="G130" s="6">
        <v>129.0</v>
      </c>
      <c r="H130" s="7" t="s">
        <v>3041</v>
      </c>
      <c r="I130" s="7" t="s">
        <v>3042</v>
      </c>
      <c r="J130" s="7" t="s">
        <v>2317</v>
      </c>
      <c r="K130" s="7" t="s">
        <v>3043</v>
      </c>
    </row>
    <row r="131" ht="14.25" customHeight="1">
      <c r="A131" s="5">
        <v>130.0</v>
      </c>
      <c r="B131" s="6" t="s">
        <v>3044</v>
      </c>
      <c r="C131" s="6" t="s">
        <v>2723</v>
      </c>
      <c r="D131" s="6" t="s">
        <v>2724</v>
      </c>
      <c r="E131" s="6" t="str">
        <f>IFERROR(__xludf.DUMMYFUNCTION("GOOGLETRANSLATE(K131, ""th"", ""en"")"),"A hit to the head is considered a high-scoring attack.")</f>
        <v>A hit to the head is considered a high-scoring attack.</v>
      </c>
      <c r="G131" s="6">
        <v>130.0</v>
      </c>
      <c r="H131" s="7" t="s">
        <v>3045</v>
      </c>
      <c r="I131" s="7" t="s">
        <v>2726</v>
      </c>
      <c r="J131" s="7" t="s">
        <v>2727</v>
      </c>
      <c r="K131" s="7" t="s">
        <v>3046</v>
      </c>
    </row>
    <row r="132" ht="14.25" customHeight="1">
      <c r="A132" s="5">
        <v>131.0</v>
      </c>
      <c r="B132" s="6" t="s">
        <v>3047</v>
      </c>
      <c r="C132" s="6" t="s">
        <v>3048</v>
      </c>
      <c r="D132" s="6" t="s">
        <v>3049</v>
      </c>
      <c r="E132" s="6" t="str">
        <f>IFERROR(__xludf.DUMMYFUNCTION("GOOGLETRANSLATE(K132, ""th"", ""en"")"),"Attacks to the back are considered a foul.")</f>
        <v>Attacks to the back are considered a foul.</v>
      </c>
      <c r="G132" s="6">
        <v>131.0</v>
      </c>
      <c r="H132" s="7" t="s">
        <v>3050</v>
      </c>
      <c r="I132" s="7" t="s">
        <v>3051</v>
      </c>
      <c r="J132" s="7" t="s">
        <v>1318</v>
      </c>
      <c r="K132" s="7" t="s">
        <v>3052</v>
      </c>
    </row>
    <row r="133" ht="14.25" customHeight="1">
      <c r="A133" s="5">
        <v>132.0</v>
      </c>
      <c r="B133" s="6" t="s">
        <v>3053</v>
      </c>
      <c r="C133" s="6" t="s">
        <v>3054</v>
      </c>
      <c r="D133" s="6" t="s">
        <v>2889</v>
      </c>
      <c r="E133" s="6" t="str">
        <f>IFERROR(__xludf.DUMMYFUNCTION("GOOGLETRANSLATE(K133, ""th"", ""en"")"),"Attacks to the chest are scored normally.")</f>
        <v>Attacks to the chest are scored normally.</v>
      </c>
      <c r="G133" s="6">
        <v>132.0</v>
      </c>
      <c r="H133" s="7" t="s">
        <v>3055</v>
      </c>
      <c r="I133" s="7" t="s">
        <v>3056</v>
      </c>
      <c r="J133" s="7" t="s">
        <v>2891</v>
      </c>
      <c r="K133" s="7" t="s">
        <v>3057</v>
      </c>
    </row>
    <row r="134" ht="14.25" customHeight="1">
      <c r="A134" s="5">
        <v>133.0</v>
      </c>
      <c r="B134" s="6" t="s">
        <v>3058</v>
      </c>
      <c r="C134" s="6" t="s">
        <v>3059</v>
      </c>
      <c r="D134" s="6" t="s">
        <v>3060</v>
      </c>
      <c r="E134" s="6" t="str">
        <f>IFERROR(__xludf.DUMMYFUNCTION("GOOGLETRANSLATE(K134, ""th"", ""en"")"),"Warnings may result in deduction of points.")</f>
        <v>Warnings may result in deduction of points.</v>
      </c>
      <c r="G134" s="6">
        <v>133.0</v>
      </c>
      <c r="H134" s="7" t="s">
        <v>3061</v>
      </c>
      <c r="I134" s="7" t="s">
        <v>3062</v>
      </c>
      <c r="J134" s="7" t="s">
        <v>3063</v>
      </c>
      <c r="K134" s="7" t="s">
        <v>3064</v>
      </c>
    </row>
    <row r="135" ht="14.25" customHeight="1">
      <c r="A135" s="5">
        <v>134.0</v>
      </c>
      <c r="B135" s="6" t="s">
        <v>3065</v>
      </c>
      <c r="C135" s="6" t="s">
        <v>3066</v>
      </c>
      <c r="D135" s="6" t="s">
        <v>2775</v>
      </c>
      <c r="E135" s="6" t="str">
        <f>IFERROR(__xludf.DUMMYFUNCTION("GOOGLETRANSLATE(K135, ""th"", ""en"")"),"Using your toes to attack is a violation.")</f>
        <v>Using your toes to attack is a violation.</v>
      </c>
      <c r="G135" s="6">
        <v>134.0</v>
      </c>
      <c r="H135" s="7" t="s">
        <v>3067</v>
      </c>
      <c r="I135" s="7" t="s">
        <v>3068</v>
      </c>
      <c r="J135" s="7" t="s">
        <v>3069</v>
      </c>
      <c r="K135" s="7" t="s">
        <v>3070</v>
      </c>
    </row>
    <row r="136" ht="14.25" customHeight="1">
      <c r="A136" s="5">
        <v>135.0</v>
      </c>
      <c r="B136" s="6" t="s">
        <v>3071</v>
      </c>
      <c r="C136" s="6" t="s">
        <v>2810</v>
      </c>
      <c r="D136" s="6" t="s">
        <v>2889</v>
      </c>
      <c r="E136" s="6" t="str">
        <f>IFERROR(__xludf.DUMMYFUNCTION("GOOGLETRANSLATE(K136, ""th"", ""en"")"),"Attacks to the legs will be scored normally.")</f>
        <v>Attacks to the legs will be scored normally.</v>
      </c>
      <c r="G136" s="6">
        <v>135.0</v>
      </c>
      <c r="H136" s="7" t="s">
        <v>3072</v>
      </c>
      <c r="I136" s="7" t="s">
        <v>2812</v>
      </c>
      <c r="J136" s="7" t="s">
        <v>2891</v>
      </c>
      <c r="K136" s="7" t="s">
        <v>3073</v>
      </c>
    </row>
    <row r="137" ht="14.25" customHeight="1">
      <c r="A137" s="5">
        <v>136.0</v>
      </c>
      <c r="B137" s="6" t="s">
        <v>3074</v>
      </c>
      <c r="C137" s="6" t="s">
        <v>3075</v>
      </c>
      <c r="D137" s="6" t="s">
        <v>2581</v>
      </c>
      <c r="E137" s="6" t="str">
        <f>IFERROR(__xludf.DUMMYFUNCTION("GOOGLETRANSLATE(K137, ""th"", ""en"")"),"If a boxer is unable to compete due to injury, he will be disqualified.")</f>
        <v>If a boxer is unable to compete due to injury, he will be disqualified.</v>
      </c>
      <c r="G137" s="6">
        <v>136.0</v>
      </c>
      <c r="H137" s="7" t="s">
        <v>3076</v>
      </c>
      <c r="I137" s="7" t="s">
        <v>3077</v>
      </c>
      <c r="J137" s="7" t="s">
        <v>2584</v>
      </c>
      <c r="K137" s="7" t="s">
        <v>3078</v>
      </c>
    </row>
    <row r="138" ht="14.25" customHeight="1">
      <c r="A138" s="5">
        <v>137.0</v>
      </c>
      <c r="B138" s="6" t="s">
        <v>3079</v>
      </c>
      <c r="C138" s="6" t="s">
        <v>2810</v>
      </c>
      <c r="D138" s="6" t="s">
        <v>2724</v>
      </c>
      <c r="E138" s="6" t="str">
        <f>IFERROR(__xludf.DUMMYFUNCTION("GOOGLETRANSLATE(K138, ""th"", ""en"")"),"High kicks are considered high scoring attacks.")</f>
        <v>High kicks are considered high scoring attacks.</v>
      </c>
      <c r="G138" s="6">
        <v>137.0</v>
      </c>
      <c r="H138" s="7" t="s">
        <v>3080</v>
      </c>
      <c r="I138" s="7" t="s">
        <v>2812</v>
      </c>
      <c r="J138" s="7" t="s">
        <v>2727</v>
      </c>
      <c r="K138" s="7" t="s">
        <v>3081</v>
      </c>
    </row>
    <row r="139" ht="14.25" customHeight="1">
      <c r="A139" s="5">
        <v>138.0</v>
      </c>
      <c r="B139" s="6" t="s">
        <v>3082</v>
      </c>
      <c r="C139" s="6" t="s">
        <v>3083</v>
      </c>
      <c r="D139" s="6" t="s">
        <v>2724</v>
      </c>
      <c r="E139" s="6" t="str">
        <f>IFERROR(__xludf.DUMMYFUNCTION("GOOGLETRANSLATE(K139, ""th"", ""en"")"),"The jumping kick is a highly rated technique.")</f>
        <v>The jumping kick is a highly rated technique.</v>
      </c>
      <c r="G139" s="6">
        <v>138.0</v>
      </c>
      <c r="H139" s="7" t="s">
        <v>3084</v>
      </c>
      <c r="I139" s="7" t="s">
        <v>3085</v>
      </c>
      <c r="J139" s="7" t="s">
        <v>2727</v>
      </c>
      <c r="K139" s="7" t="s">
        <v>3086</v>
      </c>
    </row>
    <row r="140" ht="14.25" customHeight="1">
      <c r="A140" s="5">
        <v>139.0</v>
      </c>
      <c r="B140" s="6" t="s">
        <v>3087</v>
      </c>
      <c r="C140" s="6" t="s">
        <v>3088</v>
      </c>
      <c r="D140" s="6" t="s">
        <v>2314</v>
      </c>
      <c r="E140" s="6" t="str">
        <f>IFERROR(__xludf.DUMMYFUNCTION("GOOGLETRANSLATE(K140, ""th"", ""en"")"),"Boxers can hit any part of the body that is not against the rules.")</f>
        <v>Boxers can hit any part of the body that is not against the rules.</v>
      </c>
      <c r="G140" s="6">
        <v>139.0</v>
      </c>
      <c r="H140" s="7" t="s">
        <v>3089</v>
      </c>
      <c r="I140" s="7" t="s">
        <v>3090</v>
      </c>
      <c r="J140" s="7" t="s">
        <v>2317</v>
      </c>
      <c r="K140" s="7" t="s">
        <v>3091</v>
      </c>
    </row>
    <row r="141" ht="14.25" customHeight="1">
      <c r="A141" s="5">
        <v>140.0</v>
      </c>
      <c r="B141" s="6" t="s">
        <v>3092</v>
      </c>
      <c r="C141" s="6" t="s">
        <v>2810</v>
      </c>
      <c r="D141" s="6" t="s">
        <v>2724</v>
      </c>
      <c r="E141" s="6" t="str">
        <f>IFERROR(__xludf.DUMMYFUNCTION("GOOGLETRANSLATE(K141, ""th"", ""en"")"),"Using the knee strike is a high scoring attack.")</f>
        <v>Using the knee strike is a high scoring attack.</v>
      </c>
      <c r="G141" s="6">
        <v>140.0</v>
      </c>
      <c r="H141" s="7" t="s">
        <v>3093</v>
      </c>
      <c r="I141" s="7" t="s">
        <v>2812</v>
      </c>
      <c r="J141" s="7" t="s">
        <v>2727</v>
      </c>
      <c r="K141" s="7" t="s">
        <v>3094</v>
      </c>
    </row>
    <row r="142" ht="14.25" customHeight="1">
      <c r="A142" s="5">
        <v>141.0</v>
      </c>
      <c r="B142" s="6" t="s">
        <v>3095</v>
      </c>
      <c r="C142" s="6" t="s">
        <v>3096</v>
      </c>
      <c r="D142" s="6" t="s">
        <v>3097</v>
      </c>
      <c r="E142" s="6" t="str">
        <f>IFERROR(__xludf.DUMMYFUNCTION("GOOGLETRANSLATE(K142, ""th"", ""en"")"),"A serious foul play may result in a disqualification.")</f>
        <v>A serious foul play may result in a disqualification.</v>
      </c>
      <c r="G142" s="6">
        <v>141.0</v>
      </c>
      <c r="H142" s="7" t="s">
        <v>3098</v>
      </c>
      <c r="I142" s="7" t="s">
        <v>3099</v>
      </c>
      <c r="J142" s="7" t="s">
        <v>3100</v>
      </c>
      <c r="K142" s="7" t="s">
        <v>3101</v>
      </c>
    </row>
    <row r="143" ht="14.25" customHeight="1">
      <c r="A143" s="5">
        <v>142.0</v>
      </c>
      <c r="B143" s="6" t="s">
        <v>3102</v>
      </c>
      <c r="C143" s="6" t="s">
        <v>3103</v>
      </c>
      <c r="D143" s="6" t="s">
        <v>3104</v>
      </c>
      <c r="E143" s="6" t="str">
        <f>IFERROR(__xludf.DUMMYFUNCTION("GOOGLETRANSLATE(K143, ""th"", ""en"")"),"Attacking when your opponent is using defense is not considered illegal.")</f>
        <v>Attacking when your opponent is using defense is not considered illegal.</v>
      </c>
      <c r="G143" s="6">
        <v>142.0</v>
      </c>
      <c r="H143" s="7" t="s">
        <v>3105</v>
      </c>
      <c r="I143" s="7" t="s">
        <v>3106</v>
      </c>
      <c r="J143" s="7" t="s">
        <v>3107</v>
      </c>
      <c r="K143" s="7" t="s">
        <v>3108</v>
      </c>
    </row>
    <row r="144" ht="14.25" customHeight="1">
      <c r="A144" s="5">
        <v>143.0</v>
      </c>
      <c r="B144" s="6" t="s">
        <v>3109</v>
      </c>
      <c r="C144" s="6" t="s">
        <v>3110</v>
      </c>
      <c r="D144" s="6" t="s">
        <v>3029</v>
      </c>
      <c r="E144" s="6" t="str">
        <f>IFERROR(__xludf.DUMMYFUNCTION("GOOGLETRANSLATE(K144, ""th"", ""en"")"),"Hitting the eyelid is a violation.")</f>
        <v>Hitting the eyelid is a violation.</v>
      </c>
      <c r="G144" s="6">
        <v>143.0</v>
      </c>
      <c r="H144" s="7" t="s">
        <v>3111</v>
      </c>
      <c r="I144" s="7" t="s">
        <v>3112</v>
      </c>
      <c r="J144" s="7" t="s">
        <v>3032</v>
      </c>
      <c r="K144" s="7" t="s">
        <v>3113</v>
      </c>
    </row>
    <row r="145" ht="14.25" customHeight="1">
      <c r="A145" s="5">
        <v>144.0</v>
      </c>
      <c r="B145" s="6" t="s">
        <v>3114</v>
      </c>
      <c r="C145" s="6" t="s">
        <v>3115</v>
      </c>
      <c r="D145" s="6" t="s">
        <v>2567</v>
      </c>
      <c r="E145" s="6" t="str">
        <f>IFERROR(__xludf.DUMMYFUNCTION("GOOGLETRANSLATE(K145, ""th"", ""en"")"),"A second warning will result in a deduction of points.")</f>
        <v>A second warning will result in a deduction of points.</v>
      </c>
      <c r="G145" s="6">
        <v>144.0</v>
      </c>
      <c r="H145" s="7" t="s">
        <v>3116</v>
      </c>
      <c r="I145" s="7" t="s">
        <v>3117</v>
      </c>
      <c r="J145" s="7" t="s">
        <v>2570</v>
      </c>
      <c r="K145" s="7" t="s">
        <v>3118</v>
      </c>
    </row>
    <row r="146" ht="14.25" customHeight="1">
      <c r="A146" s="5">
        <v>145.0</v>
      </c>
      <c r="B146" s="6" t="s">
        <v>3119</v>
      </c>
      <c r="C146" s="6" t="s">
        <v>2810</v>
      </c>
      <c r="D146" s="6" t="s">
        <v>2889</v>
      </c>
      <c r="E146" s="6" t="str">
        <f>IFERROR(__xludf.DUMMYFUNCTION("GOOGLETRANSLATE(K146, ""th"", ""en"")"),"Kicks to the stomach are scored normally.")</f>
        <v>Kicks to the stomach are scored normally.</v>
      </c>
      <c r="G146" s="6">
        <v>145.0</v>
      </c>
      <c r="H146" s="7" t="s">
        <v>3120</v>
      </c>
      <c r="I146" s="7" t="s">
        <v>2812</v>
      </c>
      <c r="J146" s="7" t="s">
        <v>2891</v>
      </c>
      <c r="K146" s="7" t="s">
        <v>3121</v>
      </c>
    </row>
    <row r="147" ht="14.25" customHeight="1">
      <c r="A147" s="5">
        <v>146.0</v>
      </c>
      <c r="B147" s="6" t="s">
        <v>3122</v>
      </c>
      <c r="C147" s="6" t="s">
        <v>3123</v>
      </c>
      <c r="D147" s="6" t="s">
        <v>3124</v>
      </c>
      <c r="E147" s="6" t="str">
        <f>IFERROR(__xludf.DUMMYFUNCTION("GOOGLETRANSLATE(K147, ""th"", ""en"")"),"It is a violation of the rules to pair up and attack.")</f>
        <v>It is a violation of the rules to pair up and attack.</v>
      </c>
      <c r="G147" s="6">
        <v>146.0</v>
      </c>
      <c r="H147" s="7" t="s">
        <v>3125</v>
      </c>
      <c r="I147" s="7" t="s">
        <v>3126</v>
      </c>
      <c r="J147" s="7" t="s">
        <v>3127</v>
      </c>
      <c r="K147" s="7" t="s">
        <v>3128</v>
      </c>
    </row>
    <row r="148" ht="14.25" customHeight="1">
      <c r="A148" s="5">
        <v>147.0</v>
      </c>
      <c r="B148" s="6" t="s">
        <v>3129</v>
      </c>
      <c r="C148" s="6" t="s">
        <v>3130</v>
      </c>
      <c r="D148" s="6" t="s">
        <v>3131</v>
      </c>
      <c r="E148" s="6" t="str">
        <f>IFERROR(__xludf.DUMMYFUNCTION("GOOGLETRANSLATE(K148, ""th"", ""en"")"),"If a boxer is unable to compete, he will be disqualified.")</f>
        <v>If a boxer is unable to compete, he will be disqualified.</v>
      </c>
      <c r="G148" s="6">
        <v>147.0</v>
      </c>
      <c r="H148" s="7" t="s">
        <v>3132</v>
      </c>
      <c r="I148" s="7" t="s">
        <v>3133</v>
      </c>
      <c r="J148" s="7" t="s">
        <v>3134</v>
      </c>
      <c r="K148" s="7" t="s">
        <v>3135</v>
      </c>
    </row>
    <row r="149" ht="14.25" customHeight="1">
      <c r="A149" s="5">
        <v>148.0</v>
      </c>
      <c r="B149" s="6" t="s">
        <v>3136</v>
      </c>
      <c r="C149" s="6" t="s">
        <v>3137</v>
      </c>
      <c r="D149" s="6" t="s">
        <v>2588</v>
      </c>
      <c r="E149" s="6" t="str">
        <f>IFERROR(__xludf.DUMMYFUNCTION("GOOGLETRANSLATE(K149, ""th"", ""en"")"),"Kicking the ankle is a foul.")</f>
        <v>Kicking the ankle is a foul.</v>
      </c>
      <c r="G149" s="6">
        <v>148.0</v>
      </c>
      <c r="H149" s="7" t="s">
        <v>3138</v>
      </c>
      <c r="I149" s="7" t="s">
        <v>3139</v>
      </c>
      <c r="J149" s="7" t="s">
        <v>698</v>
      </c>
      <c r="K149" s="7" t="s">
        <v>3140</v>
      </c>
    </row>
    <row r="150" ht="14.25" customHeight="1">
      <c r="A150" s="5">
        <v>149.0</v>
      </c>
      <c r="B150" s="6" t="s">
        <v>3141</v>
      </c>
      <c r="C150" s="6" t="s">
        <v>3142</v>
      </c>
      <c r="D150" s="6" t="s">
        <v>2724</v>
      </c>
      <c r="E150" s="6" t="str">
        <f>IFERROR(__xludf.DUMMYFUNCTION("GOOGLETRANSLATE(K150, ""th"", ""en"")"),"Using your knees or elbows to attack is considered a high-scoring attack.")</f>
        <v>Using your knees or elbows to attack is considered a high-scoring attack.</v>
      </c>
      <c r="G150" s="6">
        <v>149.0</v>
      </c>
      <c r="H150" s="7" t="s">
        <v>3143</v>
      </c>
      <c r="I150" s="7" t="s">
        <v>3144</v>
      </c>
      <c r="J150" s="7" t="s">
        <v>2727</v>
      </c>
      <c r="K150" s="7" t="s">
        <v>3145</v>
      </c>
    </row>
    <row r="151" ht="14.25" customHeight="1">
      <c r="A151" s="5">
        <v>150.0</v>
      </c>
      <c r="B151" s="6" t="s">
        <v>3146</v>
      </c>
      <c r="C151" s="6" t="s">
        <v>3147</v>
      </c>
      <c r="D151" s="6" t="s">
        <v>3148</v>
      </c>
      <c r="E151" s="6" t="str">
        <f>IFERROR(__xludf.DUMMYFUNCTION("GOOGLETRANSLATE(K151, ""th"", ""en"")"),"If a boxer is unable to stand up after being counted 8, he will be disqualified.")</f>
        <v>If a boxer is unable to stand up after being counted 8, he will be disqualified.</v>
      </c>
      <c r="G151" s="6">
        <v>150.0</v>
      </c>
      <c r="H151" s="7" t="s">
        <v>3149</v>
      </c>
      <c r="I151" s="7" t="s">
        <v>3150</v>
      </c>
      <c r="J151" s="7" t="s">
        <v>3151</v>
      </c>
      <c r="K151" s="7" t="s">
        <v>3152</v>
      </c>
    </row>
    <row r="152" ht="14.25" customHeight="1">
      <c r="A152" s="5">
        <v>151.0</v>
      </c>
      <c r="B152" s="6" t="s">
        <v>3153</v>
      </c>
      <c r="C152" s="6" t="s">
        <v>3154</v>
      </c>
      <c r="D152" s="6" t="s">
        <v>2775</v>
      </c>
      <c r="E152" s="6" t="str">
        <f>IFERROR(__xludf.DUMMYFUNCTION("GOOGLETRANSLATE(K152, ""th"", ""en"")"),"Any undefended attack is a foul.")</f>
        <v>Any undefended attack is a foul.</v>
      </c>
      <c r="G152" s="6">
        <v>151.0</v>
      </c>
      <c r="H152" s="7" t="s">
        <v>3155</v>
      </c>
      <c r="I152" s="7" t="s">
        <v>3156</v>
      </c>
      <c r="J152" s="7" t="s">
        <v>2778</v>
      </c>
      <c r="K152" s="7" t="s">
        <v>3157</v>
      </c>
    </row>
    <row r="153" ht="14.25" customHeight="1">
      <c r="A153" s="5">
        <v>152.0</v>
      </c>
      <c r="B153" s="6" t="s">
        <v>3158</v>
      </c>
      <c r="C153" s="6" t="s">
        <v>3159</v>
      </c>
      <c r="D153" s="6" t="s">
        <v>3160</v>
      </c>
      <c r="E153" s="6" t="str">
        <f>IFERROR(__xludf.DUMMYFUNCTION("GOOGLETRANSLATE(K153, ""th"", ""en"")"),"The referee will stop the leg fight and allow the match to continue.")</f>
        <v>The referee will stop the leg fight and allow the match to continue.</v>
      </c>
      <c r="G153" s="6">
        <v>152.0</v>
      </c>
      <c r="H153" s="7" t="s">
        <v>3161</v>
      </c>
      <c r="I153" s="7" t="s">
        <v>3162</v>
      </c>
      <c r="J153" s="7" t="s">
        <v>3163</v>
      </c>
      <c r="K153" s="7" t="s">
        <v>3164</v>
      </c>
    </row>
    <row r="154" ht="14.25" customHeight="1">
      <c r="A154" s="5">
        <v>153.0</v>
      </c>
      <c r="B154" s="6" t="s">
        <v>3165</v>
      </c>
      <c r="C154" s="6" t="s">
        <v>2810</v>
      </c>
      <c r="D154" s="6" t="s">
        <v>2889</v>
      </c>
      <c r="E154" s="6" t="str">
        <f>IFERROR(__xludf.DUMMYFUNCTION("GOOGLETRANSLATE(K154, ""th"", ""en"")"),"Shoulder attacks are scored normally.")</f>
        <v>Shoulder attacks are scored normally.</v>
      </c>
      <c r="G154" s="6">
        <v>153.0</v>
      </c>
      <c r="H154" s="7" t="s">
        <v>3166</v>
      </c>
      <c r="I154" s="7" t="s">
        <v>2812</v>
      </c>
      <c r="J154" s="7" t="s">
        <v>2891</v>
      </c>
      <c r="K154" s="7" t="s">
        <v>3167</v>
      </c>
    </row>
    <row r="155" ht="14.25" customHeight="1">
      <c r="A155" s="5">
        <v>154.0</v>
      </c>
      <c r="B155" s="6" t="s">
        <v>3168</v>
      </c>
      <c r="C155" s="6" t="s">
        <v>3169</v>
      </c>
      <c r="D155" s="6" t="s">
        <v>2314</v>
      </c>
      <c r="E155" s="6" t="str">
        <f>IFERROR(__xludf.DUMMYFUNCTION("GOOGLETRANSLATE(K155, ""th"", ""en"")"),"A boxer can stop the match in a specified situation.")</f>
        <v>A boxer can stop the match in a specified situation.</v>
      </c>
      <c r="G155" s="6">
        <v>154.0</v>
      </c>
      <c r="H155" s="7" t="s">
        <v>3170</v>
      </c>
      <c r="I155" s="7" t="s">
        <v>3171</v>
      </c>
      <c r="J155" s="7" t="s">
        <v>2317</v>
      </c>
      <c r="K155" s="7" t="s">
        <v>3172</v>
      </c>
    </row>
    <row r="156" ht="14.25" customHeight="1">
      <c r="A156" s="5">
        <v>155.0</v>
      </c>
      <c r="B156" s="6" t="s">
        <v>3173</v>
      </c>
      <c r="C156" s="6" t="s">
        <v>3174</v>
      </c>
      <c r="D156" s="6" t="s">
        <v>3029</v>
      </c>
      <c r="E156" s="6" t="str">
        <f>IFERROR(__xludf.DUMMYFUNCTION("GOOGLETRANSLATE(K156, ""th"", ""en"")"),"Attacks to the back are considered a foul.")</f>
        <v>Attacks to the back are considered a foul.</v>
      </c>
      <c r="G156" s="6">
        <v>155.0</v>
      </c>
      <c r="H156" s="7" t="s">
        <v>3175</v>
      </c>
      <c r="I156" s="7" t="s">
        <v>3176</v>
      </c>
      <c r="J156" s="7" t="s">
        <v>3032</v>
      </c>
      <c r="K156" s="7" t="s">
        <v>3052</v>
      </c>
    </row>
    <row r="157" ht="14.25" customHeight="1">
      <c r="A157" s="5">
        <v>156.0</v>
      </c>
      <c r="B157" s="6" t="s">
        <v>3177</v>
      </c>
      <c r="C157" s="6" t="s">
        <v>3178</v>
      </c>
      <c r="D157" s="6" t="s">
        <v>3179</v>
      </c>
      <c r="E157" s="6" t="str">
        <f>IFERROR(__xludf.DUMMYFUNCTION("GOOGLETRANSLATE(K157, ""th"", ""en"")"),"An attack to the ribs is allowed if it is not against the rules.")</f>
        <v>An attack to the ribs is allowed if it is not against the rules.</v>
      </c>
      <c r="G157" s="6">
        <v>156.0</v>
      </c>
      <c r="H157" s="7" t="s">
        <v>3180</v>
      </c>
      <c r="I157" s="7" t="s">
        <v>3181</v>
      </c>
      <c r="J157" s="7" t="s">
        <v>3182</v>
      </c>
      <c r="K157" s="7" t="s">
        <v>3183</v>
      </c>
    </row>
    <row r="158" ht="14.25" customHeight="1">
      <c r="A158" s="5">
        <v>157.0</v>
      </c>
      <c r="B158" s="6" t="s">
        <v>3184</v>
      </c>
      <c r="C158" s="6" t="s">
        <v>3185</v>
      </c>
      <c r="D158" s="6" t="s">
        <v>3186</v>
      </c>
      <c r="E158" s="6" t="str">
        <f>IFERROR(__xludf.DUMMYFUNCTION("GOOGLETRANSLATE(K158, ""th"", ""en"")"),"Deductions for fouls will reduce your total score.")</f>
        <v>Deductions for fouls will reduce your total score.</v>
      </c>
      <c r="G158" s="6">
        <v>157.0</v>
      </c>
      <c r="H158" s="7" t="s">
        <v>3187</v>
      </c>
      <c r="I158" s="7" t="s">
        <v>3188</v>
      </c>
      <c r="J158" s="7" t="s">
        <v>3189</v>
      </c>
      <c r="K158" s="7" t="s">
        <v>3190</v>
      </c>
    </row>
    <row r="159" ht="14.25" customHeight="1">
      <c r="A159" s="5">
        <v>158.0</v>
      </c>
      <c r="B159" s="6" t="s">
        <v>3191</v>
      </c>
      <c r="C159" s="6" t="s">
        <v>3192</v>
      </c>
      <c r="D159" s="6" t="s">
        <v>3193</v>
      </c>
      <c r="E159" s="6" t="str">
        <f>IFERROR(__xludf.DUMMYFUNCTION("GOOGLETRANSLATE(K159, ""th"", ""en"")"),"A hit to the wrist is a foul.")</f>
        <v>A hit to the wrist is a foul.</v>
      </c>
      <c r="G159" s="6">
        <v>158.0</v>
      </c>
      <c r="H159" s="7" t="s">
        <v>3194</v>
      </c>
      <c r="I159" s="7" t="s">
        <v>3195</v>
      </c>
      <c r="J159" s="7" t="s">
        <v>3196</v>
      </c>
      <c r="K159" s="7" t="s">
        <v>3197</v>
      </c>
    </row>
    <row r="160" ht="14.25" customHeight="1">
      <c r="A160" s="5">
        <v>159.0</v>
      </c>
      <c r="B160" s="6" t="s">
        <v>3198</v>
      </c>
      <c r="C160" s="6" t="s">
        <v>3199</v>
      </c>
      <c r="D160" s="6" t="s">
        <v>3200</v>
      </c>
      <c r="E160" s="6" t="str">
        <f>IFERROR(__xludf.DUMMYFUNCTION("GOOGLETRANSLATE(K160, ""th"", ""en"")"),"Wearing shoes in a Muay Thai match is against the rules.")</f>
        <v>Wearing shoes in a Muay Thai match is against the rules.</v>
      </c>
      <c r="G160" s="6">
        <v>159.0</v>
      </c>
      <c r="H160" s="7" t="s">
        <v>3201</v>
      </c>
      <c r="I160" s="7" t="s">
        <v>3202</v>
      </c>
      <c r="J160" s="7" t="s">
        <v>3203</v>
      </c>
      <c r="K160" s="7" t="s">
        <v>3204</v>
      </c>
    </row>
    <row r="161" ht="14.25" customHeight="1">
      <c r="A161" s="5">
        <v>160.0</v>
      </c>
      <c r="B161" s="6" t="s">
        <v>3205</v>
      </c>
      <c r="C161" s="6" t="s">
        <v>3206</v>
      </c>
      <c r="D161" s="6" t="s">
        <v>3207</v>
      </c>
      <c r="E161" s="6" t="str">
        <f>IFERROR(__xludf.DUMMYFUNCTION("GOOGLETRANSLATE(K161, ""th"", ""en"")"),"Attacks to the legs are not considered a foul.")</f>
        <v>Attacks to the legs are not considered a foul.</v>
      </c>
      <c r="G161" s="6">
        <v>160.0</v>
      </c>
      <c r="H161" s="7" t="s">
        <v>3208</v>
      </c>
      <c r="I161" s="7" t="s">
        <v>3209</v>
      </c>
      <c r="J161" s="7" t="s">
        <v>3210</v>
      </c>
      <c r="K161" s="7" t="s">
        <v>3211</v>
      </c>
    </row>
    <row r="162" ht="14.25" customHeight="1">
      <c r="A162" s="5">
        <v>161.0</v>
      </c>
      <c r="B162" s="6" t="s">
        <v>3212</v>
      </c>
      <c r="C162" s="6" t="s">
        <v>3213</v>
      </c>
      <c r="D162" s="6" t="s">
        <v>3214</v>
      </c>
      <c r="E162" s="6" t="str">
        <f>IFERROR(__xludf.DUMMYFUNCTION("GOOGLETRANSLATE(K162, ""th"", ""en"")"),"A kick to the head is permissible if it does not cause injury.")</f>
        <v>A kick to the head is permissible if it does not cause injury.</v>
      </c>
      <c r="G162" s="6">
        <v>161.0</v>
      </c>
      <c r="H162" s="7" t="s">
        <v>3215</v>
      </c>
      <c r="I162" s="7" t="s">
        <v>3216</v>
      </c>
      <c r="J162" s="7" t="s">
        <v>3217</v>
      </c>
      <c r="K162" s="7" t="s">
        <v>3218</v>
      </c>
    </row>
    <row r="163" ht="14.25" customHeight="1">
      <c r="A163" s="5">
        <v>162.0</v>
      </c>
      <c r="B163" s="6" t="s">
        <v>3219</v>
      </c>
      <c r="C163" s="6" t="s">
        <v>3220</v>
      </c>
      <c r="D163" s="6" t="s">
        <v>3221</v>
      </c>
      <c r="E163" s="6" t="str">
        <f>IFERROR(__xludf.DUMMYFUNCTION("GOOGLETRANSLATE(K163, ""th"", ""en"")"),"Any foul play that results in injury will result in a disqualification.")</f>
        <v>Any foul play that results in injury will result in a disqualification.</v>
      </c>
      <c r="G163" s="6">
        <v>162.0</v>
      </c>
      <c r="H163" s="7" t="s">
        <v>3222</v>
      </c>
      <c r="I163" s="7" t="s">
        <v>3223</v>
      </c>
      <c r="J163" s="7" t="s">
        <v>3224</v>
      </c>
      <c r="K163" s="7" t="s">
        <v>3225</v>
      </c>
    </row>
    <row r="164" ht="14.25" customHeight="1">
      <c r="A164" s="5">
        <v>163.0</v>
      </c>
      <c r="B164" s="6" t="s">
        <v>3226</v>
      </c>
      <c r="C164" s="6" t="s">
        <v>3227</v>
      </c>
      <c r="D164" s="6" t="s">
        <v>3228</v>
      </c>
      <c r="E164" s="6" t="str">
        <f>IFERROR(__xludf.DUMMYFUNCTION("GOOGLETRANSLATE(K164, ""th"", ""en"")"),"There is no limit to the number of elbow strikes used in Muay Thai.")</f>
        <v>There is no limit to the number of elbow strikes used in Muay Thai.</v>
      </c>
      <c r="G164" s="6">
        <v>163.0</v>
      </c>
      <c r="H164" s="7" t="s">
        <v>3229</v>
      </c>
      <c r="I164" s="7" t="s">
        <v>3230</v>
      </c>
      <c r="J164" s="7" t="s">
        <v>3231</v>
      </c>
      <c r="K164" s="7" t="s">
        <v>3232</v>
      </c>
    </row>
    <row r="165" ht="14.25" customHeight="1">
      <c r="A165" s="5">
        <v>164.0</v>
      </c>
      <c r="B165" s="6" t="s">
        <v>3233</v>
      </c>
      <c r="C165" s="6" t="s">
        <v>3178</v>
      </c>
      <c r="D165" s="6" t="s">
        <v>3179</v>
      </c>
      <c r="E165" s="6" t="str">
        <f>IFERROR(__xludf.DUMMYFUNCTION("GOOGLETRANSLATE(K165, ""th"", ""en"")"),"Kicks to the knee are not considered a violation in Muay Thai.")</f>
        <v>Kicks to the knee are not considered a violation in Muay Thai.</v>
      </c>
      <c r="G165" s="6">
        <v>164.0</v>
      </c>
      <c r="H165" s="7" t="s">
        <v>3234</v>
      </c>
      <c r="I165" s="7" t="s">
        <v>3181</v>
      </c>
      <c r="J165" s="7" t="s">
        <v>3182</v>
      </c>
      <c r="K165" s="7" t="s">
        <v>3235</v>
      </c>
    </row>
    <row r="166" ht="14.25" customHeight="1">
      <c r="A166" s="5">
        <v>165.0</v>
      </c>
      <c r="B166" s="6" t="s">
        <v>3236</v>
      </c>
      <c r="C166" s="6" t="s">
        <v>3237</v>
      </c>
      <c r="D166" s="6" t="s">
        <v>2985</v>
      </c>
      <c r="E166" s="6" t="str">
        <f>IFERROR(__xludf.DUMMYFUNCTION("GOOGLETRANSLATE(K166, ""th"", ""en"")"),"Spinning to attack is a method that can be done.")</f>
        <v>Spinning to attack is a method that can be done.</v>
      </c>
      <c r="G166" s="6">
        <v>165.0</v>
      </c>
      <c r="H166" s="7" t="s">
        <v>3238</v>
      </c>
      <c r="I166" s="7" t="s">
        <v>3239</v>
      </c>
      <c r="J166" s="7" t="s">
        <v>2988</v>
      </c>
      <c r="K166" s="7" t="s">
        <v>3240</v>
      </c>
    </row>
    <row r="167" ht="14.25" customHeight="1">
      <c r="A167" s="5">
        <v>166.0</v>
      </c>
      <c r="B167" s="6" t="s">
        <v>3241</v>
      </c>
      <c r="C167" s="6" t="s">
        <v>3242</v>
      </c>
      <c r="D167" s="6" t="s">
        <v>3243</v>
      </c>
      <c r="E167" s="6" t="str">
        <f>IFERROR(__xludf.DUMMYFUNCTION("GOOGLETRANSLATE(K167, ""th"", ""en"")"),"The capture will earn the winning team a point.")</f>
        <v>The capture will earn the winning team a point.</v>
      </c>
      <c r="G167" s="6">
        <v>166.0</v>
      </c>
      <c r="H167" s="7" t="s">
        <v>3244</v>
      </c>
      <c r="I167" s="7" t="s">
        <v>3245</v>
      </c>
      <c r="J167" s="7" t="s">
        <v>3246</v>
      </c>
      <c r="K167" s="7" t="s">
        <v>3247</v>
      </c>
    </row>
    <row r="168" ht="14.25" customHeight="1">
      <c r="A168" s="5">
        <v>167.0</v>
      </c>
      <c r="B168" s="6" t="s">
        <v>3248</v>
      </c>
      <c r="C168" s="6" t="s">
        <v>3249</v>
      </c>
      <c r="D168" s="6" t="s">
        <v>3029</v>
      </c>
      <c r="E168" s="6" t="str">
        <f>IFERROR(__xludf.DUMMYFUNCTION("GOOGLETRANSLATE(K168, ""th"", ""en"")"),"Using a wrist kick is a violation.")</f>
        <v>Using a wrist kick is a violation.</v>
      </c>
      <c r="G168" s="6">
        <v>167.0</v>
      </c>
      <c r="H168" s="7" t="s">
        <v>3250</v>
      </c>
      <c r="I168" s="7" t="s">
        <v>3251</v>
      </c>
      <c r="J168" s="7" t="s">
        <v>3032</v>
      </c>
      <c r="K168" s="7" t="s">
        <v>3252</v>
      </c>
    </row>
    <row r="169" ht="14.25" customHeight="1">
      <c r="A169" s="5">
        <v>168.0</v>
      </c>
      <c r="B169" s="6" t="s">
        <v>3253</v>
      </c>
      <c r="C169" s="6" t="s">
        <v>3249</v>
      </c>
      <c r="D169" s="6" t="s">
        <v>3029</v>
      </c>
      <c r="E169" s="6" t="str">
        <f>IFERROR(__xludf.DUMMYFUNCTION("GOOGLETRANSLATE(K169, ""th"", ""en"")"),"An attack to the back of the head is considered a foul.")</f>
        <v>An attack to the back of the head is considered a foul.</v>
      </c>
      <c r="G169" s="6">
        <v>168.0</v>
      </c>
      <c r="H169" s="7" t="s">
        <v>3254</v>
      </c>
      <c r="I169" s="7" t="s">
        <v>3251</v>
      </c>
      <c r="J169" s="7" t="s">
        <v>3032</v>
      </c>
      <c r="K169" s="7" t="s">
        <v>3255</v>
      </c>
    </row>
    <row r="170" ht="14.25" customHeight="1">
      <c r="A170" s="5">
        <v>169.0</v>
      </c>
      <c r="B170" s="6" t="s">
        <v>3256</v>
      </c>
      <c r="C170" s="6" t="s">
        <v>3257</v>
      </c>
      <c r="D170" s="6" t="s">
        <v>2588</v>
      </c>
      <c r="E170" s="6" t="str">
        <f>IFERROR(__xludf.DUMMYFUNCTION("GOOGLETRANSLATE(K170, ""th"", ""en"")"),"Forcing an opponent off the stage is a violation of the rules.")</f>
        <v>Forcing an opponent off the stage is a violation of the rules.</v>
      </c>
      <c r="G170" s="6">
        <v>169.0</v>
      </c>
      <c r="H170" s="7" t="s">
        <v>3258</v>
      </c>
      <c r="I170" s="7" t="s">
        <v>3259</v>
      </c>
      <c r="J170" s="7" t="s">
        <v>698</v>
      </c>
      <c r="K170" s="7" t="s">
        <v>3260</v>
      </c>
    </row>
    <row r="171" ht="14.25" customHeight="1">
      <c r="A171" s="5">
        <v>170.0</v>
      </c>
      <c r="B171" s="6" t="s">
        <v>3261</v>
      </c>
      <c r="C171" s="6" t="s">
        <v>3262</v>
      </c>
      <c r="D171" s="6" t="s">
        <v>3263</v>
      </c>
      <c r="E171" s="6" t="str">
        <f>IFERROR(__xludf.DUMMYFUNCTION("GOOGLETRANSLATE(K171, ""th"", ""en"")"),"Attacks after the stop order will result in a deduction of points.")</f>
        <v>Attacks after the stop order will result in a deduction of points.</v>
      </c>
      <c r="G171" s="6">
        <v>170.0</v>
      </c>
      <c r="H171" s="7" t="s">
        <v>3264</v>
      </c>
      <c r="I171" s="7" t="s">
        <v>3265</v>
      </c>
      <c r="J171" s="7" t="s">
        <v>3266</v>
      </c>
      <c r="K171" s="7" t="s">
        <v>3267</v>
      </c>
    </row>
    <row r="172" ht="14.25" customHeight="1">
      <c r="A172" s="5">
        <v>171.0</v>
      </c>
      <c r="B172" s="6" t="s">
        <v>3268</v>
      </c>
      <c r="C172" s="6" t="s">
        <v>3178</v>
      </c>
      <c r="D172" s="6" t="s">
        <v>2775</v>
      </c>
      <c r="E172" s="6" t="str">
        <f>IFERROR(__xludf.DUMMYFUNCTION("GOOGLETRANSLATE(K172, ""th"", ""en"")"),"Attacks to the neck are considered a foul.")</f>
        <v>Attacks to the neck are considered a foul.</v>
      </c>
      <c r="G172" s="6">
        <v>171.0</v>
      </c>
      <c r="H172" s="7" t="s">
        <v>3269</v>
      </c>
      <c r="I172" s="7" t="s">
        <v>3181</v>
      </c>
      <c r="J172" s="7" t="s">
        <v>3069</v>
      </c>
      <c r="K172" s="7" t="s">
        <v>3270</v>
      </c>
    </row>
    <row r="173" ht="14.25" customHeight="1">
      <c r="A173" s="5">
        <v>172.0</v>
      </c>
      <c r="B173" s="6" t="s">
        <v>3271</v>
      </c>
      <c r="C173" s="6" t="s">
        <v>3272</v>
      </c>
      <c r="D173" s="6" t="s">
        <v>2314</v>
      </c>
      <c r="E173" s="6" t="str">
        <f>IFERROR(__xludf.DUMMYFUNCTION("GOOGLETRANSLATE(K173, ""th"", ""en"")"),"The elbow can be used to attack any part of the body that is not against the rules.")</f>
        <v>The elbow can be used to attack any part of the body that is not against the rules.</v>
      </c>
      <c r="G173" s="6">
        <v>172.0</v>
      </c>
      <c r="H173" s="7" t="s">
        <v>3273</v>
      </c>
      <c r="I173" s="7" t="s">
        <v>3274</v>
      </c>
      <c r="J173" s="7" t="s">
        <v>2317</v>
      </c>
      <c r="K173" s="7" t="s">
        <v>3275</v>
      </c>
    </row>
    <row r="174" ht="14.25" customHeight="1">
      <c r="A174" s="5">
        <v>173.0</v>
      </c>
      <c r="B174" s="6" t="s">
        <v>3276</v>
      </c>
      <c r="C174" s="6" t="s">
        <v>3277</v>
      </c>
      <c r="D174" s="6" t="s">
        <v>3104</v>
      </c>
      <c r="E174" s="6" t="str">
        <f>IFERROR(__xludf.DUMMYFUNCTION("GOOGLETRANSLATE(K174, ""th"", ""en"")"),"Kicks to the inside or outside of the leg are considered acceptable attacks.")</f>
        <v>Kicks to the inside or outside of the leg are considered acceptable attacks.</v>
      </c>
      <c r="G174" s="6">
        <v>173.0</v>
      </c>
      <c r="H174" s="7" t="s">
        <v>3278</v>
      </c>
      <c r="I174" s="7" t="s">
        <v>3279</v>
      </c>
      <c r="J174" s="7" t="s">
        <v>3107</v>
      </c>
      <c r="K174" s="7" t="s">
        <v>3280</v>
      </c>
    </row>
    <row r="175" ht="14.25" customHeight="1">
      <c r="A175" s="5">
        <v>174.0</v>
      </c>
      <c r="B175" s="6" t="s">
        <v>3281</v>
      </c>
      <c r="C175" s="6" t="s">
        <v>3282</v>
      </c>
      <c r="D175" s="6" t="s">
        <v>3283</v>
      </c>
      <c r="E175" s="6" t="str">
        <f>IFERROR(__xludf.DUMMYFUNCTION("GOOGLETRANSLATE(K175, ""th"", ""en"")"),"An attack that causes injury will result in the offender being disqualified.")</f>
        <v>An attack that causes injury will result in the offender being disqualified.</v>
      </c>
      <c r="G175" s="6">
        <v>174.0</v>
      </c>
      <c r="H175" s="7" t="s">
        <v>3284</v>
      </c>
      <c r="I175" s="7" t="s">
        <v>3285</v>
      </c>
      <c r="J175" s="7" t="s">
        <v>3286</v>
      </c>
      <c r="K175" s="7" t="s">
        <v>3287</v>
      </c>
    </row>
    <row r="176" ht="14.25" customHeight="1">
      <c r="A176" s="5">
        <v>175.0</v>
      </c>
      <c r="B176" s="6" t="s">
        <v>3288</v>
      </c>
      <c r="C176" s="6" t="s">
        <v>3289</v>
      </c>
      <c r="D176" s="6" t="s">
        <v>2588</v>
      </c>
      <c r="E176" s="6" t="str">
        <f>IFERROR(__xludf.DUMMYFUNCTION("GOOGLETRANSLATE(K176, ""th"", ""en"")"),"Breaks between fights are not allowed.")</f>
        <v>Breaks between fights are not allowed.</v>
      </c>
      <c r="G176" s="6">
        <v>175.0</v>
      </c>
      <c r="H176" s="7" t="s">
        <v>3290</v>
      </c>
      <c r="I176" s="7" t="s">
        <v>3291</v>
      </c>
      <c r="J176" s="7" t="s">
        <v>698</v>
      </c>
      <c r="K176" s="7" t="s">
        <v>3292</v>
      </c>
    </row>
    <row r="177" ht="14.25" customHeight="1">
      <c r="A177" s="5">
        <v>176.0</v>
      </c>
      <c r="B177" s="6" t="s">
        <v>3293</v>
      </c>
      <c r="C177" s="6" t="s">
        <v>3294</v>
      </c>
      <c r="D177" s="6" t="s">
        <v>3029</v>
      </c>
      <c r="E177" s="6" t="str">
        <f>IFERROR(__xludf.DUMMYFUNCTION("GOOGLETRANSLATE(K177, ""th"", ""en"")"),"Kicks to the lower body are considered a foul.")</f>
        <v>Kicks to the lower body are considered a foul.</v>
      </c>
      <c r="G177" s="6">
        <v>176.0</v>
      </c>
      <c r="H177" s="7" t="s">
        <v>3295</v>
      </c>
      <c r="I177" s="7" t="s">
        <v>3296</v>
      </c>
      <c r="J177" s="7" t="s">
        <v>3032</v>
      </c>
      <c r="K177" s="7" t="s">
        <v>3297</v>
      </c>
    </row>
    <row r="178" ht="14.25" customHeight="1">
      <c r="A178" s="5">
        <v>177.0</v>
      </c>
      <c r="B178" s="6" t="s">
        <v>3298</v>
      </c>
      <c r="C178" s="6" t="s">
        <v>3299</v>
      </c>
      <c r="D178" s="6" t="s">
        <v>3300</v>
      </c>
      <c r="E178" s="6" t="str">
        <f>IFERROR(__xludf.DUMMYFUNCTION("GOOGLETRANSLATE(K178, ""th"", ""en"")"),"Protective equipment may be worn according to the rules.")</f>
        <v>Protective equipment may be worn according to the rules.</v>
      </c>
      <c r="G178" s="6">
        <v>177.0</v>
      </c>
      <c r="H178" s="7" t="s">
        <v>3301</v>
      </c>
      <c r="I178" s="7" t="s">
        <v>3302</v>
      </c>
      <c r="J178" s="7" t="s">
        <v>3303</v>
      </c>
      <c r="K178" s="7" t="s">
        <v>3304</v>
      </c>
    </row>
    <row r="179" ht="14.25" customHeight="1">
      <c r="A179" s="5">
        <v>178.0</v>
      </c>
      <c r="B179" s="6" t="s">
        <v>3305</v>
      </c>
      <c r="C179" s="6" t="s">
        <v>3306</v>
      </c>
      <c r="D179" s="6" t="s">
        <v>3307</v>
      </c>
      <c r="E179" s="6" t="str">
        <f>IFERROR(__xludf.DUMMYFUNCTION("GOOGLETRANSLATE(K179, ""th"", ""en"")"),"A forehead attack is not considered a foul.")</f>
        <v>A forehead attack is not considered a foul.</v>
      </c>
      <c r="G179" s="6">
        <v>178.0</v>
      </c>
      <c r="H179" s="7" t="s">
        <v>3308</v>
      </c>
      <c r="I179" s="7" t="s">
        <v>3309</v>
      </c>
      <c r="J179" s="7" t="s">
        <v>3310</v>
      </c>
      <c r="K179" s="7" t="s">
        <v>3311</v>
      </c>
    </row>
    <row r="180" ht="14.25" customHeight="1">
      <c r="A180" s="5">
        <v>179.0</v>
      </c>
      <c r="B180" s="6" t="s">
        <v>3312</v>
      </c>
      <c r="C180" s="6" t="s">
        <v>3313</v>
      </c>
      <c r="D180" s="6" t="s">
        <v>3214</v>
      </c>
      <c r="E180" s="6" t="str">
        <f>IFERROR(__xludf.DUMMYFUNCTION("GOOGLETRANSLATE(K180, ""th"", ""en"")"),"A kick to the thigh is permissible if it does not cause injury.")</f>
        <v>A kick to the thigh is permissible if it does not cause injury.</v>
      </c>
      <c r="G180" s="6">
        <v>179.0</v>
      </c>
      <c r="H180" s="7" t="s">
        <v>3314</v>
      </c>
      <c r="I180" s="7" t="s">
        <v>3315</v>
      </c>
      <c r="J180" s="7" t="s">
        <v>3316</v>
      </c>
      <c r="K180" s="7" t="s">
        <v>3317</v>
      </c>
    </row>
    <row r="181" ht="14.25" customHeight="1">
      <c r="A181" s="5">
        <v>180.0</v>
      </c>
      <c r="B181" s="6" t="s">
        <v>3318</v>
      </c>
      <c r="C181" s="6" t="s">
        <v>3319</v>
      </c>
      <c r="D181" s="6" t="s">
        <v>3029</v>
      </c>
      <c r="E181" s="6" t="str">
        <f>IFERROR(__xludf.DUMMYFUNCTION("GOOGLETRANSLATE(K181, ""th"", ""en"")"),"Using techniques that are not within the rules is a violation of the rules.")</f>
        <v>Using techniques that are not within the rules is a violation of the rules.</v>
      </c>
      <c r="G181" s="6">
        <v>180.0</v>
      </c>
      <c r="H181" s="7" t="s">
        <v>3320</v>
      </c>
      <c r="I181" s="7" t="s">
        <v>3321</v>
      </c>
      <c r="J181" s="7" t="s">
        <v>3032</v>
      </c>
      <c r="K181" s="7" t="s">
        <v>3322</v>
      </c>
    </row>
    <row r="182" ht="14.25" customHeight="1">
      <c r="A182" s="5">
        <v>181.0</v>
      </c>
      <c r="B182" s="6" t="s">
        <v>3323</v>
      </c>
      <c r="C182" s="6" t="s">
        <v>3324</v>
      </c>
      <c r="D182" s="6" t="s">
        <v>3325</v>
      </c>
      <c r="E182" s="6" t="str">
        <f>IFERROR(__xludf.DUMMYFUNCTION("GOOGLETRANSLATE(K182, ""th"", ""en"")"),"Kicks to the back are allowed if they do not cause harm.")</f>
        <v>Kicks to the back are allowed if they do not cause harm.</v>
      </c>
      <c r="G182" s="6">
        <v>181.0</v>
      </c>
      <c r="H182" s="7" t="s">
        <v>3326</v>
      </c>
      <c r="I182" s="7" t="s">
        <v>3327</v>
      </c>
      <c r="J182" s="7" t="s">
        <v>3328</v>
      </c>
      <c r="K182" s="7" t="s">
        <v>3329</v>
      </c>
    </row>
    <row r="183" ht="14.25" customHeight="1">
      <c r="A183" s="5">
        <v>182.0</v>
      </c>
      <c r="B183" s="6" t="s">
        <v>3330</v>
      </c>
      <c r="C183" s="6" t="s">
        <v>3331</v>
      </c>
      <c r="D183" s="6" t="s">
        <v>3221</v>
      </c>
      <c r="E183" s="6" t="str">
        <f>IFERROR(__xludf.DUMMYFUNCTION("GOOGLETRANSLATE(K183, ""th"", ""en"")"),"Injuring an opponent while they are down is a violation of the rules.")</f>
        <v>Injuring an opponent while they are down is a violation of the rules.</v>
      </c>
      <c r="G183" s="6">
        <v>182.0</v>
      </c>
      <c r="H183" s="7" t="s">
        <v>3332</v>
      </c>
      <c r="I183" s="7" t="s">
        <v>3333</v>
      </c>
      <c r="J183" s="7" t="s">
        <v>3224</v>
      </c>
      <c r="K183" s="7" t="s">
        <v>3334</v>
      </c>
    </row>
    <row r="184" ht="14.25" customHeight="1">
      <c r="A184" s="5">
        <v>183.0</v>
      </c>
      <c r="B184" s="6" t="s">
        <v>3335</v>
      </c>
      <c r="C184" s="6" t="s">
        <v>3336</v>
      </c>
      <c r="D184" s="6" t="s">
        <v>3029</v>
      </c>
      <c r="E184" s="6" t="str">
        <f>IFERROR(__xludf.DUMMYFUNCTION("GOOGLETRANSLATE(K184, ""th"", ""en"")"),"Attacking in an unusual position will be considered a foul.")</f>
        <v>Attacking in an unusual position will be considered a foul.</v>
      </c>
      <c r="G184" s="6">
        <v>183.0</v>
      </c>
      <c r="H184" s="7" t="s">
        <v>3337</v>
      </c>
      <c r="I184" s="7" t="s">
        <v>3338</v>
      </c>
      <c r="J184" s="7" t="s">
        <v>3032</v>
      </c>
      <c r="K184" s="7" t="s">
        <v>3339</v>
      </c>
    </row>
    <row r="185" ht="14.25" customHeight="1">
      <c r="A185" s="5">
        <v>184.0</v>
      </c>
      <c r="B185" s="6" t="s">
        <v>3340</v>
      </c>
      <c r="C185" s="6" t="s">
        <v>3341</v>
      </c>
      <c r="D185" s="6" t="s">
        <v>2588</v>
      </c>
      <c r="E185" s="6" t="str">
        <f>IFERROR(__xludf.DUMMYFUNCTION("GOOGLETRANSLATE(K185, ""th"", ""en"")"),"Using the suplex technique is against the rules.")</f>
        <v>Using the suplex technique is against the rules.</v>
      </c>
      <c r="G185" s="6">
        <v>184.0</v>
      </c>
      <c r="H185" s="7" t="s">
        <v>3342</v>
      </c>
      <c r="I185" s="7" t="s">
        <v>3343</v>
      </c>
      <c r="J185" s="7" t="s">
        <v>698</v>
      </c>
      <c r="K185" s="7" t="s">
        <v>3344</v>
      </c>
    </row>
    <row r="186" ht="14.25" customHeight="1">
      <c r="A186" s="5">
        <v>185.0</v>
      </c>
      <c r="B186" s="6" t="s">
        <v>3345</v>
      </c>
      <c r="C186" s="6" t="s">
        <v>3336</v>
      </c>
      <c r="D186" s="6" t="s">
        <v>3029</v>
      </c>
      <c r="E186" s="6" t="str">
        <f>IFERROR(__xludf.DUMMYFUNCTION("GOOGLETRANSLATE(K186, ""th"", ""en"")"),"Headbutting is a violation of the rules.")</f>
        <v>Headbutting is a violation of the rules.</v>
      </c>
      <c r="G186" s="6">
        <v>185.0</v>
      </c>
      <c r="H186" s="7" t="s">
        <v>3346</v>
      </c>
      <c r="I186" s="7" t="s">
        <v>3338</v>
      </c>
      <c r="J186" s="7" t="s">
        <v>3032</v>
      </c>
      <c r="K186" s="7" t="s">
        <v>3347</v>
      </c>
    </row>
    <row r="187" ht="14.25" customHeight="1">
      <c r="A187" s="5">
        <v>186.0</v>
      </c>
      <c r="B187" s="6" t="s">
        <v>3348</v>
      </c>
      <c r="C187" s="6" t="s">
        <v>3349</v>
      </c>
      <c r="D187" s="6" t="s">
        <v>3350</v>
      </c>
      <c r="E187" s="6" t="str">
        <f>IFERROR(__xludf.DUMMYFUNCTION("GOOGLETRANSLATE(K187, ""th"", ""en"")"),"Poking someone in the eye is considered an inappropriate attack.")</f>
        <v>Poking someone in the eye is considered an inappropriate attack.</v>
      </c>
      <c r="G187" s="6">
        <v>186.0</v>
      </c>
      <c r="H187" s="7" t="s">
        <v>3351</v>
      </c>
      <c r="I187" s="7" t="s">
        <v>3352</v>
      </c>
      <c r="J187" s="7" t="s">
        <v>3353</v>
      </c>
      <c r="K187" s="7" t="s">
        <v>3354</v>
      </c>
    </row>
    <row r="188" ht="14.25" customHeight="1">
      <c r="A188" s="5">
        <v>187.0</v>
      </c>
      <c r="B188" s="6" t="s">
        <v>3355</v>
      </c>
      <c r="C188" s="6" t="s">
        <v>3356</v>
      </c>
      <c r="D188" s="6" t="s">
        <v>3357</v>
      </c>
      <c r="E188" s="6" t="str">
        <f>IFERROR(__xludf.DUMMYFUNCTION("GOOGLETRANSLATE(K188, ""th"", ""en"")"),"If an injury occurs from an illegal attack.")</f>
        <v>If an injury occurs from an illegal attack.</v>
      </c>
      <c r="G188" s="6">
        <v>187.0</v>
      </c>
      <c r="H188" s="7" t="s">
        <v>3358</v>
      </c>
      <c r="I188" s="7" t="s">
        <v>3359</v>
      </c>
      <c r="J188" s="7" t="s">
        <v>3360</v>
      </c>
      <c r="K188" s="7" t="s">
        <v>3361</v>
      </c>
    </row>
    <row r="189" ht="14.25" customHeight="1">
      <c r="A189" s="5">
        <v>188.0</v>
      </c>
      <c r="B189" s="6" t="s">
        <v>3362</v>
      </c>
      <c r="C189" s="6" t="s">
        <v>3363</v>
      </c>
      <c r="D189" s="6" t="s">
        <v>2588</v>
      </c>
      <c r="E189" s="6" t="str">
        <f>IFERROR(__xludf.DUMMYFUNCTION("GOOGLETRANSLATE(K189, ""th"", ""en"")"),"Grabbing an opponent's legs is a violation.")</f>
        <v>Grabbing an opponent's legs is a violation.</v>
      </c>
      <c r="G189" s="6">
        <v>188.0</v>
      </c>
      <c r="H189" s="7" t="s">
        <v>3364</v>
      </c>
      <c r="I189" s="7" t="s">
        <v>3365</v>
      </c>
      <c r="J189" s="7" t="s">
        <v>698</v>
      </c>
      <c r="K189" s="7" t="s">
        <v>3366</v>
      </c>
    </row>
    <row r="190" ht="14.25" customHeight="1">
      <c r="A190" s="5">
        <v>189.0</v>
      </c>
      <c r="B190" s="6" t="s">
        <v>3367</v>
      </c>
      <c r="C190" s="6" t="s">
        <v>3368</v>
      </c>
      <c r="D190" s="6" t="s">
        <v>2588</v>
      </c>
      <c r="E190" s="6" t="str">
        <f>IFERROR(__xludf.DUMMYFUNCTION("GOOGLETRANSLATE(K190, ""th"", ""en"")"),"There is no break during the race.")</f>
        <v>There is no break during the race.</v>
      </c>
      <c r="G190" s="6">
        <v>189.0</v>
      </c>
      <c r="H190" s="7" t="s">
        <v>3369</v>
      </c>
      <c r="I190" s="7" t="s">
        <v>3370</v>
      </c>
      <c r="J190" s="7" t="s">
        <v>698</v>
      </c>
      <c r="K190" s="7" t="s">
        <v>3371</v>
      </c>
    </row>
    <row r="191" ht="14.25" customHeight="1">
      <c r="A191" s="5">
        <v>190.0</v>
      </c>
      <c r="B191" s="6" t="s">
        <v>3372</v>
      </c>
      <c r="C191" s="6" t="s">
        <v>3373</v>
      </c>
      <c r="D191" s="6" t="s">
        <v>3374</v>
      </c>
      <c r="E191" s="6" t="str">
        <f>IFERROR(__xludf.DUMMYFUNCTION("GOOGLETRANSLATE(K191, ""th"", ""en"")"),"If the boxer is unable to accept further attacks, the match is stopped.")</f>
        <v>If the boxer is unable to accept further attacks, the match is stopped.</v>
      </c>
      <c r="G191" s="6">
        <v>190.0</v>
      </c>
      <c r="H191" s="7" t="s">
        <v>3375</v>
      </c>
      <c r="I191" s="7" t="s">
        <v>3376</v>
      </c>
      <c r="J191" s="7" t="s">
        <v>3377</v>
      </c>
      <c r="K191" s="7" t="s">
        <v>3378</v>
      </c>
    </row>
    <row r="192" ht="14.25" customHeight="1">
      <c r="A192" s="5">
        <v>191.0</v>
      </c>
      <c r="B192" s="6" t="s">
        <v>3379</v>
      </c>
      <c r="C192" s="6" t="s">
        <v>3380</v>
      </c>
      <c r="D192" s="6" t="s">
        <v>3381</v>
      </c>
      <c r="E192" s="6" t="str">
        <f>IFERROR(__xludf.DUMMYFUNCTION("GOOGLETRANSLATE(K192, ""th"", ""en"")"),"Attacking while your opponent is unprepared is a violation.")</f>
        <v>Attacking while your opponent is unprepared is a violation.</v>
      </c>
      <c r="G192" s="6">
        <v>191.0</v>
      </c>
      <c r="H192" s="7" t="s">
        <v>3382</v>
      </c>
      <c r="I192" s="7" t="s">
        <v>3383</v>
      </c>
      <c r="J192" s="7" t="s">
        <v>3384</v>
      </c>
      <c r="K192" s="7" t="s">
        <v>3385</v>
      </c>
    </row>
    <row r="193" ht="14.25" customHeight="1">
      <c r="A193" s="5">
        <v>192.0</v>
      </c>
      <c r="B193" s="6" t="s">
        <v>3386</v>
      </c>
      <c r="C193" s="6" t="s">
        <v>3387</v>
      </c>
      <c r="D193" s="6" t="s">
        <v>3350</v>
      </c>
      <c r="E193" s="6" t="str">
        <f>IFERROR(__xludf.DUMMYFUNCTION("GOOGLETRANSLATE(K193, ""th"", ""en"")"),"The use of unauthorized accessories is a violation of the rules.")</f>
        <v>The use of unauthorized accessories is a violation of the rules.</v>
      </c>
      <c r="G193" s="6">
        <v>192.0</v>
      </c>
      <c r="H193" s="7" t="s">
        <v>3388</v>
      </c>
      <c r="I193" s="7" t="s">
        <v>3389</v>
      </c>
      <c r="J193" s="7" t="s">
        <v>3353</v>
      </c>
      <c r="K193" s="7" t="s">
        <v>3390</v>
      </c>
    </row>
    <row r="194" ht="14.25" customHeight="1">
      <c r="A194" s="5">
        <v>193.0</v>
      </c>
      <c r="B194" s="6" t="s">
        <v>3391</v>
      </c>
      <c r="C194" s="6" t="s">
        <v>3392</v>
      </c>
      <c r="D194" s="6" t="s">
        <v>3374</v>
      </c>
      <c r="E194" s="6" t="str">
        <f>IFERROR(__xludf.DUMMYFUNCTION("GOOGLETRANSLATE(K194, ""th"", ""en"")"),"If the boxer is unable to respond to the attack, the match is stopped.")</f>
        <v>If the boxer is unable to respond to the attack, the match is stopped.</v>
      </c>
      <c r="G194" s="6">
        <v>193.0</v>
      </c>
      <c r="H194" s="7" t="s">
        <v>3393</v>
      </c>
      <c r="I194" s="7" t="s">
        <v>3394</v>
      </c>
      <c r="J194" s="7" t="s">
        <v>3377</v>
      </c>
      <c r="K194" s="7" t="s">
        <v>3395</v>
      </c>
    </row>
    <row r="195" ht="14.25" customHeight="1">
      <c r="A195" s="5">
        <v>194.0</v>
      </c>
      <c r="B195" s="6" t="s">
        <v>3396</v>
      </c>
      <c r="C195" s="6" t="s">
        <v>3397</v>
      </c>
      <c r="D195" s="6" t="s">
        <v>3029</v>
      </c>
      <c r="E195" s="6" t="str">
        <f>IFERROR(__xludf.DUMMYFUNCTION("GOOGLETRANSLATE(K195, ""th"", ""en"")"),"Attacking in an unusual position is a violation.")</f>
        <v>Attacking in an unusual position is a violation.</v>
      </c>
      <c r="G195" s="6">
        <v>194.0</v>
      </c>
      <c r="H195" s="7" t="s">
        <v>3398</v>
      </c>
      <c r="I195" s="7" t="s">
        <v>3399</v>
      </c>
      <c r="J195" s="7" t="s">
        <v>3032</v>
      </c>
      <c r="K195" s="7" t="s">
        <v>3400</v>
      </c>
    </row>
    <row r="196" ht="14.25" customHeight="1">
      <c r="A196" s="5">
        <v>195.0</v>
      </c>
      <c r="B196" s="6" t="s">
        <v>3401</v>
      </c>
      <c r="C196" s="6" t="s">
        <v>3402</v>
      </c>
      <c r="D196" s="6" t="s">
        <v>3221</v>
      </c>
      <c r="E196" s="6" t="str">
        <f>IFERROR(__xludf.DUMMYFUNCTION("GOOGLETRANSLATE(K196, ""th"", ""en"")"),"Standing without being able to attack is a violation.")</f>
        <v>Standing without being able to attack is a violation.</v>
      </c>
      <c r="G196" s="6">
        <v>195.0</v>
      </c>
      <c r="H196" s="7" t="s">
        <v>3403</v>
      </c>
      <c r="I196" s="7" t="s">
        <v>3404</v>
      </c>
      <c r="J196" s="7" t="s">
        <v>3224</v>
      </c>
      <c r="K196" s="7" t="s">
        <v>3405</v>
      </c>
    </row>
    <row r="197" ht="14.25" customHeight="1">
      <c r="A197" s="5">
        <v>196.0</v>
      </c>
      <c r="B197" s="6" t="s">
        <v>3406</v>
      </c>
      <c r="C197" s="6" t="s">
        <v>3178</v>
      </c>
      <c r="D197" s="6" t="s">
        <v>2775</v>
      </c>
      <c r="E197" s="6" t="str">
        <f>IFERROR(__xludf.DUMMYFUNCTION("GOOGLETRANSLATE(K197, ""th"", ""en"")"),"Attacks to the arms are considered a foul.")</f>
        <v>Attacks to the arms are considered a foul.</v>
      </c>
      <c r="G197" s="6">
        <v>196.0</v>
      </c>
      <c r="H197" s="7" t="s">
        <v>3407</v>
      </c>
      <c r="I197" s="7" t="s">
        <v>3181</v>
      </c>
      <c r="J197" s="7" t="s">
        <v>3069</v>
      </c>
      <c r="K197" s="7" t="s">
        <v>3408</v>
      </c>
    </row>
    <row r="198" ht="14.25" customHeight="1">
      <c r="A198" s="5">
        <v>197.0</v>
      </c>
      <c r="B198" s="6" t="s">
        <v>3409</v>
      </c>
      <c r="C198" s="6" t="s">
        <v>3349</v>
      </c>
      <c r="D198" s="6" t="s">
        <v>3350</v>
      </c>
      <c r="E198" s="6" t="str">
        <f>IFERROR(__xludf.DUMMYFUNCTION("GOOGLETRANSLATE(K198, ""th"", ""en"")"),"Attacks that hit the legs are considered illegal.")</f>
        <v>Attacks that hit the legs are considered illegal.</v>
      </c>
      <c r="G198" s="6">
        <v>197.0</v>
      </c>
      <c r="H198" s="7" t="s">
        <v>3410</v>
      </c>
      <c r="I198" s="7" t="s">
        <v>3352</v>
      </c>
      <c r="J198" s="7" t="s">
        <v>3353</v>
      </c>
      <c r="K198" s="7" t="s">
        <v>3411</v>
      </c>
    </row>
    <row r="199" ht="14.25" customHeight="1">
      <c r="A199" s="5">
        <v>198.0</v>
      </c>
      <c r="B199" s="6" t="s">
        <v>3412</v>
      </c>
      <c r="C199" s="6" t="s">
        <v>3397</v>
      </c>
      <c r="D199" s="6" t="s">
        <v>3029</v>
      </c>
      <c r="E199" s="6" t="str">
        <f>IFERROR(__xludf.DUMMYFUNCTION("GOOGLETRANSLATE(K199, ""th"", ""en"")"),"The use of sharp objects or weapons is against the rules.")</f>
        <v>The use of sharp objects or weapons is against the rules.</v>
      </c>
      <c r="G199" s="6">
        <v>198.0</v>
      </c>
      <c r="H199" s="7" t="s">
        <v>3413</v>
      </c>
      <c r="I199" s="7" t="s">
        <v>3399</v>
      </c>
      <c r="J199" s="7" t="s">
        <v>3032</v>
      </c>
      <c r="K199" s="7" t="s">
        <v>3414</v>
      </c>
    </row>
    <row r="200" ht="14.25" customHeight="1">
      <c r="A200" s="5">
        <v>199.0</v>
      </c>
      <c r="B200" s="6" t="s">
        <v>3415</v>
      </c>
      <c r="C200" s="6" t="s">
        <v>3416</v>
      </c>
      <c r="D200" s="6" t="s">
        <v>3417</v>
      </c>
      <c r="E200" s="6" t="str">
        <f>IFERROR(__xludf.DUMMYFUNCTION("GOOGLETRANSLATE(K200, ""th"", ""en"")"),"It is a violation of the rules to pull or hold an opponent.")</f>
        <v>It is a violation of the rules to pull or hold an opponent.</v>
      </c>
      <c r="G200" s="6">
        <v>199.0</v>
      </c>
      <c r="H200" s="7" t="s">
        <v>3418</v>
      </c>
      <c r="I200" s="7" t="s">
        <v>3419</v>
      </c>
      <c r="J200" s="7" t="s">
        <v>3420</v>
      </c>
      <c r="K200" s="7" t="s">
        <v>3421</v>
      </c>
    </row>
    <row r="201" ht="14.25" customHeight="1">
      <c r="A201" s="5">
        <v>200.0</v>
      </c>
      <c r="B201" s="6" t="s">
        <v>3422</v>
      </c>
      <c r="C201" s="6" t="s">
        <v>3249</v>
      </c>
      <c r="D201" s="6" t="s">
        <v>3029</v>
      </c>
      <c r="E201" s="6" t="str">
        <f>IFERROR(__xludf.DUMMYFUNCTION("GOOGLETRANSLATE(K201, ""th"", ""en"")"),"Kicks that are higher than the head are considered illegal.")</f>
        <v>Kicks that are higher than the head are considered illegal.</v>
      </c>
      <c r="G201" s="6">
        <v>200.0</v>
      </c>
      <c r="H201" s="7" t="s">
        <v>3423</v>
      </c>
      <c r="I201" s="7" t="s">
        <v>3251</v>
      </c>
      <c r="J201" s="7" t="s">
        <v>3032</v>
      </c>
      <c r="K201" s="7" t="s">
        <v>3424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>
      <c r="A207" s="8" t="s">
        <v>652</v>
      </c>
      <c r="G207" s="8" t="s">
        <v>652</v>
      </c>
    </row>
    <row r="208" ht="14.25" customHeight="1">
      <c r="A208" s="9" t="s">
        <v>5</v>
      </c>
      <c r="B208" s="9" t="s">
        <v>1</v>
      </c>
      <c r="C208" s="9" t="s">
        <v>653</v>
      </c>
      <c r="D208" s="9" t="s">
        <v>3425</v>
      </c>
      <c r="E208" s="9" t="s">
        <v>2</v>
      </c>
      <c r="F208" s="9" t="s">
        <v>655</v>
      </c>
      <c r="G208" s="9" t="s">
        <v>5</v>
      </c>
      <c r="H208" s="9" t="s">
        <v>656</v>
      </c>
      <c r="I208" s="9" t="s">
        <v>4</v>
      </c>
      <c r="J208" s="9" t="s">
        <v>657</v>
      </c>
    </row>
    <row r="209" ht="14.25" customHeight="1">
      <c r="A209" s="10">
        <v>1.0</v>
      </c>
      <c r="B209" s="11" t="s">
        <v>2315</v>
      </c>
      <c r="C209" s="10">
        <v>1.0</v>
      </c>
      <c r="D209" s="12"/>
      <c r="E209" s="11" t="s">
        <v>2316</v>
      </c>
      <c r="F209" s="11" t="s">
        <v>3426</v>
      </c>
      <c r="G209" s="10">
        <v>1.0</v>
      </c>
      <c r="H209" s="12"/>
      <c r="I209" s="11" t="s">
        <v>2318</v>
      </c>
      <c r="J209" s="12"/>
    </row>
    <row r="210" ht="14.25" customHeight="1">
      <c r="A210" s="13">
        <v>2.0</v>
      </c>
      <c r="B210" s="14" t="s">
        <v>2321</v>
      </c>
      <c r="C210" s="13">
        <v>1.0</v>
      </c>
      <c r="D210" s="14" t="s">
        <v>3427</v>
      </c>
      <c r="E210" s="14" t="s">
        <v>2322</v>
      </c>
      <c r="F210" s="15"/>
      <c r="G210" s="13">
        <v>2.0</v>
      </c>
      <c r="H210" s="15"/>
      <c r="I210" s="14" t="s">
        <v>2323</v>
      </c>
      <c r="J210" s="15"/>
    </row>
    <row r="211" ht="14.25" customHeight="1">
      <c r="A211" s="10">
        <v>3.0</v>
      </c>
      <c r="B211" s="11" t="s">
        <v>2327</v>
      </c>
      <c r="C211" s="10">
        <v>1.0</v>
      </c>
      <c r="D211" s="11" t="s">
        <v>3428</v>
      </c>
      <c r="E211" s="11" t="s">
        <v>2328</v>
      </c>
      <c r="F211" s="12"/>
      <c r="G211" s="10">
        <v>3.0</v>
      </c>
      <c r="H211" s="12"/>
      <c r="I211" s="11" t="s">
        <v>2330</v>
      </c>
      <c r="J211" s="12"/>
    </row>
    <row r="212" ht="14.25" customHeight="1">
      <c r="A212" s="13">
        <v>4.0</v>
      </c>
      <c r="B212" s="14" t="s">
        <v>2333</v>
      </c>
      <c r="C212" s="13">
        <v>1.0</v>
      </c>
      <c r="D212" s="15"/>
      <c r="E212" s="14" t="s">
        <v>2334</v>
      </c>
      <c r="G212" s="13">
        <v>4.0</v>
      </c>
      <c r="H212" s="15"/>
      <c r="I212" s="14" t="s">
        <v>2335</v>
      </c>
      <c r="J212" s="15"/>
    </row>
    <row r="213" ht="14.25" customHeight="1">
      <c r="A213" s="10">
        <v>5.0</v>
      </c>
      <c r="B213" s="11" t="s">
        <v>2338</v>
      </c>
      <c r="C213" s="10">
        <v>1.0</v>
      </c>
      <c r="D213" s="12"/>
      <c r="E213" s="11" t="s">
        <v>2339</v>
      </c>
      <c r="G213" s="10">
        <v>5.0</v>
      </c>
      <c r="H213" s="12"/>
      <c r="I213" s="11" t="s">
        <v>2340</v>
      </c>
      <c r="J213" s="12"/>
    </row>
    <row r="214" ht="14.25" customHeight="1">
      <c r="A214" s="13">
        <v>6.0</v>
      </c>
      <c r="B214" s="14" t="s">
        <v>2343</v>
      </c>
      <c r="C214" s="13">
        <v>1.0</v>
      </c>
      <c r="D214" s="15"/>
      <c r="E214" s="14" t="s">
        <v>2344</v>
      </c>
      <c r="F214" s="15"/>
      <c r="G214" s="13">
        <v>6.0</v>
      </c>
      <c r="H214" s="15"/>
      <c r="I214" s="14" t="s">
        <v>2345</v>
      </c>
      <c r="J214" s="15"/>
    </row>
    <row r="215" ht="14.25" customHeight="1">
      <c r="A215" s="10">
        <v>7.0</v>
      </c>
      <c r="B215" s="11" t="s">
        <v>2349</v>
      </c>
      <c r="C215" s="10">
        <v>1.0</v>
      </c>
      <c r="D215" s="12"/>
      <c r="E215" s="11" t="s">
        <v>2350</v>
      </c>
      <c r="G215" s="10">
        <v>7.0</v>
      </c>
      <c r="H215" s="12"/>
      <c r="I215" s="11" t="s">
        <v>2352</v>
      </c>
      <c r="J215" s="12"/>
    </row>
    <row r="216" ht="14.25" customHeight="1">
      <c r="A216" s="13">
        <v>8.0</v>
      </c>
      <c r="B216" s="14" t="s">
        <v>2356</v>
      </c>
      <c r="C216" s="13">
        <v>1.0</v>
      </c>
      <c r="D216" s="15"/>
      <c r="E216" s="14" t="s">
        <v>2357</v>
      </c>
      <c r="F216" s="15"/>
      <c r="G216" s="13">
        <v>8.0</v>
      </c>
      <c r="H216" s="15"/>
      <c r="I216" s="14" t="s">
        <v>2359</v>
      </c>
      <c r="J216" s="15"/>
    </row>
    <row r="217" ht="14.25" customHeight="1">
      <c r="A217" s="10">
        <v>9.0</v>
      </c>
      <c r="B217" s="11" t="s">
        <v>2363</v>
      </c>
      <c r="C217" s="10">
        <v>1.0</v>
      </c>
      <c r="D217" s="12"/>
      <c r="E217" s="11" t="s">
        <v>2364</v>
      </c>
      <c r="G217" s="10">
        <v>9.0</v>
      </c>
      <c r="H217" s="12"/>
      <c r="I217" s="11" t="s">
        <v>2366</v>
      </c>
      <c r="J217" s="12"/>
    </row>
    <row r="218" ht="14.25" customHeight="1">
      <c r="A218" s="13">
        <v>10.0</v>
      </c>
      <c r="B218" s="14" t="s">
        <v>2368</v>
      </c>
      <c r="C218" s="13">
        <v>1.0</v>
      </c>
      <c r="D218" s="15"/>
      <c r="E218" s="14" t="s">
        <v>2344</v>
      </c>
      <c r="F218" s="15"/>
      <c r="G218" s="13">
        <v>10.0</v>
      </c>
      <c r="H218" s="15"/>
      <c r="I218" s="14" t="s">
        <v>2369</v>
      </c>
      <c r="J218" s="15"/>
    </row>
    <row r="219" ht="14.25" customHeight="1">
      <c r="A219" s="10">
        <v>11.0</v>
      </c>
      <c r="B219" s="11" t="s">
        <v>2372</v>
      </c>
      <c r="C219" s="10">
        <v>1.0</v>
      </c>
      <c r="D219" s="12"/>
      <c r="E219" s="11" t="s">
        <v>2373</v>
      </c>
      <c r="F219" s="12"/>
      <c r="G219" s="10">
        <v>11.0</v>
      </c>
      <c r="H219" s="12"/>
      <c r="I219" s="11" t="s">
        <v>2374</v>
      </c>
      <c r="J219" s="12"/>
    </row>
    <row r="220" ht="14.25" customHeight="1">
      <c r="A220" s="13">
        <v>12.0</v>
      </c>
      <c r="B220" s="14" t="s">
        <v>2377</v>
      </c>
      <c r="C220" s="13">
        <v>1.0</v>
      </c>
      <c r="D220" s="15"/>
      <c r="E220" s="14" t="s">
        <v>2378</v>
      </c>
      <c r="G220" s="13">
        <v>12.0</v>
      </c>
      <c r="H220" s="15"/>
      <c r="I220" s="14" t="s">
        <v>2379</v>
      </c>
      <c r="J220" s="15"/>
    </row>
    <row r="221" ht="14.25" customHeight="1">
      <c r="A221" s="10">
        <v>13.0</v>
      </c>
      <c r="B221" s="11" t="s">
        <v>2383</v>
      </c>
      <c r="C221" s="10">
        <v>1.0</v>
      </c>
      <c r="D221" s="12"/>
      <c r="E221" s="11" t="s">
        <v>2384</v>
      </c>
      <c r="G221" s="10">
        <v>13.0</v>
      </c>
      <c r="H221" s="12"/>
      <c r="I221" s="11" t="s">
        <v>2386</v>
      </c>
      <c r="J221" s="12"/>
    </row>
    <row r="222" ht="14.25" customHeight="1">
      <c r="A222" s="13">
        <v>14.0</v>
      </c>
      <c r="B222" s="14" t="s">
        <v>2390</v>
      </c>
      <c r="C222" s="13">
        <v>0.0</v>
      </c>
      <c r="D222" s="15"/>
      <c r="E222" s="14" t="s">
        <v>2391</v>
      </c>
      <c r="F222" s="15"/>
      <c r="G222" s="13">
        <v>14.0</v>
      </c>
      <c r="H222" s="15"/>
      <c r="I222" s="14" t="s">
        <v>2393</v>
      </c>
      <c r="J222" s="15"/>
    </row>
    <row r="223" ht="14.25" customHeight="1">
      <c r="A223" s="10">
        <v>15.0</v>
      </c>
      <c r="B223" s="11" t="s">
        <v>2397</v>
      </c>
      <c r="C223" s="10">
        <v>1.0</v>
      </c>
      <c r="D223" s="11" t="s">
        <v>3429</v>
      </c>
      <c r="E223" s="11" t="s">
        <v>2398</v>
      </c>
      <c r="F223" s="12"/>
      <c r="G223" s="10">
        <v>15.0</v>
      </c>
      <c r="H223" s="12"/>
      <c r="I223" s="11" t="s">
        <v>2400</v>
      </c>
      <c r="J223" s="12"/>
    </row>
    <row r="224" ht="14.25" customHeight="1">
      <c r="A224" s="13">
        <v>16.0</v>
      </c>
      <c r="B224" s="14" t="s">
        <v>2404</v>
      </c>
      <c r="C224" s="13">
        <v>1.0</v>
      </c>
      <c r="D224" s="15"/>
      <c r="E224" s="14" t="s">
        <v>2405</v>
      </c>
      <c r="G224" s="13">
        <v>16.0</v>
      </c>
      <c r="H224" s="15"/>
      <c r="I224" s="14" t="s">
        <v>2407</v>
      </c>
      <c r="J224" s="15"/>
    </row>
    <row r="225" ht="14.25" customHeight="1">
      <c r="A225" s="10">
        <v>17.0</v>
      </c>
      <c r="B225" s="11" t="s">
        <v>2411</v>
      </c>
      <c r="C225" s="10">
        <v>1.0</v>
      </c>
      <c r="D225" s="11" t="s">
        <v>3430</v>
      </c>
      <c r="E225" s="11" t="s">
        <v>2412</v>
      </c>
      <c r="G225" s="10">
        <v>17.0</v>
      </c>
      <c r="H225" s="12"/>
      <c r="I225" s="11" t="s">
        <v>2414</v>
      </c>
      <c r="J225" s="12"/>
    </row>
    <row r="226" ht="14.25" customHeight="1">
      <c r="A226" s="13">
        <v>18.0</v>
      </c>
      <c r="B226" s="14" t="s">
        <v>2418</v>
      </c>
      <c r="C226" s="13">
        <v>1.0</v>
      </c>
      <c r="D226" s="15"/>
      <c r="E226" s="14" t="s">
        <v>2419</v>
      </c>
      <c r="G226" s="13">
        <v>18.0</v>
      </c>
      <c r="H226" s="15"/>
      <c r="I226" s="14" t="s">
        <v>2421</v>
      </c>
      <c r="J226" s="15"/>
    </row>
    <row r="227" ht="14.25" customHeight="1">
      <c r="A227" s="10">
        <v>19.0</v>
      </c>
      <c r="B227" s="11" t="s">
        <v>2424</v>
      </c>
      <c r="C227" s="10">
        <v>1.0</v>
      </c>
      <c r="D227" s="12"/>
      <c r="E227" s="11" t="s">
        <v>2425</v>
      </c>
      <c r="G227" s="10">
        <v>19.0</v>
      </c>
      <c r="H227" s="12"/>
      <c r="I227" s="11" t="s">
        <v>2426</v>
      </c>
      <c r="J227" s="12"/>
    </row>
    <row r="228" ht="14.25" customHeight="1">
      <c r="A228" s="13">
        <v>20.0</v>
      </c>
      <c r="B228" s="14" t="s">
        <v>2429</v>
      </c>
      <c r="C228" s="13">
        <v>1.0</v>
      </c>
      <c r="D228" s="15"/>
      <c r="E228" s="14" t="s">
        <v>2430</v>
      </c>
      <c r="G228" s="13">
        <v>20.0</v>
      </c>
      <c r="H228" s="15"/>
      <c r="I228" s="14" t="s">
        <v>2431</v>
      </c>
      <c r="J228" s="15"/>
    </row>
    <row r="229" ht="14.25" customHeight="1">
      <c r="A229" s="10">
        <v>21.0</v>
      </c>
      <c r="B229" s="11" t="s">
        <v>2435</v>
      </c>
      <c r="C229" s="10">
        <v>1.0</v>
      </c>
      <c r="D229" s="12"/>
      <c r="E229" s="11" t="s">
        <v>2436</v>
      </c>
      <c r="F229" s="12"/>
      <c r="G229" s="10">
        <v>21.0</v>
      </c>
      <c r="H229" s="12"/>
      <c r="I229" s="11" t="s">
        <v>2438</v>
      </c>
      <c r="J229" s="12"/>
    </row>
    <row r="230" ht="14.25" customHeight="1">
      <c r="A230" s="13">
        <v>22.0</v>
      </c>
      <c r="B230" s="14" t="s">
        <v>2442</v>
      </c>
      <c r="C230" s="13">
        <v>1.0</v>
      </c>
      <c r="D230" s="15"/>
      <c r="E230" s="14" t="s">
        <v>2443</v>
      </c>
      <c r="G230" s="13">
        <v>22.0</v>
      </c>
      <c r="H230" s="15"/>
      <c r="I230" s="14" t="s">
        <v>2445</v>
      </c>
      <c r="J230" s="15"/>
    </row>
    <row r="231" ht="14.25" customHeight="1">
      <c r="A231" s="10">
        <v>23.0</v>
      </c>
      <c r="B231" s="11" t="s">
        <v>2449</v>
      </c>
      <c r="C231" s="10">
        <v>1.0</v>
      </c>
      <c r="D231" s="12"/>
      <c r="E231" s="11" t="s">
        <v>2450</v>
      </c>
      <c r="G231" s="10">
        <v>23.0</v>
      </c>
      <c r="H231" s="12"/>
      <c r="I231" s="11" t="s">
        <v>2452</v>
      </c>
      <c r="J231" s="12"/>
    </row>
    <row r="232" ht="14.25" customHeight="1">
      <c r="A232" s="13">
        <v>24.0</v>
      </c>
      <c r="B232" s="14" t="s">
        <v>2455</v>
      </c>
      <c r="C232" s="13">
        <v>1.0</v>
      </c>
      <c r="D232" s="15"/>
      <c r="E232" s="14" t="s">
        <v>2456</v>
      </c>
      <c r="G232" s="13">
        <v>24.0</v>
      </c>
      <c r="H232" s="15"/>
      <c r="I232" s="14" t="s">
        <v>2457</v>
      </c>
      <c r="J232" s="15"/>
    </row>
    <row r="233" ht="14.25" customHeight="1">
      <c r="A233" s="10">
        <v>25.0</v>
      </c>
      <c r="B233" s="11" t="s">
        <v>2460</v>
      </c>
      <c r="C233" s="10">
        <v>1.0</v>
      </c>
      <c r="D233" s="12"/>
      <c r="E233" s="11" t="s">
        <v>2461</v>
      </c>
      <c r="F233" s="12"/>
      <c r="G233" s="10">
        <v>25.0</v>
      </c>
      <c r="H233" s="12"/>
      <c r="I233" s="11" t="s">
        <v>2462</v>
      </c>
      <c r="J233" s="12"/>
    </row>
    <row r="234" ht="14.25" customHeight="1">
      <c r="A234" s="13">
        <v>26.0</v>
      </c>
      <c r="B234" s="14" t="s">
        <v>2466</v>
      </c>
      <c r="C234" s="13">
        <v>1.0</v>
      </c>
      <c r="D234" s="15"/>
      <c r="E234" s="14" t="s">
        <v>2467</v>
      </c>
      <c r="G234" s="13">
        <v>26.0</v>
      </c>
      <c r="H234" s="15"/>
      <c r="I234" s="14" t="s">
        <v>2469</v>
      </c>
      <c r="J234" s="15"/>
    </row>
    <row r="235" ht="14.25" customHeight="1">
      <c r="A235" s="10">
        <v>27.0</v>
      </c>
      <c r="B235" s="11" t="s">
        <v>2473</v>
      </c>
      <c r="C235" s="10">
        <v>1.0</v>
      </c>
      <c r="D235" s="12"/>
      <c r="E235" s="11" t="s">
        <v>2474</v>
      </c>
      <c r="G235" s="10">
        <v>27.0</v>
      </c>
      <c r="H235" s="12"/>
      <c r="I235" s="11" t="s">
        <v>2476</v>
      </c>
      <c r="J235" s="12"/>
    </row>
    <row r="236" ht="14.25" customHeight="1">
      <c r="A236" s="13">
        <v>28.0</v>
      </c>
      <c r="B236" s="14" t="s">
        <v>2479</v>
      </c>
      <c r="C236" s="13">
        <v>1.0</v>
      </c>
      <c r="D236" s="15"/>
      <c r="E236" s="14" t="s">
        <v>2480</v>
      </c>
      <c r="F236" s="15"/>
      <c r="G236" s="13">
        <v>28.0</v>
      </c>
      <c r="H236" s="15"/>
      <c r="I236" s="14" t="s">
        <v>2481</v>
      </c>
      <c r="J236" s="15"/>
    </row>
    <row r="237" ht="14.25" customHeight="1">
      <c r="A237" s="10">
        <v>29.0</v>
      </c>
      <c r="B237" s="11" t="s">
        <v>2485</v>
      </c>
      <c r="C237" s="10">
        <v>1.0</v>
      </c>
      <c r="D237" s="12"/>
      <c r="E237" s="11" t="s">
        <v>2486</v>
      </c>
      <c r="G237" s="10">
        <v>29.0</v>
      </c>
      <c r="H237" s="12"/>
      <c r="I237" s="11" t="s">
        <v>2488</v>
      </c>
      <c r="J237" s="12"/>
    </row>
    <row r="238" ht="14.25" customHeight="1">
      <c r="A238" s="13">
        <v>30.0</v>
      </c>
      <c r="B238" s="14" t="s">
        <v>2491</v>
      </c>
      <c r="C238" s="13">
        <v>1.0</v>
      </c>
      <c r="D238" s="15"/>
      <c r="E238" s="14" t="s">
        <v>2492</v>
      </c>
      <c r="F238" s="15"/>
      <c r="G238" s="13">
        <v>30.0</v>
      </c>
      <c r="H238" s="15"/>
      <c r="I238" s="14" t="s">
        <v>2493</v>
      </c>
      <c r="J238" s="15"/>
    </row>
    <row r="239" ht="14.25" customHeight="1">
      <c r="A239" s="10">
        <v>31.0</v>
      </c>
      <c r="B239" s="11" t="s">
        <v>2495</v>
      </c>
      <c r="C239" s="10">
        <v>1.0</v>
      </c>
      <c r="D239" s="12"/>
      <c r="E239" s="11" t="s">
        <v>2344</v>
      </c>
      <c r="F239" s="12"/>
      <c r="G239" s="10">
        <v>31.0</v>
      </c>
      <c r="H239" s="12"/>
      <c r="I239" s="11" t="s">
        <v>2496</v>
      </c>
      <c r="J239" s="12"/>
    </row>
    <row r="240" ht="14.25" customHeight="1">
      <c r="A240" s="13">
        <v>32.0</v>
      </c>
      <c r="B240" s="14" t="s">
        <v>2499</v>
      </c>
      <c r="C240" s="13">
        <v>1.0</v>
      </c>
      <c r="D240" s="15"/>
      <c r="E240" s="14" t="s">
        <v>2500</v>
      </c>
      <c r="F240" s="15"/>
      <c r="G240" s="13">
        <v>32.0</v>
      </c>
      <c r="H240" s="15"/>
      <c r="I240" s="14" t="s">
        <v>2501</v>
      </c>
      <c r="J240" s="15"/>
    </row>
    <row r="241" ht="14.25" customHeight="1">
      <c r="A241" s="10">
        <v>33.0</v>
      </c>
      <c r="B241" s="11" t="s">
        <v>2505</v>
      </c>
      <c r="C241" s="10">
        <v>0.0</v>
      </c>
      <c r="D241" s="12"/>
      <c r="E241" s="11" t="s">
        <v>2506</v>
      </c>
      <c r="G241" s="10">
        <v>33.0</v>
      </c>
      <c r="H241" s="12"/>
      <c r="I241" s="11" t="s">
        <v>2508</v>
      </c>
      <c r="J241" s="12"/>
    </row>
    <row r="242" ht="14.25" customHeight="1">
      <c r="A242" s="13">
        <v>34.0</v>
      </c>
      <c r="B242" s="14" t="s">
        <v>2512</v>
      </c>
      <c r="C242" s="13">
        <v>1.0</v>
      </c>
      <c r="D242" s="15"/>
      <c r="E242" s="14" t="s">
        <v>2513</v>
      </c>
      <c r="G242" s="13">
        <v>34.0</v>
      </c>
      <c r="H242" s="15"/>
      <c r="I242" s="14" t="s">
        <v>2515</v>
      </c>
      <c r="J242" s="15"/>
    </row>
    <row r="243" ht="14.25" customHeight="1">
      <c r="A243" s="10">
        <v>35.0</v>
      </c>
      <c r="B243" s="11" t="s">
        <v>2518</v>
      </c>
      <c r="C243" s="10">
        <v>1.0</v>
      </c>
      <c r="D243" s="11" t="s">
        <v>3431</v>
      </c>
      <c r="E243" s="11" t="s">
        <v>2519</v>
      </c>
      <c r="F243" s="12"/>
      <c r="G243" s="10">
        <v>35.0</v>
      </c>
      <c r="H243" s="12"/>
      <c r="I243" s="11" t="s">
        <v>2520</v>
      </c>
      <c r="J243" s="12"/>
    </row>
    <row r="244" ht="14.25" customHeight="1">
      <c r="A244" s="13">
        <v>36.0</v>
      </c>
      <c r="B244" s="14" t="s">
        <v>2524</v>
      </c>
      <c r="C244" s="13">
        <v>1.0</v>
      </c>
      <c r="D244" s="15"/>
      <c r="E244" s="14" t="s">
        <v>2525</v>
      </c>
      <c r="G244" s="13">
        <v>36.0</v>
      </c>
      <c r="H244" s="15"/>
      <c r="I244" s="14" t="s">
        <v>2526</v>
      </c>
      <c r="J244" s="15"/>
    </row>
    <row r="245" ht="14.25" customHeight="1">
      <c r="A245" s="10">
        <v>37.0</v>
      </c>
      <c r="B245" s="11" t="s">
        <v>2530</v>
      </c>
      <c r="C245" s="10">
        <v>1.0</v>
      </c>
      <c r="D245" s="12"/>
      <c r="E245" s="11" t="s">
        <v>2531</v>
      </c>
      <c r="F245" s="12"/>
      <c r="G245" s="10">
        <v>37.0</v>
      </c>
      <c r="H245" s="12"/>
      <c r="I245" s="11" t="s">
        <v>2533</v>
      </c>
      <c r="J245" s="12"/>
    </row>
    <row r="246" ht="14.25" customHeight="1">
      <c r="A246" s="13">
        <v>38.0</v>
      </c>
      <c r="B246" s="14" t="s">
        <v>2536</v>
      </c>
      <c r="C246" s="13">
        <v>1.0</v>
      </c>
      <c r="D246" s="15"/>
      <c r="E246" s="14" t="s">
        <v>2537</v>
      </c>
      <c r="G246" s="13">
        <v>38.0</v>
      </c>
      <c r="H246" s="15"/>
      <c r="I246" s="14" t="s">
        <v>2538</v>
      </c>
      <c r="J246" s="15"/>
    </row>
    <row r="247" ht="14.25" customHeight="1">
      <c r="A247" s="10">
        <v>39.0</v>
      </c>
      <c r="B247" s="11" t="s">
        <v>2541</v>
      </c>
      <c r="C247" s="10">
        <v>1.0</v>
      </c>
      <c r="D247" s="12"/>
      <c r="E247" s="11" t="s">
        <v>2542</v>
      </c>
      <c r="G247" s="10">
        <v>39.0</v>
      </c>
      <c r="H247" s="12"/>
      <c r="I247" s="11" t="s">
        <v>2543</v>
      </c>
      <c r="J247" s="12"/>
    </row>
    <row r="248" ht="14.25" customHeight="1">
      <c r="A248" s="13">
        <v>40.0</v>
      </c>
      <c r="B248" s="14" t="s">
        <v>2547</v>
      </c>
      <c r="C248" s="13">
        <v>1.0</v>
      </c>
      <c r="D248" s="15"/>
      <c r="E248" s="14" t="s">
        <v>2548</v>
      </c>
      <c r="G248" s="13">
        <v>40.0</v>
      </c>
      <c r="H248" s="15"/>
      <c r="I248" s="14" t="s">
        <v>2550</v>
      </c>
      <c r="J248" s="15"/>
    </row>
    <row r="249" ht="14.25" customHeight="1">
      <c r="A249" s="10">
        <v>41.0</v>
      </c>
      <c r="B249" s="11" t="s">
        <v>2554</v>
      </c>
      <c r="C249" s="10">
        <v>1.0</v>
      </c>
      <c r="D249" s="12"/>
      <c r="E249" s="11" t="s">
        <v>2555</v>
      </c>
      <c r="G249" s="10">
        <v>41.0</v>
      </c>
      <c r="H249" s="12"/>
      <c r="I249" s="11" t="s">
        <v>3432</v>
      </c>
      <c r="J249" s="12"/>
    </row>
    <row r="250" ht="14.25" customHeight="1">
      <c r="A250" s="13">
        <v>42.0</v>
      </c>
      <c r="B250" s="14" t="s">
        <v>2561</v>
      </c>
      <c r="C250" s="13">
        <v>1.0</v>
      </c>
      <c r="D250" s="14" t="s">
        <v>3433</v>
      </c>
      <c r="E250" s="14" t="s">
        <v>2562</v>
      </c>
      <c r="F250" s="15"/>
      <c r="G250" s="13">
        <v>42.0</v>
      </c>
      <c r="H250" s="15"/>
      <c r="I250" s="14" t="s">
        <v>2564</v>
      </c>
      <c r="J250" s="15"/>
    </row>
    <row r="251" ht="14.25" customHeight="1">
      <c r="A251" s="10">
        <v>43.0</v>
      </c>
      <c r="B251" s="11" t="s">
        <v>2568</v>
      </c>
      <c r="C251" s="10">
        <v>1.0</v>
      </c>
      <c r="D251" s="11" t="s">
        <v>3434</v>
      </c>
      <c r="E251" s="11" t="s">
        <v>2569</v>
      </c>
      <c r="G251" s="10">
        <v>43.0</v>
      </c>
      <c r="H251" s="12"/>
      <c r="I251" s="11" t="s">
        <v>2571</v>
      </c>
      <c r="J251" s="12"/>
    </row>
    <row r="252" ht="14.25" customHeight="1">
      <c r="A252" s="13">
        <v>44.0</v>
      </c>
      <c r="B252" s="14" t="s">
        <v>2575</v>
      </c>
      <c r="C252" s="13">
        <v>1.0</v>
      </c>
      <c r="D252" s="15"/>
      <c r="E252" s="14" t="s">
        <v>2576</v>
      </c>
      <c r="G252" s="13">
        <v>44.0</v>
      </c>
      <c r="H252" s="15"/>
      <c r="I252" s="14" t="s">
        <v>2578</v>
      </c>
      <c r="J252" s="15"/>
    </row>
    <row r="253" ht="14.25" customHeight="1">
      <c r="A253" s="10">
        <v>45.0</v>
      </c>
      <c r="B253" s="11" t="s">
        <v>2582</v>
      </c>
      <c r="C253" s="10">
        <v>1.0</v>
      </c>
      <c r="D253" s="12"/>
      <c r="E253" s="11" t="s">
        <v>2583</v>
      </c>
      <c r="G253" s="10">
        <v>45.0</v>
      </c>
      <c r="H253" s="12"/>
      <c r="I253" s="11" t="s">
        <v>2585</v>
      </c>
      <c r="J253" s="12"/>
    </row>
    <row r="254" ht="14.25" customHeight="1">
      <c r="A254" s="13">
        <v>46.0</v>
      </c>
      <c r="B254" s="14" t="s">
        <v>2589</v>
      </c>
      <c r="C254" s="13">
        <v>1.0</v>
      </c>
      <c r="D254" s="15"/>
      <c r="E254" s="14" t="s">
        <v>2590</v>
      </c>
      <c r="G254" s="13">
        <v>46.0</v>
      </c>
      <c r="H254" s="15"/>
      <c r="I254" s="14" t="s">
        <v>2591</v>
      </c>
      <c r="J254" s="15"/>
    </row>
    <row r="255" ht="14.25" customHeight="1">
      <c r="A255" s="10">
        <v>47.0</v>
      </c>
      <c r="B255" s="11" t="s">
        <v>2595</v>
      </c>
      <c r="C255" s="10">
        <v>1.0</v>
      </c>
      <c r="D255" s="12"/>
      <c r="E255" s="11" t="s">
        <v>2596</v>
      </c>
      <c r="G255" s="10">
        <v>47.0</v>
      </c>
      <c r="H255" s="12"/>
      <c r="I255" s="11" t="s">
        <v>2598</v>
      </c>
      <c r="J255" s="12"/>
    </row>
    <row r="256" ht="14.25" customHeight="1">
      <c r="A256" s="13">
        <v>48.0</v>
      </c>
      <c r="B256" s="14" t="s">
        <v>2602</v>
      </c>
      <c r="C256" s="13">
        <v>1.0</v>
      </c>
      <c r="D256" s="15"/>
      <c r="E256" s="14" t="s">
        <v>2603</v>
      </c>
      <c r="G256" s="13">
        <v>48.0</v>
      </c>
      <c r="H256" s="15"/>
      <c r="I256" s="14" t="s">
        <v>2605</v>
      </c>
      <c r="J256" s="15"/>
    </row>
    <row r="257" ht="14.25" customHeight="1">
      <c r="A257" s="10">
        <v>49.0</v>
      </c>
      <c r="B257" s="11" t="s">
        <v>2608</v>
      </c>
      <c r="C257" s="10">
        <v>1.0</v>
      </c>
      <c r="D257" s="12"/>
      <c r="E257" s="11" t="s">
        <v>2609</v>
      </c>
      <c r="G257" s="10">
        <v>49.0</v>
      </c>
      <c r="H257" s="12"/>
      <c r="I257" s="11" t="s">
        <v>2610</v>
      </c>
      <c r="J257" s="12"/>
    </row>
    <row r="258" ht="14.25" customHeight="1">
      <c r="A258" s="13">
        <v>50.0</v>
      </c>
      <c r="B258" s="14" t="s">
        <v>2613</v>
      </c>
      <c r="C258" s="13">
        <v>0.0</v>
      </c>
      <c r="D258" s="15"/>
      <c r="E258" s="14" t="s">
        <v>2614</v>
      </c>
      <c r="G258" s="13">
        <v>50.0</v>
      </c>
      <c r="H258" s="15"/>
      <c r="I258" s="14" t="s">
        <v>2615</v>
      </c>
      <c r="J258" s="15"/>
    </row>
    <row r="259" ht="14.25" customHeight="1">
      <c r="A259" s="10">
        <v>51.0</v>
      </c>
      <c r="B259" s="11" t="s">
        <v>2619</v>
      </c>
      <c r="C259" s="10">
        <v>1.0</v>
      </c>
      <c r="D259" s="12"/>
      <c r="E259" s="11" t="s">
        <v>2620</v>
      </c>
      <c r="G259" s="10">
        <v>51.0</v>
      </c>
      <c r="H259" s="12"/>
      <c r="I259" s="11" t="s">
        <v>2622</v>
      </c>
      <c r="J259" s="12"/>
    </row>
    <row r="260" ht="14.25" customHeight="1">
      <c r="A260" s="13">
        <v>52.0</v>
      </c>
      <c r="B260" s="14" t="s">
        <v>2377</v>
      </c>
      <c r="C260" s="13">
        <v>1.0</v>
      </c>
      <c r="D260" s="15"/>
      <c r="E260" s="14" t="s">
        <v>2624</v>
      </c>
      <c r="G260" s="13">
        <v>52.0</v>
      </c>
      <c r="H260" s="15"/>
      <c r="I260" s="14" t="s">
        <v>2625</v>
      </c>
      <c r="J260" s="15"/>
    </row>
    <row r="261" ht="14.25" customHeight="1">
      <c r="A261" s="10">
        <v>53.0</v>
      </c>
      <c r="B261" s="11" t="s">
        <v>2628</v>
      </c>
      <c r="C261" s="10">
        <v>1.0</v>
      </c>
      <c r="D261" s="12"/>
      <c r="E261" s="11" t="s">
        <v>2629</v>
      </c>
      <c r="G261" s="10">
        <v>53.0</v>
      </c>
      <c r="H261" s="12"/>
      <c r="I261" s="11" t="s">
        <v>2630</v>
      </c>
      <c r="J261" s="12"/>
    </row>
    <row r="262" ht="14.25" customHeight="1">
      <c r="A262" s="13">
        <v>54.0</v>
      </c>
      <c r="B262" s="14" t="s">
        <v>2633</v>
      </c>
      <c r="C262" s="13">
        <v>0.0</v>
      </c>
      <c r="D262" s="15"/>
      <c r="E262" s="14" t="s">
        <v>2634</v>
      </c>
      <c r="G262" s="13">
        <v>54.0</v>
      </c>
      <c r="H262" s="15"/>
      <c r="I262" s="14" t="s">
        <v>2635</v>
      </c>
      <c r="J262" s="15"/>
    </row>
    <row r="263" ht="14.25" customHeight="1">
      <c r="A263" s="10">
        <v>55.0</v>
      </c>
      <c r="B263" s="11" t="s">
        <v>2639</v>
      </c>
      <c r="C263" s="10">
        <v>1.0</v>
      </c>
      <c r="D263" s="12"/>
      <c r="E263" s="11" t="s">
        <v>2640</v>
      </c>
      <c r="G263" s="10">
        <v>55.0</v>
      </c>
      <c r="H263" s="12"/>
      <c r="I263" s="11" t="s">
        <v>2571</v>
      </c>
      <c r="J263" s="12"/>
    </row>
    <row r="264" ht="14.25" customHeight="1">
      <c r="A264" s="13">
        <v>56.0</v>
      </c>
      <c r="B264" s="14" t="s">
        <v>2645</v>
      </c>
      <c r="C264" s="13">
        <v>1.0</v>
      </c>
      <c r="D264" s="15"/>
      <c r="E264" s="14" t="s">
        <v>2646</v>
      </c>
      <c r="G264" s="13">
        <v>56.0</v>
      </c>
      <c r="H264" s="15"/>
      <c r="I264" s="14" t="s">
        <v>2648</v>
      </c>
      <c r="J264" s="15"/>
    </row>
    <row r="265" ht="14.25" customHeight="1">
      <c r="A265" s="10">
        <v>57.0</v>
      </c>
      <c r="B265" s="11" t="s">
        <v>2652</v>
      </c>
      <c r="C265" s="10">
        <v>1.0</v>
      </c>
      <c r="D265" s="12"/>
      <c r="E265" s="11" t="s">
        <v>2653</v>
      </c>
      <c r="G265" s="10">
        <v>57.0</v>
      </c>
      <c r="H265" s="12"/>
      <c r="I265" s="11" t="s">
        <v>2655</v>
      </c>
      <c r="J265" s="12"/>
    </row>
    <row r="266" ht="14.25" customHeight="1">
      <c r="A266" s="13">
        <v>58.0</v>
      </c>
      <c r="B266" s="14" t="s">
        <v>2658</v>
      </c>
      <c r="C266" s="13">
        <v>1.0</v>
      </c>
      <c r="D266" s="15"/>
      <c r="E266" s="14" t="s">
        <v>2659</v>
      </c>
      <c r="G266" s="13">
        <v>58.0</v>
      </c>
      <c r="H266" s="15"/>
      <c r="I266" s="14" t="s">
        <v>2660</v>
      </c>
      <c r="J266" s="15"/>
    </row>
    <row r="267" ht="14.25" customHeight="1">
      <c r="A267" s="10">
        <v>59.0</v>
      </c>
      <c r="B267" s="11" t="s">
        <v>2663</v>
      </c>
      <c r="C267" s="10">
        <v>1.0</v>
      </c>
      <c r="D267" s="12"/>
      <c r="E267" s="11" t="s">
        <v>2664</v>
      </c>
      <c r="G267" s="10">
        <v>59.0</v>
      </c>
      <c r="H267" s="12"/>
      <c r="I267" s="11" t="s">
        <v>2665</v>
      </c>
      <c r="J267" s="12"/>
    </row>
    <row r="268" ht="14.25" customHeight="1">
      <c r="A268" s="13">
        <v>60.0</v>
      </c>
      <c r="B268" s="14" t="s">
        <v>2668</v>
      </c>
      <c r="C268" s="13">
        <v>1.0</v>
      </c>
      <c r="D268" s="15"/>
      <c r="E268" s="14" t="s">
        <v>2669</v>
      </c>
      <c r="F268" s="15"/>
      <c r="G268" s="13">
        <v>60.0</v>
      </c>
      <c r="H268" s="15"/>
      <c r="I268" s="14" t="s">
        <v>2670</v>
      </c>
      <c r="J268" s="15"/>
    </row>
    <row r="269" ht="14.25" customHeight="1">
      <c r="A269" s="10">
        <v>61.0</v>
      </c>
      <c r="B269" s="11" t="s">
        <v>2673</v>
      </c>
      <c r="C269" s="10">
        <v>1.0</v>
      </c>
      <c r="D269" s="12"/>
      <c r="E269" s="11" t="s">
        <v>2674</v>
      </c>
      <c r="F269" s="12"/>
      <c r="G269" s="10">
        <v>61.0</v>
      </c>
      <c r="H269" s="12"/>
      <c r="I269" s="11" t="s">
        <v>2675</v>
      </c>
      <c r="J269" s="12"/>
    </row>
    <row r="270" ht="14.25" customHeight="1">
      <c r="A270" s="13">
        <v>62.0</v>
      </c>
      <c r="B270" s="14" t="s">
        <v>2678</v>
      </c>
      <c r="C270" s="13">
        <v>1.0</v>
      </c>
      <c r="D270" s="15"/>
      <c r="E270" s="14" t="s">
        <v>2679</v>
      </c>
      <c r="G270" s="13">
        <v>62.0</v>
      </c>
      <c r="H270" s="15"/>
      <c r="I270" s="14" t="s">
        <v>2543</v>
      </c>
      <c r="J270" s="15"/>
    </row>
    <row r="271" ht="14.25" customHeight="1">
      <c r="A271" s="10">
        <v>63.0</v>
      </c>
      <c r="B271" s="11" t="s">
        <v>2681</v>
      </c>
      <c r="C271" s="10">
        <v>1.0</v>
      </c>
      <c r="D271" s="12"/>
      <c r="E271" s="11" t="s">
        <v>2682</v>
      </c>
      <c r="G271" s="10">
        <v>63.0</v>
      </c>
      <c r="H271" s="12"/>
      <c r="I271" s="11" t="s">
        <v>2564</v>
      </c>
      <c r="J271" s="12"/>
    </row>
    <row r="272" ht="14.25" customHeight="1">
      <c r="A272" s="13">
        <v>64.0</v>
      </c>
      <c r="B272" s="14" t="s">
        <v>2686</v>
      </c>
      <c r="C272" s="13">
        <v>1.0</v>
      </c>
      <c r="D272" s="15"/>
      <c r="E272" s="14" t="s">
        <v>2687</v>
      </c>
      <c r="G272" s="13">
        <v>64.0</v>
      </c>
      <c r="H272" s="15"/>
      <c r="I272" s="14" t="s">
        <v>2689</v>
      </c>
      <c r="J272" s="15"/>
    </row>
    <row r="273" ht="14.25" customHeight="1">
      <c r="A273" s="10">
        <v>65.0</v>
      </c>
      <c r="B273" s="11" t="s">
        <v>2692</v>
      </c>
      <c r="C273" s="10">
        <v>1.0</v>
      </c>
      <c r="D273" s="12"/>
      <c r="E273" s="11" t="s">
        <v>2693</v>
      </c>
      <c r="G273" s="10">
        <v>65.0</v>
      </c>
      <c r="H273" s="12"/>
      <c r="I273" s="11" t="s">
        <v>2694</v>
      </c>
      <c r="J273" s="12"/>
    </row>
    <row r="274" ht="14.25" customHeight="1">
      <c r="A274" s="13">
        <v>66.0</v>
      </c>
      <c r="B274" s="14" t="s">
        <v>2698</v>
      </c>
      <c r="C274" s="13">
        <v>1.0</v>
      </c>
      <c r="D274" s="15"/>
      <c r="E274" s="14" t="s">
        <v>2699</v>
      </c>
      <c r="F274" s="15"/>
      <c r="G274" s="13">
        <v>66.0</v>
      </c>
      <c r="H274" s="15"/>
      <c r="I274" s="14" t="s">
        <v>2701</v>
      </c>
      <c r="J274" s="15"/>
    </row>
    <row r="275" ht="14.25" customHeight="1">
      <c r="A275" s="10">
        <v>67.0</v>
      </c>
      <c r="B275" s="11" t="s">
        <v>2704</v>
      </c>
      <c r="C275" s="10">
        <v>1.0</v>
      </c>
      <c r="D275" s="12"/>
      <c r="E275" s="11" t="s">
        <v>2705</v>
      </c>
      <c r="G275" s="10">
        <v>67.0</v>
      </c>
      <c r="H275" s="12"/>
      <c r="I275" s="11" t="s">
        <v>2706</v>
      </c>
      <c r="J275" s="12"/>
    </row>
    <row r="276" ht="14.25" customHeight="1">
      <c r="A276" s="13">
        <v>68.0</v>
      </c>
      <c r="B276" s="14" t="s">
        <v>2709</v>
      </c>
      <c r="C276" s="13">
        <v>1.0</v>
      </c>
      <c r="D276" s="15"/>
      <c r="E276" s="14" t="s">
        <v>2710</v>
      </c>
      <c r="G276" s="13">
        <v>68.0</v>
      </c>
      <c r="H276" s="15"/>
      <c r="I276" s="14" t="s">
        <v>2711</v>
      </c>
      <c r="J276" s="15"/>
    </row>
    <row r="277" ht="14.25" customHeight="1">
      <c r="A277" s="10">
        <v>69.0</v>
      </c>
      <c r="B277" s="11" t="s">
        <v>2714</v>
      </c>
      <c r="C277" s="10">
        <v>1.0</v>
      </c>
      <c r="D277" s="12"/>
      <c r="E277" s="11" t="s">
        <v>2715</v>
      </c>
      <c r="G277" s="10">
        <v>69.0</v>
      </c>
      <c r="H277" s="12"/>
      <c r="I277" s="11" t="s">
        <v>2716</v>
      </c>
      <c r="J277" s="12"/>
    </row>
    <row r="278" ht="14.25" customHeight="1">
      <c r="A278" s="13">
        <v>70.0</v>
      </c>
      <c r="B278" s="14" t="s">
        <v>2719</v>
      </c>
      <c r="C278" s="13">
        <v>1.0</v>
      </c>
      <c r="D278" s="14" t="s">
        <v>3435</v>
      </c>
      <c r="E278" s="14" t="s">
        <v>2720</v>
      </c>
      <c r="G278" s="13">
        <v>70.0</v>
      </c>
      <c r="H278" s="15"/>
      <c r="I278" s="14" t="s">
        <v>2721</v>
      </c>
      <c r="J278" s="15"/>
    </row>
    <row r="279" ht="14.25" customHeight="1">
      <c r="A279" s="10">
        <v>71.0</v>
      </c>
      <c r="B279" s="11" t="s">
        <v>2725</v>
      </c>
      <c r="C279" s="10">
        <v>1.0</v>
      </c>
      <c r="D279" s="12"/>
      <c r="E279" s="11" t="s">
        <v>2726</v>
      </c>
      <c r="G279" s="10">
        <v>71.0</v>
      </c>
      <c r="H279" s="12"/>
      <c r="I279" s="11" t="s">
        <v>2728</v>
      </c>
      <c r="J279" s="12"/>
    </row>
    <row r="280" ht="14.25" customHeight="1">
      <c r="A280" s="13">
        <v>72.0</v>
      </c>
      <c r="B280" s="14" t="s">
        <v>2731</v>
      </c>
      <c r="C280" s="13">
        <v>1.0</v>
      </c>
      <c r="D280" s="15"/>
      <c r="E280" s="14" t="s">
        <v>2732</v>
      </c>
      <c r="G280" s="13">
        <v>72.0</v>
      </c>
      <c r="H280" s="15"/>
      <c r="I280" s="14" t="s">
        <v>2733</v>
      </c>
      <c r="J280" s="15"/>
    </row>
    <row r="281" ht="14.25" customHeight="1">
      <c r="A281" s="10">
        <v>73.0</v>
      </c>
      <c r="B281" s="11" t="s">
        <v>2736</v>
      </c>
      <c r="C281" s="10">
        <v>1.0</v>
      </c>
      <c r="D281" s="12"/>
      <c r="E281" s="11" t="s">
        <v>2737</v>
      </c>
      <c r="G281" s="10">
        <v>73.0</v>
      </c>
      <c r="H281" s="12"/>
      <c r="I281" s="11" t="s">
        <v>2738</v>
      </c>
      <c r="J281" s="12"/>
    </row>
    <row r="282" ht="14.25" customHeight="1">
      <c r="A282" s="13">
        <v>74.0</v>
      </c>
      <c r="B282" s="14" t="s">
        <v>2741</v>
      </c>
      <c r="C282" s="13">
        <v>1.0</v>
      </c>
      <c r="D282" s="15"/>
      <c r="E282" s="14" t="s">
        <v>2742</v>
      </c>
      <c r="G282" s="13">
        <v>74.0</v>
      </c>
      <c r="H282" s="15"/>
      <c r="I282" s="14" t="s">
        <v>2743</v>
      </c>
      <c r="J282" s="15"/>
    </row>
    <row r="283" ht="14.25" customHeight="1">
      <c r="A283" s="10">
        <v>75.0</v>
      </c>
      <c r="B283" s="11" t="s">
        <v>2747</v>
      </c>
      <c r="C283" s="10">
        <v>1.0</v>
      </c>
      <c r="D283" s="12"/>
      <c r="E283" s="11" t="s">
        <v>2748</v>
      </c>
      <c r="G283" s="10">
        <v>75.0</v>
      </c>
      <c r="H283" s="12"/>
      <c r="I283" s="11" t="s">
        <v>2749</v>
      </c>
      <c r="J283" s="12"/>
    </row>
    <row r="284" ht="14.25" customHeight="1">
      <c r="A284" s="13">
        <v>76.0</v>
      </c>
      <c r="B284" s="14" t="s">
        <v>2751</v>
      </c>
      <c r="C284" s="13">
        <v>1.0</v>
      </c>
      <c r="D284" s="14" t="s">
        <v>3436</v>
      </c>
      <c r="E284" s="14" t="s">
        <v>2519</v>
      </c>
      <c r="F284" s="15"/>
      <c r="G284" s="13">
        <v>76.0</v>
      </c>
      <c r="H284" s="15"/>
      <c r="I284" s="14" t="s">
        <v>2752</v>
      </c>
      <c r="J284" s="15"/>
    </row>
    <row r="285" ht="14.25" customHeight="1">
      <c r="A285" s="10">
        <v>77.0</v>
      </c>
      <c r="B285" s="11" t="s">
        <v>2755</v>
      </c>
      <c r="C285" s="10">
        <v>1.0</v>
      </c>
      <c r="D285" s="12"/>
      <c r="E285" s="11" t="s">
        <v>2756</v>
      </c>
      <c r="F285" s="12"/>
      <c r="G285" s="10">
        <v>77.0</v>
      </c>
      <c r="H285" s="12"/>
      <c r="I285" s="11" t="s">
        <v>2758</v>
      </c>
      <c r="J285" s="12"/>
    </row>
    <row r="286" ht="14.25" customHeight="1">
      <c r="A286" s="13">
        <v>78.0</v>
      </c>
      <c r="B286" s="14" t="s">
        <v>2762</v>
      </c>
      <c r="C286" s="13">
        <v>1.0</v>
      </c>
      <c r="D286" s="15"/>
      <c r="E286" s="14" t="s">
        <v>2763</v>
      </c>
      <c r="G286" s="13">
        <v>78.0</v>
      </c>
      <c r="H286" s="15"/>
      <c r="I286" s="14" t="s">
        <v>2765</v>
      </c>
      <c r="J286" s="15"/>
    </row>
    <row r="287" ht="14.25" customHeight="1">
      <c r="A287" s="10">
        <v>79.0</v>
      </c>
      <c r="B287" s="11" t="s">
        <v>2769</v>
      </c>
      <c r="C287" s="10">
        <v>1.0</v>
      </c>
      <c r="D287" s="11" t="s">
        <v>3437</v>
      </c>
      <c r="E287" s="11" t="s">
        <v>2770</v>
      </c>
      <c r="G287" s="10">
        <v>79.0</v>
      </c>
      <c r="H287" s="12"/>
      <c r="I287" s="11" t="s">
        <v>2772</v>
      </c>
      <c r="J287" s="12"/>
    </row>
    <row r="288" ht="14.25" customHeight="1">
      <c r="A288" s="13">
        <v>80.0</v>
      </c>
      <c r="B288" s="14" t="s">
        <v>2776</v>
      </c>
      <c r="C288" s="13">
        <v>1.0</v>
      </c>
      <c r="D288" s="15"/>
      <c r="E288" s="14" t="s">
        <v>2777</v>
      </c>
      <c r="G288" s="13">
        <v>80.0</v>
      </c>
      <c r="H288" s="15"/>
      <c r="I288" s="14" t="s">
        <v>2779</v>
      </c>
      <c r="J288" s="15"/>
    </row>
    <row r="289" ht="14.25" customHeight="1">
      <c r="A289" s="10">
        <v>81.0</v>
      </c>
      <c r="B289" s="11" t="s">
        <v>2782</v>
      </c>
      <c r="C289" s="10">
        <v>1.0</v>
      </c>
      <c r="D289" s="12"/>
      <c r="E289" s="11" t="s">
        <v>2783</v>
      </c>
      <c r="F289" s="12"/>
      <c r="G289" s="10">
        <v>81.0</v>
      </c>
      <c r="H289" s="12"/>
      <c r="I289" s="11" t="s">
        <v>2784</v>
      </c>
      <c r="J289" s="12"/>
    </row>
    <row r="290" ht="14.25" customHeight="1">
      <c r="A290" s="13">
        <v>82.0</v>
      </c>
      <c r="B290" s="14" t="s">
        <v>2787</v>
      </c>
      <c r="C290" s="13">
        <v>1.0</v>
      </c>
      <c r="D290" s="15"/>
      <c r="E290" s="14" t="s">
        <v>2788</v>
      </c>
      <c r="G290" s="13">
        <v>82.0</v>
      </c>
      <c r="H290" s="15"/>
      <c r="I290" s="14" t="s">
        <v>2789</v>
      </c>
      <c r="J290" s="15"/>
    </row>
    <row r="291" ht="14.25" customHeight="1">
      <c r="A291" s="10">
        <v>83.0</v>
      </c>
      <c r="B291" s="11" t="s">
        <v>2793</v>
      </c>
      <c r="C291" s="10">
        <v>1.0</v>
      </c>
      <c r="D291" s="12"/>
      <c r="E291" s="11" t="s">
        <v>2794</v>
      </c>
      <c r="G291" s="10">
        <v>83.0</v>
      </c>
      <c r="H291" s="12"/>
      <c r="I291" s="11" t="s">
        <v>3438</v>
      </c>
      <c r="J291" s="12"/>
    </row>
    <row r="292" ht="14.25" customHeight="1">
      <c r="A292" s="13">
        <v>84.0</v>
      </c>
      <c r="B292" s="14" t="s">
        <v>2800</v>
      </c>
      <c r="C292" s="13">
        <v>1.0</v>
      </c>
      <c r="D292" s="15"/>
      <c r="E292" s="14" t="s">
        <v>2801</v>
      </c>
      <c r="G292" s="13">
        <v>84.0</v>
      </c>
      <c r="H292" s="15"/>
      <c r="I292" s="14" t="s">
        <v>2803</v>
      </c>
      <c r="J292" s="15"/>
    </row>
    <row r="293" ht="14.25" customHeight="1">
      <c r="A293" s="10">
        <v>85.0</v>
      </c>
      <c r="B293" s="11" t="s">
        <v>2806</v>
      </c>
      <c r="C293" s="10">
        <v>1.0</v>
      </c>
      <c r="D293" s="12"/>
      <c r="E293" s="11" t="s">
        <v>2807</v>
      </c>
      <c r="G293" s="10">
        <v>85.0</v>
      </c>
      <c r="H293" s="12"/>
      <c r="I293" s="11" t="s">
        <v>2808</v>
      </c>
      <c r="J293" s="12"/>
    </row>
    <row r="294" ht="14.25" customHeight="1">
      <c r="A294" s="13">
        <v>86.0</v>
      </c>
      <c r="B294" s="14" t="s">
        <v>2811</v>
      </c>
      <c r="C294" s="13">
        <v>1.0</v>
      </c>
      <c r="D294" s="15"/>
      <c r="E294" s="14" t="s">
        <v>2812</v>
      </c>
      <c r="G294" s="13">
        <v>86.0</v>
      </c>
      <c r="H294" s="15"/>
      <c r="I294" s="14" t="s">
        <v>2813</v>
      </c>
      <c r="J294" s="15"/>
    </row>
    <row r="295" ht="14.25" customHeight="1">
      <c r="A295" s="10">
        <v>87.0</v>
      </c>
      <c r="B295" s="11" t="s">
        <v>2817</v>
      </c>
      <c r="C295" s="10">
        <v>1.0</v>
      </c>
      <c r="D295" s="12"/>
      <c r="E295" s="11" t="s">
        <v>2818</v>
      </c>
      <c r="F295" s="12"/>
      <c r="G295" s="10">
        <v>87.0</v>
      </c>
      <c r="H295" s="12"/>
      <c r="I295" s="11" t="s">
        <v>2820</v>
      </c>
      <c r="J295" s="12"/>
    </row>
    <row r="296" ht="14.25" customHeight="1">
      <c r="A296" s="13">
        <v>88.0</v>
      </c>
      <c r="B296" s="14" t="s">
        <v>2822</v>
      </c>
      <c r="C296" s="13">
        <v>0.0</v>
      </c>
      <c r="D296" s="15"/>
      <c r="E296" s="14" t="s">
        <v>2812</v>
      </c>
      <c r="G296" s="13">
        <v>88.0</v>
      </c>
      <c r="H296" s="15"/>
      <c r="I296" s="14" t="s">
        <v>2823</v>
      </c>
      <c r="J296" s="15"/>
    </row>
    <row r="297" ht="14.25" customHeight="1">
      <c r="A297" s="10">
        <v>89.0</v>
      </c>
      <c r="B297" s="11" t="s">
        <v>2826</v>
      </c>
      <c r="C297" s="10">
        <v>0.0</v>
      </c>
      <c r="D297" s="12"/>
      <c r="E297" s="11" t="s">
        <v>2827</v>
      </c>
      <c r="G297" s="10">
        <v>89.0</v>
      </c>
      <c r="H297" s="12"/>
      <c r="I297" s="11" t="s">
        <v>2828</v>
      </c>
      <c r="J297" s="12"/>
    </row>
    <row r="298" ht="14.25" customHeight="1">
      <c r="A298" s="13">
        <v>90.0</v>
      </c>
      <c r="B298" s="14" t="s">
        <v>2832</v>
      </c>
      <c r="C298" s="13">
        <v>1.0</v>
      </c>
      <c r="D298" s="15"/>
      <c r="E298" s="14" t="s">
        <v>2833</v>
      </c>
      <c r="G298" s="13">
        <v>90.0</v>
      </c>
      <c r="H298" s="15"/>
      <c r="I298" s="14" t="s">
        <v>2835</v>
      </c>
      <c r="J298" s="15"/>
    </row>
    <row r="299" ht="14.25" customHeight="1">
      <c r="A299" s="10">
        <v>91.0</v>
      </c>
      <c r="B299" s="11" t="s">
        <v>2838</v>
      </c>
      <c r="C299" s="10">
        <v>1.0</v>
      </c>
      <c r="D299" s="12"/>
      <c r="E299" s="11" t="s">
        <v>2839</v>
      </c>
      <c r="F299" s="12"/>
      <c r="G299" s="10">
        <v>91.0</v>
      </c>
      <c r="H299" s="12"/>
      <c r="I299" s="11" t="s">
        <v>2840</v>
      </c>
      <c r="J299" s="12"/>
    </row>
    <row r="300" ht="14.25" customHeight="1">
      <c r="A300" s="13">
        <v>92.0</v>
      </c>
      <c r="B300" s="14" t="s">
        <v>2844</v>
      </c>
      <c r="C300" s="13">
        <v>0.0</v>
      </c>
      <c r="D300" s="15"/>
      <c r="E300" s="14" t="s">
        <v>2845</v>
      </c>
      <c r="G300" s="13">
        <v>92.0</v>
      </c>
      <c r="H300" s="15"/>
      <c r="I300" s="14" t="s">
        <v>2847</v>
      </c>
      <c r="J300" s="15"/>
    </row>
    <row r="301" ht="14.25" customHeight="1">
      <c r="A301" s="10">
        <v>93.0</v>
      </c>
      <c r="B301" s="11" t="s">
        <v>2850</v>
      </c>
      <c r="C301" s="10">
        <v>0.0</v>
      </c>
      <c r="D301" s="12"/>
      <c r="E301" s="11" t="s">
        <v>2851</v>
      </c>
      <c r="F301" s="12"/>
      <c r="G301" s="10">
        <v>93.0</v>
      </c>
      <c r="H301" s="12"/>
      <c r="I301" s="11" t="s">
        <v>2852</v>
      </c>
      <c r="J301" s="12"/>
    </row>
    <row r="302" ht="14.25" customHeight="1">
      <c r="A302" s="13">
        <v>94.0</v>
      </c>
      <c r="B302" s="14" t="s">
        <v>2856</v>
      </c>
      <c r="C302" s="13">
        <v>0.0</v>
      </c>
      <c r="D302" s="15"/>
      <c r="E302" s="14" t="s">
        <v>2857</v>
      </c>
      <c r="G302" s="13">
        <v>94.0</v>
      </c>
      <c r="H302" s="15"/>
      <c r="I302" s="14" t="s">
        <v>2859</v>
      </c>
      <c r="J302" s="15"/>
    </row>
    <row r="303" ht="14.25" customHeight="1">
      <c r="A303" s="10">
        <v>95.0</v>
      </c>
      <c r="B303" s="11" t="s">
        <v>2536</v>
      </c>
      <c r="C303" s="10">
        <v>0.0</v>
      </c>
      <c r="D303" s="12"/>
      <c r="E303" s="11" t="s">
        <v>2861</v>
      </c>
      <c r="G303" s="10">
        <v>95.0</v>
      </c>
      <c r="H303" s="12"/>
      <c r="I303" s="11" t="s">
        <v>2862</v>
      </c>
      <c r="J303" s="12"/>
    </row>
    <row r="304" ht="14.25" customHeight="1">
      <c r="A304" s="13">
        <v>96.0</v>
      </c>
      <c r="B304" s="14" t="s">
        <v>2866</v>
      </c>
      <c r="C304" s="13">
        <v>1.0</v>
      </c>
      <c r="D304" s="15"/>
      <c r="E304" s="14" t="s">
        <v>2867</v>
      </c>
      <c r="G304" s="13">
        <v>96.0</v>
      </c>
      <c r="H304" s="15"/>
      <c r="I304" s="14" t="s">
        <v>2868</v>
      </c>
      <c r="J304" s="15"/>
    </row>
    <row r="305" ht="14.25" customHeight="1">
      <c r="A305" s="10">
        <v>97.0</v>
      </c>
      <c r="B305" s="11" t="s">
        <v>2872</v>
      </c>
      <c r="C305" s="10">
        <v>1.0</v>
      </c>
      <c r="D305" s="12"/>
      <c r="E305" s="11" t="s">
        <v>2873</v>
      </c>
      <c r="G305" s="10">
        <v>97.0</v>
      </c>
      <c r="H305" s="12"/>
      <c r="I305" s="11" t="s">
        <v>2689</v>
      </c>
      <c r="J305" s="12"/>
    </row>
    <row r="306" ht="14.25" customHeight="1">
      <c r="A306" s="13">
        <v>98.0</v>
      </c>
      <c r="B306" s="14" t="s">
        <v>2877</v>
      </c>
      <c r="C306" s="13">
        <v>1.0</v>
      </c>
      <c r="D306" s="15"/>
      <c r="E306" s="14" t="s">
        <v>2878</v>
      </c>
      <c r="G306" s="13">
        <v>98.0</v>
      </c>
      <c r="H306" s="15"/>
      <c r="I306" s="14" t="s">
        <v>2738</v>
      </c>
      <c r="J306" s="15"/>
    </row>
    <row r="307" ht="14.25" customHeight="1">
      <c r="A307" s="10">
        <v>99.0</v>
      </c>
      <c r="B307" s="11" t="s">
        <v>2881</v>
      </c>
      <c r="C307" s="10">
        <v>1.0</v>
      </c>
      <c r="D307" s="12"/>
      <c r="E307" s="11" t="s">
        <v>2882</v>
      </c>
      <c r="G307" s="10">
        <v>99.0</v>
      </c>
      <c r="H307" s="12"/>
      <c r="I307" s="11" t="s">
        <v>2823</v>
      </c>
      <c r="J307" s="12"/>
    </row>
    <row r="308" ht="14.25" customHeight="1">
      <c r="A308" s="13">
        <v>100.0</v>
      </c>
      <c r="B308" s="14" t="s">
        <v>2885</v>
      </c>
      <c r="C308" s="13">
        <v>0.0</v>
      </c>
      <c r="D308" s="15"/>
      <c r="E308" s="14" t="s">
        <v>2886</v>
      </c>
      <c r="G308" s="13">
        <v>100.0</v>
      </c>
      <c r="H308" s="15"/>
      <c r="I308" s="14" t="s">
        <v>2758</v>
      </c>
      <c r="J308" s="15"/>
    </row>
    <row r="309" ht="14.25" customHeight="1">
      <c r="A309" s="10">
        <v>101.0</v>
      </c>
      <c r="B309" s="11" t="s">
        <v>2890</v>
      </c>
      <c r="C309" s="12"/>
      <c r="D309" s="12"/>
      <c r="E309" s="11" t="s">
        <v>2726</v>
      </c>
      <c r="G309" s="10">
        <v>101.0</v>
      </c>
      <c r="H309" s="12"/>
      <c r="I309" s="11" t="s">
        <v>2892</v>
      </c>
      <c r="J309" s="12"/>
    </row>
    <row r="310" ht="14.25" customHeight="1">
      <c r="A310" s="13">
        <v>102.0</v>
      </c>
      <c r="B310" s="14" t="s">
        <v>2895</v>
      </c>
      <c r="C310" s="15"/>
      <c r="D310" s="15"/>
      <c r="E310" s="14" t="s">
        <v>2896</v>
      </c>
      <c r="F310" s="15"/>
      <c r="G310" s="13">
        <v>102.0</v>
      </c>
      <c r="H310" s="15"/>
      <c r="I310" s="14" t="s">
        <v>2897</v>
      </c>
      <c r="J310" s="15"/>
    </row>
    <row r="311" ht="14.25" customHeight="1">
      <c r="A311" s="10">
        <v>103.0</v>
      </c>
      <c r="B311" s="11" t="s">
        <v>2900</v>
      </c>
      <c r="C311" s="12"/>
      <c r="D311" s="12"/>
      <c r="E311" s="11" t="s">
        <v>2901</v>
      </c>
      <c r="F311" s="12"/>
      <c r="G311" s="10">
        <v>103.0</v>
      </c>
      <c r="H311" s="12"/>
      <c r="I311" s="11" t="s">
        <v>2902</v>
      </c>
      <c r="J311" s="12"/>
    </row>
    <row r="312" ht="14.25" customHeight="1">
      <c r="A312" s="13">
        <v>104.0</v>
      </c>
      <c r="B312" s="14" t="s">
        <v>2905</v>
      </c>
      <c r="C312" s="15"/>
      <c r="D312" s="15"/>
      <c r="E312" s="14" t="s">
        <v>2906</v>
      </c>
      <c r="F312" s="15"/>
      <c r="G312" s="13">
        <v>104.0</v>
      </c>
      <c r="H312" s="15"/>
      <c r="I312" s="14" t="s">
        <v>2907</v>
      </c>
      <c r="J312" s="15"/>
    </row>
    <row r="313" ht="14.25" customHeight="1">
      <c r="A313" s="10">
        <v>105.0</v>
      </c>
      <c r="B313" s="11" t="s">
        <v>2909</v>
      </c>
      <c r="C313" s="12"/>
      <c r="D313" s="12"/>
      <c r="E313" s="11" t="s">
        <v>2664</v>
      </c>
      <c r="G313" s="10">
        <v>105.0</v>
      </c>
      <c r="H313" s="12"/>
      <c r="I313" s="11" t="s">
        <v>2910</v>
      </c>
      <c r="J313" s="12"/>
    </row>
    <row r="314" ht="14.25" customHeight="1">
      <c r="A314" s="13">
        <v>106.0</v>
      </c>
      <c r="B314" s="14" t="s">
        <v>2913</v>
      </c>
      <c r="C314" s="15"/>
      <c r="D314" s="15"/>
      <c r="E314" s="14" t="s">
        <v>2914</v>
      </c>
      <c r="G314" s="13">
        <v>106.0</v>
      </c>
      <c r="H314" s="15"/>
      <c r="I314" s="14" t="s">
        <v>2915</v>
      </c>
      <c r="J314" s="15"/>
    </row>
    <row r="315" ht="14.25" customHeight="1">
      <c r="A315" s="10">
        <v>107.0</v>
      </c>
      <c r="B315" s="11" t="s">
        <v>2919</v>
      </c>
      <c r="C315" s="12"/>
      <c r="D315" s="12"/>
      <c r="E315" s="11" t="s">
        <v>2920</v>
      </c>
      <c r="G315" s="10">
        <v>107.0</v>
      </c>
      <c r="H315" s="12"/>
      <c r="I315" s="11" t="s">
        <v>2922</v>
      </c>
      <c r="J315" s="12"/>
    </row>
    <row r="316" ht="14.25" customHeight="1">
      <c r="A316" s="13">
        <v>108.0</v>
      </c>
      <c r="B316" s="14" t="s">
        <v>2926</v>
      </c>
      <c r="C316" s="15"/>
      <c r="D316" s="15"/>
      <c r="E316" s="14" t="s">
        <v>2927</v>
      </c>
      <c r="G316" s="13">
        <v>108.0</v>
      </c>
      <c r="H316" s="15"/>
      <c r="I316" s="14" t="s">
        <v>2929</v>
      </c>
      <c r="J316" s="15"/>
    </row>
    <row r="317" ht="14.25" customHeight="1">
      <c r="A317" s="10">
        <v>109.0</v>
      </c>
      <c r="B317" s="11" t="s">
        <v>2932</v>
      </c>
      <c r="C317" s="12"/>
      <c r="D317" s="12"/>
      <c r="E317" s="11" t="s">
        <v>2933</v>
      </c>
      <c r="G317" s="10">
        <v>109.0</v>
      </c>
      <c r="H317" s="12"/>
      <c r="I317" s="11" t="s">
        <v>2934</v>
      </c>
      <c r="J317" s="12"/>
    </row>
    <row r="318" ht="14.25" customHeight="1">
      <c r="A318" s="13">
        <v>110.0</v>
      </c>
      <c r="B318" s="14" t="s">
        <v>2937</v>
      </c>
      <c r="C318" s="15"/>
      <c r="D318" s="15"/>
      <c r="E318" s="14" t="s">
        <v>2938</v>
      </c>
      <c r="F318" s="15"/>
      <c r="G318" s="13">
        <v>110.0</v>
      </c>
      <c r="H318" s="15"/>
      <c r="I318" s="14" t="s">
        <v>2939</v>
      </c>
      <c r="J318" s="15"/>
    </row>
    <row r="319" ht="14.25" customHeight="1">
      <c r="A319" s="10">
        <v>111.0</v>
      </c>
      <c r="B319" s="11" t="s">
        <v>2943</v>
      </c>
      <c r="C319" s="12"/>
      <c r="D319" s="12"/>
      <c r="E319" s="11" t="s">
        <v>2944</v>
      </c>
      <c r="G319" s="10">
        <v>111.0</v>
      </c>
      <c r="H319" s="12"/>
      <c r="I319" s="11" t="s">
        <v>2946</v>
      </c>
      <c r="J319" s="12"/>
    </row>
    <row r="320" ht="14.25" customHeight="1">
      <c r="A320" s="13">
        <v>112.0</v>
      </c>
      <c r="B320" s="14" t="s">
        <v>2949</v>
      </c>
      <c r="C320" s="15"/>
      <c r="D320" s="15"/>
      <c r="E320" s="14" t="s">
        <v>2950</v>
      </c>
      <c r="G320" s="13">
        <v>112.0</v>
      </c>
      <c r="H320" s="15"/>
      <c r="I320" s="14" t="s">
        <v>3439</v>
      </c>
      <c r="J320" s="15"/>
    </row>
    <row r="321" ht="14.25" customHeight="1">
      <c r="A321" s="10">
        <v>113.0</v>
      </c>
      <c r="B321" s="11" t="s">
        <v>2954</v>
      </c>
      <c r="C321" s="12"/>
      <c r="D321" s="12"/>
      <c r="E321" s="11" t="s">
        <v>2955</v>
      </c>
      <c r="G321" s="10">
        <v>113.0</v>
      </c>
      <c r="H321" s="12"/>
      <c r="I321" s="11" t="s">
        <v>2956</v>
      </c>
      <c r="J321" s="12"/>
    </row>
    <row r="322" ht="14.25" customHeight="1">
      <c r="A322" s="13">
        <v>114.0</v>
      </c>
      <c r="B322" s="14" t="s">
        <v>2960</v>
      </c>
      <c r="C322" s="15"/>
      <c r="D322" s="15"/>
      <c r="E322" s="14" t="s">
        <v>2961</v>
      </c>
      <c r="G322" s="13">
        <v>114.0</v>
      </c>
      <c r="H322" s="15"/>
      <c r="I322" s="14" t="s">
        <v>3440</v>
      </c>
      <c r="J322" s="15"/>
    </row>
    <row r="323" ht="14.25" customHeight="1">
      <c r="A323" s="10">
        <v>115.0</v>
      </c>
      <c r="B323" s="11" t="s">
        <v>2966</v>
      </c>
      <c r="C323" s="12"/>
      <c r="D323" s="12"/>
      <c r="E323" s="11" t="s">
        <v>2967</v>
      </c>
      <c r="G323" s="10">
        <v>115.0</v>
      </c>
      <c r="H323" s="12"/>
      <c r="I323" s="11" t="s">
        <v>2862</v>
      </c>
      <c r="J323" s="12"/>
    </row>
    <row r="324" ht="14.25" customHeight="1">
      <c r="A324" s="13">
        <v>116.0</v>
      </c>
      <c r="B324" s="14" t="s">
        <v>2970</v>
      </c>
      <c r="C324" s="15"/>
      <c r="D324" s="15"/>
      <c r="E324" s="14" t="s">
        <v>2971</v>
      </c>
      <c r="F324" s="15"/>
      <c r="G324" s="13">
        <v>116.0</v>
      </c>
      <c r="H324" s="15"/>
      <c r="I324" s="14" t="s">
        <v>2972</v>
      </c>
      <c r="J324" s="15"/>
    </row>
    <row r="325" ht="14.25" customHeight="1">
      <c r="A325" s="10">
        <v>117.0</v>
      </c>
      <c r="B325" s="11" t="s">
        <v>2975</v>
      </c>
      <c r="C325" s="12"/>
      <c r="D325" s="12"/>
      <c r="E325" s="11" t="s">
        <v>2976</v>
      </c>
      <c r="F325" s="12"/>
      <c r="G325" s="10">
        <v>117.0</v>
      </c>
      <c r="H325" s="12"/>
      <c r="I325" s="11" t="s">
        <v>2977</v>
      </c>
      <c r="J325" s="12"/>
    </row>
    <row r="326" ht="14.25" customHeight="1">
      <c r="A326" s="13">
        <v>118.0</v>
      </c>
      <c r="B326" s="14" t="s">
        <v>2980</v>
      </c>
      <c r="C326" s="15"/>
      <c r="D326" s="15"/>
      <c r="E326" s="14" t="s">
        <v>2981</v>
      </c>
      <c r="G326" s="13">
        <v>118.0</v>
      </c>
      <c r="H326" s="15"/>
      <c r="I326" s="14" t="s">
        <v>2982</v>
      </c>
      <c r="J326" s="15"/>
    </row>
    <row r="327" ht="14.25" customHeight="1">
      <c r="A327" s="10">
        <v>119.0</v>
      </c>
      <c r="B327" s="11" t="s">
        <v>2986</v>
      </c>
      <c r="C327" s="12"/>
      <c r="D327" s="12"/>
      <c r="E327" s="11" t="s">
        <v>2987</v>
      </c>
      <c r="G327" s="10">
        <v>119.0</v>
      </c>
      <c r="H327" s="12"/>
      <c r="I327" s="11" t="s">
        <v>2989</v>
      </c>
      <c r="J327" s="12"/>
    </row>
    <row r="328" ht="14.25" customHeight="1">
      <c r="A328" s="13">
        <v>120.0</v>
      </c>
      <c r="B328" s="14" t="s">
        <v>2993</v>
      </c>
      <c r="C328" s="15"/>
      <c r="D328" s="15"/>
      <c r="E328" s="14" t="s">
        <v>2994</v>
      </c>
      <c r="G328" s="13">
        <v>120.0</v>
      </c>
      <c r="H328" s="15"/>
      <c r="I328" s="14" t="s">
        <v>3441</v>
      </c>
      <c r="J328" s="15"/>
    </row>
    <row r="329" ht="14.25" customHeight="1">
      <c r="A329" s="10">
        <v>121.0</v>
      </c>
      <c r="B329" s="11" t="s">
        <v>2999</v>
      </c>
      <c r="C329" s="12"/>
      <c r="D329" s="12"/>
      <c r="E329" s="11" t="s">
        <v>3000</v>
      </c>
      <c r="F329" s="12"/>
      <c r="G329" s="10">
        <v>121.0</v>
      </c>
      <c r="H329" s="12"/>
      <c r="I329" s="11" t="s">
        <v>3442</v>
      </c>
      <c r="J329" s="12"/>
    </row>
    <row r="330" ht="14.25" customHeight="1">
      <c r="A330" s="13">
        <v>122.0</v>
      </c>
      <c r="B330" s="14" t="s">
        <v>3005</v>
      </c>
      <c r="C330" s="15"/>
      <c r="D330" s="15"/>
      <c r="E330" s="14" t="s">
        <v>3006</v>
      </c>
      <c r="G330" s="13">
        <v>122.0</v>
      </c>
      <c r="H330" s="15"/>
      <c r="I330" s="14" t="s">
        <v>3443</v>
      </c>
      <c r="J330" s="15"/>
    </row>
    <row r="331" ht="14.25" customHeight="1">
      <c r="A331" s="10">
        <v>123.0</v>
      </c>
      <c r="B331" s="11" t="s">
        <v>3010</v>
      </c>
      <c r="C331" s="12"/>
      <c r="D331" s="12"/>
      <c r="E331" s="11" t="s">
        <v>2812</v>
      </c>
      <c r="G331" s="10">
        <v>123.0</v>
      </c>
      <c r="H331" s="12"/>
      <c r="I331" s="11" t="s">
        <v>3444</v>
      </c>
      <c r="J331" s="12"/>
    </row>
    <row r="332" ht="14.25" customHeight="1">
      <c r="A332" s="13">
        <v>124.0</v>
      </c>
      <c r="B332" s="14" t="s">
        <v>3014</v>
      </c>
      <c r="C332" s="15"/>
      <c r="D332" s="15"/>
      <c r="E332" s="14" t="s">
        <v>3015</v>
      </c>
      <c r="F332" s="15"/>
      <c r="G332" s="13">
        <v>124.0</v>
      </c>
      <c r="H332" s="15"/>
      <c r="I332" s="14" t="s">
        <v>3445</v>
      </c>
      <c r="J332" s="15"/>
    </row>
    <row r="333" ht="14.25" customHeight="1">
      <c r="A333" s="10">
        <v>125.0</v>
      </c>
      <c r="B333" s="11" t="s">
        <v>3018</v>
      </c>
      <c r="C333" s="12"/>
      <c r="D333" s="12"/>
      <c r="E333" s="11" t="s">
        <v>2726</v>
      </c>
      <c r="G333" s="10">
        <v>125.0</v>
      </c>
      <c r="H333" s="12"/>
      <c r="I333" s="11" t="s">
        <v>3446</v>
      </c>
      <c r="J333" s="12"/>
    </row>
    <row r="334" ht="14.25" customHeight="1">
      <c r="A334" s="13">
        <v>126.0</v>
      </c>
      <c r="B334" s="14" t="s">
        <v>3023</v>
      </c>
      <c r="C334" s="15"/>
      <c r="D334" s="15"/>
      <c r="E334" s="14" t="s">
        <v>3024</v>
      </c>
      <c r="G334" s="13">
        <v>126.0</v>
      </c>
      <c r="H334" s="15"/>
      <c r="I334" s="14" t="s">
        <v>3447</v>
      </c>
      <c r="J334" s="15"/>
    </row>
    <row r="335" ht="14.25" customHeight="1">
      <c r="A335" s="10">
        <v>127.0</v>
      </c>
      <c r="B335" s="11" t="s">
        <v>3030</v>
      </c>
      <c r="C335" s="12"/>
      <c r="D335" s="12"/>
      <c r="E335" s="11" t="s">
        <v>3031</v>
      </c>
      <c r="G335" s="10">
        <v>127.0</v>
      </c>
      <c r="H335" s="12"/>
      <c r="I335" s="11" t="s">
        <v>2835</v>
      </c>
      <c r="J335" s="12"/>
    </row>
    <row r="336" ht="14.25" customHeight="1">
      <c r="A336" s="13">
        <v>128.0</v>
      </c>
      <c r="B336" s="14" t="s">
        <v>3036</v>
      </c>
      <c r="C336" s="15"/>
      <c r="D336" s="15"/>
      <c r="E336" s="14" t="s">
        <v>3037</v>
      </c>
      <c r="G336" s="13">
        <v>128.0</v>
      </c>
      <c r="H336" s="15"/>
      <c r="I336" s="14" t="s">
        <v>3448</v>
      </c>
      <c r="J336" s="15"/>
    </row>
    <row r="337" ht="14.25" customHeight="1">
      <c r="A337" s="10">
        <v>129.0</v>
      </c>
      <c r="B337" s="11" t="s">
        <v>3041</v>
      </c>
      <c r="C337" s="12"/>
      <c r="D337" s="12"/>
      <c r="E337" s="11" t="s">
        <v>3042</v>
      </c>
      <c r="G337" s="10">
        <v>129.0</v>
      </c>
      <c r="H337" s="12"/>
      <c r="I337" s="11" t="s">
        <v>2956</v>
      </c>
      <c r="J337" s="12"/>
    </row>
    <row r="338" ht="14.25" customHeight="1">
      <c r="A338" s="13">
        <v>130.0</v>
      </c>
      <c r="B338" s="14" t="s">
        <v>3045</v>
      </c>
      <c r="C338" s="15"/>
      <c r="D338" s="15"/>
      <c r="E338" s="14" t="s">
        <v>2726</v>
      </c>
      <c r="G338" s="13">
        <v>130.0</v>
      </c>
      <c r="H338" s="15"/>
      <c r="I338" s="14" t="s">
        <v>3449</v>
      </c>
      <c r="J338" s="15"/>
    </row>
    <row r="339" ht="14.25" customHeight="1">
      <c r="A339" s="10">
        <v>131.0</v>
      </c>
      <c r="B339" s="11" t="s">
        <v>3050</v>
      </c>
      <c r="C339" s="12"/>
      <c r="D339" s="12"/>
      <c r="E339" s="11" t="s">
        <v>3051</v>
      </c>
      <c r="G339" s="10">
        <v>131.0</v>
      </c>
      <c r="H339" s="12"/>
      <c r="I339" s="11" t="s">
        <v>3450</v>
      </c>
      <c r="J339" s="12"/>
    </row>
    <row r="340" ht="14.25" customHeight="1">
      <c r="A340" s="13">
        <v>132.0</v>
      </c>
      <c r="B340" s="14" t="s">
        <v>3055</v>
      </c>
      <c r="C340" s="15"/>
      <c r="D340" s="15"/>
      <c r="E340" s="14" t="s">
        <v>3056</v>
      </c>
      <c r="G340" s="13">
        <v>132.0</v>
      </c>
      <c r="H340" s="15"/>
      <c r="I340" s="14" t="s">
        <v>3451</v>
      </c>
      <c r="J340" s="15"/>
    </row>
    <row r="341" ht="14.25" customHeight="1">
      <c r="A341" s="10">
        <v>133.0</v>
      </c>
      <c r="B341" s="11" t="s">
        <v>3061</v>
      </c>
      <c r="C341" s="12"/>
      <c r="D341" s="12"/>
      <c r="E341" s="11" t="s">
        <v>3062</v>
      </c>
      <c r="F341" s="12"/>
      <c r="G341" s="10">
        <v>133.0</v>
      </c>
      <c r="H341" s="12"/>
      <c r="I341" s="11" t="s">
        <v>3452</v>
      </c>
      <c r="J341" s="12"/>
    </row>
    <row r="342" ht="14.25" customHeight="1">
      <c r="A342" s="13">
        <v>134.0</v>
      </c>
      <c r="B342" s="14" t="s">
        <v>3067</v>
      </c>
      <c r="C342" s="15"/>
      <c r="D342" s="15"/>
      <c r="E342" s="14" t="s">
        <v>3068</v>
      </c>
      <c r="G342" s="13">
        <v>134.0</v>
      </c>
      <c r="H342" s="15"/>
      <c r="I342" s="14" t="s">
        <v>3453</v>
      </c>
      <c r="J342" s="15"/>
    </row>
    <row r="343" ht="14.25" customHeight="1">
      <c r="A343" s="10">
        <v>135.0</v>
      </c>
      <c r="B343" s="11" t="s">
        <v>3072</v>
      </c>
      <c r="C343" s="12"/>
      <c r="D343" s="12"/>
      <c r="E343" s="11" t="s">
        <v>2812</v>
      </c>
      <c r="G343" s="10">
        <v>135.0</v>
      </c>
      <c r="H343" s="12"/>
      <c r="I343" s="11" t="s">
        <v>3454</v>
      </c>
      <c r="J343" s="12"/>
    </row>
    <row r="344" ht="14.25" customHeight="1">
      <c r="A344" s="13">
        <v>136.0</v>
      </c>
      <c r="B344" s="14" t="s">
        <v>3076</v>
      </c>
      <c r="C344" s="15"/>
      <c r="D344" s="15"/>
      <c r="E344" s="14" t="s">
        <v>3077</v>
      </c>
      <c r="G344" s="13">
        <v>136.0</v>
      </c>
      <c r="H344" s="15"/>
      <c r="I344" s="14" t="s">
        <v>3455</v>
      </c>
      <c r="J344" s="15"/>
    </row>
    <row r="345" ht="14.25" customHeight="1">
      <c r="A345" s="10">
        <v>137.0</v>
      </c>
      <c r="B345" s="11" t="s">
        <v>3080</v>
      </c>
      <c r="C345" s="12"/>
      <c r="D345" s="12"/>
      <c r="E345" s="11" t="s">
        <v>2812</v>
      </c>
      <c r="G345" s="10">
        <v>137.0</v>
      </c>
      <c r="H345" s="12"/>
      <c r="I345" s="11" t="s">
        <v>3456</v>
      </c>
      <c r="J345" s="12"/>
    </row>
    <row r="346" ht="14.25" customHeight="1">
      <c r="A346" s="13">
        <v>138.0</v>
      </c>
      <c r="B346" s="14" t="s">
        <v>3084</v>
      </c>
      <c r="C346" s="15"/>
      <c r="D346" s="15"/>
      <c r="E346" s="14" t="s">
        <v>3085</v>
      </c>
      <c r="G346" s="13">
        <v>138.0</v>
      </c>
      <c r="H346" s="15"/>
      <c r="I346" s="14" t="s">
        <v>3457</v>
      </c>
      <c r="J346" s="15"/>
    </row>
    <row r="347" ht="14.25" customHeight="1">
      <c r="A347" s="10">
        <v>139.0</v>
      </c>
      <c r="B347" s="11" t="s">
        <v>3089</v>
      </c>
      <c r="C347" s="12"/>
      <c r="D347" s="12"/>
      <c r="E347" s="11" t="s">
        <v>3090</v>
      </c>
      <c r="F347" s="12"/>
      <c r="G347" s="10">
        <v>139.0</v>
      </c>
      <c r="H347" s="12"/>
      <c r="I347" s="11" t="s">
        <v>2852</v>
      </c>
      <c r="J347" s="12"/>
    </row>
    <row r="348" ht="14.25" customHeight="1">
      <c r="A348" s="13">
        <v>140.0</v>
      </c>
      <c r="B348" s="14" t="s">
        <v>3093</v>
      </c>
      <c r="C348" s="15"/>
      <c r="D348" s="15"/>
      <c r="E348" s="14" t="s">
        <v>2812</v>
      </c>
      <c r="G348" s="13">
        <v>140.0</v>
      </c>
      <c r="H348" s="15"/>
      <c r="I348" s="14" t="s">
        <v>3458</v>
      </c>
      <c r="J348" s="15"/>
    </row>
    <row r="349" ht="14.25" customHeight="1">
      <c r="A349" s="10">
        <v>141.0</v>
      </c>
      <c r="B349" s="11" t="s">
        <v>3098</v>
      </c>
      <c r="C349" s="12"/>
      <c r="D349" s="12"/>
      <c r="E349" s="11" t="s">
        <v>3099</v>
      </c>
      <c r="G349" s="10">
        <v>141.0</v>
      </c>
      <c r="H349" s="12"/>
      <c r="I349" s="11" t="s">
        <v>3459</v>
      </c>
      <c r="J349" s="12"/>
    </row>
    <row r="350" ht="14.25" customHeight="1">
      <c r="A350" s="13">
        <v>142.0</v>
      </c>
      <c r="B350" s="14" t="s">
        <v>3105</v>
      </c>
      <c r="C350" s="15"/>
      <c r="D350" s="15"/>
      <c r="E350" s="14" t="s">
        <v>3106</v>
      </c>
      <c r="G350" s="13">
        <v>142.0</v>
      </c>
      <c r="H350" s="15"/>
      <c r="I350" s="14" t="s">
        <v>3460</v>
      </c>
      <c r="J350" s="15"/>
    </row>
    <row r="351" ht="14.25" customHeight="1">
      <c r="A351" s="10">
        <v>143.0</v>
      </c>
      <c r="B351" s="11" t="s">
        <v>3111</v>
      </c>
      <c r="C351" s="12"/>
      <c r="D351" s="12"/>
      <c r="E351" s="11" t="s">
        <v>3112</v>
      </c>
      <c r="G351" s="10">
        <v>143.0</v>
      </c>
      <c r="H351" s="12"/>
      <c r="I351" s="11" t="s">
        <v>3461</v>
      </c>
      <c r="J351" s="12"/>
    </row>
    <row r="352" ht="14.25" customHeight="1">
      <c r="A352" s="13">
        <v>144.0</v>
      </c>
      <c r="B352" s="14" t="s">
        <v>3116</v>
      </c>
      <c r="C352" s="15"/>
      <c r="D352" s="15"/>
      <c r="E352" s="14" t="s">
        <v>3117</v>
      </c>
      <c r="G352" s="13">
        <v>144.0</v>
      </c>
      <c r="H352" s="15"/>
      <c r="I352" s="14" t="s">
        <v>3462</v>
      </c>
      <c r="J352" s="15"/>
    </row>
    <row r="353" ht="14.25" customHeight="1">
      <c r="A353" s="10">
        <v>145.0</v>
      </c>
      <c r="B353" s="11" t="s">
        <v>3120</v>
      </c>
      <c r="C353" s="12"/>
      <c r="D353" s="12"/>
      <c r="E353" s="11" t="s">
        <v>2812</v>
      </c>
      <c r="G353" s="10">
        <v>145.0</v>
      </c>
      <c r="H353" s="12"/>
      <c r="I353" s="11" t="s">
        <v>3463</v>
      </c>
      <c r="J353" s="12"/>
    </row>
    <row r="354" ht="14.25" customHeight="1">
      <c r="A354" s="13">
        <v>146.0</v>
      </c>
      <c r="B354" s="14" t="s">
        <v>3125</v>
      </c>
      <c r="C354" s="15"/>
      <c r="D354" s="15"/>
      <c r="E354" s="14" t="s">
        <v>3126</v>
      </c>
      <c r="G354" s="13">
        <v>146.0</v>
      </c>
      <c r="H354" s="15"/>
      <c r="I354" s="14" t="s">
        <v>3464</v>
      </c>
      <c r="J354" s="15"/>
    </row>
    <row r="355" ht="14.25" customHeight="1">
      <c r="A355" s="10">
        <v>147.0</v>
      </c>
      <c r="B355" s="11" t="s">
        <v>3132</v>
      </c>
      <c r="C355" s="12"/>
      <c r="D355" s="12"/>
      <c r="E355" s="11" t="s">
        <v>3133</v>
      </c>
      <c r="G355" s="10">
        <v>147.0</v>
      </c>
      <c r="H355" s="12"/>
      <c r="I355" s="11" t="s">
        <v>3465</v>
      </c>
      <c r="J355" s="12"/>
    </row>
    <row r="356" ht="14.25" customHeight="1">
      <c r="A356" s="13">
        <v>148.0</v>
      </c>
      <c r="B356" s="14" t="s">
        <v>3138</v>
      </c>
      <c r="C356" s="15"/>
      <c r="D356" s="15"/>
      <c r="E356" s="14" t="s">
        <v>3139</v>
      </c>
      <c r="G356" s="13">
        <v>148.0</v>
      </c>
      <c r="H356" s="15"/>
      <c r="I356" s="14" t="s">
        <v>3466</v>
      </c>
      <c r="J356" s="15"/>
    </row>
    <row r="357" ht="14.25" customHeight="1">
      <c r="A357" s="10">
        <v>149.0</v>
      </c>
      <c r="B357" s="11" t="s">
        <v>3143</v>
      </c>
      <c r="C357" s="12"/>
      <c r="D357" s="12"/>
      <c r="E357" s="11" t="s">
        <v>3144</v>
      </c>
      <c r="G357" s="10">
        <v>149.0</v>
      </c>
      <c r="H357" s="12"/>
      <c r="I357" s="11" t="s">
        <v>3467</v>
      </c>
      <c r="J357" s="12"/>
    </row>
    <row r="358" ht="14.25" customHeight="1">
      <c r="A358" s="13">
        <v>150.0</v>
      </c>
      <c r="B358" s="14" t="s">
        <v>3149</v>
      </c>
      <c r="C358" s="15"/>
      <c r="D358" s="15"/>
      <c r="E358" s="14" t="s">
        <v>3150</v>
      </c>
      <c r="G358" s="13">
        <v>150.0</v>
      </c>
      <c r="H358" s="15"/>
      <c r="I358" s="14" t="s">
        <v>3468</v>
      </c>
      <c r="J358" s="15"/>
    </row>
    <row r="359" ht="14.25" customHeight="1">
      <c r="A359" s="10">
        <v>151.0</v>
      </c>
      <c r="B359" s="11" t="s">
        <v>3155</v>
      </c>
      <c r="C359" s="12"/>
      <c r="D359" s="12"/>
      <c r="E359" s="11" t="s">
        <v>3156</v>
      </c>
      <c r="G359" s="10">
        <v>151.0</v>
      </c>
      <c r="H359" s="12"/>
      <c r="I359" s="11" t="s">
        <v>3469</v>
      </c>
      <c r="J359" s="12"/>
    </row>
    <row r="360" ht="14.25" customHeight="1">
      <c r="A360" s="13">
        <v>152.0</v>
      </c>
      <c r="B360" s="14" t="s">
        <v>3161</v>
      </c>
      <c r="C360" s="15"/>
      <c r="D360" s="15"/>
      <c r="E360" s="14" t="s">
        <v>3162</v>
      </c>
      <c r="G360" s="13">
        <v>152.0</v>
      </c>
      <c r="H360" s="15"/>
      <c r="I360" s="14" t="s">
        <v>3470</v>
      </c>
      <c r="J360" s="15"/>
    </row>
    <row r="361" ht="14.25" customHeight="1">
      <c r="A361" s="10">
        <v>153.0</v>
      </c>
      <c r="B361" s="11" t="s">
        <v>3166</v>
      </c>
      <c r="C361" s="12"/>
      <c r="D361" s="12"/>
      <c r="E361" s="11" t="s">
        <v>2812</v>
      </c>
      <c r="G361" s="10">
        <v>153.0</v>
      </c>
      <c r="H361" s="12"/>
      <c r="I361" s="11" t="s">
        <v>3471</v>
      </c>
      <c r="J361" s="12"/>
    </row>
    <row r="362" ht="14.25" customHeight="1">
      <c r="A362" s="13">
        <v>154.0</v>
      </c>
      <c r="B362" s="14" t="s">
        <v>3170</v>
      </c>
      <c r="C362" s="15"/>
      <c r="D362" s="15"/>
      <c r="E362" s="14" t="s">
        <v>3171</v>
      </c>
      <c r="G362" s="13">
        <v>154.0</v>
      </c>
      <c r="H362" s="15"/>
      <c r="I362" s="14" t="s">
        <v>3472</v>
      </c>
      <c r="J362" s="15"/>
    </row>
    <row r="363" ht="14.25" customHeight="1">
      <c r="A363" s="10">
        <v>155.0</v>
      </c>
      <c r="B363" s="11" t="s">
        <v>3175</v>
      </c>
      <c r="C363" s="12"/>
      <c r="D363" s="12"/>
      <c r="E363" s="11" t="s">
        <v>3176</v>
      </c>
      <c r="G363" s="10">
        <v>155.0</v>
      </c>
      <c r="H363" s="12"/>
      <c r="I363" s="11" t="s">
        <v>3450</v>
      </c>
      <c r="J363" s="12"/>
    </row>
    <row r="364" ht="14.25" customHeight="1">
      <c r="A364" s="13">
        <v>156.0</v>
      </c>
      <c r="B364" s="14" t="s">
        <v>3180</v>
      </c>
      <c r="C364" s="15"/>
      <c r="D364" s="15"/>
      <c r="E364" s="14" t="s">
        <v>3181</v>
      </c>
      <c r="G364" s="13">
        <v>156.0</v>
      </c>
      <c r="H364" s="15"/>
      <c r="I364" s="14" t="s">
        <v>3473</v>
      </c>
      <c r="J364" s="15"/>
    </row>
    <row r="365" ht="14.25" customHeight="1">
      <c r="A365" s="10">
        <v>157.0</v>
      </c>
      <c r="B365" s="11" t="s">
        <v>3187</v>
      </c>
      <c r="C365" s="12"/>
      <c r="D365" s="12"/>
      <c r="E365" s="11" t="s">
        <v>3188</v>
      </c>
      <c r="G365" s="10">
        <v>157.0</v>
      </c>
      <c r="H365" s="12"/>
      <c r="I365" s="11" t="s">
        <v>3474</v>
      </c>
      <c r="J365" s="12"/>
    </row>
    <row r="366" ht="14.25" customHeight="1">
      <c r="A366" s="13">
        <v>158.0</v>
      </c>
      <c r="B366" s="14" t="s">
        <v>3194</v>
      </c>
      <c r="C366" s="15"/>
      <c r="D366" s="15"/>
      <c r="E366" s="14" t="s">
        <v>3195</v>
      </c>
      <c r="G366" s="13">
        <v>158.0</v>
      </c>
      <c r="H366" s="15"/>
      <c r="I366" s="14" t="s">
        <v>3475</v>
      </c>
      <c r="J366" s="15"/>
    </row>
    <row r="367" ht="14.25" customHeight="1">
      <c r="A367" s="10">
        <v>159.0</v>
      </c>
      <c r="B367" s="11" t="s">
        <v>3201</v>
      </c>
      <c r="C367" s="12"/>
      <c r="D367" s="12"/>
      <c r="E367" s="11" t="s">
        <v>3202</v>
      </c>
      <c r="G367" s="10">
        <v>159.0</v>
      </c>
      <c r="H367" s="12"/>
      <c r="I367" s="11" t="s">
        <v>3476</v>
      </c>
      <c r="J367" s="12"/>
    </row>
    <row r="368" ht="14.25" customHeight="1">
      <c r="A368" s="13">
        <v>160.0</v>
      </c>
      <c r="B368" s="14" t="s">
        <v>3208</v>
      </c>
      <c r="C368" s="15"/>
      <c r="D368" s="15"/>
      <c r="E368" s="14" t="s">
        <v>3209</v>
      </c>
      <c r="G368" s="13">
        <v>160.0</v>
      </c>
      <c r="H368" s="15"/>
      <c r="I368" s="14" t="s">
        <v>3477</v>
      </c>
      <c r="J368" s="15"/>
    </row>
    <row r="369" ht="14.25" customHeight="1">
      <c r="A369" s="10">
        <v>161.0</v>
      </c>
      <c r="B369" s="11" t="s">
        <v>3215</v>
      </c>
      <c r="C369" s="12"/>
      <c r="D369" s="12"/>
      <c r="E369" s="11" t="s">
        <v>3216</v>
      </c>
      <c r="G369" s="10">
        <v>161.0</v>
      </c>
      <c r="H369" s="12"/>
      <c r="I369" s="11" t="s">
        <v>3478</v>
      </c>
      <c r="J369" s="12"/>
    </row>
    <row r="370" ht="14.25" customHeight="1">
      <c r="A370" s="13">
        <v>162.0</v>
      </c>
      <c r="B370" s="14" t="s">
        <v>3222</v>
      </c>
      <c r="C370" s="15"/>
      <c r="D370" s="15"/>
      <c r="E370" s="14" t="s">
        <v>3223</v>
      </c>
      <c r="G370" s="13">
        <v>162.0</v>
      </c>
      <c r="H370" s="15"/>
      <c r="I370" s="14" t="s">
        <v>3479</v>
      </c>
      <c r="J370" s="15"/>
    </row>
    <row r="371" ht="14.25" customHeight="1">
      <c r="A371" s="10">
        <v>163.0</v>
      </c>
      <c r="B371" s="11" t="s">
        <v>3229</v>
      </c>
      <c r="C371" s="12"/>
      <c r="D371" s="12"/>
      <c r="E371" s="11" t="s">
        <v>3230</v>
      </c>
      <c r="G371" s="10">
        <v>163.0</v>
      </c>
      <c r="H371" s="12"/>
      <c r="I371" s="11" t="s">
        <v>3480</v>
      </c>
      <c r="J371" s="12"/>
    </row>
    <row r="372" ht="14.25" customHeight="1">
      <c r="A372" s="13">
        <v>164.0</v>
      </c>
      <c r="B372" s="14" t="s">
        <v>3234</v>
      </c>
      <c r="C372" s="15"/>
      <c r="D372" s="15"/>
      <c r="E372" s="14" t="s">
        <v>3181</v>
      </c>
      <c r="G372" s="13">
        <v>164.0</v>
      </c>
      <c r="H372" s="15"/>
      <c r="I372" s="14" t="s">
        <v>3481</v>
      </c>
      <c r="J372" s="15"/>
    </row>
    <row r="373" ht="14.25" customHeight="1">
      <c r="A373" s="10">
        <v>165.0</v>
      </c>
      <c r="B373" s="11" t="s">
        <v>3238</v>
      </c>
      <c r="C373" s="12"/>
      <c r="D373" s="12"/>
      <c r="E373" s="11" t="s">
        <v>3239</v>
      </c>
      <c r="G373" s="10">
        <v>165.0</v>
      </c>
      <c r="H373" s="12"/>
      <c r="I373" s="11" t="s">
        <v>3482</v>
      </c>
      <c r="J373" s="12"/>
    </row>
    <row r="374" ht="14.25" customHeight="1">
      <c r="A374" s="13">
        <v>166.0</v>
      </c>
      <c r="B374" s="14" t="s">
        <v>3244</v>
      </c>
      <c r="C374" s="15"/>
      <c r="D374" s="15"/>
      <c r="E374" s="14" t="s">
        <v>3245</v>
      </c>
      <c r="G374" s="13">
        <v>166.0</v>
      </c>
      <c r="H374" s="15"/>
      <c r="I374" s="14" t="s">
        <v>3483</v>
      </c>
      <c r="J374" s="15"/>
    </row>
    <row r="375" ht="14.25" customHeight="1">
      <c r="A375" s="10">
        <v>167.0</v>
      </c>
      <c r="B375" s="11" t="s">
        <v>3250</v>
      </c>
      <c r="C375" s="12"/>
      <c r="D375" s="12"/>
      <c r="E375" s="11" t="s">
        <v>3251</v>
      </c>
      <c r="G375" s="10">
        <v>167.0</v>
      </c>
      <c r="H375" s="12"/>
      <c r="I375" s="11" t="s">
        <v>3484</v>
      </c>
      <c r="J375" s="12"/>
    </row>
    <row r="376" ht="14.25" customHeight="1">
      <c r="A376" s="13">
        <v>168.0</v>
      </c>
      <c r="B376" s="14" t="s">
        <v>3254</v>
      </c>
      <c r="C376" s="15"/>
      <c r="D376" s="15"/>
      <c r="E376" s="14" t="s">
        <v>3251</v>
      </c>
      <c r="G376" s="13">
        <v>168.0</v>
      </c>
      <c r="H376" s="15"/>
      <c r="I376" s="14" t="s">
        <v>3485</v>
      </c>
      <c r="J376" s="15"/>
    </row>
    <row r="377" ht="14.25" customHeight="1">
      <c r="A377" s="10">
        <v>169.0</v>
      </c>
      <c r="B377" s="11" t="s">
        <v>3258</v>
      </c>
      <c r="C377" s="12"/>
      <c r="D377" s="12"/>
      <c r="E377" s="11" t="s">
        <v>3259</v>
      </c>
      <c r="G377" s="10">
        <v>169.0</v>
      </c>
      <c r="H377" s="12"/>
      <c r="I377" s="11" t="s">
        <v>3486</v>
      </c>
      <c r="J377" s="12"/>
    </row>
    <row r="378" ht="14.25" customHeight="1">
      <c r="A378" s="13">
        <v>170.0</v>
      </c>
      <c r="B378" s="14" t="s">
        <v>3264</v>
      </c>
      <c r="C378" s="15"/>
      <c r="D378" s="15"/>
      <c r="E378" s="14" t="s">
        <v>3265</v>
      </c>
      <c r="G378" s="13">
        <v>170.0</v>
      </c>
      <c r="H378" s="15"/>
      <c r="I378" s="14" t="s">
        <v>3487</v>
      </c>
      <c r="J378" s="15"/>
    </row>
    <row r="379" ht="14.25" customHeight="1">
      <c r="A379" s="10">
        <v>171.0</v>
      </c>
      <c r="B379" s="11" t="s">
        <v>3269</v>
      </c>
      <c r="C379" s="12"/>
      <c r="D379" s="12"/>
      <c r="E379" s="11" t="s">
        <v>3181</v>
      </c>
      <c r="G379" s="10">
        <v>171.0</v>
      </c>
      <c r="H379" s="12"/>
      <c r="I379" s="11" t="s">
        <v>3488</v>
      </c>
      <c r="J379" s="12"/>
    </row>
    <row r="380" ht="14.25" customHeight="1">
      <c r="A380" s="13">
        <v>172.0</v>
      </c>
      <c r="B380" s="14" t="s">
        <v>3273</v>
      </c>
      <c r="C380" s="15"/>
      <c r="D380" s="15"/>
      <c r="E380" s="14" t="s">
        <v>3274</v>
      </c>
      <c r="F380" s="15"/>
      <c r="G380" s="13">
        <v>172.0</v>
      </c>
      <c r="H380" s="15"/>
      <c r="I380" s="14" t="s">
        <v>3489</v>
      </c>
      <c r="J380" s="15"/>
    </row>
    <row r="381" ht="14.25" customHeight="1">
      <c r="A381" s="10">
        <v>173.0</v>
      </c>
      <c r="B381" s="11" t="s">
        <v>3278</v>
      </c>
      <c r="C381" s="12"/>
      <c r="D381" s="12"/>
      <c r="E381" s="11" t="s">
        <v>3279</v>
      </c>
      <c r="G381" s="10">
        <v>173.0</v>
      </c>
      <c r="H381" s="12"/>
      <c r="I381" s="11" t="s">
        <v>3490</v>
      </c>
      <c r="J381" s="12"/>
    </row>
    <row r="382" ht="14.25" customHeight="1">
      <c r="A382" s="13">
        <v>174.0</v>
      </c>
      <c r="B382" s="14" t="s">
        <v>3284</v>
      </c>
      <c r="C382" s="15"/>
      <c r="D382" s="15"/>
      <c r="E382" s="14" t="s">
        <v>3285</v>
      </c>
      <c r="G382" s="13">
        <v>174.0</v>
      </c>
      <c r="H382" s="15"/>
      <c r="I382" s="14" t="s">
        <v>3491</v>
      </c>
      <c r="J382" s="15"/>
    </row>
    <row r="383" ht="14.25" customHeight="1">
      <c r="A383" s="10">
        <v>175.0</v>
      </c>
      <c r="B383" s="11" t="s">
        <v>3290</v>
      </c>
      <c r="C383" s="12"/>
      <c r="D383" s="12"/>
      <c r="E383" s="11" t="s">
        <v>3291</v>
      </c>
      <c r="G383" s="10">
        <v>175.0</v>
      </c>
      <c r="H383" s="12"/>
      <c r="I383" s="11" t="s">
        <v>3492</v>
      </c>
      <c r="J383" s="12"/>
    </row>
    <row r="384" ht="14.25" customHeight="1">
      <c r="A384" s="13">
        <v>176.0</v>
      </c>
      <c r="B384" s="14" t="s">
        <v>3295</v>
      </c>
      <c r="C384" s="15"/>
      <c r="D384" s="15"/>
      <c r="E384" s="14" t="s">
        <v>3296</v>
      </c>
      <c r="G384" s="13">
        <v>176.0</v>
      </c>
      <c r="H384" s="15"/>
      <c r="I384" s="14" t="s">
        <v>3493</v>
      </c>
      <c r="J384" s="15"/>
    </row>
    <row r="385" ht="14.25" customHeight="1">
      <c r="A385" s="10">
        <v>177.0</v>
      </c>
      <c r="B385" s="11" t="s">
        <v>3301</v>
      </c>
      <c r="C385" s="12"/>
      <c r="D385" s="12"/>
      <c r="E385" s="11" t="s">
        <v>3302</v>
      </c>
      <c r="G385" s="10">
        <v>177.0</v>
      </c>
      <c r="H385" s="12"/>
      <c r="I385" s="11" t="s">
        <v>3494</v>
      </c>
      <c r="J385" s="12"/>
    </row>
    <row r="386" ht="14.25" customHeight="1">
      <c r="A386" s="13">
        <v>178.0</v>
      </c>
      <c r="B386" s="14" t="s">
        <v>3308</v>
      </c>
      <c r="C386" s="15"/>
      <c r="D386" s="15"/>
      <c r="E386" s="14" t="s">
        <v>3309</v>
      </c>
      <c r="G386" s="13">
        <v>178.0</v>
      </c>
      <c r="H386" s="15"/>
      <c r="I386" s="14" t="s">
        <v>3495</v>
      </c>
      <c r="J386" s="15"/>
    </row>
    <row r="387" ht="14.25" customHeight="1">
      <c r="A387" s="10">
        <v>179.0</v>
      </c>
      <c r="B387" s="11" t="s">
        <v>3314</v>
      </c>
      <c r="C387" s="12"/>
      <c r="D387" s="12"/>
      <c r="E387" s="11" t="s">
        <v>3315</v>
      </c>
      <c r="G387" s="10">
        <v>179.0</v>
      </c>
      <c r="H387" s="12"/>
      <c r="I387" s="11" t="s">
        <v>3496</v>
      </c>
      <c r="J387" s="12"/>
    </row>
    <row r="388" ht="14.25" customHeight="1">
      <c r="A388" s="13">
        <v>180.0</v>
      </c>
      <c r="B388" s="14" t="s">
        <v>3320</v>
      </c>
      <c r="C388" s="15"/>
      <c r="D388" s="15"/>
      <c r="E388" s="14" t="s">
        <v>3321</v>
      </c>
      <c r="G388" s="13">
        <v>180.0</v>
      </c>
      <c r="H388" s="15"/>
      <c r="I388" s="14" t="s">
        <v>3497</v>
      </c>
      <c r="J388" s="15"/>
    </row>
    <row r="389" ht="14.25" customHeight="1">
      <c r="A389" s="10">
        <v>181.0</v>
      </c>
      <c r="B389" s="11" t="s">
        <v>3326</v>
      </c>
      <c r="C389" s="12"/>
      <c r="D389" s="12"/>
      <c r="E389" s="11" t="s">
        <v>3327</v>
      </c>
      <c r="G389" s="10">
        <v>181.0</v>
      </c>
      <c r="H389" s="12"/>
      <c r="I389" s="11" t="s">
        <v>3498</v>
      </c>
      <c r="J389" s="12"/>
    </row>
    <row r="390" ht="14.25" customHeight="1">
      <c r="A390" s="13">
        <v>182.0</v>
      </c>
      <c r="B390" s="14" t="s">
        <v>3332</v>
      </c>
      <c r="C390" s="15"/>
      <c r="D390" s="15"/>
      <c r="E390" s="14" t="s">
        <v>3333</v>
      </c>
      <c r="G390" s="13">
        <v>182.0</v>
      </c>
      <c r="H390" s="15"/>
      <c r="I390" s="14" t="s">
        <v>3499</v>
      </c>
      <c r="J390" s="15"/>
    </row>
    <row r="391" ht="14.25" customHeight="1">
      <c r="A391" s="10">
        <v>183.0</v>
      </c>
      <c r="B391" s="11" t="s">
        <v>3337</v>
      </c>
      <c r="C391" s="12"/>
      <c r="D391" s="12"/>
      <c r="E391" s="11" t="s">
        <v>3338</v>
      </c>
      <c r="G391" s="10">
        <v>183.0</v>
      </c>
      <c r="H391" s="12"/>
      <c r="I391" s="11" t="s">
        <v>3500</v>
      </c>
      <c r="J391" s="12"/>
    </row>
    <row r="392" ht="14.25" customHeight="1">
      <c r="A392" s="13">
        <v>184.0</v>
      </c>
      <c r="B392" s="14" t="s">
        <v>3342</v>
      </c>
      <c r="C392" s="15"/>
      <c r="D392" s="15"/>
      <c r="E392" s="14" t="s">
        <v>3343</v>
      </c>
      <c r="G392" s="13">
        <v>184.0</v>
      </c>
      <c r="H392" s="15"/>
      <c r="I392" s="14" t="s">
        <v>3501</v>
      </c>
      <c r="J392" s="15"/>
    </row>
    <row r="393" ht="14.25" customHeight="1">
      <c r="A393" s="10">
        <v>185.0</v>
      </c>
      <c r="B393" s="11" t="s">
        <v>3346</v>
      </c>
      <c r="C393" s="12"/>
      <c r="D393" s="12"/>
      <c r="E393" s="11" t="s">
        <v>3338</v>
      </c>
      <c r="G393" s="10">
        <v>185.0</v>
      </c>
      <c r="H393" s="12"/>
      <c r="I393" s="11" t="s">
        <v>3502</v>
      </c>
      <c r="J393" s="12"/>
    </row>
    <row r="394" ht="14.25" customHeight="1">
      <c r="A394" s="13">
        <v>186.0</v>
      </c>
      <c r="B394" s="14" t="s">
        <v>3351</v>
      </c>
      <c r="C394" s="15"/>
      <c r="D394" s="15"/>
      <c r="E394" s="14" t="s">
        <v>3352</v>
      </c>
      <c r="G394" s="13">
        <v>186.0</v>
      </c>
      <c r="H394" s="15"/>
      <c r="I394" s="14" t="s">
        <v>3503</v>
      </c>
      <c r="J394" s="15"/>
    </row>
    <row r="395" ht="14.25" customHeight="1">
      <c r="A395" s="10">
        <v>187.0</v>
      </c>
      <c r="B395" s="11" t="s">
        <v>3358</v>
      </c>
      <c r="C395" s="12"/>
      <c r="D395" s="12"/>
      <c r="E395" s="11" t="s">
        <v>3359</v>
      </c>
      <c r="G395" s="10">
        <v>187.0</v>
      </c>
      <c r="H395" s="12"/>
      <c r="I395" s="11" t="s">
        <v>3504</v>
      </c>
      <c r="J395" s="12"/>
    </row>
    <row r="396" ht="14.25" customHeight="1">
      <c r="A396" s="13">
        <v>188.0</v>
      </c>
      <c r="B396" s="14" t="s">
        <v>3364</v>
      </c>
      <c r="C396" s="15"/>
      <c r="D396" s="15"/>
      <c r="E396" s="14" t="s">
        <v>3365</v>
      </c>
      <c r="G396" s="13">
        <v>188.0</v>
      </c>
      <c r="H396" s="15"/>
      <c r="I396" s="14" t="s">
        <v>3505</v>
      </c>
      <c r="J396" s="15"/>
    </row>
    <row r="397" ht="14.25" customHeight="1">
      <c r="A397" s="10">
        <v>189.0</v>
      </c>
      <c r="B397" s="11" t="s">
        <v>3369</v>
      </c>
      <c r="C397" s="12"/>
      <c r="D397" s="12"/>
      <c r="E397" s="11" t="s">
        <v>3370</v>
      </c>
      <c r="G397" s="10">
        <v>189.0</v>
      </c>
      <c r="H397" s="12"/>
      <c r="I397" s="11" t="s">
        <v>3506</v>
      </c>
      <c r="J397" s="12"/>
    </row>
    <row r="398" ht="14.25" customHeight="1">
      <c r="A398" s="13">
        <v>190.0</v>
      </c>
      <c r="B398" s="14" t="s">
        <v>3375</v>
      </c>
      <c r="C398" s="15"/>
      <c r="D398" s="15"/>
      <c r="E398" s="14" t="s">
        <v>3376</v>
      </c>
      <c r="G398" s="13">
        <v>190.0</v>
      </c>
      <c r="H398" s="15"/>
      <c r="I398" s="14" t="s">
        <v>3507</v>
      </c>
      <c r="J398" s="15"/>
    </row>
    <row r="399" ht="14.25" customHeight="1">
      <c r="A399" s="10">
        <v>191.0</v>
      </c>
      <c r="B399" s="11" t="s">
        <v>3382</v>
      </c>
      <c r="C399" s="12"/>
      <c r="D399" s="12"/>
      <c r="E399" s="11" t="s">
        <v>3383</v>
      </c>
      <c r="G399" s="10">
        <v>191.0</v>
      </c>
      <c r="H399" s="12"/>
      <c r="I399" s="11" t="s">
        <v>3508</v>
      </c>
      <c r="J399" s="12"/>
    </row>
    <row r="400" ht="14.25" customHeight="1">
      <c r="A400" s="13">
        <v>192.0</v>
      </c>
      <c r="B400" s="14" t="s">
        <v>3388</v>
      </c>
      <c r="C400" s="15"/>
      <c r="D400" s="15"/>
      <c r="E400" s="14" t="s">
        <v>3389</v>
      </c>
      <c r="G400" s="13">
        <v>192.0</v>
      </c>
      <c r="H400" s="15"/>
      <c r="I400" s="14" t="s">
        <v>3509</v>
      </c>
      <c r="J400" s="15"/>
    </row>
    <row r="401" ht="14.25" customHeight="1">
      <c r="A401" s="10">
        <v>193.0</v>
      </c>
      <c r="B401" s="11" t="s">
        <v>3393</v>
      </c>
      <c r="C401" s="12"/>
      <c r="D401" s="12"/>
      <c r="E401" s="11" t="s">
        <v>3394</v>
      </c>
      <c r="G401" s="10">
        <v>193.0</v>
      </c>
      <c r="H401" s="12"/>
      <c r="I401" s="11" t="s">
        <v>3510</v>
      </c>
      <c r="J401" s="12"/>
    </row>
    <row r="402" ht="14.25" customHeight="1">
      <c r="A402" s="13">
        <v>194.0</v>
      </c>
      <c r="B402" s="14" t="s">
        <v>3398</v>
      </c>
      <c r="C402" s="15"/>
      <c r="D402" s="15"/>
      <c r="E402" s="14" t="s">
        <v>3399</v>
      </c>
      <c r="G402" s="13">
        <v>194.0</v>
      </c>
      <c r="H402" s="15"/>
      <c r="I402" s="14" t="s">
        <v>3511</v>
      </c>
      <c r="J402" s="15"/>
    </row>
    <row r="403" ht="14.25" customHeight="1">
      <c r="A403" s="10">
        <v>195.0</v>
      </c>
      <c r="B403" s="11" t="s">
        <v>3403</v>
      </c>
      <c r="C403" s="12"/>
      <c r="D403" s="12"/>
      <c r="E403" s="11" t="s">
        <v>3404</v>
      </c>
      <c r="G403" s="10">
        <v>195.0</v>
      </c>
      <c r="H403" s="12"/>
      <c r="I403" s="11" t="s">
        <v>3512</v>
      </c>
      <c r="J403" s="12"/>
    </row>
    <row r="404" ht="14.25" customHeight="1">
      <c r="A404" s="13">
        <v>196.0</v>
      </c>
      <c r="B404" s="14" t="s">
        <v>3407</v>
      </c>
      <c r="C404" s="15"/>
      <c r="D404" s="15"/>
      <c r="E404" s="14" t="s">
        <v>3181</v>
      </c>
      <c r="G404" s="13">
        <v>196.0</v>
      </c>
      <c r="H404" s="15"/>
      <c r="I404" s="14" t="s">
        <v>3513</v>
      </c>
      <c r="J404" s="15"/>
    </row>
    <row r="405" ht="14.25" customHeight="1">
      <c r="A405" s="10">
        <v>197.0</v>
      </c>
      <c r="B405" s="11" t="s">
        <v>3410</v>
      </c>
      <c r="C405" s="12"/>
      <c r="D405" s="12"/>
      <c r="E405" s="11" t="s">
        <v>3352</v>
      </c>
      <c r="G405" s="10">
        <v>197.0</v>
      </c>
      <c r="H405" s="12"/>
      <c r="I405" s="11" t="s">
        <v>3514</v>
      </c>
      <c r="J405" s="12"/>
    </row>
    <row r="406" ht="14.25" customHeight="1">
      <c r="A406" s="13">
        <v>198.0</v>
      </c>
      <c r="B406" s="14" t="s">
        <v>3413</v>
      </c>
      <c r="C406" s="15"/>
      <c r="D406" s="15"/>
      <c r="E406" s="14" t="s">
        <v>3399</v>
      </c>
      <c r="G406" s="13">
        <v>198.0</v>
      </c>
      <c r="H406" s="15"/>
      <c r="I406" s="14" t="s">
        <v>3515</v>
      </c>
      <c r="J406" s="15"/>
    </row>
    <row r="407" ht="14.25" customHeight="1">
      <c r="A407" s="10">
        <v>199.0</v>
      </c>
      <c r="B407" s="11" t="s">
        <v>3418</v>
      </c>
      <c r="C407" s="12"/>
      <c r="D407" s="12"/>
      <c r="E407" s="11" t="s">
        <v>3419</v>
      </c>
      <c r="G407" s="10">
        <v>199.0</v>
      </c>
      <c r="H407" s="12"/>
      <c r="I407" s="11" t="s">
        <v>3516</v>
      </c>
      <c r="J407" s="12"/>
    </row>
    <row r="408" ht="14.25" customHeight="1">
      <c r="A408" s="13">
        <v>200.0</v>
      </c>
      <c r="B408" s="14" t="s">
        <v>3423</v>
      </c>
      <c r="C408" s="15"/>
      <c r="D408" s="15"/>
      <c r="E408" s="14" t="s">
        <v>3251</v>
      </c>
      <c r="G408" s="13">
        <v>200.0</v>
      </c>
      <c r="H408" s="15"/>
      <c r="I408" s="14" t="s">
        <v>3517</v>
      </c>
      <c r="J408" s="15"/>
    </row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2">
    <mergeCell ref="E212:F212"/>
    <mergeCell ref="E213:F213"/>
    <mergeCell ref="E215:F215"/>
    <mergeCell ref="E217:F217"/>
    <mergeCell ref="E220:F220"/>
    <mergeCell ref="E221:F221"/>
    <mergeCell ref="E224:F224"/>
    <mergeCell ref="E225:F225"/>
    <mergeCell ref="E226:F226"/>
    <mergeCell ref="E227:F227"/>
    <mergeCell ref="E228:F228"/>
    <mergeCell ref="E230:F230"/>
    <mergeCell ref="E231:F231"/>
    <mergeCell ref="E232:F232"/>
    <mergeCell ref="E234:F234"/>
    <mergeCell ref="E235:F235"/>
    <mergeCell ref="E237:F237"/>
    <mergeCell ref="E241:F241"/>
    <mergeCell ref="E242:F242"/>
    <mergeCell ref="E244:F244"/>
    <mergeCell ref="E246:F246"/>
    <mergeCell ref="E247:F247"/>
    <mergeCell ref="E248:F248"/>
    <mergeCell ref="E249:F249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70:F270"/>
    <mergeCell ref="E271:F271"/>
    <mergeCell ref="E272:F272"/>
    <mergeCell ref="E273:F273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6:F286"/>
    <mergeCell ref="E287:F287"/>
    <mergeCell ref="E288:F288"/>
    <mergeCell ref="E290:F290"/>
    <mergeCell ref="E291:F291"/>
    <mergeCell ref="E292:F292"/>
    <mergeCell ref="E293:F293"/>
    <mergeCell ref="E294:F294"/>
    <mergeCell ref="E296:F296"/>
    <mergeCell ref="E297:F297"/>
    <mergeCell ref="E298:F298"/>
    <mergeCell ref="E300:F300"/>
    <mergeCell ref="E302:F302"/>
    <mergeCell ref="E303:F303"/>
    <mergeCell ref="E304:F304"/>
    <mergeCell ref="E305:F305"/>
    <mergeCell ref="E306:F306"/>
    <mergeCell ref="E307:F307"/>
    <mergeCell ref="E308:F308"/>
    <mergeCell ref="E309:F309"/>
    <mergeCell ref="E313:F313"/>
    <mergeCell ref="E314:F314"/>
    <mergeCell ref="E315:F315"/>
    <mergeCell ref="E316:F316"/>
    <mergeCell ref="E317:F317"/>
    <mergeCell ref="E319:F319"/>
    <mergeCell ref="E320:F320"/>
    <mergeCell ref="E321:F321"/>
    <mergeCell ref="E322:F322"/>
    <mergeCell ref="E323:F323"/>
    <mergeCell ref="E326:F326"/>
    <mergeCell ref="E327:F327"/>
    <mergeCell ref="E328:F328"/>
    <mergeCell ref="E330:F330"/>
    <mergeCell ref="E331:F331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2:F342"/>
    <mergeCell ref="E401:F401"/>
    <mergeCell ref="E402:F402"/>
    <mergeCell ref="E403:F403"/>
    <mergeCell ref="E404:F404"/>
    <mergeCell ref="E405:F405"/>
    <mergeCell ref="E406:F406"/>
    <mergeCell ref="E407:F407"/>
    <mergeCell ref="E408:F408"/>
    <mergeCell ref="E394:F394"/>
    <mergeCell ref="E395:F395"/>
    <mergeCell ref="E396:F396"/>
    <mergeCell ref="E397:F397"/>
    <mergeCell ref="E398:F398"/>
    <mergeCell ref="E399:F399"/>
    <mergeCell ref="E400:F400"/>
    <mergeCell ref="E343:F343"/>
    <mergeCell ref="E344:F344"/>
    <mergeCell ref="E345:F345"/>
    <mergeCell ref="E346:F346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